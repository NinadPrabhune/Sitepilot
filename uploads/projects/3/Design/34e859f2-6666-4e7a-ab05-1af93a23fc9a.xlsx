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prozealinfraeng-my.sharepoint.com/personal/balamurugan_prozealgreen_com/Documents/Desktop/"/>
    </mc:Choice>
  </mc:AlternateContent>
  <xr:revisionPtr revIDLastSave="1" documentId="13_ncr:1_{42997327-6E85-4EF6-8EFA-EAE3124FEDE9}" xr6:coauthVersionLast="47" xr6:coauthVersionMax="47" xr10:uidLastSave="{1082285F-3409-48A0-AF6F-2304FE1BAB57}"/>
  <bookViews>
    <workbookView xWindow="-110" yWindow="-110" windowWidth="19420" windowHeight="10300" xr2:uid="{00000000-000D-0000-FFFF-FFFF00000000}"/>
  </bookViews>
  <sheets>
    <sheet name="Recon-Statement" sheetId="3" r:id="rId1"/>
    <sheet name="Master Data" sheetId="6" r:id="rId2"/>
    <sheet name="ISSUE" sheetId="2" r:id="rId3"/>
    <sheet name="Goods Receipt" sheetId="1" r:id="rId4"/>
    <sheet name="BOQ" sheetId="7" r:id="rId5"/>
  </sheets>
  <definedNames>
    <definedName name="_100X2.5MM_UV_Cable_Tie_Black">'Master Data'!$Y$4:$Y$74</definedName>
    <definedName name="_38x50_OD_DWC_Pipe__500MTR__UV___Anti_Rodent">'Master Data'!$AM$4:$AM$74</definedName>
    <definedName name="_3CX240Sqmm_A2XFY_19_33KV_HT_Cable">'Master Data'!$L$4:$L$74</definedName>
    <definedName name="_3CX240Sqmm_A2XFY_UNSCR_ATR_UV_AF_3.3_KV">'Master Data'!$K$4:$K$74</definedName>
    <definedName name="AC_Cables">'Master Data'!$K$3:$K$74</definedName>
    <definedName name="Assets">'Master Data'!$G$3:$AR$74</definedName>
    <definedName name="Aux_Control_Cable">'Master Data'!$N$3:$N$74</definedName>
    <definedName name="Aux_UPS_Panel">'Master Data'!$AD$3:$AD$74</definedName>
    <definedName name="bala">'Master Data'!$AO$20:$AO$60</definedName>
    <definedName name="Battery">'Master Data'!$G$3:$G$74</definedName>
    <definedName name="Bus_Duct">'Master Data'!$H$3:$H$74</definedName>
    <definedName name="Cable_Glands">'Master Data'!$T$3:$T$74</definedName>
    <definedName name="Cable_Lugs">'Master Data'!$V$3:$V$74</definedName>
    <definedName name="Cable_Route_Marker">'Master Data'!$X$3:$X$74</definedName>
    <definedName name="Cable_Sleeve">'Master Data'!$W$3:$W$74</definedName>
    <definedName name="Cable_Termination_Kit">'Master Data'!$U$3:$U$74</definedName>
    <definedName name="Cable_Tie">'Master Data'!$Y$3:$Y$74</definedName>
    <definedName name="Cable_Tray">'Master Data'!$I$3:$I$74</definedName>
    <definedName name="Cables">'Master Data'!$N$3:$N$74</definedName>
    <definedName name="Catagory">'Master Data'!$B$3:$B$10</definedName>
    <definedName name="CCTV">'Master Data'!$P$3:$P$74</definedName>
    <definedName name="Civil">'Master Data'!$Q$3:$Q$74</definedName>
    <definedName name="Column_C_120x50x15x1493x2mm_Thick">'Master Data'!$AJ$4:$AJ$60</definedName>
    <definedName name="Column_Post___140x50x20x2.0_MM">'Master Data'!$AJ$4:$AJ$74</definedName>
    <definedName name="Communication_Cable">'Master Data'!$O$3:$O$74</definedName>
    <definedName name="Conductors">'Master Data'!$R$3:$R$74</definedName>
    <definedName name="Connectors">'Master Data'!$S$3:$S$74</definedName>
    <definedName name="Control_Cable">'Master Data'!$V$3:$V$74</definedName>
    <definedName name="CT___PT">'Master Data'!#REF!</definedName>
    <definedName name="CT_PT">'Master Data'!#REF!</definedName>
    <definedName name="DC_Cable">'Master Data'!$J$4:$J$74</definedName>
    <definedName name="DC_Cables">'Master Data'!$J$3:$J$74</definedName>
    <definedName name="Earthing">'Master Data'!$AE$3:$AE$74</definedName>
    <definedName name="Earthing_cables">'Master Data'!$M$3:$M$74</definedName>
    <definedName name="Earthing_Strip">'Master Data'!$AE$4:$AE$74</definedName>
    <definedName name="ESE_Train">'Master Data'!$AH$4:$AH$74</definedName>
    <definedName name="Fencing">'Master Data'!$AF$3:$AF$74</definedName>
    <definedName name="Gland">'Master Data'!#REF!</definedName>
    <definedName name="HEX_BOLT_NUT_2PLN_WSR_1SP_WSR_M_16x40">'Master Data'!$AK$4:$AK$74</definedName>
    <definedName name="HT_Cables">'Master Data'!$L$3:$L$74</definedName>
    <definedName name="HT_Panel">'Master Data'!$AB$3:$AB$74</definedName>
    <definedName name="Inverter">'Master Data'!$Z$3:$Z$74</definedName>
    <definedName name="Inverter_Column_Post__ISMC___100x50x5mm___3000mmL">'Master Data'!$AG$4:$AG$74</definedName>
    <definedName name="Inverters">'Master Data'!$AG$3:$AG$74</definedName>
    <definedName name="Inverters_Structure">'Master Data'!$AG$3:$AG$74</definedName>
    <definedName name="Lighting_arrestor">'Master Data'!$AH$3:$AH$74</definedName>
    <definedName name="Location">'Master Data'!$B$32:$B$38</definedName>
    <definedName name="LT_Panel">'Master Data'!$AC$3:$AC$74</definedName>
    <definedName name="M16x40mm_B_N_2PW_1SW_HDG_8.8">'Master Data'!$AK$4:$AK$60</definedName>
    <definedName name="MCS">'Master Data'!$R$3:$R$74</definedName>
    <definedName name="MMS_Fasteners">'Master Data'!$AK$3:$AK$74</definedName>
    <definedName name="Module_Mounting_Structure">'Master Data'!$AJ$3:$AJ$74</definedName>
    <definedName name="NIFPS">'Master Data'!$AL$3:$AL$74</definedName>
    <definedName name="Others">'Master Data'!$AP$3:$AP$74</definedName>
    <definedName name="Pipes">'Master Data'!$AM$3:$AM$74</definedName>
    <definedName name="Price">'Master Data'!$D$15:$D$16</definedName>
    <definedName name="_xlnm.Print_Area" localSheetId="0">'Recon-Statement'!$A$1:$N$13</definedName>
    <definedName name="_xlnm.Print_Titles" localSheetId="3">'Goods Receipt'!$3:$3</definedName>
    <definedName name="_xlnm.Print_Titles" localSheetId="0">'Recon-Statement'!$2:$3</definedName>
    <definedName name="Safety_Equipments">'Master Data'!$AO$3:$AO$74</definedName>
    <definedName name="Sand_Bucket_With_Stend__canopy">'Master Data'!$AO$4:$AO$74</definedName>
    <definedName name="Scada">'Master Data'!$AR$3:$AR$74</definedName>
    <definedName name="Solar_Modules">'Master Data'!$AN$3:$AN$74</definedName>
    <definedName name="Solis_225K_EHV_5G_Plus_Grid_Tie_Solar_PV_Inverter">'Master Data'!$Z$4:$Z$74</definedName>
    <definedName name="Store_Container">'Master Data'!$F$4:$F$74</definedName>
    <definedName name="Street_Light">'Master Data'!$AI$3:$AI$74</definedName>
    <definedName name="Sub_contractor_Name">'Master Data'!$B$15:$B$29</definedName>
    <definedName name="Transformers">'Master Data'!$AA$3:$AA$74</definedName>
    <definedName name="Unit">'Master Data'!$D$3:$D$10</definedName>
    <definedName name="UPS">'Master Data'!$Q$3:$Q$74</definedName>
    <definedName name="UPS_Aux_Panel">'Master Data'!$AD$3:$AD$74</definedName>
    <definedName name="Yellow_Warning_Tape">'Master Data'!$AP$4:$AP$74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95" i="3" l="1"/>
  <c r="B295" i="3"/>
  <c r="F295" i="3" s="1"/>
  <c r="C295" i="3"/>
  <c r="D295" i="3"/>
  <c r="A296" i="3"/>
  <c r="B296" i="3"/>
  <c r="F296" i="3" s="1"/>
  <c r="C296" i="3"/>
  <c r="D296" i="3"/>
  <c r="N286" i="1"/>
  <c r="A163" i="3"/>
  <c r="A306" i="3"/>
  <c r="B306" i="3"/>
  <c r="K306" i="3" s="1"/>
  <c r="C306" i="3"/>
  <c r="D306" i="3"/>
  <c r="A307" i="3"/>
  <c r="B307" i="3"/>
  <c r="F307" i="3" s="1"/>
  <c r="C307" i="3"/>
  <c r="D307" i="3"/>
  <c r="A308" i="3"/>
  <c r="B308" i="3"/>
  <c r="K308" i="3" s="1"/>
  <c r="C308" i="3"/>
  <c r="D308" i="3"/>
  <c r="A309" i="3"/>
  <c r="B309" i="3"/>
  <c r="K309" i="3" s="1"/>
  <c r="C309" i="3"/>
  <c r="D309" i="3"/>
  <c r="A310" i="3"/>
  <c r="B310" i="3"/>
  <c r="C310" i="3"/>
  <c r="D310" i="3"/>
  <c r="A311" i="3"/>
  <c r="B311" i="3"/>
  <c r="C311" i="3"/>
  <c r="D311" i="3"/>
  <c r="A312" i="3"/>
  <c r="B312" i="3"/>
  <c r="K312" i="3" s="1"/>
  <c r="C312" i="3"/>
  <c r="D312" i="3"/>
  <c r="A313" i="3"/>
  <c r="B313" i="3"/>
  <c r="K313" i="3" s="1"/>
  <c r="C313" i="3"/>
  <c r="D313" i="3"/>
  <c r="A314" i="3"/>
  <c r="B314" i="3"/>
  <c r="K314" i="3" s="1"/>
  <c r="C314" i="3"/>
  <c r="D314" i="3"/>
  <c r="A315" i="3"/>
  <c r="B315" i="3"/>
  <c r="F315" i="3" s="1"/>
  <c r="C315" i="3"/>
  <c r="D315" i="3"/>
  <c r="N79" i="1"/>
  <c r="A302" i="3"/>
  <c r="C302" i="3"/>
  <c r="D302" i="3"/>
  <c r="A303" i="3"/>
  <c r="C303" i="3"/>
  <c r="D303" i="3"/>
  <c r="N49" i="1"/>
  <c r="N48" i="1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7" i="3"/>
  <c r="E298" i="3"/>
  <c r="E299" i="3"/>
  <c r="E300" i="3"/>
  <c r="E301" i="3"/>
  <c r="E304" i="3"/>
  <c r="E305" i="3"/>
  <c r="E316" i="3"/>
  <c r="E162" i="3"/>
  <c r="E163" i="3"/>
  <c r="E161" i="3"/>
  <c r="E159" i="3"/>
  <c r="E160" i="3"/>
  <c r="E151" i="3"/>
  <c r="E152" i="3"/>
  <c r="E153" i="3"/>
  <c r="E154" i="3"/>
  <c r="E155" i="3"/>
  <c r="E156" i="3"/>
  <c r="E157" i="3"/>
  <c r="E158" i="3"/>
  <c r="E146" i="3"/>
  <c r="E147" i="3"/>
  <c r="E148" i="3"/>
  <c r="E149" i="3"/>
  <c r="E15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A59" i="3"/>
  <c r="A294" i="3"/>
  <c r="C294" i="3"/>
  <c r="D294" i="3"/>
  <c r="A297" i="3"/>
  <c r="C297" i="3"/>
  <c r="D297" i="3"/>
  <c r="A298" i="3"/>
  <c r="B298" i="3"/>
  <c r="K298" i="3" s="1"/>
  <c r="C298" i="3"/>
  <c r="D298" i="3"/>
  <c r="A299" i="3"/>
  <c r="B299" i="3"/>
  <c r="K299" i="3" s="1"/>
  <c r="C299" i="3"/>
  <c r="D299" i="3"/>
  <c r="A300" i="3"/>
  <c r="B300" i="3"/>
  <c r="K300" i="3" s="1"/>
  <c r="C300" i="3"/>
  <c r="D300" i="3"/>
  <c r="A286" i="3"/>
  <c r="C286" i="3"/>
  <c r="D286" i="3"/>
  <c r="A287" i="3"/>
  <c r="C287" i="3"/>
  <c r="D287" i="3"/>
  <c r="A288" i="3"/>
  <c r="C288" i="3"/>
  <c r="D288" i="3"/>
  <c r="A289" i="3"/>
  <c r="C289" i="3"/>
  <c r="D289" i="3"/>
  <c r="A290" i="3"/>
  <c r="C290" i="3"/>
  <c r="D290" i="3"/>
  <c r="A285" i="3"/>
  <c r="C285" i="3"/>
  <c r="D285" i="3"/>
  <c r="A263" i="3"/>
  <c r="C263" i="3"/>
  <c r="D263" i="3"/>
  <c r="A267" i="3"/>
  <c r="B267" i="3"/>
  <c r="K267" i="3" s="1"/>
  <c r="C267" i="3"/>
  <c r="D267" i="3"/>
  <c r="A265" i="3"/>
  <c r="B265" i="3"/>
  <c r="K265" i="3" s="1"/>
  <c r="C265" i="3"/>
  <c r="D265" i="3"/>
  <c r="A266" i="3"/>
  <c r="B266" i="3"/>
  <c r="K266" i="3" s="1"/>
  <c r="C266" i="3"/>
  <c r="D266" i="3"/>
  <c r="A261" i="3"/>
  <c r="B261" i="3"/>
  <c r="K261" i="3" s="1"/>
  <c r="C261" i="3"/>
  <c r="D261" i="3"/>
  <c r="A262" i="3"/>
  <c r="C262" i="3"/>
  <c r="D262" i="3"/>
  <c r="A264" i="3"/>
  <c r="B264" i="3"/>
  <c r="K264" i="3" s="1"/>
  <c r="C264" i="3"/>
  <c r="D264" i="3"/>
  <c r="A270" i="3"/>
  <c r="B270" i="3"/>
  <c r="K270" i="3" s="1"/>
  <c r="C270" i="3"/>
  <c r="D270" i="3"/>
  <c r="A271" i="3"/>
  <c r="B271" i="3"/>
  <c r="K271" i="3" s="1"/>
  <c r="C271" i="3"/>
  <c r="D271" i="3"/>
  <c r="A272" i="3"/>
  <c r="B272" i="3"/>
  <c r="F272" i="3" s="1"/>
  <c r="C272" i="3"/>
  <c r="D272" i="3"/>
  <c r="A273" i="3"/>
  <c r="B273" i="3"/>
  <c r="K273" i="3" s="1"/>
  <c r="C273" i="3"/>
  <c r="D273" i="3"/>
  <c r="A274" i="3"/>
  <c r="B274" i="3"/>
  <c r="F274" i="3" s="1"/>
  <c r="C274" i="3"/>
  <c r="D274" i="3"/>
  <c r="A275" i="3"/>
  <c r="B275" i="3"/>
  <c r="F275" i="3" s="1"/>
  <c r="C275" i="3"/>
  <c r="D275" i="3"/>
  <c r="A276" i="3"/>
  <c r="B276" i="3"/>
  <c r="K276" i="3" s="1"/>
  <c r="C276" i="3"/>
  <c r="D276" i="3"/>
  <c r="A277" i="3"/>
  <c r="B277" i="3"/>
  <c r="F277" i="3" s="1"/>
  <c r="C277" i="3"/>
  <c r="D277" i="3"/>
  <c r="A278" i="3"/>
  <c r="B278" i="3"/>
  <c r="F278" i="3" s="1"/>
  <c r="C278" i="3"/>
  <c r="D278" i="3"/>
  <c r="A279" i="3"/>
  <c r="B279" i="3"/>
  <c r="F279" i="3" s="1"/>
  <c r="C279" i="3"/>
  <c r="D279" i="3"/>
  <c r="A280" i="3"/>
  <c r="B280" i="3"/>
  <c r="F280" i="3" s="1"/>
  <c r="C280" i="3"/>
  <c r="D280" i="3"/>
  <c r="A283" i="3"/>
  <c r="C283" i="3"/>
  <c r="D283" i="3"/>
  <c r="A284" i="3"/>
  <c r="C284" i="3"/>
  <c r="D284" i="3"/>
  <c r="A291" i="3"/>
  <c r="C291" i="3"/>
  <c r="D291" i="3"/>
  <c r="A292" i="3"/>
  <c r="C292" i="3"/>
  <c r="D292" i="3"/>
  <c r="C231" i="3"/>
  <c r="D231" i="3"/>
  <c r="A232" i="3"/>
  <c r="C232" i="3"/>
  <c r="D232" i="3"/>
  <c r="A233" i="3"/>
  <c r="C233" i="3"/>
  <c r="D233" i="3"/>
  <c r="A234" i="3"/>
  <c r="C234" i="3"/>
  <c r="D234" i="3"/>
  <c r="A235" i="3"/>
  <c r="B235" i="3"/>
  <c r="K235" i="3" s="1"/>
  <c r="C235" i="3"/>
  <c r="D235" i="3"/>
  <c r="A236" i="3"/>
  <c r="B236" i="3"/>
  <c r="F236" i="3" s="1"/>
  <c r="C236" i="3"/>
  <c r="D236" i="3"/>
  <c r="A237" i="3"/>
  <c r="B237" i="3"/>
  <c r="F237" i="3" s="1"/>
  <c r="C237" i="3"/>
  <c r="D237" i="3"/>
  <c r="A238" i="3"/>
  <c r="B238" i="3"/>
  <c r="F238" i="3" s="1"/>
  <c r="C238" i="3"/>
  <c r="D238" i="3"/>
  <c r="A230" i="3"/>
  <c r="B230" i="3"/>
  <c r="F230" i="3" s="1"/>
  <c r="C230" i="3"/>
  <c r="D230" i="3"/>
  <c r="A242" i="3"/>
  <c r="B242" i="3"/>
  <c r="F242" i="3" s="1"/>
  <c r="C242" i="3"/>
  <c r="D242" i="3"/>
  <c r="A243" i="3"/>
  <c r="B243" i="3"/>
  <c r="F243" i="3" s="1"/>
  <c r="C243" i="3"/>
  <c r="D243" i="3"/>
  <c r="A244" i="3"/>
  <c r="B244" i="3"/>
  <c r="F244" i="3" s="1"/>
  <c r="C244" i="3"/>
  <c r="D244" i="3"/>
  <c r="A245" i="3"/>
  <c r="B245" i="3"/>
  <c r="K245" i="3" s="1"/>
  <c r="C245" i="3"/>
  <c r="D245" i="3"/>
  <c r="A246" i="3"/>
  <c r="B246" i="3"/>
  <c r="K246" i="3" s="1"/>
  <c r="C246" i="3"/>
  <c r="D246" i="3"/>
  <c r="A247" i="3"/>
  <c r="B247" i="3"/>
  <c r="F247" i="3" s="1"/>
  <c r="C247" i="3"/>
  <c r="D247" i="3"/>
  <c r="A248" i="3"/>
  <c r="B248" i="3"/>
  <c r="F248" i="3" s="1"/>
  <c r="C248" i="3"/>
  <c r="D248" i="3"/>
  <c r="A249" i="3"/>
  <c r="C249" i="3"/>
  <c r="D249" i="3"/>
  <c r="A250" i="3"/>
  <c r="C250" i="3"/>
  <c r="D250" i="3"/>
  <c r="A251" i="3"/>
  <c r="C251" i="3"/>
  <c r="D251" i="3"/>
  <c r="A252" i="3"/>
  <c r="C252" i="3"/>
  <c r="D252" i="3"/>
  <c r="A253" i="3"/>
  <c r="C253" i="3"/>
  <c r="D253" i="3"/>
  <c r="A254" i="3"/>
  <c r="C254" i="3"/>
  <c r="D254" i="3"/>
  <c r="A255" i="3"/>
  <c r="C255" i="3"/>
  <c r="D255" i="3"/>
  <c r="A301" i="3"/>
  <c r="C301" i="3"/>
  <c r="D301" i="3"/>
  <c r="A240" i="3"/>
  <c r="B240" i="3"/>
  <c r="F240" i="3" s="1"/>
  <c r="C240" i="3"/>
  <c r="D240" i="3"/>
  <c r="A257" i="3"/>
  <c r="C257" i="3"/>
  <c r="D257" i="3"/>
  <c r="A259" i="3"/>
  <c r="C259" i="3"/>
  <c r="D259" i="3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3" i="1"/>
  <c r="N74" i="1"/>
  <c r="N76" i="1"/>
  <c r="N77" i="1"/>
  <c r="N78" i="1"/>
  <c r="N80" i="1"/>
  <c r="N81" i="1"/>
  <c r="N82" i="1"/>
  <c r="N83" i="1"/>
  <c r="N84" i="1"/>
  <c r="N85" i="1"/>
  <c r="N86" i="1"/>
  <c r="N87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A305" i="3"/>
  <c r="C305" i="3"/>
  <c r="D305" i="3"/>
  <c r="A316" i="3"/>
  <c r="C316" i="3"/>
  <c r="D316" i="3"/>
  <c r="A268" i="3"/>
  <c r="C268" i="3"/>
  <c r="D268" i="3"/>
  <c r="A258" i="3"/>
  <c r="C258" i="3"/>
  <c r="D258" i="3"/>
  <c r="A260" i="3"/>
  <c r="C260" i="3"/>
  <c r="D260" i="3"/>
  <c r="A269" i="3"/>
  <c r="C269" i="3"/>
  <c r="D269" i="3"/>
  <c r="A281" i="3"/>
  <c r="C281" i="3"/>
  <c r="D281" i="3"/>
  <c r="A282" i="3"/>
  <c r="C282" i="3"/>
  <c r="D282" i="3"/>
  <c r="A219" i="3"/>
  <c r="C219" i="3"/>
  <c r="D219" i="3"/>
  <c r="A220" i="3"/>
  <c r="C220" i="3"/>
  <c r="D220" i="3"/>
  <c r="A221" i="3"/>
  <c r="C221" i="3"/>
  <c r="D221" i="3"/>
  <c r="A222" i="3"/>
  <c r="C222" i="3"/>
  <c r="D222" i="3"/>
  <c r="A223" i="3"/>
  <c r="C223" i="3"/>
  <c r="D223" i="3"/>
  <c r="A224" i="3"/>
  <c r="C224" i="3"/>
  <c r="D224" i="3"/>
  <c r="A225" i="3"/>
  <c r="C225" i="3"/>
  <c r="D225" i="3"/>
  <c r="A226" i="3"/>
  <c r="C226" i="3"/>
  <c r="D226" i="3"/>
  <c r="A227" i="3"/>
  <c r="C227" i="3"/>
  <c r="D227" i="3"/>
  <c r="A228" i="3"/>
  <c r="C228" i="3"/>
  <c r="D228" i="3"/>
  <c r="A229" i="3"/>
  <c r="C229" i="3"/>
  <c r="D229" i="3"/>
  <c r="A203" i="3"/>
  <c r="C203" i="3"/>
  <c r="D203" i="3"/>
  <c r="A204" i="3"/>
  <c r="C204" i="3"/>
  <c r="D204" i="3"/>
  <c r="A205" i="3"/>
  <c r="C205" i="3"/>
  <c r="D205" i="3"/>
  <c r="A206" i="3"/>
  <c r="C206" i="3"/>
  <c r="D206" i="3"/>
  <c r="A207" i="3"/>
  <c r="C207" i="3"/>
  <c r="D207" i="3"/>
  <c r="A208" i="3"/>
  <c r="C208" i="3"/>
  <c r="D208" i="3"/>
  <c r="A209" i="3"/>
  <c r="C209" i="3"/>
  <c r="D209" i="3"/>
  <c r="A149" i="3"/>
  <c r="C149" i="3"/>
  <c r="D149" i="3"/>
  <c r="A150" i="3"/>
  <c r="C150" i="3"/>
  <c r="D150" i="3"/>
  <c r="A148" i="3"/>
  <c r="C148" i="3"/>
  <c r="D148" i="3"/>
  <c r="A152" i="3"/>
  <c r="B152" i="3"/>
  <c r="C152" i="3"/>
  <c r="D152" i="3"/>
  <c r="A153" i="3"/>
  <c r="B153" i="3"/>
  <c r="F153" i="3" s="1"/>
  <c r="C153" i="3"/>
  <c r="D153" i="3"/>
  <c r="A154" i="3"/>
  <c r="B154" i="3"/>
  <c r="F154" i="3" s="1"/>
  <c r="C154" i="3"/>
  <c r="D154" i="3"/>
  <c r="A155" i="3"/>
  <c r="B155" i="3"/>
  <c r="F155" i="3" s="1"/>
  <c r="C155" i="3"/>
  <c r="D155" i="3"/>
  <c r="A156" i="3"/>
  <c r="B156" i="3"/>
  <c r="F156" i="3" s="1"/>
  <c r="C156" i="3"/>
  <c r="D156" i="3"/>
  <c r="A157" i="3"/>
  <c r="B157" i="3"/>
  <c r="F157" i="3" s="1"/>
  <c r="C157" i="3"/>
  <c r="D157" i="3"/>
  <c r="A158" i="3"/>
  <c r="B158" i="3"/>
  <c r="F158" i="3" s="1"/>
  <c r="C158" i="3"/>
  <c r="D158" i="3"/>
  <c r="A159" i="3"/>
  <c r="B159" i="3"/>
  <c r="F159" i="3" s="1"/>
  <c r="C159" i="3"/>
  <c r="D159" i="3"/>
  <c r="A160" i="3"/>
  <c r="C160" i="3"/>
  <c r="D160" i="3"/>
  <c r="A161" i="3"/>
  <c r="C161" i="3"/>
  <c r="D161" i="3"/>
  <c r="A162" i="3"/>
  <c r="B162" i="3"/>
  <c r="K162" i="3" s="1"/>
  <c r="C162" i="3"/>
  <c r="D162" i="3"/>
  <c r="C163" i="3"/>
  <c r="D163" i="3"/>
  <c r="A164" i="3"/>
  <c r="C164" i="3"/>
  <c r="D164" i="3"/>
  <c r="A165" i="3"/>
  <c r="B165" i="3"/>
  <c r="K165" i="3" s="1"/>
  <c r="C165" i="3"/>
  <c r="D165" i="3"/>
  <c r="A166" i="3"/>
  <c r="B166" i="3"/>
  <c r="F166" i="3" s="1"/>
  <c r="C166" i="3"/>
  <c r="D166" i="3"/>
  <c r="A167" i="3"/>
  <c r="B167" i="3"/>
  <c r="F167" i="3" s="1"/>
  <c r="C167" i="3"/>
  <c r="D167" i="3"/>
  <c r="A168" i="3"/>
  <c r="B168" i="3"/>
  <c r="F168" i="3" s="1"/>
  <c r="C168" i="3"/>
  <c r="D168" i="3"/>
  <c r="A169" i="3"/>
  <c r="B169" i="3"/>
  <c r="F169" i="3" s="1"/>
  <c r="C169" i="3"/>
  <c r="D169" i="3"/>
  <c r="A170" i="3"/>
  <c r="B170" i="3"/>
  <c r="F170" i="3" s="1"/>
  <c r="C170" i="3"/>
  <c r="D170" i="3"/>
  <c r="A171" i="3"/>
  <c r="B171" i="3"/>
  <c r="C171" i="3"/>
  <c r="D171" i="3"/>
  <c r="A172" i="3"/>
  <c r="B172" i="3"/>
  <c r="F172" i="3" s="1"/>
  <c r="C172" i="3"/>
  <c r="D172" i="3"/>
  <c r="A173" i="3"/>
  <c r="B173" i="3"/>
  <c r="K173" i="3" s="1"/>
  <c r="C173" i="3"/>
  <c r="D173" i="3"/>
  <c r="A174" i="3"/>
  <c r="B174" i="3"/>
  <c r="F174" i="3" s="1"/>
  <c r="C174" i="3"/>
  <c r="D174" i="3"/>
  <c r="A175" i="3"/>
  <c r="B175" i="3"/>
  <c r="F175" i="3" s="1"/>
  <c r="C175" i="3"/>
  <c r="D175" i="3"/>
  <c r="A176" i="3"/>
  <c r="B176" i="3"/>
  <c r="F176" i="3" s="1"/>
  <c r="C176" i="3"/>
  <c r="D176" i="3"/>
  <c r="A177" i="3"/>
  <c r="B177" i="3"/>
  <c r="F177" i="3" s="1"/>
  <c r="C177" i="3"/>
  <c r="D177" i="3"/>
  <c r="A178" i="3"/>
  <c r="C178" i="3"/>
  <c r="D178" i="3"/>
  <c r="A179" i="3"/>
  <c r="C179" i="3"/>
  <c r="D179" i="3"/>
  <c r="A180" i="3"/>
  <c r="C180" i="3"/>
  <c r="D180" i="3"/>
  <c r="A181" i="3"/>
  <c r="C181" i="3"/>
  <c r="D181" i="3"/>
  <c r="A182" i="3"/>
  <c r="C182" i="3"/>
  <c r="D182" i="3"/>
  <c r="A183" i="3"/>
  <c r="C183" i="3"/>
  <c r="D183" i="3"/>
  <c r="A184" i="3"/>
  <c r="C184" i="3"/>
  <c r="D184" i="3"/>
  <c r="A185" i="3"/>
  <c r="B185" i="3"/>
  <c r="F185" i="3" s="1"/>
  <c r="C185" i="3"/>
  <c r="D185" i="3"/>
  <c r="A186" i="3"/>
  <c r="B186" i="3"/>
  <c r="F186" i="3" s="1"/>
  <c r="C186" i="3"/>
  <c r="D186" i="3"/>
  <c r="A151" i="3"/>
  <c r="C151" i="3"/>
  <c r="D151" i="3"/>
  <c r="A188" i="3"/>
  <c r="B188" i="3"/>
  <c r="K188" i="3" s="1"/>
  <c r="C188" i="3"/>
  <c r="D188" i="3"/>
  <c r="A189" i="3"/>
  <c r="B189" i="3"/>
  <c r="F189" i="3" s="1"/>
  <c r="C189" i="3"/>
  <c r="D189" i="3"/>
  <c r="A190" i="3"/>
  <c r="B190" i="3"/>
  <c r="K190" i="3" s="1"/>
  <c r="C190" i="3"/>
  <c r="D190" i="3"/>
  <c r="A191" i="3"/>
  <c r="B191" i="3"/>
  <c r="F191" i="3" s="1"/>
  <c r="C191" i="3"/>
  <c r="D191" i="3"/>
  <c r="A192" i="3"/>
  <c r="B192" i="3"/>
  <c r="F192" i="3" s="1"/>
  <c r="C192" i="3"/>
  <c r="D192" i="3"/>
  <c r="A193" i="3"/>
  <c r="B193" i="3"/>
  <c r="F193" i="3" s="1"/>
  <c r="C193" i="3"/>
  <c r="D193" i="3"/>
  <c r="A194" i="3"/>
  <c r="C194" i="3"/>
  <c r="D194" i="3"/>
  <c r="A195" i="3"/>
  <c r="C195" i="3"/>
  <c r="D195" i="3"/>
  <c r="A196" i="3"/>
  <c r="C196" i="3"/>
  <c r="D196" i="3"/>
  <c r="A197" i="3"/>
  <c r="C197" i="3"/>
  <c r="D197" i="3"/>
  <c r="A198" i="3"/>
  <c r="C198" i="3"/>
  <c r="D198" i="3"/>
  <c r="A199" i="3"/>
  <c r="C199" i="3"/>
  <c r="D199" i="3"/>
  <c r="A200" i="3"/>
  <c r="C200" i="3"/>
  <c r="D200" i="3"/>
  <c r="A201" i="3"/>
  <c r="C201" i="3"/>
  <c r="D201" i="3"/>
  <c r="A202" i="3"/>
  <c r="C202" i="3"/>
  <c r="D202" i="3"/>
  <c r="A210" i="3"/>
  <c r="C210" i="3"/>
  <c r="D210" i="3"/>
  <c r="A211" i="3"/>
  <c r="C211" i="3"/>
  <c r="D211" i="3"/>
  <c r="A212" i="3"/>
  <c r="C212" i="3"/>
  <c r="D212" i="3"/>
  <c r="A213" i="3"/>
  <c r="C213" i="3"/>
  <c r="D213" i="3"/>
  <c r="A214" i="3"/>
  <c r="C214" i="3"/>
  <c r="D214" i="3"/>
  <c r="A215" i="3"/>
  <c r="C215" i="3"/>
  <c r="D215" i="3"/>
  <c r="A216" i="3"/>
  <c r="C216" i="3"/>
  <c r="D216" i="3"/>
  <c r="A217" i="3"/>
  <c r="C217" i="3"/>
  <c r="D217" i="3"/>
  <c r="A218" i="3"/>
  <c r="C218" i="3"/>
  <c r="D218" i="3"/>
  <c r="A239" i="3"/>
  <c r="C239" i="3"/>
  <c r="D239" i="3"/>
  <c r="A241" i="3"/>
  <c r="C241" i="3"/>
  <c r="D241" i="3"/>
  <c r="A187" i="3"/>
  <c r="B187" i="3"/>
  <c r="F187" i="3" s="1"/>
  <c r="C187" i="3"/>
  <c r="D187" i="3"/>
  <c r="A293" i="3"/>
  <c r="C293" i="3"/>
  <c r="D293" i="3"/>
  <c r="A304" i="3"/>
  <c r="C304" i="3"/>
  <c r="D304" i="3"/>
  <c r="A256" i="3"/>
  <c r="C256" i="3"/>
  <c r="D256" i="3"/>
  <c r="C147" i="3"/>
  <c r="D147" i="3"/>
  <c r="C146" i="3"/>
  <c r="D146" i="3"/>
  <c r="A26" i="3"/>
  <c r="A52" i="3"/>
  <c r="K295" i="3" l="1"/>
  <c r="J295" i="3"/>
  <c r="G295" i="3"/>
  <c r="H295" i="3"/>
  <c r="K296" i="3"/>
  <c r="J296" i="3"/>
  <c r="H296" i="3"/>
  <c r="G296" i="3"/>
  <c r="K307" i="3"/>
  <c r="F306" i="3"/>
  <c r="G307" i="3"/>
  <c r="H307" i="3"/>
  <c r="J307" i="3"/>
  <c r="K311" i="3"/>
  <c r="F308" i="3"/>
  <c r="K310" i="3"/>
  <c r="F309" i="3"/>
  <c r="J310" i="3"/>
  <c r="G310" i="3"/>
  <c r="H310" i="3"/>
  <c r="J311" i="3"/>
  <c r="G311" i="3"/>
  <c r="H311" i="3"/>
  <c r="F312" i="3"/>
  <c r="K315" i="3"/>
  <c r="F314" i="3"/>
  <c r="G315" i="3"/>
  <c r="H315" i="3"/>
  <c r="J315" i="3"/>
  <c r="F235" i="3"/>
  <c r="F261" i="3"/>
  <c r="F245" i="3"/>
  <c r="F173" i="3"/>
  <c r="F165" i="3"/>
  <c r="F276" i="3"/>
  <c r="F188" i="3"/>
  <c r="F300" i="3"/>
  <c r="F266" i="3"/>
  <c r="F162" i="3"/>
  <c r="F267" i="3"/>
  <c r="F299" i="3"/>
  <c r="F273" i="3"/>
  <c r="F265" i="3"/>
  <c r="F298" i="3"/>
  <c r="F264" i="3"/>
  <c r="F152" i="3"/>
  <c r="H152" i="3" s="1"/>
  <c r="F271" i="3"/>
  <c r="F270" i="3"/>
  <c r="F246" i="3"/>
  <c r="F190" i="3"/>
  <c r="H192" i="3"/>
  <c r="K272" i="3"/>
  <c r="K275" i="3"/>
  <c r="J272" i="3"/>
  <c r="G272" i="3"/>
  <c r="H272" i="3"/>
  <c r="K274" i="3"/>
  <c r="G274" i="3"/>
  <c r="H274" i="3"/>
  <c r="J274" i="3"/>
  <c r="G275" i="3"/>
  <c r="H275" i="3"/>
  <c r="J275" i="3"/>
  <c r="K278" i="3"/>
  <c r="K277" i="3"/>
  <c r="J277" i="3"/>
  <c r="G277" i="3"/>
  <c r="H277" i="3"/>
  <c r="K279" i="3"/>
  <c r="G278" i="3"/>
  <c r="J278" i="3"/>
  <c r="H278" i="3"/>
  <c r="K280" i="3"/>
  <c r="G279" i="3"/>
  <c r="H279" i="3"/>
  <c r="J279" i="3"/>
  <c r="G280" i="3"/>
  <c r="H280" i="3"/>
  <c r="J280" i="3"/>
  <c r="K230" i="3"/>
  <c r="K238" i="3"/>
  <c r="K237" i="3"/>
  <c r="K236" i="3"/>
  <c r="H236" i="3"/>
  <c r="J236" i="3"/>
  <c r="G236" i="3"/>
  <c r="G237" i="3"/>
  <c r="H237" i="3"/>
  <c r="J237" i="3"/>
  <c r="G238" i="3"/>
  <c r="H238" i="3"/>
  <c r="J238" i="3"/>
  <c r="G230" i="3"/>
  <c r="H230" i="3"/>
  <c r="J230" i="3"/>
  <c r="K242" i="3"/>
  <c r="G242" i="3"/>
  <c r="H242" i="3"/>
  <c r="J242" i="3"/>
  <c r="K243" i="3"/>
  <c r="K244" i="3"/>
  <c r="G243" i="3"/>
  <c r="H243" i="3"/>
  <c r="J243" i="3"/>
  <c r="J244" i="3"/>
  <c r="G244" i="3"/>
  <c r="H244" i="3"/>
  <c r="K248" i="3"/>
  <c r="K247" i="3"/>
  <c r="G247" i="3"/>
  <c r="H247" i="3"/>
  <c r="J247" i="3"/>
  <c r="G248" i="3"/>
  <c r="J248" i="3"/>
  <c r="H248" i="3"/>
  <c r="K240" i="3"/>
  <c r="J240" i="3"/>
  <c r="G240" i="3"/>
  <c r="H240" i="3"/>
  <c r="K152" i="3"/>
  <c r="K153" i="3"/>
  <c r="K154" i="3"/>
  <c r="H155" i="3"/>
  <c r="G155" i="3"/>
  <c r="G153" i="3"/>
  <c r="H153" i="3"/>
  <c r="J153" i="3"/>
  <c r="K155" i="3"/>
  <c r="K156" i="3"/>
  <c r="G154" i="3"/>
  <c r="J154" i="3"/>
  <c r="H154" i="3"/>
  <c r="K159" i="3"/>
  <c r="K157" i="3"/>
  <c r="J155" i="3"/>
  <c r="G156" i="3"/>
  <c r="H156" i="3"/>
  <c r="J156" i="3"/>
  <c r="G157" i="3"/>
  <c r="H157" i="3"/>
  <c r="J157" i="3"/>
  <c r="K158" i="3"/>
  <c r="J158" i="3"/>
  <c r="G158" i="3"/>
  <c r="H158" i="3"/>
  <c r="J159" i="3"/>
  <c r="G159" i="3"/>
  <c r="H159" i="3"/>
  <c r="K167" i="3"/>
  <c r="K166" i="3"/>
  <c r="G166" i="3"/>
  <c r="H166" i="3"/>
  <c r="J166" i="3"/>
  <c r="K168" i="3"/>
  <c r="H169" i="3"/>
  <c r="J169" i="3"/>
  <c r="G167" i="3"/>
  <c r="H167" i="3"/>
  <c r="J167" i="3"/>
  <c r="K169" i="3"/>
  <c r="K170" i="3"/>
  <c r="G168" i="3"/>
  <c r="H168" i="3"/>
  <c r="J168" i="3"/>
  <c r="G169" i="3"/>
  <c r="K175" i="3"/>
  <c r="K171" i="3"/>
  <c r="K176" i="3"/>
  <c r="H170" i="3"/>
  <c r="G170" i="3"/>
  <c r="J170" i="3"/>
  <c r="K172" i="3"/>
  <c r="G171" i="3"/>
  <c r="H171" i="3"/>
  <c r="J171" i="3"/>
  <c r="J172" i="3"/>
  <c r="G172" i="3"/>
  <c r="H172" i="3"/>
  <c r="K174" i="3"/>
  <c r="J174" i="3"/>
  <c r="G174" i="3"/>
  <c r="H174" i="3"/>
  <c r="G175" i="3"/>
  <c r="H175" i="3"/>
  <c r="J175" i="3"/>
  <c r="K177" i="3"/>
  <c r="J176" i="3"/>
  <c r="G176" i="3"/>
  <c r="H176" i="3"/>
  <c r="G177" i="3"/>
  <c r="H177" i="3"/>
  <c r="J177" i="3"/>
  <c r="K185" i="3"/>
  <c r="K186" i="3"/>
  <c r="G185" i="3"/>
  <c r="J185" i="3"/>
  <c r="H185" i="3"/>
  <c r="G186" i="3"/>
  <c r="H186" i="3"/>
  <c r="J186" i="3"/>
  <c r="K189" i="3"/>
  <c r="H191" i="3"/>
  <c r="G191" i="3"/>
  <c r="G189" i="3"/>
  <c r="H189" i="3"/>
  <c r="J189" i="3"/>
  <c r="K191" i="3"/>
  <c r="K192" i="3"/>
  <c r="K193" i="3"/>
  <c r="G192" i="3"/>
  <c r="J191" i="3"/>
  <c r="J192" i="3"/>
  <c r="G193" i="3"/>
  <c r="H193" i="3"/>
  <c r="J193" i="3"/>
  <c r="K187" i="3"/>
  <c r="G187" i="3"/>
  <c r="J187" i="3"/>
  <c r="H187" i="3"/>
  <c r="A145" i="3"/>
  <c r="C145" i="3"/>
  <c r="D145" i="3"/>
  <c r="B111" i="7"/>
  <c r="A143" i="3"/>
  <c r="C143" i="3"/>
  <c r="D143" i="3"/>
  <c r="A144" i="3"/>
  <c r="C144" i="3"/>
  <c r="D144" i="3"/>
  <c r="C139" i="3"/>
  <c r="D139" i="3"/>
  <c r="C140" i="3"/>
  <c r="D140" i="3"/>
  <c r="C141" i="3"/>
  <c r="D141" i="3"/>
  <c r="C142" i="3"/>
  <c r="D142" i="3"/>
  <c r="A139" i="3"/>
  <c r="A140" i="3"/>
  <c r="A141" i="3"/>
  <c r="A142" i="3"/>
  <c r="E9" i="3"/>
  <c r="B197" i="7"/>
  <c r="B198" i="7"/>
  <c r="B199" i="7"/>
  <c r="L295" i="3" l="1"/>
  <c r="L296" i="3"/>
  <c r="L307" i="3"/>
  <c r="L311" i="3"/>
  <c r="G306" i="3"/>
  <c r="J306" i="3"/>
  <c r="L306" i="3" s="1"/>
  <c r="H306" i="3"/>
  <c r="L310" i="3"/>
  <c r="G308" i="3"/>
  <c r="H308" i="3"/>
  <c r="J308" i="3"/>
  <c r="L308" i="3" s="1"/>
  <c r="G309" i="3"/>
  <c r="H309" i="3"/>
  <c r="J309" i="3"/>
  <c r="L309" i="3" s="1"/>
  <c r="J312" i="3"/>
  <c r="L312" i="3" s="1"/>
  <c r="G312" i="3"/>
  <c r="H312" i="3"/>
  <c r="G313" i="3"/>
  <c r="H313" i="3"/>
  <c r="J313" i="3"/>
  <c r="L313" i="3" s="1"/>
  <c r="L315" i="3"/>
  <c r="J314" i="3"/>
  <c r="L314" i="3" s="1"/>
  <c r="G314" i="3"/>
  <c r="H314" i="3"/>
  <c r="G152" i="3"/>
  <c r="B197" i="3"/>
  <c r="J152" i="3"/>
  <c r="L152" i="3" s="1"/>
  <c r="G298" i="3"/>
  <c r="H298" i="3"/>
  <c r="J298" i="3"/>
  <c r="L298" i="3" s="1"/>
  <c r="G299" i="3"/>
  <c r="J299" i="3"/>
  <c r="L299" i="3" s="1"/>
  <c r="H299" i="3"/>
  <c r="G300" i="3"/>
  <c r="J300" i="3"/>
  <c r="L300" i="3" s="1"/>
  <c r="H300" i="3"/>
  <c r="G267" i="3"/>
  <c r="H267" i="3"/>
  <c r="J267" i="3"/>
  <c r="L267" i="3" s="1"/>
  <c r="G265" i="3"/>
  <c r="J265" i="3"/>
  <c r="L265" i="3" s="1"/>
  <c r="H265" i="3"/>
  <c r="G266" i="3"/>
  <c r="H266" i="3"/>
  <c r="J266" i="3"/>
  <c r="L266" i="3" s="1"/>
  <c r="G261" i="3"/>
  <c r="J261" i="3"/>
  <c r="L261" i="3" s="1"/>
  <c r="H261" i="3"/>
  <c r="G264" i="3"/>
  <c r="J264" i="3"/>
  <c r="L264" i="3" s="1"/>
  <c r="H264" i="3"/>
  <c r="G270" i="3"/>
  <c r="H270" i="3"/>
  <c r="J270" i="3"/>
  <c r="L270" i="3" s="1"/>
  <c r="L275" i="3"/>
  <c r="L272" i="3"/>
  <c r="L274" i="3"/>
  <c r="J271" i="3"/>
  <c r="L271" i="3" s="1"/>
  <c r="G271" i="3"/>
  <c r="H271" i="3"/>
  <c r="L278" i="3"/>
  <c r="G273" i="3"/>
  <c r="H273" i="3"/>
  <c r="J273" i="3"/>
  <c r="L273" i="3" s="1"/>
  <c r="L277" i="3"/>
  <c r="G276" i="3"/>
  <c r="H276" i="3"/>
  <c r="J276" i="3"/>
  <c r="L276" i="3" s="1"/>
  <c r="L279" i="3"/>
  <c r="L280" i="3"/>
  <c r="B198" i="3"/>
  <c r="L238" i="3"/>
  <c r="L237" i="3"/>
  <c r="L230" i="3"/>
  <c r="L236" i="3"/>
  <c r="G235" i="3"/>
  <c r="H235" i="3"/>
  <c r="J235" i="3"/>
  <c r="L235" i="3" s="1"/>
  <c r="L248" i="3"/>
  <c r="L242" i="3"/>
  <c r="L243" i="3"/>
  <c r="L244" i="3"/>
  <c r="G245" i="3"/>
  <c r="H245" i="3"/>
  <c r="J245" i="3"/>
  <c r="L245" i="3" s="1"/>
  <c r="L247" i="3"/>
  <c r="G246" i="3"/>
  <c r="H246" i="3"/>
  <c r="J246" i="3"/>
  <c r="L246" i="3" s="1"/>
  <c r="L240" i="3"/>
  <c r="B199" i="3"/>
  <c r="L153" i="3"/>
  <c r="L154" i="3"/>
  <c r="L156" i="3"/>
  <c r="L155" i="3"/>
  <c r="L157" i="3"/>
  <c r="L159" i="3"/>
  <c r="L158" i="3"/>
  <c r="L171" i="3"/>
  <c r="L169" i="3"/>
  <c r="L167" i="3"/>
  <c r="G162" i="3"/>
  <c r="H162" i="3"/>
  <c r="J162" i="3"/>
  <c r="L162" i="3" s="1"/>
  <c r="L166" i="3"/>
  <c r="G165" i="3"/>
  <c r="H165" i="3"/>
  <c r="J165" i="3"/>
  <c r="L165" i="3" s="1"/>
  <c r="L168" i="3"/>
  <c r="L176" i="3"/>
  <c r="L170" i="3"/>
  <c r="L175" i="3"/>
  <c r="L172" i="3"/>
  <c r="L174" i="3"/>
  <c r="G173" i="3"/>
  <c r="J173" i="3"/>
  <c r="L173" i="3" s="1"/>
  <c r="H173" i="3"/>
  <c r="L177" i="3"/>
  <c r="L185" i="3"/>
  <c r="L186" i="3"/>
  <c r="L189" i="3"/>
  <c r="G188" i="3"/>
  <c r="J188" i="3"/>
  <c r="L188" i="3" s="1"/>
  <c r="H188" i="3"/>
  <c r="L192" i="3"/>
  <c r="L191" i="3"/>
  <c r="L193" i="3"/>
  <c r="G190" i="3"/>
  <c r="J190" i="3"/>
  <c r="L190" i="3" s="1"/>
  <c r="H190" i="3"/>
  <c r="L187" i="3"/>
  <c r="B23" i="7"/>
  <c r="K199" i="3" l="1"/>
  <c r="F199" i="3"/>
  <c r="G199" i="3" s="1"/>
  <c r="F198" i="3"/>
  <c r="H198" i="3" s="1"/>
  <c r="K197" i="3"/>
  <c r="F197" i="3"/>
  <c r="G197" i="3" s="1"/>
  <c r="K198" i="3"/>
  <c r="B134" i="7"/>
  <c r="B110" i="7"/>
  <c r="B33" i="7"/>
  <c r="B25" i="7"/>
  <c r="B24" i="7"/>
  <c r="B14" i="7"/>
  <c r="B13" i="7"/>
  <c r="B12" i="7"/>
  <c r="A4" i="2"/>
  <c r="A5" i="2" s="1"/>
  <c r="A7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3" i="2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G198" i="3" l="1"/>
  <c r="J198" i="3"/>
  <c r="L198" i="3" s="1"/>
  <c r="H197" i="3"/>
  <c r="J197" i="3"/>
  <c r="L197" i="3" s="1"/>
  <c r="H199" i="3"/>
  <c r="J199" i="3"/>
  <c r="L199" i="3" s="1"/>
  <c r="E6" i="3"/>
  <c r="E7" i="3"/>
  <c r="E8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5" i="3"/>
  <c r="A5" i="3"/>
  <c r="C5" i="3"/>
  <c r="D5" i="3"/>
  <c r="A6" i="3"/>
  <c r="C6" i="3"/>
  <c r="D6" i="3"/>
  <c r="A7" i="3"/>
  <c r="C7" i="3"/>
  <c r="D7" i="3"/>
  <c r="A8" i="3"/>
  <c r="C8" i="3"/>
  <c r="D8" i="3"/>
  <c r="A9" i="3"/>
  <c r="C9" i="3"/>
  <c r="D9" i="3"/>
  <c r="A10" i="3"/>
  <c r="C10" i="3"/>
  <c r="D10" i="3"/>
  <c r="A11" i="3"/>
  <c r="C11" i="3"/>
  <c r="D11" i="3"/>
  <c r="A12" i="3"/>
  <c r="C12" i="3"/>
  <c r="D12" i="3"/>
  <c r="A13" i="3"/>
  <c r="C13" i="3"/>
  <c r="D13" i="3"/>
  <c r="A14" i="3"/>
  <c r="C14" i="3"/>
  <c r="D14" i="3"/>
  <c r="A15" i="3"/>
  <c r="C15" i="3"/>
  <c r="D15" i="3"/>
  <c r="A16" i="3"/>
  <c r="C16" i="3"/>
  <c r="D16" i="3"/>
  <c r="A17" i="3"/>
  <c r="C17" i="3"/>
  <c r="D17" i="3"/>
  <c r="A18" i="3"/>
  <c r="C18" i="3"/>
  <c r="D18" i="3"/>
  <c r="A19" i="3"/>
  <c r="C19" i="3"/>
  <c r="D19" i="3"/>
  <c r="A20" i="3"/>
  <c r="C20" i="3"/>
  <c r="D20" i="3"/>
  <c r="A21" i="3"/>
  <c r="C21" i="3"/>
  <c r="D21" i="3"/>
  <c r="A22" i="3"/>
  <c r="C22" i="3"/>
  <c r="D22" i="3"/>
  <c r="A23" i="3"/>
  <c r="C23" i="3"/>
  <c r="D23" i="3"/>
  <c r="A24" i="3"/>
  <c r="C24" i="3"/>
  <c r="D24" i="3"/>
  <c r="A25" i="3"/>
  <c r="C25" i="3"/>
  <c r="D25" i="3"/>
  <c r="C26" i="3"/>
  <c r="D26" i="3"/>
  <c r="A27" i="3"/>
  <c r="C27" i="3"/>
  <c r="A28" i="3"/>
  <c r="C28" i="3"/>
  <c r="A29" i="3"/>
  <c r="C29" i="3"/>
  <c r="D29" i="3"/>
  <c r="A30" i="3"/>
  <c r="C30" i="3"/>
  <c r="D30" i="3"/>
  <c r="A31" i="3"/>
  <c r="C31" i="3"/>
  <c r="D31" i="3"/>
  <c r="A32" i="3"/>
  <c r="C32" i="3"/>
  <c r="D32" i="3"/>
  <c r="A33" i="3"/>
  <c r="C33" i="3"/>
  <c r="D33" i="3"/>
  <c r="A34" i="3"/>
  <c r="C34" i="3"/>
  <c r="D34" i="3"/>
  <c r="A35" i="3"/>
  <c r="C35" i="3"/>
  <c r="D35" i="3"/>
  <c r="A36" i="3"/>
  <c r="C36" i="3"/>
  <c r="D36" i="3"/>
  <c r="A37" i="3"/>
  <c r="C37" i="3"/>
  <c r="D37" i="3"/>
  <c r="A38" i="3"/>
  <c r="C38" i="3"/>
  <c r="D38" i="3"/>
  <c r="A39" i="3"/>
  <c r="C39" i="3"/>
  <c r="D39" i="3"/>
  <c r="A40" i="3"/>
  <c r="C40" i="3"/>
  <c r="D40" i="3"/>
  <c r="A41" i="3"/>
  <c r="C41" i="3"/>
  <c r="D41" i="3"/>
  <c r="A42" i="3"/>
  <c r="C42" i="3"/>
  <c r="D42" i="3"/>
  <c r="A43" i="3"/>
  <c r="C43" i="3"/>
  <c r="D43" i="3"/>
  <c r="A44" i="3"/>
  <c r="C44" i="3"/>
  <c r="D44" i="3"/>
  <c r="A45" i="3"/>
  <c r="C45" i="3"/>
  <c r="D45" i="3"/>
  <c r="A46" i="3"/>
  <c r="C46" i="3"/>
  <c r="D46" i="3"/>
  <c r="A47" i="3"/>
  <c r="C47" i="3"/>
  <c r="D47" i="3"/>
  <c r="A48" i="3"/>
  <c r="C48" i="3"/>
  <c r="D48" i="3"/>
  <c r="A49" i="3"/>
  <c r="C49" i="3"/>
  <c r="D49" i="3"/>
  <c r="A50" i="3"/>
  <c r="C50" i="3"/>
  <c r="D50" i="3"/>
  <c r="A51" i="3"/>
  <c r="C51" i="3"/>
  <c r="D51" i="3"/>
  <c r="C52" i="3"/>
  <c r="D52" i="3"/>
  <c r="A53" i="3"/>
  <c r="C53" i="3"/>
  <c r="D53" i="3"/>
  <c r="A54" i="3"/>
  <c r="C54" i="3"/>
  <c r="D54" i="3"/>
  <c r="A55" i="3"/>
  <c r="C55" i="3"/>
  <c r="D55" i="3"/>
  <c r="A56" i="3"/>
  <c r="C56" i="3"/>
  <c r="D56" i="3"/>
  <c r="A57" i="3"/>
  <c r="C57" i="3"/>
  <c r="D57" i="3"/>
  <c r="A58" i="3"/>
  <c r="C58" i="3"/>
  <c r="D58" i="3"/>
  <c r="C59" i="3"/>
  <c r="D59" i="3"/>
  <c r="A60" i="3"/>
  <c r="C60" i="3"/>
  <c r="D60" i="3"/>
  <c r="A61" i="3"/>
  <c r="C61" i="3"/>
  <c r="D61" i="3"/>
  <c r="A62" i="3"/>
  <c r="C62" i="3"/>
  <c r="D62" i="3"/>
  <c r="A63" i="3"/>
  <c r="C63" i="3"/>
  <c r="D63" i="3"/>
  <c r="A64" i="3"/>
  <c r="C64" i="3"/>
  <c r="D64" i="3"/>
  <c r="A65" i="3"/>
  <c r="C65" i="3"/>
  <c r="D65" i="3"/>
  <c r="A66" i="3"/>
  <c r="C66" i="3"/>
  <c r="D66" i="3"/>
  <c r="A67" i="3"/>
  <c r="C67" i="3"/>
  <c r="D67" i="3"/>
  <c r="A68" i="3"/>
  <c r="C68" i="3"/>
  <c r="D68" i="3"/>
  <c r="A69" i="3"/>
  <c r="C69" i="3"/>
  <c r="D69" i="3"/>
  <c r="A70" i="3"/>
  <c r="C70" i="3"/>
  <c r="D70" i="3"/>
  <c r="A71" i="3"/>
  <c r="C71" i="3"/>
  <c r="D71" i="3"/>
  <c r="A72" i="3"/>
  <c r="C72" i="3"/>
  <c r="D72" i="3"/>
  <c r="A73" i="3"/>
  <c r="C73" i="3"/>
  <c r="D73" i="3"/>
  <c r="A74" i="3"/>
  <c r="C74" i="3"/>
  <c r="D74" i="3"/>
  <c r="A75" i="3"/>
  <c r="C75" i="3"/>
  <c r="D75" i="3"/>
  <c r="A76" i="3"/>
  <c r="C76" i="3"/>
  <c r="D76" i="3"/>
  <c r="A77" i="3"/>
  <c r="C77" i="3"/>
  <c r="D77" i="3"/>
  <c r="A78" i="3"/>
  <c r="C78" i="3"/>
  <c r="D78" i="3"/>
  <c r="A79" i="3"/>
  <c r="C79" i="3"/>
  <c r="D79" i="3"/>
  <c r="A80" i="3"/>
  <c r="C80" i="3"/>
  <c r="D80" i="3"/>
  <c r="A81" i="3"/>
  <c r="C81" i="3"/>
  <c r="D81" i="3"/>
  <c r="A82" i="3"/>
  <c r="C82" i="3"/>
  <c r="D82" i="3"/>
  <c r="A83" i="3"/>
  <c r="C83" i="3"/>
  <c r="D83" i="3"/>
  <c r="A84" i="3"/>
  <c r="C84" i="3"/>
  <c r="D84" i="3"/>
  <c r="A85" i="3"/>
  <c r="C85" i="3"/>
  <c r="D85" i="3"/>
  <c r="A86" i="3"/>
  <c r="C86" i="3"/>
  <c r="D86" i="3"/>
  <c r="A87" i="3"/>
  <c r="C87" i="3"/>
  <c r="D87" i="3"/>
  <c r="A88" i="3"/>
  <c r="C88" i="3"/>
  <c r="D88" i="3"/>
  <c r="A89" i="3"/>
  <c r="C89" i="3"/>
  <c r="D89" i="3"/>
  <c r="A90" i="3"/>
  <c r="C90" i="3"/>
  <c r="D90" i="3"/>
  <c r="A91" i="3"/>
  <c r="C91" i="3"/>
  <c r="D91" i="3"/>
  <c r="A92" i="3"/>
  <c r="C92" i="3"/>
  <c r="D92" i="3"/>
  <c r="A93" i="3"/>
  <c r="C93" i="3"/>
  <c r="D93" i="3"/>
  <c r="A94" i="3"/>
  <c r="C94" i="3"/>
  <c r="D94" i="3"/>
  <c r="A95" i="3"/>
  <c r="C95" i="3"/>
  <c r="D95" i="3"/>
  <c r="A96" i="3"/>
  <c r="C96" i="3"/>
  <c r="D96" i="3"/>
  <c r="A97" i="3"/>
  <c r="C97" i="3"/>
  <c r="D97" i="3"/>
  <c r="A98" i="3"/>
  <c r="C98" i="3"/>
  <c r="D98" i="3"/>
  <c r="A99" i="3"/>
  <c r="C99" i="3"/>
  <c r="D99" i="3"/>
  <c r="A100" i="3"/>
  <c r="C100" i="3"/>
  <c r="D100" i="3"/>
  <c r="A101" i="3"/>
  <c r="C101" i="3"/>
  <c r="D101" i="3"/>
  <c r="A102" i="3"/>
  <c r="C102" i="3"/>
  <c r="D102" i="3"/>
  <c r="A103" i="3"/>
  <c r="C103" i="3"/>
  <c r="D103" i="3"/>
  <c r="A104" i="3"/>
  <c r="C104" i="3"/>
  <c r="D104" i="3"/>
  <c r="A105" i="3"/>
  <c r="C105" i="3"/>
  <c r="D105" i="3"/>
  <c r="A106" i="3"/>
  <c r="C106" i="3"/>
  <c r="D106" i="3"/>
  <c r="A107" i="3"/>
  <c r="C107" i="3"/>
  <c r="D107" i="3"/>
  <c r="A108" i="3"/>
  <c r="C108" i="3"/>
  <c r="D108" i="3"/>
  <c r="A109" i="3"/>
  <c r="C109" i="3"/>
  <c r="D109" i="3"/>
  <c r="A110" i="3"/>
  <c r="C110" i="3"/>
  <c r="D110" i="3"/>
  <c r="A111" i="3"/>
  <c r="C111" i="3"/>
  <c r="D111" i="3"/>
  <c r="A112" i="3"/>
  <c r="C112" i="3"/>
  <c r="D112" i="3"/>
  <c r="A113" i="3"/>
  <c r="C113" i="3"/>
  <c r="D113" i="3"/>
  <c r="A114" i="3"/>
  <c r="C114" i="3"/>
  <c r="D114" i="3"/>
  <c r="A115" i="3"/>
  <c r="C115" i="3"/>
  <c r="D115" i="3"/>
  <c r="A116" i="3"/>
  <c r="C116" i="3"/>
  <c r="D116" i="3"/>
  <c r="A117" i="3"/>
  <c r="C117" i="3"/>
  <c r="D117" i="3"/>
  <c r="A118" i="3"/>
  <c r="C118" i="3"/>
  <c r="D118" i="3"/>
  <c r="A119" i="3"/>
  <c r="C119" i="3"/>
  <c r="D119" i="3"/>
  <c r="A120" i="3"/>
  <c r="C120" i="3"/>
  <c r="D120" i="3"/>
  <c r="A121" i="3"/>
  <c r="C121" i="3"/>
  <c r="D121" i="3"/>
  <c r="A122" i="3"/>
  <c r="C122" i="3"/>
  <c r="D122" i="3"/>
  <c r="A123" i="3"/>
  <c r="C123" i="3"/>
  <c r="D123" i="3"/>
  <c r="A124" i="3"/>
  <c r="C124" i="3"/>
  <c r="D124" i="3"/>
  <c r="A125" i="3"/>
  <c r="C125" i="3"/>
  <c r="D125" i="3"/>
  <c r="A126" i="3"/>
  <c r="C126" i="3"/>
  <c r="D126" i="3"/>
  <c r="A127" i="3"/>
  <c r="C127" i="3"/>
  <c r="D127" i="3"/>
  <c r="A128" i="3"/>
  <c r="C128" i="3"/>
  <c r="D128" i="3"/>
  <c r="A129" i="3"/>
  <c r="C129" i="3"/>
  <c r="D129" i="3"/>
  <c r="A130" i="3"/>
  <c r="C130" i="3"/>
  <c r="D130" i="3"/>
  <c r="A131" i="3"/>
  <c r="C131" i="3"/>
  <c r="D131" i="3"/>
  <c r="A132" i="3"/>
  <c r="C132" i="3"/>
  <c r="D132" i="3"/>
  <c r="A133" i="3"/>
  <c r="C133" i="3"/>
  <c r="D133" i="3"/>
  <c r="A134" i="3"/>
  <c r="C134" i="3"/>
  <c r="D134" i="3"/>
  <c r="A135" i="3"/>
  <c r="C135" i="3"/>
  <c r="D135" i="3"/>
  <c r="A136" i="3"/>
  <c r="C136" i="3"/>
  <c r="D136" i="3"/>
  <c r="A137" i="3"/>
  <c r="C137" i="3"/>
  <c r="D137" i="3"/>
  <c r="A138" i="3"/>
  <c r="C138" i="3"/>
  <c r="D138" i="3"/>
  <c r="B302" i="7"/>
  <c r="B301" i="7"/>
  <c r="B295" i="7"/>
  <c r="B292" i="7"/>
  <c r="B291" i="7"/>
  <c r="B290" i="7"/>
  <c r="B289" i="7"/>
  <c r="B294" i="3" l="1"/>
  <c r="F294" i="3" s="1"/>
  <c r="B297" i="3"/>
  <c r="B303" i="3"/>
  <c r="F303" i="3" s="1"/>
  <c r="B302" i="3"/>
  <c r="F302" i="3" s="1"/>
  <c r="B290" i="3"/>
  <c r="K290" i="3" s="1"/>
  <c r="B289" i="3"/>
  <c r="K294" i="3"/>
  <c r="B2" i="3"/>
  <c r="C4" i="3"/>
  <c r="D4" i="3"/>
  <c r="A4" i="3"/>
  <c r="B287" i="7"/>
  <c r="B286" i="7"/>
  <c r="B285" i="7"/>
  <c r="B285" i="3" s="1"/>
  <c r="B262" i="7"/>
  <c r="B262" i="3" s="1"/>
  <c r="B254" i="7"/>
  <c r="B252" i="7"/>
  <c r="B253" i="7"/>
  <c r="B251" i="7"/>
  <c r="B250" i="7"/>
  <c r="B249" i="3" s="1"/>
  <c r="F249" i="3" s="1"/>
  <c r="B234" i="7"/>
  <c r="B232" i="7"/>
  <c r="B195" i="7"/>
  <c r="B194" i="3" s="1"/>
  <c r="F194" i="3" s="1"/>
  <c r="B184" i="7"/>
  <c r="B179" i="7"/>
  <c r="B178" i="3" s="1"/>
  <c r="F178" i="3" s="1"/>
  <c r="B164" i="7"/>
  <c r="B161" i="7"/>
  <c r="B151" i="7"/>
  <c r="B149" i="7"/>
  <c r="B136" i="7"/>
  <c r="B128" i="7"/>
  <c r="B123" i="7"/>
  <c r="B100" i="7"/>
  <c r="B101" i="7"/>
  <c r="B102" i="7"/>
  <c r="B103" i="7"/>
  <c r="B104" i="7"/>
  <c r="B105" i="7"/>
  <c r="B106" i="7"/>
  <c r="B107" i="7"/>
  <c r="B108" i="7"/>
  <c r="B109" i="7"/>
  <c r="B124" i="7"/>
  <c r="B125" i="7"/>
  <c r="B129" i="7"/>
  <c r="B130" i="7"/>
  <c r="B131" i="7"/>
  <c r="B132" i="7"/>
  <c r="B133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50" i="7"/>
  <c r="B180" i="7"/>
  <c r="B181" i="7"/>
  <c r="B182" i="7"/>
  <c r="B183" i="7"/>
  <c r="B196" i="7"/>
  <c r="B233" i="7"/>
  <c r="B99" i="7"/>
  <c r="B98" i="7"/>
  <c r="B88" i="7"/>
  <c r="B84" i="7"/>
  <c r="B80" i="7"/>
  <c r="B64" i="7"/>
  <c r="B61" i="7"/>
  <c r="B58" i="7"/>
  <c r="B52" i="7"/>
  <c r="B43" i="7"/>
  <c r="B40" i="7"/>
  <c r="B37" i="7"/>
  <c r="B34" i="7"/>
  <c r="B30" i="7"/>
  <c r="B27" i="7"/>
  <c r="B15" i="7"/>
  <c r="B14" i="3" s="1"/>
  <c r="F14" i="3" s="1"/>
  <c r="B4" i="7"/>
  <c r="B4" i="3" s="1"/>
  <c r="B85" i="7"/>
  <c r="B81" i="7"/>
  <c r="B62" i="7"/>
  <c r="B60" i="7"/>
  <c r="B59" i="7"/>
  <c r="B41" i="7"/>
  <c r="B31" i="7"/>
  <c r="B39" i="7"/>
  <c r="B38" i="7"/>
  <c r="B36" i="7"/>
  <c r="B35" i="7"/>
  <c r="B32" i="7"/>
  <c r="B28" i="7"/>
  <c r="B28" i="3" s="1"/>
  <c r="B17" i="7"/>
  <c r="B18" i="7"/>
  <c r="B19" i="7"/>
  <c r="B20" i="7"/>
  <c r="B21" i="7"/>
  <c r="B22" i="7"/>
  <c r="B16" i="7"/>
  <c r="B6" i="7"/>
  <c r="B6" i="3" s="1"/>
  <c r="F6" i="3" s="1"/>
  <c r="B7" i="7"/>
  <c r="B7" i="3" s="1"/>
  <c r="F7" i="3" s="1"/>
  <c r="B8" i="7"/>
  <c r="B8" i="3" s="1"/>
  <c r="F8" i="3" s="1"/>
  <c r="B9" i="7"/>
  <c r="B9" i="3" s="1"/>
  <c r="F9" i="3" s="1"/>
  <c r="B10" i="7"/>
  <c r="B10" i="3" s="1"/>
  <c r="F10" i="3" s="1"/>
  <c r="B11" i="7"/>
  <c r="B13" i="3" s="1"/>
  <c r="F13" i="3" s="1"/>
  <c r="B5" i="7"/>
  <c r="B5" i="3" s="1"/>
  <c r="F5" i="3" s="1"/>
  <c r="K303" i="3" l="1"/>
  <c r="K297" i="3"/>
  <c r="F297" i="3"/>
  <c r="F290" i="3"/>
  <c r="J290" i="3" s="1"/>
  <c r="L290" i="3" s="1"/>
  <c r="K302" i="3"/>
  <c r="K262" i="3"/>
  <c r="F262" i="3"/>
  <c r="K285" i="3"/>
  <c r="F285" i="3"/>
  <c r="F289" i="3"/>
  <c r="K289" i="3"/>
  <c r="H303" i="3"/>
  <c r="J303" i="3"/>
  <c r="G303" i="3"/>
  <c r="H302" i="3"/>
  <c r="G302" i="3"/>
  <c r="J302" i="3"/>
  <c r="B291" i="3"/>
  <c r="F291" i="3" s="1"/>
  <c r="B287" i="3"/>
  <c r="G294" i="3"/>
  <c r="H294" i="3"/>
  <c r="J294" i="3"/>
  <c r="L294" i="3" s="1"/>
  <c r="B283" i="3"/>
  <c r="B288" i="3"/>
  <c r="B257" i="3"/>
  <c r="F257" i="3" s="1"/>
  <c r="B263" i="3"/>
  <c r="K4" i="3"/>
  <c r="L4" i="3" s="1"/>
  <c r="F4" i="3"/>
  <c r="H4" i="3" s="1"/>
  <c r="B301" i="3"/>
  <c r="F301" i="3" s="1"/>
  <c r="B286" i="3"/>
  <c r="B149" i="3"/>
  <c r="F149" i="3" s="1"/>
  <c r="B179" i="3"/>
  <c r="F179" i="3" s="1"/>
  <c r="B182" i="3"/>
  <c r="F182" i="3" s="1"/>
  <c r="B253" i="3"/>
  <c r="B181" i="3"/>
  <c r="F181" i="3" s="1"/>
  <c r="B252" i="3"/>
  <c r="B251" i="3"/>
  <c r="F251" i="3" s="1"/>
  <c r="B146" i="3"/>
  <c r="B254" i="3"/>
  <c r="F254" i="3" s="1"/>
  <c r="B255" i="3"/>
  <c r="F255" i="3" s="1"/>
  <c r="B147" i="3"/>
  <c r="F147" i="3" s="1"/>
  <c r="B148" i="3"/>
  <c r="F148" i="3" s="1"/>
  <c r="B233" i="3"/>
  <c r="F233" i="3" s="1"/>
  <c r="B234" i="3"/>
  <c r="F234" i="3" s="1"/>
  <c r="B150" i="3"/>
  <c r="B151" i="3"/>
  <c r="F151" i="3" s="1"/>
  <c r="B195" i="3"/>
  <c r="F195" i="3" s="1"/>
  <c r="B196" i="3"/>
  <c r="F196" i="3" s="1"/>
  <c r="B160" i="3"/>
  <c r="F160" i="3" s="1"/>
  <c r="B161" i="3"/>
  <c r="F161" i="3" s="1"/>
  <c r="B250" i="3"/>
  <c r="F250" i="3" s="1"/>
  <c r="B163" i="3"/>
  <c r="F163" i="3" s="1"/>
  <c r="B164" i="3"/>
  <c r="B180" i="3"/>
  <c r="F180" i="3" s="1"/>
  <c r="B183" i="3"/>
  <c r="F183" i="3" s="1"/>
  <c r="B184" i="3"/>
  <c r="F184" i="3" s="1"/>
  <c r="B292" i="3"/>
  <c r="B284" i="3"/>
  <c r="B259" i="3"/>
  <c r="F259" i="3" s="1"/>
  <c r="B201" i="3"/>
  <c r="F201" i="3" s="1"/>
  <c r="B232" i="3"/>
  <c r="F232" i="3" s="1"/>
  <c r="K249" i="3"/>
  <c r="B200" i="3"/>
  <c r="F200" i="3" s="1"/>
  <c r="B231" i="3"/>
  <c r="F231" i="3" s="1"/>
  <c r="B218" i="3"/>
  <c r="B216" i="3"/>
  <c r="F216" i="3" s="1"/>
  <c r="B217" i="3"/>
  <c r="F217" i="3" s="1"/>
  <c r="B214" i="3"/>
  <c r="B215" i="3"/>
  <c r="F215" i="3" s="1"/>
  <c r="B304" i="3"/>
  <c r="B316" i="3"/>
  <c r="B305" i="3"/>
  <c r="B212" i="3"/>
  <c r="F212" i="3" s="1"/>
  <c r="B213" i="3"/>
  <c r="F213" i="3" s="1"/>
  <c r="B282" i="3"/>
  <c r="B268" i="3"/>
  <c r="B293" i="3"/>
  <c r="B210" i="3"/>
  <c r="B211" i="3"/>
  <c r="F211" i="3" s="1"/>
  <c r="B269" i="3"/>
  <c r="B281" i="3"/>
  <c r="F281" i="3" s="1"/>
  <c r="B208" i="3"/>
  <c r="B209" i="3"/>
  <c r="F209" i="3" s="1"/>
  <c r="B260" i="3"/>
  <c r="B206" i="3"/>
  <c r="F206" i="3" s="1"/>
  <c r="B207" i="3"/>
  <c r="F207" i="3" s="1"/>
  <c r="B241" i="3"/>
  <c r="B258" i="3"/>
  <c r="F258" i="3" s="1"/>
  <c r="B221" i="3"/>
  <c r="F221" i="3" s="1"/>
  <c r="B256" i="3"/>
  <c r="F256" i="3" s="1"/>
  <c r="B204" i="3"/>
  <c r="B205" i="3"/>
  <c r="F205" i="3" s="1"/>
  <c r="B222" i="3"/>
  <c r="F222" i="3" s="1"/>
  <c r="B225" i="3"/>
  <c r="F225" i="3" s="1"/>
  <c r="B227" i="3"/>
  <c r="F227" i="3" s="1"/>
  <c r="B202" i="3"/>
  <c r="B203" i="3"/>
  <c r="F203" i="3" s="1"/>
  <c r="B219" i="3"/>
  <c r="F219" i="3" s="1"/>
  <c r="B228" i="3"/>
  <c r="F228" i="3" s="1"/>
  <c r="B229" i="3"/>
  <c r="F229" i="3" s="1"/>
  <c r="B223" i="3"/>
  <c r="F223" i="3" s="1"/>
  <c r="B224" i="3"/>
  <c r="F224" i="3" s="1"/>
  <c r="B220" i="3"/>
  <c r="F220" i="3" s="1"/>
  <c r="B226" i="3"/>
  <c r="F226" i="3" s="1"/>
  <c r="B239" i="3"/>
  <c r="F239" i="3" s="1"/>
  <c r="B15" i="3"/>
  <c r="K178" i="3"/>
  <c r="K194" i="3"/>
  <c r="B12" i="3"/>
  <c r="B11" i="3"/>
  <c r="B143" i="3"/>
  <c r="F143" i="3" s="1"/>
  <c r="B145" i="3"/>
  <c r="B144" i="3"/>
  <c r="B139" i="3"/>
  <c r="B142" i="3"/>
  <c r="F142" i="3" s="1"/>
  <c r="B141" i="3"/>
  <c r="F141" i="3" s="1"/>
  <c r="B140" i="3"/>
  <c r="K8" i="3"/>
  <c r="J8" i="3"/>
  <c r="K5" i="3"/>
  <c r="J5" i="3"/>
  <c r="H13" i="3"/>
  <c r="K7" i="3"/>
  <c r="J7" i="3"/>
  <c r="B22" i="3"/>
  <c r="B136" i="3"/>
  <c r="B128" i="3"/>
  <c r="B120" i="3"/>
  <c r="B112" i="3"/>
  <c r="F112" i="3" s="1"/>
  <c r="B104" i="3"/>
  <c r="F104" i="3" s="1"/>
  <c r="B96" i="3"/>
  <c r="B88" i="3"/>
  <c r="B24" i="3"/>
  <c r="B80" i="3"/>
  <c r="B63" i="3"/>
  <c r="B135" i="3"/>
  <c r="B127" i="3"/>
  <c r="B119" i="3"/>
  <c r="B111" i="3"/>
  <c r="B103" i="3"/>
  <c r="B95" i="3"/>
  <c r="B87" i="3"/>
  <c r="B79" i="3"/>
  <c r="B76" i="3"/>
  <c r="B48" i="3"/>
  <c r="B29" i="3"/>
  <c r="B19" i="3"/>
  <c r="B41" i="3"/>
  <c r="B132" i="3"/>
  <c r="F132" i="3" s="1"/>
  <c r="B124" i="3"/>
  <c r="F124" i="3" s="1"/>
  <c r="B116" i="3"/>
  <c r="B108" i="3"/>
  <c r="B100" i="3"/>
  <c r="F100" i="3" s="1"/>
  <c r="B92" i="3"/>
  <c r="B84" i="3"/>
  <c r="B17" i="3"/>
  <c r="B138" i="3"/>
  <c r="B130" i="3"/>
  <c r="B122" i="3"/>
  <c r="F122" i="3" s="1"/>
  <c r="B114" i="3"/>
  <c r="B106" i="3"/>
  <c r="B98" i="3"/>
  <c r="B90" i="3"/>
  <c r="F90" i="3" s="1"/>
  <c r="B82" i="3"/>
  <c r="B34" i="3"/>
  <c r="F34" i="3" s="1"/>
  <c r="B67" i="3"/>
  <c r="B33" i="3"/>
  <c r="B52" i="3"/>
  <c r="B72" i="3"/>
  <c r="F72" i="3" s="1"/>
  <c r="B43" i="3"/>
  <c r="B37" i="3"/>
  <c r="B45" i="3"/>
  <c r="B54" i="3"/>
  <c r="B65" i="3"/>
  <c r="B21" i="3"/>
  <c r="B134" i="3"/>
  <c r="B126" i="3"/>
  <c r="B118" i="3"/>
  <c r="F118" i="3" s="1"/>
  <c r="B110" i="3"/>
  <c r="F110" i="3" s="1"/>
  <c r="B102" i="3"/>
  <c r="B94" i="3"/>
  <c r="B86" i="3"/>
  <c r="F86" i="3" s="1"/>
  <c r="B78" i="3"/>
  <c r="B62" i="3"/>
  <c r="B20" i="3"/>
  <c r="B133" i="3"/>
  <c r="B125" i="3"/>
  <c r="B117" i="3"/>
  <c r="B109" i="3"/>
  <c r="B101" i="3"/>
  <c r="B93" i="3"/>
  <c r="B85" i="3"/>
  <c r="B77" i="3"/>
  <c r="F77" i="3" s="1"/>
  <c r="B23" i="3"/>
  <c r="B66" i="3"/>
  <c r="F66" i="3" s="1"/>
  <c r="B25" i="3"/>
  <c r="B38" i="3"/>
  <c r="B46" i="3"/>
  <c r="F46" i="3" s="1"/>
  <c r="B55" i="3"/>
  <c r="B56" i="3"/>
  <c r="B47" i="3"/>
  <c r="B30" i="3"/>
  <c r="B49" i="3"/>
  <c r="B58" i="3"/>
  <c r="B69" i="3"/>
  <c r="B31" i="3"/>
  <c r="B50" i="3"/>
  <c r="F50" i="3" s="1"/>
  <c r="B59" i="3"/>
  <c r="B70" i="3"/>
  <c r="B73" i="3"/>
  <c r="B18" i="3"/>
  <c r="F18" i="3" s="1"/>
  <c r="B42" i="3"/>
  <c r="B51" i="3"/>
  <c r="B60" i="3"/>
  <c r="B61" i="3"/>
  <c r="F61" i="3" s="1"/>
  <c r="B71" i="3"/>
  <c r="B131" i="3"/>
  <c r="B123" i="3"/>
  <c r="B115" i="3"/>
  <c r="B107" i="3"/>
  <c r="B99" i="3"/>
  <c r="B91" i="3"/>
  <c r="B83" i="3"/>
  <c r="B75" i="3"/>
  <c r="F75" i="3" s="1"/>
  <c r="B32" i="3"/>
  <c r="B26" i="3"/>
  <c r="B27" i="3"/>
  <c r="F27" i="3" s="1"/>
  <c r="B39" i="3"/>
  <c r="B57" i="3"/>
  <c r="B68" i="3"/>
  <c r="B35" i="3"/>
  <c r="B16" i="3"/>
  <c r="F16" i="3" s="1"/>
  <c r="B36" i="3"/>
  <c r="B44" i="3"/>
  <c r="B53" i="3"/>
  <c r="B64" i="3"/>
  <c r="F64" i="3" s="1"/>
  <c r="B74" i="3"/>
  <c r="B137" i="3"/>
  <c r="B129" i="3"/>
  <c r="F129" i="3" s="1"/>
  <c r="B121" i="3"/>
  <c r="B113" i="3"/>
  <c r="B105" i="3"/>
  <c r="B97" i="3"/>
  <c r="B89" i="3"/>
  <c r="B81" i="3"/>
  <c r="B40" i="3"/>
  <c r="F40" i="3" s="1"/>
  <c r="J10" i="3"/>
  <c r="K10" i="3"/>
  <c r="K9" i="3"/>
  <c r="J9" i="3"/>
  <c r="K6" i="3"/>
  <c r="K13" i="3"/>
  <c r="K14" i="3"/>
  <c r="L303" i="3" l="1"/>
  <c r="K301" i="3"/>
  <c r="G297" i="3"/>
  <c r="J297" i="3"/>
  <c r="L297" i="3" s="1"/>
  <c r="H297" i="3"/>
  <c r="H290" i="3"/>
  <c r="G290" i="3"/>
  <c r="L302" i="3"/>
  <c r="K160" i="3"/>
  <c r="K182" i="3"/>
  <c r="K147" i="3"/>
  <c r="K148" i="3"/>
  <c r="G289" i="3"/>
  <c r="H289" i="3"/>
  <c r="J289" i="3"/>
  <c r="L289" i="3" s="1"/>
  <c r="H285" i="3"/>
  <c r="J285" i="3"/>
  <c r="L285" i="3" s="1"/>
  <c r="G285" i="3"/>
  <c r="K291" i="3"/>
  <c r="J262" i="3"/>
  <c r="L262" i="3" s="1"/>
  <c r="H262" i="3"/>
  <c r="G262" i="3"/>
  <c r="K179" i="3"/>
  <c r="K201" i="3"/>
  <c r="K257" i="3"/>
  <c r="K251" i="3"/>
  <c r="K149" i="3"/>
  <c r="K183" i="3"/>
  <c r="K233" i="3"/>
  <c r="K250" i="3"/>
  <c r="K146" i="3"/>
  <c r="F146" i="3"/>
  <c r="G146" i="3" s="1"/>
  <c r="K286" i="3"/>
  <c r="F286" i="3"/>
  <c r="K89" i="3"/>
  <c r="F89" i="3"/>
  <c r="J89" i="3" s="1"/>
  <c r="F39" i="3"/>
  <c r="G39" i="3" s="1"/>
  <c r="F107" i="3"/>
  <c r="H107" i="3" s="1"/>
  <c r="K42" i="3"/>
  <c r="F42" i="3"/>
  <c r="G42" i="3" s="1"/>
  <c r="K58" i="3"/>
  <c r="F58" i="3"/>
  <c r="G58" i="3" s="1"/>
  <c r="F25" i="3"/>
  <c r="H25" i="3" s="1"/>
  <c r="K117" i="3"/>
  <c r="F117" i="3"/>
  <c r="G117" i="3" s="1"/>
  <c r="K102" i="3"/>
  <c r="F102" i="3"/>
  <c r="G102" i="3" s="1"/>
  <c r="F45" i="3"/>
  <c r="H45" i="3" s="1"/>
  <c r="K82" i="3"/>
  <c r="F82" i="3"/>
  <c r="G82" i="3" s="1"/>
  <c r="F17" i="3"/>
  <c r="H17" i="3" s="1"/>
  <c r="K95" i="3"/>
  <c r="F95" i="3"/>
  <c r="H95" i="3" s="1"/>
  <c r="K24" i="3"/>
  <c r="F24" i="3"/>
  <c r="H24" i="3" s="1"/>
  <c r="K22" i="3"/>
  <c r="F22" i="3"/>
  <c r="J22" i="3" s="1"/>
  <c r="F11" i="3"/>
  <c r="G11" i="3" s="1"/>
  <c r="K210" i="3"/>
  <c r="F210" i="3"/>
  <c r="G210" i="3" s="1"/>
  <c r="K304" i="3"/>
  <c r="F304" i="3"/>
  <c r="K164" i="3"/>
  <c r="F164" i="3"/>
  <c r="K150" i="3"/>
  <c r="F150" i="3"/>
  <c r="H150" i="3" s="1"/>
  <c r="K288" i="3"/>
  <c r="F288" i="3"/>
  <c r="F97" i="3"/>
  <c r="J97" i="3" s="1"/>
  <c r="K53" i="3"/>
  <c r="F53" i="3"/>
  <c r="H53" i="3" s="1"/>
  <c r="K115" i="3"/>
  <c r="F115" i="3"/>
  <c r="J115" i="3" s="1"/>
  <c r="F49" i="3"/>
  <c r="J49" i="3" s="1"/>
  <c r="K125" i="3"/>
  <c r="F125" i="3"/>
  <c r="J125" i="3" s="1"/>
  <c r="F37" i="3"/>
  <c r="G37" i="3" s="1"/>
  <c r="K28" i="3"/>
  <c r="F28" i="3"/>
  <c r="H28" i="3" s="1"/>
  <c r="K41" i="3"/>
  <c r="F41" i="3"/>
  <c r="H41" i="3" s="1"/>
  <c r="F103" i="3"/>
  <c r="H103" i="3" s="1"/>
  <c r="K88" i="3"/>
  <c r="F88" i="3"/>
  <c r="G88" i="3" s="1"/>
  <c r="F140" i="3"/>
  <c r="J140" i="3" s="1"/>
  <c r="K12" i="3"/>
  <c r="F12" i="3"/>
  <c r="G12" i="3" s="1"/>
  <c r="K293" i="3"/>
  <c r="F293" i="3"/>
  <c r="J293" i="3" s="1"/>
  <c r="K252" i="3"/>
  <c r="F252" i="3"/>
  <c r="G252" i="3" s="1"/>
  <c r="K283" i="3"/>
  <c r="F283" i="3"/>
  <c r="H283" i="3" s="1"/>
  <c r="K260" i="3"/>
  <c r="F260" i="3"/>
  <c r="J260" i="3" s="1"/>
  <c r="K268" i="3"/>
  <c r="F268" i="3"/>
  <c r="G268" i="3" s="1"/>
  <c r="K214" i="3"/>
  <c r="F214" i="3"/>
  <c r="J214" i="3" s="1"/>
  <c r="K204" i="3"/>
  <c r="F204" i="3"/>
  <c r="J204" i="3" s="1"/>
  <c r="K282" i="3"/>
  <c r="F282" i="3"/>
  <c r="H282" i="3" s="1"/>
  <c r="K284" i="3"/>
  <c r="F284" i="3"/>
  <c r="G284" i="3" s="1"/>
  <c r="K253" i="3"/>
  <c r="F253" i="3"/>
  <c r="H253" i="3" s="1"/>
  <c r="F81" i="3"/>
  <c r="G81" i="3" s="1"/>
  <c r="F74" i="3"/>
  <c r="J74" i="3" s="1"/>
  <c r="F57" i="3"/>
  <c r="H57" i="3" s="1"/>
  <c r="K99" i="3"/>
  <c r="F99" i="3"/>
  <c r="J99" i="3" s="1"/>
  <c r="F51" i="3"/>
  <c r="J51" i="3" s="1"/>
  <c r="K69" i="3"/>
  <c r="F69" i="3"/>
  <c r="H69" i="3" s="1"/>
  <c r="F38" i="3"/>
  <c r="J38" i="3" s="1"/>
  <c r="F109" i="3"/>
  <c r="G109" i="3" s="1"/>
  <c r="K94" i="3"/>
  <c r="F94" i="3"/>
  <c r="J94" i="3" s="1"/>
  <c r="K54" i="3"/>
  <c r="F54" i="3"/>
  <c r="J54" i="3" s="1"/>
  <c r="K241" i="3"/>
  <c r="F241" i="3"/>
  <c r="H241" i="3" s="1"/>
  <c r="K316" i="3"/>
  <c r="F316" i="3"/>
  <c r="J316" i="3" s="1"/>
  <c r="F44" i="3"/>
  <c r="J44" i="3" s="1"/>
  <c r="F26" i="3"/>
  <c r="J26" i="3" s="1"/>
  <c r="F73" i="3"/>
  <c r="H73" i="3" s="1"/>
  <c r="K23" i="3"/>
  <c r="F23" i="3"/>
  <c r="H23" i="3" s="1"/>
  <c r="F20" i="3"/>
  <c r="H20" i="3" s="1"/>
  <c r="K126" i="3"/>
  <c r="F126" i="3"/>
  <c r="J126" i="3" s="1"/>
  <c r="K106" i="3"/>
  <c r="F106" i="3"/>
  <c r="H106" i="3" s="1"/>
  <c r="K92" i="3"/>
  <c r="F92" i="3"/>
  <c r="H92" i="3" s="1"/>
  <c r="K29" i="3"/>
  <c r="F29" i="3"/>
  <c r="H29" i="3" s="1"/>
  <c r="K119" i="3"/>
  <c r="F119" i="3"/>
  <c r="G119" i="3" s="1"/>
  <c r="F121" i="3"/>
  <c r="J121" i="3" s="1"/>
  <c r="K71" i="3"/>
  <c r="F71" i="3"/>
  <c r="G71" i="3" s="1"/>
  <c r="K59" i="3"/>
  <c r="F59" i="3"/>
  <c r="H59" i="3" s="1"/>
  <c r="K56" i="3"/>
  <c r="F56" i="3"/>
  <c r="G56" i="3" s="1"/>
  <c r="K85" i="3"/>
  <c r="F85" i="3"/>
  <c r="H85" i="3" s="1"/>
  <c r="K62" i="3"/>
  <c r="F62" i="3"/>
  <c r="H62" i="3" s="1"/>
  <c r="K134" i="3"/>
  <c r="F134" i="3"/>
  <c r="J134" i="3" s="1"/>
  <c r="K52" i="3"/>
  <c r="F52" i="3"/>
  <c r="H52" i="3" s="1"/>
  <c r="K114" i="3"/>
  <c r="F114" i="3"/>
  <c r="H114" i="3" s="1"/>
  <c r="K48" i="3"/>
  <c r="F48" i="3"/>
  <c r="J48" i="3" s="1"/>
  <c r="K127" i="3"/>
  <c r="F127" i="3"/>
  <c r="J127" i="3" s="1"/>
  <c r="F139" i="3"/>
  <c r="J139" i="3" s="1"/>
  <c r="F15" i="3"/>
  <c r="G15" i="3" s="1"/>
  <c r="K208" i="3"/>
  <c r="F208" i="3"/>
  <c r="H208" i="3" s="1"/>
  <c r="F292" i="3"/>
  <c r="J292" i="3" s="1"/>
  <c r="K80" i="3"/>
  <c r="F80" i="3"/>
  <c r="G80" i="3" s="1"/>
  <c r="K136" i="3"/>
  <c r="F136" i="3"/>
  <c r="H136" i="3" s="1"/>
  <c r="K43" i="3"/>
  <c r="F43" i="3"/>
  <c r="H43" i="3" s="1"/>
  <c r="K98" i="3"/>
  <c r="F98" i="3"/>
  <c r="J98" i="3" s="1"/>
  <c r="F84" i="3"/>
  <c r="J84" i="3" s="1"/>
  <c r="K19" i="3"/>
  <c r="F19" i="3"/>
  <c r="H19" i="3" s="1"/>
  <c r="K111" i="3"/>
  <c r="F111" i="3"/>
  <c r="G111" i="3" s="1"/>
  <c r="K96" i="3"/>
  <c r="F96" i="3"/>
  <c r="G96" i="3" s="1"/>
  <c r="K113" i="3"/>
  <c r="F113" i="3"/>
  <c r="H113" i="3" s="1"/>
  <c r="K36" i="3"/>
  <c r="F36" i="3"/>
  <c r="H36" i="3" s="1"/>
  <c r="K32" i="3"/>
  <c r="F32" i="3"/>
  <c r="G32" i="3" s="1"/>
  <c r="K131" i="3"/>
  <c r="F131" i="3"/>
  <c r="J131" i="3" s="1"/>
  <c r="K70" i="3"/>
  <c r="F70" i="3"/>
  <c r="J70" i="3" s="1"/>
  <c r="K47" i="3"/>
  <c r="F47" i="3"/>
  <c r="J47" i="3" s="1"/>
  <c r="K35" i="3"/>
  <c r="F35" i="3"/>
  <c r="K83" i="3"/>
  <c r="F83" i="3"/>
  <c r="J83" i="3" s="1"/>
  <c r="K55" i="3"/>
  <c r="F55" i="3"/>
  <c r="H55" i="3" s="1"/>
  <c r="K93" i="3"/>
  <c r="F93" i="3"/>
  <c r="G93" i="3" s="1"/>
  <c r="K78" i="3"/>
  <c r="F78" i="3"/>
  <c r="H78" i="3" s="1"/>
  <c r="F21" i="3"/>
  <c r="G21" i="3" s="1"/>
  <c r="K33" i="3"/>
  <c r="F33" i="3"/>
  <c r="J33" i="3" s="1"/>
  <c r="K108" i="3"/>
  <c r="F108" i="3"/>
  <c r="H108" i="3" s="1"/>
  <c r="K76" i="3"/>
  <c r="F76" i="3"/>
  <c r="G76" i="3" s="1"/>
  <c r="K135" i="3"/>
  <c r="F135" i="3"/>
  <c r="G135" i="3" s="1"/>
  <c r="K120" i="3"/>
  <c r="F120" i="3"/>
  <c r="J120" i="3" s="1"/>
  <c r="F144" i="3"/>
  <c r="J144" i="3" s="1"/>
  <c r="K218" i="3"/>
  <c r="F218" i="3"/>
  <c r="G218" i="3" s="1"/>
  <c r="K287" i="3"/>
  <c r="F287" i="3"/>
  <c r="F138" i="3"/>
  <c r="H138" i="3" s="1"/>
  <c r="K87" i="3"/>
  <c r="F87" i="3"/>
  <c r="J87" i="3" s="1"/>
  <c r="K105" i="3"/>
  <c r="F105" i="3"/>
  <c r="J105" i="3" s="1"/>
  <c r="K123" i="3"/>
  <c r="F123" i="3"/>
  <c r="J123" i="3" s="1"/>
  <c r="K30" i="3"/>
  <c r="F30" i="3"/>
  <c r="G30" i="3" s="1"/>
  <c r="K133" i="3"/>
  <c r="F133" i="3"/>
  <c r="J133" i="3" s="1"/>
  <c r="F137" i="3"/>
  <c r="H137" i="3" s="1"/>
  <c r="F68" i="3"/>
  <c r="J68" i="3" s="1"/>
  <c r="K91" i="3"/>
  <c r="F91" i="3"/>
  <c r="J91" i="3" s="1"/>
  <c r="F60" i="3"/>
  <c r="H60" i="3" s="1"/>
  <c r="K31" i="3"/>
  <c r="F31" i="3"/>
  <c r="H31" i="3" s="1"/>
  <c r="K101" i="3"/>
  <c r="F101" i="3"/>
  <c r="J101" i="3" s="1"/>
  <c r="F65" i="3"/>
  <c r="J65" i="3" s="1"/>
  <c r="F67" i="3"/>
  <c r="G67" i="3" s="1"/>
  <c r="F130" i="3"/>
  <c r="H130" i="3" s="1"/>
  <c r="F116" i="3"/>
  <c r="G116" i="3" s="1"/>
  <c r="K79" i="3"/>
  <c r="F79" i="3"/>
  <c r="H79" i="3" s="1"/>
  <c r="K63" i="3"/>
  <c r="F63" i="3"/>
  <c r="G63" i="3" s="1"/>
  <c r="K128" i="3"/>
  <c r="F128" i="3"/>
  <c r="J128" i="3" s="1"/>
  <c r="K145" i="3"/>
  <c r="F145" i="3"/>
  <c r="G145" i="3" s="1"/>
  <c r="K202" i="3"/>
  <c r="F202" i="3"/>
  <c r="H202" i="3" s="1"/>
  <c r="K269" i="3"/>
  <c r="F269" i="3"/>
  <c r="J269" i="3" s="1"/>
  <c r="K305" i="3"/>
  <c r="F305" i="3"/>
  <c r="H305" i="3" s="1"/>
  <c r="K263" i="3"/>
  <c r="F263" i="3"/>
  <c r="K181" i="3"/>
  <c r="K163" i="3"/>
  <c r="K180" i="3"/>
  <c r="K254" i="3"/>
  <c r="K195" i="3"/>
  <c r="K151" i="3"/>
  <c r="K234" i="3"/>
  <c r="K161" i="3"/>
  <c r="K184" i="3"/>
  <c r="K196" i="3"/>
  <c r="K255" i="3"/>
  <c r="K292" i="3"/>
  <c r="K259" i="3"/>
  <c r="H301" i="3"/>
  <c r="J301" i="3"/>
  <c r="L301" i="3" s="1"/>
  <c r="G301" i="3"/>
  <c r="K200" i="3"/>
  <c r="J291" i="3"/>
  <c r="G291" i="3"/>
  <c r="H291" i="3"/>
  <c r="J257" i="3"/>
  <c r="L257" i="3" s="1"/>
  <c r="H257" i="3"/>
  <c r="G257" i="3"/>
  <c r="G233" i="3"/>
  <c r="J233" i="3"/>
  <c r="H233" i="3"/>
  <c r="K231" i="3"/>
  <c r="J254" i="3"/>
  <c r="G254" i="3"/>
  <c r="H254" i="3"/>
  <c r="G249" i="3"/>
  <c r="H249" i="3"/>
  <c r="J249" i="3"/>
  <c r="L249" i="3" s="1"/>
  <c r="G251" i="3"/>
  <c r="J251" i="3"/>
  <c r="H251" i="3"/>
  <c r="J259" i="3"/>
  <c r="H259" i="3"/>
  <c r="G259" i="3"/>
  <c r="H250" i="3"/>
  <c r="G250" i="3"/>
  <c r="J250" i="3"/>
  <c r="K232" i="3"/>
  <c r="K227" i="3"/>
  <c r="K216" i="3"/>
  <c r="K217" i="3"/>
  <c r="G216" i="3"/>
  <c r="J216" i="3"/>
  <c r="H216" i="3"/>
  <c r="K215" i="3"/>
  <c r="K229" i="3"/>
  <c r="K212" i="3"/>
  <c r="K213" i="3"/>
  <c r="K281" i="3"/>
  <c r="H212" i="3"/>
  <c r="J212" i="3"/>
  <c r="G212" i="3"/>
  <c r="K15" i="3"/>
  <c r="K211" i="3"/>
  <c r="K206" i="3"/>
  <c r="K221" i="3"/>
  <c r="K209" i="3"/>
  <c r="K228" i="3"/>
  <c r="K219" i="3"/>
  <c r="K225" i="3"/>
  <c r="K222" i="3"/>
  <c r="K207" i="3"/>
  <c r="K258" i="3"/>
  <c r="J206" i="3"/>
  <c r="G206" i="3"/>
  <c r="H206" i="3"/>
  <c r="K223" i="3"/>
  <c r="K220" i="3"/>
  <c r="K226" i="3"/>
  <c r="G281" i="3"/>
  <c r="J281" i="3"/>
  <c r="H281" i="3"/>
  <c r="K205" i="3"/>
  <c r="K256" i="3"/>
  <c r="K239" i="3"/>
  <c r="K203" i="3"/>
  <c r="K224" i="3"/>
  <c r="G226" i="3"/>
  <c r="H226" i="3"/>
  <c r="J226" i="3"/>
  <c r="J220" i="3"/>
  <c r="G220" i="3"/>
  <c r="H220" i="3"/>
  <c r="J178" i="3"/>
  <c r="L178" i="3" s="1"/>
  <c r="H178" i="3"/>
  <c r="G178" i="3"/>
  <c r="G222" i="3"/>
  <c r="H222" i="3"/>
  <c r="J222" i="3"/>
  <c r="J194" i="3"/>
  <c r="L194" i="3" s="1"/>
  <c r="H194" i="3"/>
  <c r="G194" i="3"/>
  <c r="H228" i="3"/>
  <c r="J228" i="3"/>
  <c r="G228" i="3"/>
  <c r="J225" i="3"/>
  <c r="H225" i="3"/>
  <c r="G225" i="3"/>
  <c r="G219" i="3"/>
  <c r="H219" i="3"/>
  <c r="J219" i="3"/>
  <c r="G149" i="3"/>
  <c r="J149" i="3"/>
  <c r="L149" i="3" s="1"/>
  <c r="H149" i="3"/>
  <c r="H183" i="3"/>
  <c r="J183" i="3"/>
  <c r="G183" i="3"/>
  <c r="G181" i="3"/>
  <c r="J181" i="3"/>
  <c r="H181" i="3"/>
  <c r="G163" i="3"/>
  <c r="J163" i="3"/>
  <c r="H163" i="3"/>
  <c r="H201" i="3"/>
  <c r="J201" i="3"/>
  <c r="G201" i="3"/>
  <c r="G179" i="3"/>
  <c r="H179" i="3"/>
  <c r="J179" i="3"/>
  <c r="G160" i="3"/>
  <c r="J160" i="3"/>
  <c r="H160" i="3"/>
  <c r="G148" i="3"/>
  <c r="J148" i="3"/>
  <c r="H148" i="3"/>
  <c r="H180" i="3"/>
  <c r="J180" i="3"/>
  <c r="G180" i="3"/>
  <c r="G182" i="3"/>
  <c r="H182" i="3"/>
  <c r="J182" i="3"/>
  <c r="G227" i="3"/>
  <c r="J227" i="3"/>
  <c r="H227" i="3"/>
  <c r="H195" i="3"/>
  <c r="G195" i="3"/>
  <c r="J195" i="3"/>
  <c r="G147" i="3"/>
  <c r="H147" i="3"/>
  <c r="J147" i="3"/>
  <c r="L147" i="3" s="1"/>
  <c r="H221" i="3"/>
  <c r="J221" i="3"/>
  <c r="G221" i="3"/>
  <c r="H229" i="3"/>
  <c r="J229" i="3"/>
  <c r="G229" i="3"/>
  <c r="J223" i="3"/>
  <c r="H223" i="3"/>
  <c r="G223" i="3"/>
  <c r="H200" i="3"/>
  <c r="J200" i="3"/>
  <c r="G200" i="3"/>
  <c r="K11" i="3"/>
  <c r="K139" i="3"/>
  <c r="K144" i="3"/>
  <c r="K143" i="3"/>
  <c r="J143" i="3"/>
  <c r="H143" i="3"/>
  <c r="G143" i="3"/>
  <c r="K142" i="3"/>
  <c r="K141" i="3"/>
  <c r="K140" i="3"/>
  <c r="L8" i="3"/>
  <c r="L7" i="3"/>
  <c r="L5" i="3"/>
  <c r="J13" i="3"/>
  <c r="L13" i="3" s="1"/>
  <c r="G13" i="3"/>
  <c r="K104" i="3"/>
  <c r="K103" i="3"/>
  <c r="K97" i="3"/>
  <c r="K132" i="3"/>
  <c r="K112" i="3"/>
  <c r="K124" i="3"/>
  <c r="K72" i="3"/>
  <c r="K34" i="3"/>
  <c r="K57" i="3"/>
  <c r="K74" i="3"/>
  <c r="K110" i="3"/>
  <c r="K73" i="3"/>
  <c r="K25" i="3"/>
  <c r="K45" i="3"/>
  <c r="K116" i="3"/>
  <c r="K44" i="3"/>
  <c r="K75" i="3"/>
  <c r="K65" i="3"/>
  <c r="K130" i="3"/>
  <c r="K138" i="3"/>
  <c r="K68" i="3"/>
  <c r="K46" i="3"/>
  <c r="K100" i="3"/>
  <c r="K66" i="3"/>
  <c r="K121" i="3"/>
  <c r="K81" i="3"/>
  <c r="K84" i="3"/>
  <c r="K77" i="3"/>
  <c r="K20" i="3"/>
  <c r="K26" i="3"/>
  <c r="K18" i="3"/>
  <c r="K122" i="3"/>
  <c r="K118" i="3"/>
  <c r="K86" i="3"/>
  <c r="K107" i="3"/>
  <c r="K90" i="3"/>
  <c r="K50" i="3"/>
  <c r="K51" i="3"/>
  <c r="K17" i="3"/>
  <c r="K40" i="3"/>
  <c r="K16" i="3"/>
  <c r="K49" i="3"/>
  <c r="K39" i="3"/>
  <c r="K60" i="3"/>
  <c r="K67" i="3"/>
  <c r="K21" i="3"/>
  <c r="K129" i="3"/>
  <c r="K109" i="3"/>
  <c r="K37" i="3"/>
  <c r="K64" i="3"/>
  <c r="K137" i="3"/>
  <c r="K38" i="3"/>
  <c r="K61" i="3"/>
  <c r="K27" i="3"/>
  <c r="H9" i="3"/>
  <c r="G5" i="3"/>
  <c r="H5" i="3"/>
  <c r="L9" i="3"/>
  <c r="L10" i="3"/>
  <c r="G7" i="3"/>
  <c r="H7" i="3"/>
  <c r="G10" i="3"/>
  <c r="H10" i="3"/>
  <c r="H72" i="3"/>
  <c r="G72" i="3"/>
  <c r="J72" i="3"/>
  <c r="J16" i="3"/>
  <c r="G16" i="3"/>
  <c r="H16" i="3"/>
  <c r="J34" i="3"/>
  <c r="H34" i="3"/>
  <c r="G34" i="3"/>
  <c r="J86" i="3"/>
  <c r="G86" i="3"/>
  <c r="H86" i="3"/>
  <c r="H66" i="3"/>
  <c r="J66" i="3"/>
  <c r="G66" i="3"/>
  <c r="J46" i="3"/>
  <c r="G46" i="3"/>
  <c r="H46" i="3"/>
  <c r="G90" i="3"/>
  <c r="H90" i="3"/>
  <c r="J90" i="3"/>
  <c r="J100" i="3"/>
  <c r="H100" i="3"/>
  <c r="G100" i="3"/>
  <c r="H104" i="3"/>
  <c r="J104" i="3"/>
  <c r="G104" i="3"/>
  <c r="J118" i="3"/>
  <c r="H118" i="3"/>
  <c r="G118" i="3"/>
  <c r="J75" i="3"/>
  <c r="H75" i="3"/>
  <c r="G75" i="3"/>
  <c r="J18" i="3"/>
  <c r="G18" i="3"/>
  <c r="H18" i="3"/>
  <c r="H50" i="3"/>
  <c r="J50" i="3"/>
  <c r="G50" i="3"/>
  <c r="H77" i="3"/>
  <c r="G77" i="3"/>
  <c r="J77" i="3"/>
  <c r="G9" i="3"/>
  <c r="J112" i="3"/>
  <c r="G112" i="3"/>
  <c r="H112" i="3"/>
  <c r="G124" i="3"/>
  <c r="J124" i="3"/>
  <c r="H124" i="3"/>
  <c r="H132" i="3"/>
  <c r="J132" i="3"/>
  <c r="G132" i="3"/>
  <c r="J110" i="3"/>
  <c r="H110" i="3"/>
  <c r="G110" i="3"/>
  <c r="J14" i="3"/>
  <c r="L14" i="3" s="1"/>
  <c r="G14" i="3"/>
  <c r="H14" i="3"/>
  <c r="H122" i="3"/>
  <c r="G122" i="3"/>
  <c r="J122" i="3"/>
  <c r="H40" i="3"/>
  <c r="J40" i="3"/>
  <c r="G40" i="3"/>
  <c r="G8" i="3"/>
  <c r="J6" i="3"/>
  <c r="L6" i="3" s="1"/>
  <c r="H6" i="3"/>
  <c r="G6" i="3"/>
  <c r="G129" i="3"/>
  <c r="H129" i="3"/>
  <c r="H8" i="3"/>
  <c r="J129" i="3"/>
  <c r="L291" i="3" l="1"/>
  <c r="L160" i="3"/>
  <c r="G17" i="3"/>
  <c r="J20" i="3"/>
  <c r="G45" i="3"/>
  <c r="J25" i="3"/>
  <c r="L25" i="3" s="1"/>
  <c r="J17" i="3"/>
  <c r="L233" i="3"/>
  <c r="L148" i="3"/>
  <c r="L182" i="3"/>
  <c r="L179" i="3"/>
  <c r="L201" i="3"/>
  <c r="L105" i="3"/>
  <c r="L115" i="3"/>
  <c r="G25" i="3"/>
  <c r="G20" i="3"/>
  <c r="L125" i="3"/>
  <c r="G139" i="3"/>
  <c r="G51" i="3"/>
  <c r="H38" i="3"/>
  <c r="J81" i="3"/>
  <c r="L81" i="3" s="1"/>
  <c r="L183" i="3"/>
  <c r="L251" i="3"/>
  <c r="L214" i="3"/>
  <c r="L250" i="3"/>
  <c r="J73" i="3"/>
  <c r="L73" i="3" s="1"/>
  <c r="G84" i="3"/>
  <c r="L91" i="3"/>
  <c r="L134" i="3"/>
  <c r="L293" i="3"/>
  <c r="G49" i="3"/>
  <c r="J150" i="3"/>
  <c r="L150" i="3" s="1"/>
  <c r="G150" i="3"/>
  <c r="H11" i="3"/>
  <c r="H49" i="3"/>
  <c r="H65" i="3"/>
  <c r="G73" i="3"/>
  <c r="H12" i="3"/>
  <c r="L123" i="3"/>
  <c r="J253" i="3"/>
  <c r="L253" i="3" s="1"/>
  <c r="G253" i="3"/>
  <c r="J103" i="3"/>
  <c r="L103" i="3" s="1"/>
  <c r="H140" i="3"/>
  <c r="J15" i="3"/>
  <c r="L15" i="3" s="1"/>
  <c r="H15" i="3"/>
  <c r="L70" i="3"/>
  <c r="L89" i="3"/>
  <c r="H81" i="3"/>
  <c r="H84" i="3"/>
  <c r="G65" i="3"/>
  <c r="J12" i="3"/>
  <c r="L12" i="3" s="1"/>
  <c r="J116" i="3"/>
  <c r="L116" i="3" s="1"/>
  <c r="H51" i="3"/>
  <c r="G38" i="3"/>
  <c r="H44" i="3"/>
  <c r="G103" i="3"/>
  <c r="J11" i="3"/>
  <c r="L11" i="3" s="1"/>
  <c r="J57" i="3"/>
  <c r="L57" i="3" s="1"/>
  <c r="H39" i="3"/>
  <c r="G57" i="3"/>
  <c r="H121" i="3"/>
  <c r="H97" i="3"/>
  <c r="G121" i="3"/>
  <c r="H37" i="3"/>
  <c r="G44" i="3"/>
  <c r="G97" i="3"/>
  <c r="G107" i="3"/>
  <c r="J107" i="3"/>
  <c r="L107" i="3" s="1"/>
  <c r="H74" i="3"/>
  <c r="L131" i="3"/>
  <c r="L99" i="3"/>
  <c r="L22" i="3"/>
  <c r="L126" i="3"/>
  <c r="L316" i="3"/>
  <c r="L204" i="3"/>
  <c r="L260" i="3"/>
  <c r="L83" i="3"/>
  <c r="L98" i="3"/>
  <c r="L128" i="3"/>
  <c r="L47" i="3"/>
  <c r="L127" i="3"/>
  <c r="L54" i="3"/>
  <c r="L269" i="3"/>
  <c r="L101" i="3"/>
  <c r="L48" i="3"/>
  <c r="L133" i="3"/>
  <c r="L87" i="3"/>
  <c r="L120" i="3"/>
  <c r="L33" i="3"/>
  <c r="L94" i="3"/>
  <c r="H21" i="3"/>
  <c r="J60" i="3"/>
  <c r="L60" i="3" s="1"/>
  <c r="J21" i="3"/>
  <c r="L21" i="3" s="1"/>
  <c r="H26" i="3"/>
  <c r="J45" i="3"/>
  <c r="L45" i="3" s="1"/>
  <c r="H144" i="3"/>
  <c r="G144" i="3"/>
  <c r="H67" i="3"/>
  <c r="J67" i="3"/>
  <c r="L67" i="3" s="1"/>
  <c r="G74" i="3"/>
  <c r="G26" i="3"/>
  <c r="J109" i="3"/>
  <c r="L109" i="3" s="1"/>
  <c r="H68" i="3"/>
  <c r="G140" i="3"/>
  <c r="J283" i="3"/>
  <c r="L283" i="3" s="1"/>
  <c r="G292" i="3"/>
  <c r="H109" i="3"/>
  <c r="G283" i="3"/>
  <c r="H164" i="3"/>
  <c r="J164" i="3"/>
  <c r="L164" i="3" s="1"/>
  <c r="G164" i="3"/>
  <c r="L49" i="3"/>
  <c r="L51" i="3"/>
  <c r="G130" i="3"/>
  <c r="J130" i="3"/>
  <c r="L130" i="3" s="1"/>
  <c r="H139" i="3"/>
  <c r="J137" i="3"/>
  <c r="L137" i="3" s="1"/>
  <c r="J37" i="3"/>
  <c r="L37" i="3" s="1"/>
  <c r="J39" i="3"/>
  <c r="L39" i="3" s="1"/>
  <c r="L74" i="3"/>
  <c r="G137" i="3"/>
  <c r="L121" i="3"/>
  <c r="L65" i="3"/>
  <c r="H116" i="3"/>
  <c r="G138" i="3"/>
  <c r="L68" i="3"/>
  <c r="G60" i="3"/>
  <c r="H288" i="3"/>
  <c r="J288" i="3"/>
  <c r="L288" i="3" s="1"/>
  <c r="G288" i="3"/>
  <c r="G286" i="3"/>
  <c r="J286" i="3"/>
  <c r="L286" i="3" s="1"/>
  <c r="H286" i="3"/>
  <c r="L38" i="3"/>
  <c r="L140" i="3"/>
  <c r="L144" i="3"/>
  <c r="L292" i="3"/>
  <c r="L84" i="3"/>
  <c r="G68" i="3"/>
  <c r="L44" i="3"/>
  <c r="H292" i="3"/>
  <c r="J138" i="3"/>
  <c r="L138" i="3" s="1"/>
  <c r="G263" i="3"/>
  <c r="J263" i="3"/>
  <c r="L263" i="3" s="1"/>
  <c r="H263" i="3"/>
  <c r="J287" i="3"/>
  <c r="L287" i="3" s="1"/>
  <c r="G287" i="3"/>
  <c r="H287" i="3"/>
  <c r="L26" i="3"/>
  <c r="L97" i="3"/>
  <c r="L139" i="3"/>
  <c r="L181" i="3"/>
  <c r="L180" i="3"/>
  <c r="J146" i="3"/>
  <c r="L146" i="3" s="1"/>
  <c r="H146" i="3"/>
  <c r="L195" i="3"/>
  <c r="L163" i="3"/>
  <c r="J252" i="3"/>
  <c r="L252" i="3" s="1"/>
  <c r="H252" i="3"/>
  <c r="L254" i="3"/>
  <c r="H218" i="3"/>
  <c r="J184" i="3"/>
  <c r="L184" i="3" s="1"/>
  <c r="G184" i="3"/>
  <c r="H184" i="3"/>
  <c r="H161" i="3"/>
  <c r="J161" i="3"/>
  <c r="L161" i="3" s="1"/>
  <c r="G161" i="3"/>
  <c r="G255" i="3"/>
  <c r="J255" i="3"/>
  <c r="L255" i="3" s="1"/>
  <c r="H255" i="3"/>
  <c r="G234" i="3"/>
  <c r="H234" i="3"/>
  <c r="J234" i="3"/>
  <c r="L234" i="3" s="1"/>
  <c r="J151" i="3"/>
  <c r="L151" i="3" s="1"/>
  <c r="H151" i="3"/>
  <c r="G151" i="3"/>
  <c r="G196" i="3"/>
  <c r="J196" i="3"/>
  <c r="L196" i="3" s="1"/>
  <c r="H196" i="3"/>
  <c r="H284" i="3"/>
  <c r="J284" i="3"/>
  <c r="L284" i="3" s="1"/>
  <c r="L200" i="3"/>
  <c r="L259" i="3"/>
  <c r="L227" i="3"/>
  <c r="J268" i="3"/>
  <c r="L268" i="3" s="1"/>
  <c r="H268" i="3"/>
  <c r="G232" i="3"/>
  <c r="J232" i="3"/>
  <c r="L232" i="3" s="1"/>
  <c r="H232" i="3"/>
  <c r="H231" i="3"/>
  <c r="J231" i="3"/>
  <c r="L231" i="3" s="1"/>
  <c r="G231" i="3"/>
  <c r="H316" i="3"/>
  <c r="G316" i="3"/>
  <c r="G260" i="3"/>
  <c r="H260" i="3"/>
  <c r="J218" i="3"/>
  <c r="L218" i="3" s="1"/>
  <c r="G282" i="3"/>
  <c r="H293" i="3"/>
  <c r="G293" i="3"/>
  <c r="L281" i="3"/>
  <c r="G269" i="3"/>
  <c r="H269" i="3"/>
  <c r="J282" i="3"/>
  <c r="L282" i="3" s="1"/>
  <c r="L219" i="3"/>
  <c r="L229" i="3"/>
  <c r="G204" i="3"/>
  <c r="L222" i="3"/>
  <c r="G304" i="3"/>
  <c r="H304" i="3"/>
  <c r="J304" i="3"/>
  <c r="L304" i="3" s="1"/>
  <c r="L216" i="3"/>
  <c r="H204" i="3"/>
  <c r="H214" i="3"/>
  <c r="G217" i="3"/>
  <c r="J217" i="3"/>
  <c r="L217" i="3" s="1"/>
  <c r="H217" i="3"/>
  <c r="L212" i="3"/>
  <c r="G214" i="3"/>
  <c r="J305" i="3"/>
  <c r="L305" i="3" s="1"/>
  <c r="G305" i="3"/>
  <c r="H215" i="3"/>
  <c r="G215" i="3"/>
  <c r="J215" i="3"/>
  <c r="L215" i="3" s="1"/>
  <c r="L225" i="3"/>
  <c r="L228" i="3"/>
  <c r="H213" i="3"/>
  <c r="G213" i="3"/>
  <c r="J213" i="3"/>
  <c r="L213" i="3" s="1"/>
  <c r="H210" i="3"/>
  <c r="J210" i="3"/>
  <c r="L210" i="3" s="1"/>
  <c r="L221" i="3"/>
  <c r="J211" i="3"/>
  <c r="L211" i="3" s="1"/>
  <c r="H211" i="3"/>
  <c r="G211" i="3"/>
  <c r="J208" i="3"/>
  <c r="L208" i="3" s="1"/>
  <c r="L206" i="3"/>
  <c r="H209" i="3"/>
  <c r="J209" i="3"/>
  <c r="L209" i="3" s="1"/>
  <c r="G209" i="3"/>
  <c r="G208" i="3"/>
  <c r="J241" i="3"/>
  <c r="L241" i="3" s="1"/>
  <c r="G241" i="3"/>
  <c r="G202" i="3"/>
  <c r="H207" i="3"/>
  <c r="G207" i="3"/>
  <c r="J207" i="3"/>
  <c r="L207" i="3" s="1"/>
  <c r="L223" i="3"/>
  <c r="H258" i="3"/>
  <c r="J258" i="3"/>
  <c r="L258" i="3" s="1"/>
  <c r="G258" i="3"/>
  <c r="L226" i="3"/>
  <c r="J202" i="3"/>
  <c r="L202" i="3" s="1"/>
  <c r="L220" i="3"/>
  <c r="G256" i="3"/>
  <c r="H256" i="3"/>
  <c r="J256" i="3"/>
  <c r="L256" i="3" s="1"/>
  <c r="G205" i="3"/>
  <c r="J205" i="3"/>
  <c r="L205" i="3" s="1"/>
  <c r="H205" i="3"/>
  <c r="G224" i="3"/>
  <c r="H224" i="3"/>
  <c r="J224" i="3"/>
  <c r="L224" i="3" s="1"/>
  <c r="G203" i="3"/>
  <c r="H203" i="3"/>
  <c r="J203" i="3"/>
  <c r="L203" i="3" s="1"/>
  <c r="J239" i="3"/>
  <c r="L239" i="3" s="1"/>
  <c r="G239" i="3"/>
  <c r="H239" i="3"/>
  <c r="G22" i="3"/>
  <c r="J145" i="3"/>
  <c r="L145" i="3" s="1"/>
  <c r="H145" i="3"/>
  <c r="H22" i="3"/>
  <c r="L143" i="3"/>
  <c r="H142" i="3"/>
  <c r="J142" i="3"/>
  <c r="L142" i="3" s="1"/>
  <c r="G142" i="3"/>
  <c r="G141" i="3"/>
  <c r="H141" i="3"/>
  <c r="J141" i="3"/>
  <c r="L141" i="3" s="1"/>
  <c r="H120" i="3"/>
  <c r="G120" i="3"/>
  <c r="H96" i="3"/>
  <c r="J96" i="3"/>
  <c r="L96" i="3" s="1"/>
  <c r="H76" i="3"/>
  <c r="J76" i="3"/>
  <c r="L76" i="3" s="1"/>
  <c r="G24" i="3"/>
  <c r="J24" i="3"/>
  <c r="L24" i="3" s="1"/>
  <c r="H88" i="3"/>
  <c r="J88" i="3"/>
  <c r="L88" i="3" s="1"/>
  <c r="L104" i="3"/>
  <c r="L132" i="3"/>
  <c r="J63" i="3"/>
  <c r="L63" i="3" s="1"/>
  <c r="H33" i="3"/>
  <c r="H80" i="3"/>
  <c r="J80" i="3"/>
  <c r="L80" i="3" s="1"/>
  <c r="J95" i="3"/>
  <c r="L95" i="3" s="1"/>
  <c r="G62" i="3"/>
  <c r="J62" i="3"/>
  <c r="L62" i="3" s="1"/>
  <c r="G136" i="3"/>
  <c r="G108" i="3"/>
  <c r="L124" i="3"/>
  <c r="L17" i="3"/>
  <c r="J136" i="3"/>
  <c r="L136" i="3" s="1"/>
  <c r="H128" i="3"/>
  <c r="G128" i="3"/>
  <c r="L18" i="3"/>
  <c r="L112" i="3"/>
  <c r="H98" i="3"/>
  <c r="G87" i="3"/>
  <c r="G113" i="3"/>
  <c r="G105" i="3"/>
  <c r="H105" i="3"/>
  <c r="G123" i="3"/>
  <c r="L86" i="3"/>
  <c r="G106" i="3"/>
  <c r="H123" i="3"/>
  <c r="J106" i="3"/>
  <c r="L106" i="3" s="1"/>
  <c r="G23" i="3"/>
  <c r="J23" i="3"/>
  <c r="L23" i="3" s="1"/>
  <c r="J28" i="3"/>
  <c r="L28" i="3" s="1"/>
  <c r="L72" i="3"/>
  <c r="H102" i="3"/>
  <c r="G28" i="3"/>
  <c r="J102" i="3"/>
  <c r="L102" i="3" s="1"/>
  <c r="H42" i="3"/>
  <c r="H119" i="3"/>
  <c r="G79" i="3"/>
  <c r="H63" i="3"/>
  <c r="G95" i="3"/>
  <c r="G98" i="3"/>
  <c r="L20" i="3"/>
  <c r="J111" i="3"/>
  <c r="L111" i="3" s="1"/>
  <c r="H91" i="3"/>
  <c r="J92" i="3"/>
  <c r="L92" i="3" s="1"/>
  <c r="J43" i="3"/>
  <c r="L43" i="3" s="1"/>
  <c r="G89" i="3"/>
  <c r="L118" i="3"/>
  <c r="G48" i="3"/>
  <c r="L50" i="3"/>
  <c r="H89" i="3"/>
  <c r="H54" i="3"/>
  <c r="G54" i="3"/>
  <c r="G29" i="3"/>
  <c r="G85" i="3"/>
  <c r="G43" i="3"/>
  <c r="H111" i="3"/>
  <c r="H48" i="3"/>
  <c r="G53" i="3"/>
  <c r="H134" i="3"/>
  <c r="G92" i="3"/>
  <c r="J108" i="3"/>
  <c r="L108" i="3" s="1"/>
  <c r="G126" i="3"/>
  <c r="J56" i="3"/>
  <c r="L56" i="3" s="1"/>
  <c r="L110" i="3"/>
  <c r="L75" i="3"/>
  <c r="H135" i="3"/>
  <c r="L34" i="3"/>
  <c r="J135" i="3"/>
  <c r="L135" i="3" s="1"/>
  <c r="J53" i="3"/>
  <c r="L53" i="3" s="1"/>
  <c r="G33" i="3"/>
  <c r="J85" i="3"/>
  <c r="L85" i="3" s="1"/>
  <c r="H56" i="3"/>
  <c r="H125" i="3"/>
  <c r="G94" i="3"/>
  <c r="G99" i="3"/>
  <c r="L40" i="3"/>
  <c r="G19" i="3"/>
  <c r="H99" i="3"/>
  <c r="G47" i="3"/>
  <c r="J119" i="3"/>
  <c r="L119" i="3" s="1"/>
  <c r="J58" i="3"/>
  <c r="L58" i="3" s="1"/>
  <c r="G59" i="3"/>
  <c r="H58" i="3"/>
  <c r="L100" i="3"/>
  <c r="L66" i="3"/>
  <c r="H94" i="3"/>
  <c r="G131" i="3"/>
  <c r="J59" i="3"/>
  <c r="L59" i="3" s="1"/>
  <c r="H47" i="3"/>
  <c r="G127" i="3"/>
  <c r="J93" i="3"/>
  <c r="L93" i="3" s="1"/>
  <c r="H131" i="3"/>
  <c r="H127" i="3"/>
  <c r="L90" i="3"/>
  <c r="G125" i="3"/>
  <c r="J32" i="3"/>
  <c r="L32" i="3" s="1"/>
  <c r="L129" i="3"/>
  <c r="J19" i="3"/>
  <c r="L19" i="3" s="1"/>
  <c r="J42" i="3"/>
  <c r="L42" i="3" s="1"/>
  <c r="J79" i="3"/>
  <c r="L79" i="3" s="1"/>
  <c r="H87" i="3"/>
  <c r="J31" i="3"/>
  <c r="L31" i="3" s="1"/>
  <c r="L77" i="3"/>
  <c r="H32" i="3"/>
  <c r="H93" i="3"/>
  <c r="G31" i="3"/>
  <c r="J82" i="3"/>
  <c r="L82" i="3" s="1"/>
  <c r="G133" i="3"/>
  <c r="J36" i="3"/>
  <c r="L36" i="3" s="1"/>
  <c r="J69" i="3"/>
  <c r="L69" i="3" s="1"/>
  <c r="H70" i="3"/>
  <c r="J113" i="3"/>
  <c r="L113" i="3" s="1"/>
  <c r="G36" i="3"/>
  <c r="H126" i="3"/>
  <c r="G91" i="3"/>
  <c r="G114" i="3"/>
  <c r="H133" i="3"/>
  <c r="L46" i="3"/>
  <c r="G70" i="3"/>
  <c r="G69" i="3"/>
  <c r="J29" i="3"/>
  <c r="L29" i="3" s="1"/>
  <c r="G134" i="3"/>
  <c r="J117" i="3"/>
  <c r="L117" i="3" s="1"/>
  <c r="L16" i="3"/>
  <c r="J52" i="3"/>
  <c r="L52" i="3" s="1"/>
  <c r="G52" i="3"/>
  <c r="H83" i="3"/>
  <c r="J114" i="3"/>
  <c r="L114" i="3" s="1"/>
  <c r="H30" i="3"/>
  <c r="J30" i="3"/>
  <c r="L30" i="3" s="1"/>
  <c r="J41" i="3"/>
  <c r="L41" i="3" s="1"/>
  <c r="H82" i="3"/>
  <c r="L122" i="3"/>
  <c r="G83" i="3"/>
  <c r="G41" i="3"/>
  <c r="G101" i="3"/>
  <c r="J71" i="3"/>
  <c r="L71" i="3" s="1"/>
  <c r="H101" i="3"/>
  <c r="H71" i="3"/>
  <c r="H117" i="3"/>
  <c r="G78" i="3"/>
  <c r="J78" i="3"/>
  <c r="L78" i="3" s="1"/>
  <c r="H115" i="3"/>
  <c r="G27" i="3"/>
  <c r="J27" i="3"/>
  <c r="L27" i="3" s="1"/>
  <c r="H27" i="3"/>
  <c r="G55" i="3"/>
  <c r="J55" i="3"/>
  <c r="L55" i="3" s="1"/>
  <c r="G64" i="3"/>
  <c r="H64" i="3"/>
  <c r="J64" i="3"/>
  <c r="L64" i="3" s="1"/>
  <c r="J61" i="3"/>
  <c r="L61" i="3" s="1"/>
  <c r="H61" i="3"/>
  <c r="G61" i="3"/>
  <c r="G115" i="3"/>
  <c r="H35" i="3"/>
  <c r="J35" i="3"/>
  <c r="L35" i="3" s="1"/>
  <c r="G3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Bala</author>
  </authors>
  <commentList>
    <comment ref="B57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119-Cancel
</t>
        </r>
      </text>
    </comment>
  </commentList>
</comments>
</file>

<file path=xl/sharedStrings.xml><?xml version="1.0" encoding="utf-8"?>
<sst xmlns="http://schemas.openxmlformats.org/spreadsheetml/2006/main" count="3833" uniqueCount="589">
  <si>
    <t>Date</t>
  </si>
  <si>
    <t>S.No</t>
  </si>
  <si>
    <t>Item Description</t>
  </si>
  <si>
    <t>Make / Vendor</t>
  </si>
  <si>
    <t>Unit</t>
  </si>
  <si>
    <t>BOQ</t>
  </si>
  <si>
    <t>Received</t>
  </si>
  <si>
    <t>Received.</t>
  </si>
  <si>
    <t>Issued</t>
  </si>
  <si>
    <t>Remarks</t>
  </si>
  <si>
    <t>A</t>
  </si>
  <si>
    <t>Nos</t>
  </si>
  <si>
    <t>B</t>
  </si>
  <si>
    <t>Set</t>
  </si>
  <si>
    <t>C</t>
  </si>
  <si>
    <t>D</t>
  </si>
  <si>
    <t>Cables</t>
  </si>
  <si>
    <t>D.1</t>
  </si>
  <si>
    <t>Mtr</t>
  </si>
  <si>
    <t>D.2</t>
  </si>
  <si>
    <t>D.3</t>
  </si>
  <si>
    <t>D.4</t>
  </si>
  <si>
    <t>D.5</t>
  </si>
  <si>
    <t>D.6</t>
  </si>
  <si>
    <t>E</t>
  </si>
  <si>
    <t>Equipment</t>
  </si>
  <si>
    <t>E-1</t>
  </si>
  <si>
    <t>E-2</t>
  </si>
  <si>
    <t>E-3</t>
  </si>
  <si>
    <t>E-4</t>
  </si>
  <si>
    <t>E-5</t>
  </si>
  <si>
    <t>E-6</t>
  </si>
  <si>
    <t>E-7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</si>
  <si>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</si>
  <si>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</si>
  <si>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</si>
  <si>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</si>
  <si>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</si>
  <si>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</si>
  <si>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</si>
  <si>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</si>
  <si>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</si>
  <si>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</si>
  <si>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</si>
  <si>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</si>
  <si>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</si>
  <si>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</si>
  <si>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S. No.</t>
  </si>
  <si>
    <t>Recd. Date</t>
  </si>
  <si>
    <t>Vendor Invoice No</t>
  </si>
  <si>
    <t>Vendor Invoice Date</t>
  </si>
  <si>
    <t>GRN</t>
  </si>
  <si>
    <t>GRN Date</t>
  </si>
  <si>
    <t>Supplier  Name</t>
  </si>
  <si>
    <t>Item Category</t>
  </si>
  <si>
    <t>Item Type</t>
  </si>
  <si>
    <t xml:space="preserve"> Invoice. /
 Received Qty </t>
  </si>
  <si>
    <t xml:space="preserve"> Accepted Qty </t>
  </si>
  <si>
    <t>Rejected/
Shortage Qty.</t>
  </si>
  <si>
    <t>LR No.</t>
  </si>
  <si>
    <t>LR. Date</t>
  </si>
  <si>
    <t>Transporter Name</t>
  </si>
  <si>
    <t>Vechicle No</t>
  </si>
  <si>
    <t>P O No.</t>
  </si>
  <si>
    <t>P O Date.</t>
  </si>
  <si>
    <t>Received
Qty</t>
  </si>
  <si>
    <t>Purchase unit</t>
  </si>
  <si>
    <t>Purchase Rate</t>
  </si>
  <si>
    <t>Purchase Amount</t>
  </si>
  <si>
    <t>WAY BILL No.</t>
  </si>
  <si>
    <t>Price</t>
  </si>
  <si>
    <t>Show</t>
  </si>
  <si>
    <t>Billable</t>
  </si>
  <si>
    <t>Module_Mounting_Structure</t>
  </si>
  <si>
    <t>Kg</t>
  </si>
  <si>
    <t>MMS_Fasteners</t>
  </si>
  <si>
    <t>Lighting_arrestor</t>
  </si>
  <si>
    <t>Earthing</t>
  </si>
  <si>
    <t>AC_Cables</t>
  </si>
  <si>
    <t>Earthing_cables</t>
  </si>
  <si>
    <t>HT_Cables</t>
  </si>
  <si>
    <t>Pipes</t>
  </si>
  <si>
    <t>DC_Cables</t>
  </si>
  <si>
    <t xml:space="preserve">Assets </t>
  </si>
  <si>
    <t>Assets</t>
  </si>
  <si>
    <t>Others</t>
  </si>
  <si>
    <t>Cable_Route_Marker</t>
  </si>
  <si>
    <t>Cable_Tie</t>
  </si>
  <si>
    <t>LT_Panel</t>
  </si>
  <si>
    <t>Aux_UPS_Panel</t>
  </si>
  <si>
    <t>Cable_Lugs</t>
  </si>
  <si>
    <t>Cable_Termination_Kit</t>
  </si>
  <si>
    <t>Cable_Glands</t>
  </si>
  <si>
    <t>Cable_Sleeve</t>
  </si>
  <si>
    <t>Connectors</t>
  </si>
  <si>
    <t>Aux_Control_Cable</t>
  </si>
  <si>
    <t>Communication_Cable</t>
  </si>
  <si>
    <t>Non-Billable</t>
  </si>
  <si>
    <t>Street_Light</t>
  </si>
  <si>
    <t>Transformers</t>
  </si>
  <si>
    <t>Ltr</t>
  </si>
  <si>
    <t>Solar_Modules</t>
  </si>
  <si>
    <t>Bus_Duct</t>
  </si>
  <si>
    <t>NIFPS</t>
  </si>
  <si>
    <t>Scada</t>
  </si>
  <si>
    <t>HT_Panel</t>
  </si>
  <si>
    <t>Inverter</t>
  </si>
  <si>
    <t>CCTV</t>
  </si>
  <si>
    <t>Req Slip No.</t>
  </si>
  <si>
    <t>Item Types</t>
  </si>
  <si>
    <t>Quantity
Demanded</t>
  </si>
  <si>
    <t>Quantity
Issued</t>
  </si>
  <si>
    <t>Sub-contractor Name</t>
  </si>
  <si>
    <t>Contractor Person
(Received by)</t>
  </si>
  <si>
    <t>Location</t>
  </si>
  <si>
    <t>Recommanded 
Engineer (Name)</t>
  </si>
  <si>
    <t>Issued By</t>
  </si>
  <si>
    <t>Block-1</t>
  </si>
  <si>
    <t>Inverters_Structure</t>
  </si>
  <si>
    <t>PSS</t>
  </si>
  <si>
    <t>Battery</t>
  </si>
  <si>
    <t>Cable_Tray</t>
  </si>
  <si>
    <t>Safety_Equipments</t>
  </si>
  <si>
    <t>Consumables</t>
  </si>
  <si>
    <t>Safety</t>
  </si>
  <si>
    <t>Tools and Tackles</t>
  </si>
  <si>
    <t>Lot</t>
  </si>
  <si>
    <t>Hide</t>
  </si>
  <si>
    <t>MCS</t>
  </si>
  <si>
    <t>T</t>
  </si>
  <si>
    <t>Theoretical Stock</t>
  </si>
  <si>
    <t>Column3</t>
  </si>
  <si>
    <t>Yet to Receive</t>
  </si>
  <si>
    <t>DATE</t>
  </si>
  <si>
    <t>BOQ VS RECEIVED</t>
  </si>
  <si>
    <t>Excess Received</t>
  </si>
  <si>
    <t>RECEIVED VS STOCK</t>
  </si>
  <si>
    <t>Column32</t>
  </si>
  <si>
    <t>Category</t>
  </si>
  <si>
    <t>UPS</t>
  </si>
  <si>
    <t>U</t>
  </si>
  <si>
    <t>V</t>
  </si>
  <si>
    <t>W</t>
  </si>
  <si>
    <t>X</t>
  </si>
  <si>
    <t>Column Ext - 50x50x2.0 MM</t>
  </si>
  <si>
    <t>HEX BOLT+NUT+2PLN WSR+1SP WSR M-16x40</t>
  </si>
  <si>
    <t>HEX BOLT+NUT+2PLN WSR+1SP WSR M-10x30</t>
  </si>
  <si>
    <t>HEX BOLT+NUT+2PLN WSR+1SP WSR M-12x30</t>
  </si>
  <si>
    <t>Rectangle Washer (40*20*11*3) Mechanical Plating</t>
  </si>
  <si>
    <t>Hex Bolt,M8x20</t>
  </si>
  <si>
    <t>Hex Nut,M8</t>
  </si>
  <si>
    <t>Plain WSR,M8</t>
  </si>
  <si>
    <t>Spring WSRM8</t>
  </si>
  <si>
    <t>Solis 225K-EHV-5G Plus Grid Tie Solar PV Inverter</t>
  </si>
  <si>
    <t>Module Mounting Strucyure - Purlin (P1)</t>
  </si>
  <si>
    <t>Module Mounting Strucyure - Rafter</t>
  </si>
  <si>
    <t>Module Mounting Strucyure - Rafter Bracing Back</t>
  </si>
  <si>
    <t>Module Mounting Strucyure - Bracing Connector</t>
  </si>
  <si>
    <t>Module Mounting Strucyure - Purlin (P2)</t>
  </si>
  <si>
    <t>Module Mounting Strucyure - Col, to Rafter Bracing front</t>
  </si>
  <si>
    <t>Module Mounting Strucyure - Stay Bracing</t>
  </si>
  <si>
    <t>38x50 OD DWC Pipe (500MTR) UV &amp; Anti Rodent)</t>
  </si>
  <si>
    <t>50 MM Coupler</t>
  </si>
  <si>
    <t>50 MM Elbow</t>
  </si>
  <si>
    <t>50 MM Tee</t>
  </si>
  <si>
    <t>50 MM O Ring</t>
  </si>
  <si>
    <t>Inverter Column Post (ISMC - 100x50x5mm - 3000mmL</t>
  </si>
  <si>
    <t>Inverter Support Pipe (SHS-40x40x2.5mm-1550mmL</t>
  </si>
  <si>
    <t>Roof Support -1 (ISA 40x40x5mm - 600mm L</t>
  </si>
  <si>
    <t>Roof Support -2 (ISA 40x40x5mm - 700mm L</t>
  </si>
  <si>
    <t>Roof Support -3 (ISA 40x40x5mm - 644mm L</t>
  </si>
  <si>
    <t>Purlin (SHA-30x30x2.5mm - 2200mm L</t>
  </si>
  <si>
    <t>Conduit Support Pipe (SHS-40x40x2.5mm - 1550mm L</t>
  </si>
  <si>
    <t>Roof Sheet (1200x2400x0.5mm)</t>
  </si>
  <si>
    <t>SS-304 (M12x80(SS-304-80mm L</t>
  </si>
  <si>
    <t>SS-304 (M10x80(SS-304-80mm L</t>
  </si>
  <si>
    <t>SDS with EPDM washer</t>
  </si>
  <si>
    <t>ESE Train</t>
  </si>
  <si>
    <t>6MM Guy Rope</t>
  </si>
  <si>
    <t>6MM U Clamp</t>
  </si>
  <si>
    <t>Grount Hook for fixing guy cable</t>
  </si>
  <si>
    <t xml:space="preserve">J bolt (dia 18x500mm) for fixing mast base plate hole </t>
  </si>
  <si>
    <t>Down Conductor insulator BC 525 with nut bolt</t>
  </si>
  <si>
    <t>OTC 25x3</t>
  </si>
  <si>
    <t>L shape</t>
  </si>
  <si>
    <t>Lightning flash counter</t>
  </si>
  <si>
    <t>GI supporting mast of 7 mtrs in 3 parts with base plate</t>
  </si>
  <si>
    <t>17mm dia, 3mtr long copper bonded rod with clamp with nut and bolt,plain &amp; spring</t>
  </si>
  <si>
    <t xml:space="preserve">DC Cable </t>
  </si>
  <si>
    <t>300mm AL Rail</t>
  </si>
  <si>
    <t>Portr.High</t>
  </si>
  <si>
    <t>1CX6Sqmm DC Cable Black</t>
  </si>
  <si>
    <t>1CX6Sqmm DC Cable Red</t>
  </si>
  <si>
    <t>Store Container</t>
  </si>
  <si>
    <t>100X2.5MM UV Cable Tie Black</t>
  </si>
  <si>
    <t>300X4.8MM UV Cable Tie Black</t>
  </si>
  <si>
    <t>300x4.6 SS Cable Tie</t>
  </si>
  <si>
    <t>3CX240Sqmm A2XFY UNSCR ATR UV AF 3.3 KV</t>
  </si>
  <si>
    <t>3CX240Sqmm A2XFY 19/33KV HT Cable</t>
  </si>
  <si>
    <t>NSM01169/2024-25</t>
  </si>
  <si>
    <t>NGF/0468/24-25</t>
  </si>
  <si>
    <t>24-25/231</t>
  </si>
  <si>
    <t>NGF/0517/24-25</t>
  </si>
  <si>
    <t>NSM01308/2024-25</t>
  </si>
  <si>
    <t>NSM01313/2024-25</t>
  </si>
  <si>
    <t>NSM01312/2024-25</t>
  </si>
  <si>
    <t>NSM01309/2024-25</t>
  </si>
  <si>
    <t>NSM01346/2024-25</t>
  </si>
  <si>
    <t>NSM01347/2024-25</t>
  </si>
  <si>
    <t>NSM01341/2024-25</t>
  </si>
  <si>
    <t>NSM01348/2024-25</t>
  </si>
  <si>
    <t>JE00071/24-25</t>
  </si>
  <si>
    <t>PGEPL/00157/24-25</t>
  </si>
  <si>
    <t>DC/328/24-25</t>
  </si>
  <si>
    <t>VSI/24-25/1121</t>
  </si>
  <si>
    <t>SGI/M/24-25/240</t>
  </si>
  <si>
    <t>PGEPL/0195/24-25</t>
  </si>
  <si>
    <t>SPC100/24-25</t>
  </si>
  <si>
    <t>GT/1140</t>
  </si>
  <si>
    <t>PGEL/24-25/467</t>
  </si>
  <si>
    <t>DD/118/2024-25</t>
  </si>
  <si>
    <t>DD/117/2024-25</t>
  </si>
  <si>
    <t>DD/116/2024-25</t>
  </si>
  <si>
    <t>20/21</t>
  </si>
  <si>
    <t>KGS</t>
  </si>
  <si>
    <t>MTR</t>
  </si>
  <si>
    <t>GJ06AX9564</t>
  </si>
  <si>
    <t>PGEL/24-25/1219</t>
  </si>
  <si>
    <t>HR69D3182</t>
  </si>
  <si>
    <t>PGEL/24-25/1406</t>
  </si>
  <si>
    <t>GJ06BX3206</t>
  </si>
  <si>
    <t>GJ06AZ8868</t>
  </si>
  <si>
    <t>GJ13AW0110</t>
  </si>
  <si>
    <t>GJ06BV5038</t>
  </si>
  <si>
    <t>GJ06AX6011</t>
  </si>
  <si>
    <t>GJ06BV8011</t>
  </si>
  <si>
    <t>GJ06BV6551</t>
  </si>
  <si>
    <t>GJ06AZ9564</t>
  </si>
  <si>
    <t>GJ01FT7521</t>
  </si>
  <si>
    <t>2040/24-25</t>
  </si>
  <si>
    <t>P/2776</t>
  </si>
  <si>
    <t>GJ18BV0905</t>
  </si>
  <si>
    <t>R100/1664180</t>
  </si>
  <si>
    <t>GJ06AY0725</t>
  </si>
  <si>
    <t>PGEL/24-25/2102</t>
  </si>
  <si>
    <t>UP15ET1476</t>
  </si>
  <si>
    <t>PGEL/24-25/1730</t>
  </si>
  <si>
    <t>GJ34T3549</t>
  </si>
  <si>
    <t>PGEL/24-25/1998</t>
  </si>
  <si>
    <t>GJ17XX0436</t>
  </si>
  <si>
    <t>MH48CQ8282</t>
  </si>
  <si>
    <t>PGEL/24-25/2301</t>
  </si>
  <si>
    <t>6317 8183 5079</t>
  </si>
  <si>
    <t>GJ23AW3736</t>
  </si>
  <si>
    <t>PGEL/24-25/1623</t>
  </si>
  <si>
    <t>6417 8614 5413</t>
  </si>
  <si>
    <t>PGEL/24-25/2542</t>
  </si>
  <si>
    <t>MH48CB5913 NL01AB6673</t>
  </si>
  <si>
    <t>6617 8723 2046</t>
  </si>
  <si>
    <t>RJ01GC1981</t>
  </si>
  <si>
    <t>PGEL/24-25/1720</t>
  </si>
  <si>
    <t>7214 6267 6834</t>
  </si>
  <si>
    <t>HR69C5896</t>
  </si>
  <si>
    <t>7314 6169 3387</t>
  </si>
  <si>
    <t>MH46BM9430</t>
  </si>
  <si>
    <t>7514 6169 3383</t>
  </si>
  <si>
    <t>New Aditya</t>
  </si>
  <si>
    <t>Jay-Patel</t>
  </si>
  <si>
    <t>Phase 02</t>
  </si>
  <si>
    <t>Sadham</t>
  </si>
  <si>
    <t>Sundar</t>
  </si>
  <si>
    <t>Pkt</t>
  </si>
  <si>
    <t xml:space="preserve">PROJECT NAME : Alembic PH 2 _12MWp </t>
  </si>
  <si>
    <t>LOCATION : Vadodara Gujarat</t>
  </si>
  <si>
    <t>Earthcon</t>
  </si>
  <si>
    <t>Bag</t>
  </si>
  <si>
    <t>Sand Bucket With Stend  canopy</t>
  </si>
  <si>
    <t>CO2 Type Fire Extinguisher - 4.5 Kg</t>
  </si>
  <si>
    <t>CO2 Type Fire Extinguisher -  9 Kg</t>
  </si>
  <si>
    <t>ABC Type Fire Extinguisher - 6 Kg</t>
  </si>
  <si>
    <t>GJ06BT6816</t>
  </si>
  <si>
    <t>PGEL/24-25/2686</t>
  </si>
  <si>
    <t>6717 9317 6335</t>
  </si>
  <si>
    <t xml:space="preserve">25x3 MM  GI Earth Strip </t>
  </si>
  <si>
    <t>50x6 MM GI Earth Strip</t>
  </si>
  <si>
    <t xml:space="preserve"> </t>
  </si>
  <si>
    <t>40x6 MM Copper Earth Strip</t>
  </si>
  <si>
    <t>GJ02AT5581</t>
  </si>
  <si>
    <t>G/0327</t>
  </si>
  <si>
    <t>6017 9878 5094</t>
  </si>
  <si>
    <t>PGEL/24-25/2649</t>
  </si>
  <si>
    <t xml:space="preserve">AUX ACDB Panel </t>
  </si>
  <si>
    <t>UPS Panel</t>
  </si>
  <si>
    <t>GJ2TTT9145</t>
  </si>
  <si>
    <t>PGEL/24-25/1661</t>
  </si>
  <si>
    <t>6218 0139 2084</t>
  </si>
  <si>
    <t>EPPL/M/395/2425</t>
  </si>
  <si>
    <t>800V LT Panel</t>
  </si>
  <si>
    <t>BRD/24-25/761</t>
  </si>
  <si>
    <t>GJ06AX4535</t>
  </si>
  <si>
    <t>PGEL/24-25/1390</t>
  </si>
  <si>
    <t>6918 0162 4467</t>
  </si>
  <si>
    <t>Inqilab</t>
  </si>
  <si>
    <t>Piyush</t>
  </si>
  <si>
    <t>Udaratva</t>
  </si>
  <si>
    <t>N2 Fire Production System</t>
  </si>
  <si>
    <t>Fire Extingushing Cubicle</t>
  </si>
  <si>
    <t>Control Box</t>
  </si>
  <si>
    <t>Fire Detectors</t>
  </si>
  <si>
    <t>Signal Box</t>
  </si>
  <si>
    <t xml:space="preserve">Transformer Conservator Isolation Valve </t>
  </si>
  <si>
    <t>Keys</t>
  </si>
  <si>
    <t>FS Cable</t>
  </si>
  <si>
    <t>Fire Detectors Cover</t>
  </si>
  <si>
    <t>FRLS 12 Core Cable</t>
  </si>
  <si>
    <t>FRLS 4 Core Cable</t>
  </si>
  <si>
    <t>Supply of Pipe Fittings</t>
  </si>
  <si>
    <t>Pipes For connection Between</t>
  </si>
  <si>
    <t>6'' GI Pipe -6Mtr Iength</t>
  </si>
  <si>
    <t>24FP1P1455</t>
  </si>
  <si>
    <t>GJ16AV6709</t>
  </si>
  <si>
    <t>PGEL/24-25/2006</t>
  </si>
  <si>
    <t>2918 4676 8609</t>
  </si>
  <si>
    <t>5000A TP Air Insulated Bus duct Stright Run</t>
  </si>
  <si>
    <t>5000A Copper Flexible  (Traafo.End )</t>
  </si>
  <si>
    <t>5000A Aluminium Flexible ( Panel End )</t>
  </si>
  <si>
    <t>Bus Duct Accessories</t>
  </si>
  <si>
    <t>EPPL/M/397/2425</t>
  </si>
  <si>
    <t>38 39</t>
  </si>
  <si>
    <t>BRD/24-25/762</t>
  </si>
  <si>
    <t>GJ06VV4005</t>
  </si>
  <si>
    <t>PGEL/24-25/2018</t>
  </si>
  <si>
    <t>6818 0228 9415</t>
  </si>
  <si>
    <t>NSM01961/2024-25</t>
  </si>
  <si>
    <t>Column Post - 120x50x20x2.0 MM</t>
  </si>
  <si>
    <t>6418 0391 6440</t>
  </si>
  <si>
    <t>Street Light</t>
  </si>
  <si>
    <t>Y</t>
  </si>
  <si>
    <t>NES-SL-30</t>
  </si>
  <si>
    <t>6.5 Mtr HDGI Street Light Pole</t>
  </si>
  <si>
    <t>NES-SL-70</t>
  </si>
  <si>
    <t>ARM Bracket</t>
  </si>
  <si>
    <t>Conduict</t>
  </si>
  <si>
    <t>Rod</t>
  </si>
  <si>
    <t>Junction Box</t>
  </si>
  <si>
    <t xml:space="preserve">3C X 1.5 Sq mm Copper Flexible Cable </t>
  </si>
  <si>
    <t>LED Arm</t>
  </si>
  <si>
    <t>GM0548/24-25</t>
  </si>
  <si>
    <t>GJ09V3856</t>
  </si>
  <si>
    <t>PGEL/24-25/2709</t>
  </si>
  <si>
    <t>6618 0658 7728</t>
  </si>
  <si>
    <t>3C X 240Sq.mm Aluminium Lug</t>
  </si>
  <si>
    <t>3C X 240 Sq.mm Indoor Typr Termination Kit</t>
  </si>
  <si>
    <t>1C X 50Sq.mm Copper Lug</t>
  </si>
  <si>
    <t>4.0 Sq.mm Cu Ring Type Lug</t>
  </si>
  <si>
    <t>1C X 4.0 Sq.mm Cu Copper Lug</t>
  </si>
  <si>
    <t xml:space="preserve">35 Sq.mm Al Ring Type Lug </t>
  </si>
  <si>
    <t xml:space="preserve">2.5 Sq.mm Cu Ring Typr Lug </t>
  </si>
  <si>
    <t>2.5 Sq.mm Cu Pin Type Lug</t>
  </si>
  <si>
    <t>2.5 Sq.mm Cu Fork Type Lug</t>
  </si>
  <si>
    <t>6 Sq.mm Fork Type Copper Lug</t>
  </si>
  <si>
    <t>3C X 240 Sq.mm Double Bracing Metal Gland</t>
  </si>
  <si>
    <t>3C X 240 Sq.mm Double Compression Metal Gland</t>
  </si>
  <si>
    <t>2C X 4.0 Sq.mm PVC Gland</t>
  </si>
  <si>
    <t>2C X 2.5 Sq.mm PVC Gland</t>
  </si>
  <si>
    <t>4C X 6 Sq.mm Double Bracing Metal Gland</t>
  </si>
  <si>
    <t>2C X 6 Sq.mm Double Bracing Metal Gland</t>
  </si>
  <si>
    <t>3C X 35 Sq.mm Double Bracing Metal Gland</t>
  </si>
  <si>
    <t>12C X 2.5 Sq.mm PVC Gland</t>
  </si>
  <si>
    <t>2C X 4 Sq.mm Cable Heat Sleeve</t>
  </si>
  <si>
    <t>4C X 6 Sq.mm Cable Heat Sleeve</t>
  </si>
  <si>
    <t>2C X 6 Sq.mm Cable Heat Sleeve</t>
  </si>
  <si>
    <t xml:space="preserve">50 Sq.mm Cable Heat Sleeve </t>
  </si>
  <si>
    <t>3C X 240 Sq,mm Cable  Heat Sleeve Bule</t>
  </si>
  <si>
    <t>3C X 240 Sq.mm Cable Heat Sleeve Yellow</t>
  </si>
  <si>
    <t>3C X 240 Sq.mm Cable Heat Sleeve Red</t>
  </si>
  <si>
    <t>2C X 2.5 Sq.mm Cable Heat Sleeve</t>
  </si>
  <si>
    <t>PU Form</t>
  </si>
  <si>
    <t>6 Sq.mm AL Ring Type Lug</t>
  </si>
  <si>
    <t>16 Sq.mm Ring Type Lug</t>
  </si>
  <si>
    <t>6 Sq.mm Cu Pin Type Lug</t>
  </si>
  <si>
    <t>AE93</t>
  </si>
  <si>
    <t>42 43 44</t>
  </si>
  <si>
    <t xml:space="preserve">2.5 Sq.mm Cu Ring Type Lug </t>
  </si>
  <si>
    <t>PGEL/24-25/2768</t>
  </si>
  <si>
    <t>6018 0271 4955</t>
  </si>
  <si>
    <t xml:space="preserve">MCR Panel </t>
  </si>
  <si>
    <t xml:space="preserve">ICR Panel </t>
  </si>
  <si>
    <t>Operating Work Station With Pre Installation Software and keyboard &amp;Mouse</t>
  </si>
  <si>
    <t xml:space="preserve">32 Inch Display </t>
  </si>
  <si>
    <t>A4 Printer</t>
  </si>
  <si>
    <t xml:space="preserve">Wooden Table </t>
  </si>
  <si>
    <t>Chair</t>
  </si>
  <si>
    <t>SC-LC Patch Cord Single Mode</t>
  </si>
  <si>
    <t>EA/24-25/124</t>
  </si>
  <si>
    <t>GJ16AV1601</t>
  </si>
  <si>
    <t>PGEL/24-25/2253</t>
  </si>
  <si>
    <t>6618 0910 0452</t>
  </si>
  <si>
    <t>33KV HT VCB Panel</t>
  </si>
  <si>
    <t>33KV HT VCB Panel (21C-1OG) Board Panel</t>
  </si>
  <si>
    <t>EPPL/M/416/2425</t>
  </si>
  <si>
    <t>BRD/23235</t>
  </si>
  <si>
    <t>GJ16AV6172</t>
  </si>
  <si>
    <t>PGEL/24-25/1225</t>
  </si>
  <si>
    <t>6918 0899 1645</t>
  </si>
  <si>
    <t>Venugopal</t>
  </si>
  <si>
    <t>12 X 2.5 Sq.mm Cable Heat Sleeve</t>
  </si>
  <si>
    <t>6 MVA Transformer</t>
  </si>
  <si>
    <t>Radiators</t>
  </si>
  <si>
    <t>Transformer Oil</t>
  </si>
  <si>
    <t>Breather</t>
  </si>
  <si>
    <t>33Kv Insulators</t>
  </si>
  <si>
    <t xml:space="preserve"> 450mm / 132w / 900 rpm With Wire Guard For Fan</t>
  </si>
  <si>
    <t>Buchholz Relay &amp; Buchholz Canopy</t>
  </si>
  <si>
    <t>Danger Plate</t>
  </si>
  <si>
    <t>Marshalling Box</t>
  </si>
  <si>
    <t xml:space="preserve"> Conservator Tank With Accessories</t>
  </si>
  <si>
    <t>Aluminium Gland Plate</t>
  </si>
  <si>
    <t>Inspection Cover</t>
  </si>
  <si>
    <t>HV Cable Box  &amp; HV Cable Box Canopy Fitted</t>
  </si>
  <si>
    <t>50 X 06 mm Copper Flat</t>
  </si>
  <si>
    <t>Np3 600 MM S&amp;S Pipe</t>
  </si>
  <si>
    <t>GJ12AY7349</t>
  </si>
  <si>
    <t>PGEL/24-25/842</t>
  </si>
  <si>
    <t>6218 1212 5057</t>
  </si>
  <si>
    <t>TRO/24250277</t>
  </si>
  <si>
    <t>TRO/24250276</t>
  </si>
  <si>
    <t>GJ12Z4853</t>
  </si>
  <si>
    <t>6718 1211 9505</t>
  </si>
  <si>
    <t>CAT-6 Cable</t>
  </si>
  <si>
    <t>RS 485 ARM Cable</t>
  </si>
  <si>
    <t>12F FO Cable</t>
  </si>
  <si>
    <t>1C X 50Sq.mm Copper Flexible Cable</t>
  </si>
  <si>
    <t>3C X 35Sq.mm 1.1 Kv A2XFY Cable</t>
  </si>
  <si>
    <t>4C X 6Sq.mm 1.1 Kv A2XWY Cable</t>
  </si>
  <si>
    <t>2C X 6Sq.mm Flexible HRFR Cable</t>
  </si>
  <si>
    <t>2C X 4Sq.mm Copper Flexible Cable</t>
  </si>
  <si>
    <t>2C X 2.5 Sq.mm Copper Flexible Cable</t>
  </si>
  <si>
    <t>12C X 2.5 Sq.mm 1.1 Kv 2XFY Cable</t>
  </si>
  <si>
    <t>3C X 4 Sq.mm Copper Flexible Cable</t>
  </si>
  <si>
    <t>GJ06AV0709</t>
  </si>
  <si>
    <t>GJ27TF1500</t>
  </si>
  <si>
    <t>51 52</t>
  </si>
  <si>
    <t>PGEL/24-25/3381</t>
  </si>
  <si>
    <t>Coil</t>
  </si>
  <si>
    <t>6318 1315 1434</t>
  </si>
  <si>
    <t>HEX BOLT+NUT+REC.WSR+ 1SP WSR M-10x30</t>
  </si>
  <si>
    <t>1050 Return</t>
  </si>
  <si>
    <t>3C X 240 Sq.mm Bi Metallic Lug</t>
  </si>
  <si>
    <t>EMC-1</t>
  </si>
  <si>
    <t>53 54 55 56</t>
  </si>
  <si>
    <t>Safety Shoes (Allen copper-1156)</t>
  </si>
  <si>
    <t>Safety Shoes (Labour)</t>
  </si>
  <si>
    <t>Safety Gumboot</t>
  </si>
  <si>
    <t>Safety Relflectice Jacket Staff</t>
  </si>
  <si>
    <t>Safety Helmet</t>
  </si>
  <si>
    <t>Safety Relflectice Jacket Orange</t>
  </si>
  <si>
    <t>Safety Helmet Green</t>
  </si>
  <si>
    <t>Safety Helmet labour</t>
  </si>
  <si>
    <t>Safety Hand Gloves (White Grey)</t>
  </si>
  <si>
    <t>Safety Hand Gloves Lether For Welding</t>
  </si>
  <si>
    <t>Safety Goggles</t>
  </si>
  <si>
    <t>Safety (Barrication Tap Roll)</t>
  </si>
  <si>
    <t>Full Body Harness With Soak Absorber</t>
  </si>
  <si>
    <t xml:space="preserve">Stretcher Foldable </t>
  </si>
  <si>
    <t>First And Box</t>
  </si>
  <si>
    <t>Snack Cather Stick</t>
  </si>
  <si>
    <t>Safety Welding Helmat</t>
  </si>
  <si>
    <t>CO2 Fire Extinguisher - 4.5Kg</t>
  </si>
  <si>
    <t>Abc Type Fire Extinguisher - 4 Kg</t>
  </si>
  <si>
    <t>Safety Fire Stand With 4 Buckets</t>
  </si>
  <si>
    <t>Digital vernier caliper</t>
  </si>
  <si>
    <t>Coating Thickness Tester</t>
  </si>
  <si>
    <t>Earth Testing Kit</t>
  </si>
  <si>
    <t>LOTO Kit</t>
  </si>
  <si>
    <t>5Kv Meco Make Megger</t>
  </si>
  <si>
    <t>2000V AC/DC Clamp Meter -Meco</t>
  </si>
  <si>
    <t>Measuring Tap-5 MTR</t>
  </si>
  <si>
    <t>Jacket &amp;Bib pant,Hood,Class E Helmet With Face Shield ,Fabric Leathergloves and storage Bag</t>
  </si>
  <si>
    <t>Screw Driver (Taparia)</t>
  </si>
  <si>
    <t>Sprit Level</t>
  </si>
  <si>
    <t>33Kv Earthing Electrode</t>
  </si>
  <si>
    <t>PGEL/24-25/3030</t>
  </si>
  <si>
    <t>6918 0043 2267</t>
  </si>
  <si>
    <t>Pair</t>
  </si>
  <si>
    <t>SPC144/24-25</t>
  </si>
  <si>
    <t>Secucity Cabin</t>
  </si>
  <si>
    <t>GJ27TT3267</t>
  </si>
  <si>
    <t>6918 1564 0305</t>
  </si>
  <si>
    <t>UPVC Pipe 11/2''</t>
  </si>
  <si>
    <t>UPVC Pipe 1''</t>
  </si>
  <si>
    <t>Gardan Pipe</t>
  </si>
  <si>
    <t>UPVC Vall 1 1/2</t>
  </si>
  <si>
    <t xml:space="preserve">UPVC Vall 1 </t>
  </si>
  <si>
    <t>UPVC Elbow 1 1/2</t>
  </si>
  <si>
    <t xml:space="preserve">UPVC Elbow 1 </t>
  </si>
  <si>
    <t>UPVC Tee 1 1/2</t>
  </si>
  <si>
    <t xml:space="preserve">UPVC Tee 1 </t>
  </si>
  <si>
    <t xml:space="preserve">UPVC Redusar </t>
  </si>
  <si>
    <t>UPVC Redusar Tee</t>
  </si>
  <si>
    <t>UPVC Coplin 1 1/2</t>
  </si>
  <si>
    <t xml:space="preserve">UPVC Coplin 1 </t>
  </si>
  <si>
    <t>UPVC Handcap 1 1/2</t>
  </si>
  <si>
    <t xml:space="preserve">UPVC Handcap 1 </t>
  </si>
  <si>
    <t xml:space="preserve">Taki </t>
  </si>
  <si>
    <t>Motor</t>
  </si>
  <si>
    <t>Soket Set</t>
  </si>
  <si>
    <t>Preser Vall</t>
  </si>
  <si>
    <t>NRV Vall 1 1/2</t>
  </si>
  <si>
    <t>UPVC Union 1 1/2</t>
  </si>
  <si>
    <t>F-3160/24-25</t>
  </si>
  <si>
    <t>58 59</t>
  </si>
  <si>
    <t>GJ27TD1635</t>
  </si>
  <si>
    <t>PGEL/24-25/3584</t>
  </si>
  <si>
    <t>438/SB/2024</t>
  </si>
  <si>
    <t>M8 Serrated Washer</t>
  </si>
  <si>
    <t>PGEL/24-25/3468</t>
  </si>
  <si>
    <t>Cable Tag</t>
  </si>
  <si>
    <t xml:space="preserve">Scada MCR </t>
  </si>
  <si>
    <t>Scada ICR 1</t>
  </si>
  <si>
    <t>Scada ICR 2</t>
  </si>
  <si>
    <t>Radium Stickers 200 X 60</t>
  </si>
  <si>
    <t>Radium Stickers 300 X 60</t>
  </si>
  <si>
    <t>HPS/24-25/380</t>
  </si>
  <si>
    <t>PGEL/24-25/3499</t>
  </si>
  <si>
    <t>Birjesh Panchal</t>
  </si>
  <si>
    <t>Prince</t>
  </si>
  <si>
    <t>Prozeal/O/M</t>
  </si>
  <si>
    <t>Cilent</t>
  </si>
  <si>
    <t>Sunil Kumar</t>
  </si>
  <si>
    <t>Prozeal Q/C</t>
  </si>
  <si>
    <t>Debit</t>
  </si>
  <si>
    <t>Drum No:HT246599E24</t>
  </si>
  <si>
    <t>Drum No:HT46596E24</t>
  </si>
  <si>
    <t>Drum No: HT46597E24</t>
  </si>
  <si>
    <t>HT Cable Route Marker</t>
  </si>
  <si>
    <t>LT Cable Route Marker</t>
  </si>
  <si>
    <t>DC Cable Route Marker</t>
  </si>
  <si>
    <t>O/M</t>
  </si>
  <si>
    <t>3 Drums 6028 Mtr Transfer to Ujjval alloys dunavada site</t>
  </si>
  <si>
    <t>1 Drum 2000 Mtr Transfer to Ujjval alloys dunavada site</t>
  </si>
  <si>
    <t>66Kv CT For Metering</t>
  </si>
  <si>
    <t>66Kv CT For Protection -Ratio 100-150/1-1-1A</t>
  </si>
  <si>
    <t>66Kv CT For Protection -Ratio 300-600/1-1-1-A</t>
  </si>
  <si>
    <t>66Kv CT For Metering -Ratio of 100/1A</t>
  </si>
  <si>
    <t>66Kv PT For Metering 66kv/RT3/110V/RT3</t>
  </si>
  <si>
    <t>66Kv CT For Metering -200/1A</t>
  </si>
  <si>
    <t>66Kv Control &amp; Relay Panel</t>
  </si>
  <si>
    <t>Switch Yard_Equipments With Accessories</t>
  </si>
  <si>
    <t>Switch Yard Materials &amp; Structure &amp; Structure Fasteners</t>
  </si>
  <si>
    <t>Z</t>
  </si>
  <si>
    <t>lot</t>
  </si>
  <si>
    <t>SE/GST/24-25/0636</t>
  </si>
  <si>
    <t>GJ25U0837</t>
  </si>
  <si>
    <t>PGEL/24-25/1556</t>
  </si>
  <si>
    <t>PGEL/24-25/1570</t>
  </si>
  <si>
    <t>6118 1747 8656</t>
  </si>
  <si>
    <t>GJ03BZ4455</t>
  </si>
  <si>
    <t>6718 1661 0400</t>
  </si>
  <si>
    <t>6418 1697 5917</t>
  </si>
  <si>
    <t>6018 1697 9946</t>
  </si>
  <si>
    <t>SE/GST/2425/0635</t>
  </si>
  <si>
    <t>63 64</t>
  </si>
  <si>
    <t>SE/GST/2425/0637</t>
  </si>
  <si>
    <t>SE/GST/2425/0632</t>
  </si>
  <si>
    <t>Drum No:4520101001/39</t>
  </si>
  <si>
    <t>Drum No: 4526402000/39</t>
  </si>
  <si>
    <t>Drum No:4526401001/38</t>
  </si>
  <si>
    <t>Drum No:4526401001/39</t>
  </si>
  <si>
    <t>Drum No:4526402001/37</t>
  </si>
  <si>
    <t>Drum No:4526402001/42</t>
  </si>
  <si>
    <t>Drum No:4526402001/41</t>
  </si>
  <si>
    <t>Drum No:4526402001/40</t>
  </si>
  <si>
    <t>Drum No:HT46578E24</t>
  </si>
  <si>
    <t>Drum No:HT46521E24</t>
  </si>
  <si>
    <t>Drum No:HT46581E24</t>
  </si>
  <si>
    <t>Drum No:HT46577E24</t>
  </si>
  <si>
    <t>Yellow Warning Tape (LT 2500 Mtr,DC 1000 Mtr,HT 500 Mtr)</t>
  </si>
  <si>
    <t>Drum No:HT46564E24</t>
  </si>
  <si>
    <t>Drum No:4968201001/07</t>
  </si>
  <si>
    <t>Drum No:4968201001/10</t>
  </si>
  <si>
    <t>Pheriperal Boundary</t>
  </si>
  <si>
    <t>Precast Panel</t>
  </si>
  <si>
    <t>Precast Post</t>
  </si>
  <si>
    <t>34/24-25</t>
  </si>
  <si>
    <t>PGEL/24-25/1214</t>
  </si>
  <si>
    <t>PGEL/303/24-25</t>
  </si>
  <si>
    <t>GJ27X5553</t>
  </si>
  <si>
    <t>6418 2153 0925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</si>
</sst>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 * #,##0_ ;_ * \-#,##0_ ;_ * &quot;-&quot;_ ;_ @_ "/>
    <numFmt numFmtId="43" formatCode="_ * #,##0.00_ ;_ * \-#,##0.00_ ;_ * &quot;-&quot;??_ ;_ @_ "/>
    <numFmt numFmtId="164" formatCode="[$-409]d/mmm/yyyy;@"/>
    <numFmt numFmtId="165" formatCode="_ * #,##0_ ;_ * \-#,##0_ ;_ * &quot;-&quot;??_ ;_ @_ "/>
    <numFmt numFmtId="166" formatCode="[$-14009]d\ mmmm\ yyyy;@"/>
    <numFmt numFmtId="167" formatCode="_ * #,##0.0_ ;_ * \-#,##0.0_ ;_ * &quot;-&quot;_ ;_ @_ "/>
    <numFmt numFmtId="168" formatCode="0.000"/>
    <numFmt numFmtId="169" formatCode="_ * #,##0.0_ ;_ * \-#,##0.0_ ;_ * &quot;-&quot;??_ ;_ @_ "/>
    <numFmt numFmtId="170" formatCode="0.0"/>
    <numFmt numFmtId="171" formatCode="[$-F800]dddd\,\ mmmm\ dd\,\ yyyy"/>
    <numFmt numFmtId="172" formatCode="[$-409]d\-mmm\-yyyy;@"/>
    <numFmt numFmtId="173" formatCode="0;[Red]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1"/>
      <color indexed="8"/>
      <name val="Calibri"/>
      <family val="2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sz val="9"/>
      <name val="Times New Roman"/>
      <family val="1"/>
    </font>
    <font>
      <b/>
      <sz val="9"/>
      <color indexed="81"/>
      <name val="Tahoma"/>
      <family val="2"/>
    </font>
    <font>
      <b/>
      <sz val="9"/>
      <color theme="1"/>
      <name val="Times New Roman"/>
      <family val="1"/>
    </font>
    <font>
      <sz val="11"/>
      <color theme="1"/>
      <name val="Calibri"/>
      <family val="2"/>
    </font>
    <font>
      <b/>
      <sz val="12"/>
      <color theme="0"/>
      <name val="Times New Roman"/>
      <family val="1"/>
    </font>
    <font>
      <sz val="11"/>
      <color rgb="FFFF0000"/>
      <name val="Times New Roman"/>
      <family val="1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Times New Roman"/>
      <family val="1"/>
    </font>
    <font>
      <sz val="9"/>
      <color theme="3" tint="-0.249977111117893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11"/>
      <color theme="1"/>
      <name val="Times New Roman"/>
      <family val="1"/>
    </font>
    <font>
      <b/>
      <sz val="9"/>
      <name val="Times New Roman"/>
      <family val="1"/>
    </font>
    <font>
      <b/>
      <sz val="9"/>
      <color theme="1"/>
      <name val="Times New Roman"/>
    </font>
    <font>
      <sz val="9"/>
      <color theme="1"/>
      <name val="Times New Roman"/>
    </font>
    <font>
      <sz val="9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265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1" fontId="2" fillId="2" borderId="2" xfId="1" applyNumberFormat="1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2" fontId="2" fillId="2" borderId="2" xfId="2" applyNumberFormat="1" applyFont="1" applyFill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6" fontId="4" fillId="0" borderId="8" xfId="0" applyNumberFormat="1" applyFont="1" applyBorder="1" applyAlignment="1">
      <alignment horizontal="center" vertical="center"/>
    </xf>
    <xf numFmtId="41" fontId="4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7" fillId="0" borderId="1" xfId="1" applyNumberFormat="1" applyFont="1" applyBorder="1" applyAlignment="1">
      <alignment horizontal="center" vertical="center"/>
    </xf>
    <xf numFmtId="165" fontId="7" fillId="0" borderId="8" xfId="1" applyNumberFormat="1" applyFont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9" fontId="12" fillId="0" borderId="1" xfId="3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2" fillId="6" borderId="1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1" fontId="12" fillId="6" borderId="5" xfId="0" applyNumberFormat="1" applyFont="1" applyFill="1" applyBorder="1" applyAlignment="1">
      <alignment horizontal="center" vertical="center"/>
    </xf>
    <xf numFmtId="165" fontId="7" fillId="0" borderId="6" xfId="1" applyNumberFormat="1" applyFont="1" applyBorder="1" applyAlignment="1">
      <alignment horizontal="center" vertical="center" wrapText="1"/>
    </xf>
    <xf numFmtId="165" fontId="7" fillId="0" borderId="9" xfId="1" applyNumberFormat="1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5" fontId="7" fillId="0" borderId="6" xfId="1" applyNumberFormat="1" applyFont="1" applyBorder="1" applyAlignment="1">
      <alignment horizontal="left" vertical="center" wrapText="1"/>
    </xf>
    <xf numFmtId="0" fontId="12" fillId="7" borderId="15" xfId="0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41" fontId="15" fillId="0" borderId="1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4" fontId="12" fillId="7" borderId="17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14" fontId="12" fillId="7" borderId="16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1" fontId="10" fillId="0" borderId="1" xfId="1" applyNumberFormat="1" applyFont="1" applyFill="1" applyBorder="1" applyAlignment="1">
      <alignment horizontal="center" vertical="center"/>
    </xf>
    <xf numFmtId="43" fontId="10" fillId="0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65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1" fontId="10" fillId="0" borderId="1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3" fontId="17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7" fillId="5" borderId="0" xfId="0" applyNumberFormat="1" applyFont="1" applyFill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2" fillId="2" borderId="21" xfId="0" applyNumberFormat="1" applyFont="1" applyFill="1" applyBorder="1" applyAlignment="1">
      <alignment horizontal="center" vertical="center" wrapText="1"/>
    </xf>
    <xf numFmtId="1" fontId="2" fillId="2" borderId="2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 wrapText="1"/>
    </xf>
    <xf numFmtId="168" fontId="10" fillId="0" borderId="1" xfId="0" applyNumberFormat="1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41" fontId="18" fillId="0" borderId="1" xfId="1" applyNumberFormat="1" applyFont="1" applyFill="1" applyBorder="1" applyAlignment="1">
      <alignment horizontal="center" vertical="center"/>
    </xf>
    <xf numFmtId="41" fontId="18" fillId="0" borderId="1" xfId="0" applyNumberFormat="1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43" fontId="18" fillId="0" borderId="1" xfId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right" vertical="center"/>
    </xf>
    <xf numFmtId="2" fontId="18" fillId="0" borderId="1" xfId="0" applyNumberFormat="1" applyFont="1" applyBorder="1" applyAlignment="1">
      <alignment horizontal="center" vertical="center"/>
    </xf>
    <xf numFmtId="169" fontId="10" fillId="0" borderId="1" xfId="1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5" fontId="19" fillId="0" borderId="1" xfId="1" applyNumberFormat="1" applyFont="1" applyBorder="1" applyAlignment="1">
      <alignment horizontal="center" vertical="center"/>
    </xf>
    <xf numFmtId="165" fontId="19" fillId="0" borderId="6" xfId="1" applyNumberFormat="1" applyFont="1" applyBorder="1" applyAlignment="1">
      <alignment horizontal="center" vertical="center" wrapText="1"/>
    </xf>
    <xf numFmtId="1" fontId="12" fillId="0" borderId="5" xfId="0" applyNumberFormat="1" applyFont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1" fontId="12" fillId="0" borderId="7" xfId="0" applyNumberFormat="1" applyFont="1" applyBorder="1" applyAlignment="1">
      <alignment horizontal="center" vertical="center"/>
    </xf>
    <xf numFmtId="1" fontId="12" fillId="4" borderId="5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65" fontId="21" fillId="0" borderId="1" xfId="1" applyNumberFormat="1" applyFont="1" applyBorder="1" applyAlignment="1">
      <alignment horizontal="center" vertical="center"/>
    </xf>
    <xf numFmtId="165" fontId="21" fillId="0" borderId="6" xfId="1" applyNumberFormat="1" applyFont="1" applyBorder="1" applyAlignment="1">
      <alignment horizontal="center" vertical="center" wrapText="1"/>
    </xf>
    <xf numFmtId="41" fontId="4" fillId="0" borderId="1" xfId="0" applyNumberFormat="1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1" fontId="20" fillId="0" borderId="6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1" fontId="12" fillId="0" borderId="23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0" fontId="23" fillId="4" borderId="2" xfId="0" applyFont="1" applyFill="1" applyBorder="1" applyAlignment="1">
      <alignment horizontal="left" vertical="center" wrapText="1"/>
    </xf>
    <xf numFmtId="1" fontId="20" fillId="4" borderId="1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43" fontId="24" fillId="0" borderId="1" xfId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2" fontId="24" fillId="0" borderId="1" xfId="0" applyNumberFormat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41" fontId="4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41" fontId="26" fillId="0" borderId="1" xfId="1" applyNumberFormat="1" applyFont="1" applyFill="1" applyBorder="1" applyAlignment="1">
      <alignment horizontal="center" vertical="center"/>
    </xf>
    <xf numFmtId="43" fontId="26" fillId="0" borderId="1" xfId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8" fillId="0" borderId="1" xfId="1" applyNumberFormat="1" applyFont="1" applyBorder="1" applyAlignment="1">
      <alignment horizontal="center" vertical="center"/>
    </xf>
    <xf numFmtId="165" fontId="28" fillId="0" borderId="6" xfId="1" applyNumberFormat="1" applyFont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1" fontId="27" fillId="0" borderId="23" xfId="0" applyNumberFormat="1" applyFont="1" applyBorder="1" applyAlignment="1">
      <alignment horizontal="center" vertical="center"/>
    </xf>
    <xf numFmtId="0" fontId="0" fillId="0" borderId="1" xfId="0" applyBorder="1"/>
    <xf numFmtId="172" fontId="10" fillId="0" borderId="1" xfId="0" applyNumberFormat="1" applyFont="1" applyBorder="1" applyAlignment="1">
      <alignment horizontal="center" vertical="center"/>
    </xf>
    <xf numFmtId="165" fontId="7" fillId="0" borderId="23" xfId="1" applyNumberFormat="1" applyFont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 vertical="center"/>
    </xf>
    <xf numFmtId="0" fontId="30" fillId="0" borderId="7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5" fontId="31" fillId="0" borderId="1" xfId="1" applyNumberFormat="1" applyFont="1" applyBorder="1" applyAlignment="1">
      <alignment horizontal="center" vertical="center"/>
    </xf>
    <xf numFmtId="165" fontId="31" fillId="0" borderId="6" xfId="1" applyNumberFormat="1" applyFont="1" applyBorder="1" applyAlignment="1">
      <alignment horizontal="center" vertical="center" wrapText="1"/>
    </xf>
    <xf numFmtId="1" fontId="30" fillId="0" borderId="1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 wrapText="1"/>
    </xf>
    <xf numFmtId="1" fontId="12" fillId="7" borderId="16" xfId="0" applyNumberFormat="1" applyFont="1" applyFill="1" applyBorder="1" applyAlignment="1">
      <alignment horizontal="center" vertical="center"/>
    </xf>
    <xf numFmtId="1" fontId="30" fillId="0" borderId="23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/>
    </xf>
    <xf numFmtId="41" fontId="32" fillId="0" borderId="1" xfId="1" applyNumberFormat="1" applyFont="1" applyFill="1" applyBorder="1" applyAlignment="1">
      <alignment horizontal="center" vertical="center"/>
    </xf>
    <xf numFmtId="41" fontId="32" fillId="0" borderId="1" xfId="0" applyNumberFormat="1" applyFont="1" applyBorder="1" applyAlignment="1">
      <alignment horizontal="center" vertical="center"/>
    </xf>
    <xf numFmtId="173" fontId="2" fillId="2" borderId="21" xfId="0" applyNumberFormat="1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left" vertical="center" wrapText="1"/>
    </xf>
    <xf numFmtId="1" fontId="12" fillId="0" borderId="25" xfId="0" applyNumberFormat="1" applyFont="1" applyBorder="1" applyAlignment="1">
      <alignment horizontal="center" vertical="center"/>
    </xf>
    <xf numFmtId="1" fontId="12" fillId="0" borderId="25" xfId="3" applyNumberFormat="1" applyFont="1" applyBorder="1" applyAlignment="1" applyProtection="1">
      <alignment horizontal="center" vertical="center"/>
    </xf>
    <xf numFmtId="1" fontId="12" fillId="0" borderId="25" xfId="3" applyNumberFormat="1" applyFont="1" applyBorder="1" applyAlignment="1">
      <alignment horizontal="center" vertical="center"/>
    </xf>
    <xf numFmtId="173" fontId="12" fillId="0" borderId="25" xfId="3" applyNumberFormat="1" applyFont="1" applyBorder="1" applyAlignment="1">
      <alignment horizontal="center" vertical="center"/>
    </xf>
    <xf numFmtId="1" fontId="12" fillId="0" borderId="27" xfId="0" applyNumberFormat="1" applyFont="1" applyBorder="1" applyAlignment="1">
      <alignment horizontal="center" vertical="center"/>
    </xf>
    <xf numFmtId="0" fontId="12" fillId="5" borderId="28" xfId="0" applyFont="1" applyFill="1" applyBorder="1" applyAlignment="1">
      <alignment horizontal="left" vertical="center" wrapText="1"/>
    </xf>
    <xf numFmtId="1" fontId="12" fillId="0" borderId="28" xfId="0" applyNumberFormat="1" applyFont="1" applyBorder="1" applyAlignment="1">
      <alignment horizontal="center" vertical="center"/>
    </xf>
    <xf numFmtId="1" fontId="12" fillId="0" borderId="28" xfId="3" applyNumberFormat="1" applyFont="1" applyBorder="1" applyAlignment="1">
      <alignment horizontal="center" vertical="center"/>
    </xf>
    <xf numFmtId="173" fontId="12" fillId="0" borderId="28" xfId="3" applyNumberFormat="1" applyFont="1" applyBorder="1" applyAlignment="1">
      <alignment horizontal="center" vertical="center"/>
    </xf>
    <xf numFmtId="1" fontId="12" fillId="4" borderId="27" xfId="0" applyNumberFormat="1" applyFont="1" applyFill="1" applyBorder="1" applyAlignment="1">
      <alignment horizontal="center" vertical="center"/>
    </xf>
    <xf numFmtId="0" fontId="12" fillId="4" borderId="28" xfId="0" applyFont="1" applyFill="1" applyBorder="1" applyAlignment="1">
      <alignment horizontal="left" vertical="center" wrapText="1"/>
    </xf>
    <xf numFmtId="0" fontId="12" fillId="5" borderId="27" xfId="0" applyFont="1" applyFill="1" applyBorder="1" applyAlignment="1">
      <alignment horizontal="center" vertical="center"/>
    </xf>
    <xf numFmtId="0" fontId="12" fillId="0" borderId="28" xfId="0" applyFont="1" applyBorder="1" applyAlignment="1">
      <alignment horizontal="left" vertical="center" wrapText="1"/>
    </xf>
    <xf numFmtId="1" fontId="12" fillId="5" borderId="27" xfId="0" applyNumberFormat="1" applyFont="1" applyFill="1" applyBorder="1" applyAlignment="1">
      <alignment horizontal="center" vertical="center"/>
    </xf>
    <xf numFmtId="1" fontId="12" fillId="10" borderId="27" xfId="0" applyNumberFormat="1" applyFont="1" applyFill="1" applyBorder="1" applyAlignment="1">
      <alignment horizontal="center" vertical="center"/>
    </xf>
    <xf numFmtId="0" fontId="12" fillId="10" borderId="28" xfId="0" applyFont="1" applyFill="1" applyBorder="1" applyAlignment="1">
      <alignment horizontal="left" vertical="center" wrapText="1"/>
    </xf>
    <xf numFmtId="0" fontId="12" fillId="10" borderId="27" xfId="0" applyFont="1" applyFill="1" applyBorder="1" applyAlignment="1">
      <alignment horizontal="center" vertical="center"/>
    </xf>
    <xf numFmtId="1" fontId="12" fillId="0" borderId="28" xfId="1" applyNumberFormat="1" applyFont="1" applyBorder="1" applyAlignment="1">
      <alignment horizontal="center" vertical="center"/>
    </xf>
    <xf numFmtId="173" fontId="12" fillId="0" borderId="28" xfId="1" applyNumberFormat="1" applyFont="1" applyBorder="1" applyAlignment="1">
      <alignment horizontal="center" vertical="center"/>
    </xf>
    <xf numFmtId="165" fontId="12" fillId="9" borderId="28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1" fontId="12" fillId="9" borderId="21" xfId="1" applyNumberFormat="1" applyFont="1" applyFill="1" applyBorder="1" applyAlignment="1">
      <alignment horizontal="center" vertical="center"/>
    </xf>
    <xf numFmtId="165" fontId="12" fillId="9" borderId="21" xfId="1" applyNumberFormat="1" applyFont="1" applyFill="1" applyBorder="1" applyAlignment="1">
      <alignment horizontal="center" vertical="center"/>
    </xf>
    <xf numFmtId="1" fontId="12" fillId="9" borderId="25" xfId="1" applyNumberFormat="1" applyFont="1" applyFill="1" applyBorder="1" applyAlignment="1">
      <alignment horizontal="center" vertical="center"/>
    </xf>
    <xf numFmtId="165" fontId="12" fillId="9" borderId="25" xfId="1" applyNumberFormat="1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wrapText="1"/>
    </xf>
    <xf numFmtId="1" fontId="12" fillId="9" borderId="28" xfId="1" applyNumberFormat="1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73" fontId="12" fillId="5" borderId="28" xfId="1" applyNumberFormat="1" applyFont="1" applyFill="1" applyBorder="1" applyAlignment="1">
      <alignment horizontal="center" vertical="center"/>
    </xf>
    <xf numFmtId="1" fontId="12" fillId="5" borderId="28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/>
    </xf>
    <xf numFmtId="173" fontId="12" fillId="0" borderId="0" xfId="0" applyNumberFormat="1" applyFont="1" applyAlignment="1">
      <alignment horizontal="center" vertical="center"/>
    </xf>
    <xf numFmtId="1" fontId="33" fillId="0" borderId="5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166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/>
    </xf>
    <xf numFmtId="41" fontId="33" fillId="0" borderId="1" xfId="0" applyNumberFormat="1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1" fontId="12" fillId="0" borderId="28" xfId="1" applyNumberFormat="1" applyFont="1" applyBorder="1" applyAlignment="1" applyProtection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horizontal="center" vertical="center"/>
    </xf>
    <xf numFmtId="0" fontId="35" fillId="0" borderId="7" xfId="0" applyFont="1" applyBorder="1" applyAlignment="1">
      <alignment horizontal="left" vertical="center" wrapText="1"/>
    </xf>
    <xf numFmtId="0" fontId="36" fillId="0" borderId="5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65" fontId="36" fillId="0" borderId="1" xfId="1" applyNumberFormat="1" applyFont="1" applyBorder="1" applyAlignment="1">
      <alignment horizontal="center" vertical="center"/>
    </xf>
    <xf numFmtId="165" fontId="36" fillId="0" borderId="6" xfId="1" applyNumberFormat="1" applyFont="1" applyBorder="1" applyAlignment="1">
      <alignment horizontal="center" vertical="center" wrapText="1"/>
    </xf>
    <xf numFmtId="1" fontId="35" fillId="0" borderId="1" xfId="0" applyNumberFormat="1" applyFont="1" applyBorder="1" applyAlignment="1">
      <alignment horizontal="center" vertical="center"/>
    </xf>
    <xf numFmtId="1" fontId="35" fillId="5" borderId="27" xfId="0" applyNumberFormat="1" applyFont="1" applyFill="1" applyBorder="1" applyAlignment="1">
      <alignment horizontal="center" vertical="center"/>
    </xf>
    <xf numFmtId="0" fontId="35" fillId="5" borderId="28" xfId="0" applyFont="1" applyFill="1" applyBorder="1" applyAlignment="1">
      <alignment horizontal="left" vertical="center" wrapText="1"/>
    </xf>
    <xf numFmtId="1" fontId="35" fillId="0" borderId="28" xfId="0" applyNumberFormat="1" applyFont="1" applyBorder="1" applyAlignment="1">
      <alignment horizontal="center" vertical="center"/>
    </xf>
    <xf numFmtId="1" fontId="35" fillId="0" borderId="28" xfId="1" applyNumberFormat="1" applyFont="1" applyBorder="1" applyAlignment="1" applyProtection="1">
      <alignment horizontal="center" vertical="center"/>
    </xf>
    <xf numFmtId="1" fontId="35" fillId="0" borderId="28" xfId="1" applyNumberFormat="1" applyFont="1" applyBorder="1" applyAlignment="1">
      <alignment horizontal="center" vertical="center"/>
    </xf>
    <xf numFmtId="173" fontId="35" fillId="0" borderId="28" xfId="1" applyNumberFormat="1" applyFont="1" applyBorder="1" applyAlignment="1">
      <alignment horizontal="center" vertical="center"/>
    </xf>
    <xf numFmtId="1" fontId="35" fillId="9" borderId="28" xfId="1" applyNumberFormat="1" applyFont="1" applyFill="1" applyBorder="1" applyAlignment="1">
      <alignment horizontal="center" vertical="center"/>
    </xf>
    <xf numFmtId="165" fontId="35" fillId="9" borderId="28" xfId="1" applyNumberFormat="1" applyFont="1" applyFill="1" applyBorder="1" applyAlignment="1">
      <alignment horizontal="center" vertical="center"/>
    </xf>
    <xf numFmtId="0" fontId="35" fillId="0" borderId="29" xfId="0" applyFont="1" applyBorder="1" applyAlignment="1">
      <alignment horizontal="center" vertical="center" wrapText="1"/>
    </xf>
    <xf numFmtId="0" fontId="35" fillId="4" borderId="28" xfId="0" applyFont="1" applyFill="1" applyBorder="1" applyAlignment="1">
      <alignment horizontal="left" vertical="center" wrapText="1"/>
    </xf>
    <xf numFmtId="1" fontId="35" fillId="4" borderId="27" xfId="0" applyNumberFormat="1" applyFont="1" applyFill="1" applyBorder="1" applyAlignment="1">
      <alignment horizontal="center" vertical="center"/>
    </xf>
    <xf numFmtId="1" fontId="35" fillId="5" borderId="28" xfId="1" applyNumberFormat="1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41" fontId="18" fillId="11" borderId="1" xfId="1" applyNumberFormat="1" applyFont="1" applyFill="1" applyBorder="1" applyAlignment="1">
      <alignment horizontal="center" vertical="center"/>
    </xf>
    <xf numFmtId="41" fontId="10" fillId="5" borderId="1" xfId="1" applyNumberFormat="1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1" fontId="12" fillId="7" borderId="16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</cellXfs>
  <cellStyles count="4">
    <cellStyle name="Comma" xfId="1" builtinId="3"/>
    <cellStyle name="Normal" xfId="0" builtinId="0"/>
    <cellStyle name="Normal_Sheet1" xfId="2" xr:uid="{00000000-0005-0000-0000-000002000000}"/>
    <cellStyle name="Percent" xfId="3" builtinId="5"/>
  </cellStyles>
  <dxfs count="143">
    <dxf>
      <numFmt numFmtId="174" formatCode=";;;"/>
    </dxf>
    <dxf>
      <numFmt numFmtId="174" formatCode=";;;"/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_ * #,##0_ ;_ * \-#,##0_ ;_ * &quot;-&quot;??_ ;_ @_ 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_ * #,##0_ ;_ * \-#,##0_ ;_ * &quot;-&quot;??_ ;_ @_ 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scheme val="none"/>
      </font>
      <numFmt numFmtId="165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numFmt numFmtId="164" formatCode="[$-409]d/m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numFmt numFmtId="33" formatCode="_ * #,##0_ ;_ * \-#,##0_ ;_ * &quot;-&quot;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numFmt numFmtId="33" formatCode="_ * #,##0_ ;_ * \-#,##0_ ;_ * &quot;-&quot;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numFmt numFmtId="33" formatCode="_ * #,##0_ ;_ * \-#,##0_ ;_ * &quot;-&quot;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numFmt numFmtId="164" formatCode="[$-409]d/m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numFmt numFmtId="164" formatCode="[$-409]d/m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numFmt numFmtId="164" formatCode="[$-409]d/m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numFmt numFmtId="164" formatCode="[$-409]d/m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3" formatCode="_ * #,##0_ ;_ * \-#,##0_ ;_ * &quot;-&quot;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3" formatCode="_ * #,##0_ ;_ * \-#,##0_ ;_ * &quot;-&quot;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6" formatCode="[$-14009]d\ mmmm\ yyyy;@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_ * #,##0_ ;_ * \-#,##0_ ;_ * &quot;-&quot;??_ ;_ @_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_ * #,##0_ ;_ * \-#,##0_ ;_ * &quot;-&quot;??_ ;_ @_ 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_ * #,##0_ ;_ * \-#,##0_ ;_ * &quot;-&quot;??_ ;_ @_ 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name val="Times New Roman"/>
        <scheme val="none"/>
      </font>
      <numFmt numFmtId="173" formatCode="0;[Red]0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border>
        <top style="thin">
          <color indexed="64"/>
        </top>
      </border>
    </dxf>
    <dxf>
      <font>
        <b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</dxf>
  </dxfs>
  <tableStyles count="0" defaultTableStyle="TableStyleMedium2" defaultPivotStyle="PivotStyleLight16"/>
  <colors>
    <mruColors>
      <color rgb="FF99FF99"/>
      <color rgb="FFFF3300"/>
      <color rgb="FFCC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185739</xdr:colOff>
      <xdr:row>0</xdr:row>
      <xdr:rowOff>30318</xdr:rowOff>
    </xdr:from>
    <xdr:to>
      <xdr:col>13</xdr:col>
      <xdr:colOff>517524</xdr:colOff>
      <xdr:row>0</xdr:row>
      <xdr:rowOff>986118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992A1FA2-7C66-4111-90D7-18675F70CE53}"/>
            </a:ext>
          </a:extLst>
        </xdr:cNvPr>
        <xdr:cNvGrpSpPr/>
      </xdr:nvGrpSpPr>
      <xdr:grpSpPr>
        <a:xfrm>
          <a:off x="185739" y="30318"/>
          <a:ext cx="10809285" cy="955800"/>
          <a:chOff x="185739" y="30318"/>
          <a:chExt cx="10587296" cy="955800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886353-D145-414F-AF48-D7A91CC04215}"/>
              </a:ext>
            </a:extLst>
          </xdr:cNvPr>
          <xdr:cNvGrpSpPr/>
        </xdr:nvGrpSpPr>
        <xdr:grpSpPr>
          <a:xfrm>
            <a:off x="185739" y="142875"/>
            <a:ext cx="919692" cy="819150"/>
            <a:chOff x="171450" y="142875"/>
            <a:chExt cx="923925" cy="819150"/>
          </a:xfrm>
          <a:solidFill>
            <a:schemeClr val="accent1">
              <a:lumMod val="75000"/>
            </a:schemeClr>
          </a:solidFill>
        </xdr:grpSpPr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6C55AFBC-DE3D-464B-B027-2ADE2CD4442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305418" y="247651"/>
              <a:ext cx="672991" cy="640872"/>
            </a:xfrm>
            <a:prstGeom prst="rect">
              <a:avLst/>
            </a:prstGeom>
            <a:grpFill/>
          </xdr:spPr>
        </xdr:pic>
        <xdr:sp macro="" textlink="">
          <xdr:nvSpPr>
            <xdr:cNvPr id="4" name="Frame 3">
              <a:extLst>
                <a:ext uri="{FF2B5EF4-FFF2-40B4-BE49-F238E27FC236}">
                  <a16:creationId xmlns:a16="http://schemas.microsoft.com/office/drawing/2014/main" id="{B267DCB2-A043-4F92-AB5C-59988D860855}"/>
                </a:ext>
              </a:extLst>
            </xdr:cNvPr>
            <xdr:cNvSpPr/>
          </xdr:nvSpPr>
          <xdr:spPr>
            <a:xfrm>
              <a:off x="171450" y="142875"/>
              <a:ext cx="923925" cy="819150"/>
            </a:xfrm>
            <a:prstGeom prst="frame">
              <a:avLst/>
            </a:prstGeom>
            <a:grpFill/>
            <a:ln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5BABED20-C966-4899-9714-8964C1B0E6D3}"/>
              </a:ext>
            </a:extLst>
          </xdr:cNvPr>
          <xdr:cNvSpPr txBox="1"/>
        </xdr:nvSpPr>
        <xdr:spPr>
          <a:xfrm>
            <a:off x="1405986" y="30318"/>
            <a:ext cx="4367196" cy="955800"/>
          </a:xfrm>
          <a:prstGeom prst="frame">
            <a:avLst/>
          </a:prstGeom>
          <a:noFill/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b">
            <a:noAutofit/>
          </a:bodyPr>
          <a:lstStyle/>
          <a:p>
            <a:pPr lvl="0"/>
            <a:r>
              <a:rPr lang="en-IN" sz="1100" b="1">
                <a:latin typeface="Times New Roman" panose="02020603050405020304" pitchFamily="18" charset="0"/>
                <a:cs typeface="Times New Roman" panose="02020603050405020304" pitchFamily="18" charset="0"/>
              </a:rPr>
              <a:t>Project</a:t>
            </a:r>
            <a:r>
              <a:rPr lang="en-IN" sz="11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Name  :-Alembic PH 2 _12MWp </a:t>
            </a:r>
          </a:p>
          <a:p>
            <a:pPr lvl="0"/>
            <a:r>
              <a:rPr lang="en-IN" sz="11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Store Name     :- </a:t>
            </a:r>
            <a:r>
              <a:rPr lang="en-IN" sz="1100" b="1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Alembic PH 2 _12MWp</a:t>
            </a:r>
            <a:endParaRPr lang="en-IN" sz="11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lvl="0"/>
            <a:r>
              <a:rPr lang="en-IN" sz="11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Location          :- Vadodara Gujarat </a:t>
            </a:r>
            <a:endParaRPr lang="en-IN" sz="11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13527C7-3715-4324-81A5-F79AC549E3BD}"/>
              </a:ext>
            </a:extLst>
          </xdr:cNvPr>
          <xdr:cNvSpPr txBox="1"/>
        </xdr:nvSpPr>
        <xdr:spPr>
          <a:xfrm>
            <a:off x="6682235" y="314324"/>
            <a:ext cx="4090800" cy="533402"/>
          </a:xfrm>
          <a:prstGeom prst="frame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IN" sz="1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RECONCILIATION</a:t>
            </a:r>
            <a:r>
              <a:rPr lang="en-IN" sz="18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 REPORT</a:t>
            </a:r>
            <a:endParaRPr lang="en-IN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185739</xdr:colOff>
      <xdr:row>0</xdr:row>
      <xdr:rowOff>27214</xdr:rowOff>
    </xdr:from>
    <xdr:to>
      <xdr:col>12</xdr:col>
      <xdr:colOff>495291</xdr:colOff>
      <xdr:row>0</xdr:row>
      <xdr:rowOff>1047750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DDA6AEA-1AEF-4B02-AD4C-29690AA99482}"/>
            </a:ext>
          </a:extLst>
        </xdr:cNvPr>
        <xdr:cNvGrpSpPr/>
      </xdr:nvGrpSpPr>
      <xdr:grpSpPr>
        <a:xfrm>
          <a:off x="185739" y="27214"/>
          <a:ext cx="14787552" cy="1020536"/>
          <a:chOff x="185739" y="27214"/>
          <a:chExt cx="11166680" cy="102053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1B046579-E3A9-4535-9562-FC4C375DFA59}"/>
              </a:ext>
            </a:extLst>
          </xdr:cNvPr>
          <xdr:cNvGrpSpPr/>
        </xdr:nvGrpSpPr>
        <xdr:grpSpPr>
          <a:xfrm>
            <a:off x="185739" y="27214"/>
            <a:ext cx="948923" cy="988785"/>
            <a:chOff x="171450" y="27214"/>
            <a:chExt cx="953291" cy="988785"/>
          </a:xfrm>
          <a:solidFill>
            <a:schemeClr val="accent1">
              <a:lumMod val="75000"/>
            </a:schemeClr>
          </a:solidFill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42D383CF-EDDD-419D-BB9B-E18FF475E4D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257642" y="172357"/>
              <a:ext cx="818926" cy="716166"/>
            </a:xfrm>
            <a:prstGeom prst="rect">
              <a:avLst/>
            </a:prstGeom>
            <a:grpFill/>
          </xdr:spPr>
        </xdr:pic>
        <xdr:sp macro="" textlink="">
          <xdr:nvSpPr>
            <xdr:cNvPr id="7" name="Frame 6">
              <a:extLst>
                <a:ext uri="{FF2B5EF4-FFF2-40B4-BE49-F238E27FC236}">
                  <a16:creationId xmlns:a16="http://schemas.microsoft.com/office/drawing/2014/main" id="{3AC53FCD-60E5-47D8-A628-E28D49492C84}"/>
                </a:ext>
              </a:extLst>
            </xdr:cNvPr>
            <xdr:cNvSpPr/>
          </xdr:nvSpPr>
          <xdr:spPr>
            <a:xfrm>
              <a:off x="171450" y="27214"/>
              <a:ext cx="953291" cy="988785"/>
            </a:xfrm>
            <a:prstGeom prst="frame">
              <a:avLst/>
            </a:prstGeom>
            <a:grpFill/>
            <a:ln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5A6D9528-D747-4ECA-A5A9-C0AA216CA414}"/>
              </a:ext>
            </a:extLst>
          </xdr:cNvPr>
          <xdr:cNvSpPr txBox="1"/>
        </xdr:nvSpPr>
        <xdr:spPr>
          <a:xfrm>
            <a:off x="1419160" y="81491"/>
            <a:ext cx="3400426" cy="966259"/>
          </a:xfrm>
          <a:prstGeom prst="frame">
            <a:avLst/>
          </a:prstGeom>
          <a:noFill/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b">
            <a:noAutofit/>
          </a:bodyPr>
          <a:lstStyle/>
          <a:p>
            <a:r>
              <a:rPr lang="en-IN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Project</a:t>
            </a:r>
            <a:r>
              <a:rPr lang="en-IN" sz="1100" b="1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Name  :-Alembic PH 2 _12MWp </a:t>
            </a:r>
            <a:endParaRPr lang="en-IN">
              <a:effectLst/>
            </a:endParaRPr>
          </a:p>
          <a:p>
            <a:r>
              <a:rPr lang="en-IN" sz="1100" b="1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Store Name     :- Alembic PH 2 _12MWp</a:t>
            </a:r>
            <a:endParaRPr lang="en-IN">
              <a:effectLst/>
            </a:endParaRPr>
          </a:p>
          <a:p>
            <a:r>
              <a:rPr lang="en-IN" sz="1100" b="1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Location          :- Vadodara Gujarat </a:t>
            </a:r>
            <a:endParaRPr lang="en-IN">
              <a:effectLst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C863D66D-2BEF-45B5-A708-586A5710E597}"/>
              </a:ext>
            </a:extLst>
          </xdr:cNvPr>
          <xdr:cNvSpPr txBox="1"/>
        </xdr:nvSpPr>
        <xdr:spPr>
          <a:xfrm>
            <a:off x="9030178" y="123824"/>
            <a:ext cx="2322241" cy="533402"/>
          </a:xfrm>
          <a:prstGeom prst="frame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IN" sz="20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ISSUE REGISTER</a:t>
            </a:r>
            <a:endParaRPr lang="en-IN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38817</xdr:rowOff>
    </xdr:from>
    <xdr:to>
      <xdr:col>25</xdr:col>
      <xdr:colOff>923925</xdr:colOff>
      <xdr:row>0</xdr:row>
      <xdr:rowOff>1238967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12D59EC-1A98-4B08-95C4-D2F487D767C1}"/>
            </a:ext>
          </a:extLst>
        </xdr:cNvPr>
        <xdr:cNvGrpSpPr/>
      </xdr:nvGrpSpPr>
      <xdr:grpSpPr>
        <a:xfrm>
          <a:off x="0" y="38817"/>
          <a:ext cx="30345592" cy="1200150"/>
          <a:chOff x="19049" y="28575"/>
          <a:chExt cx="25155525" cy="1200150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F5F5FEE4-AE3B-48DC-82F8-89D13375961B}"/>
              </a:ext>
            </a:extLst>
          </xdr:cNvPr>
          <xdr:cNvGrpSpPr/>
        </xdr:nvGrpSpPr>
        <xdr:grpSpPr>
          <a:xfrm>
            <a:off x="185738" y="145817"/>
            <a:ext cx="1104652" cy="945644"/>
            <a:chOff x="171449" y="142875"/>
            <a:chExt cx="923925" cy="819150"/>
          </a:xfrm>
          <a:solidFill>
            <a:schemeClr val="accent1">
              <a:lumMod val="75000"/>
            </a:schemeClr>
          </a:solidFill>
        </xdr:grpSpPr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C90745C7-BDF5-4177-912A-626E9F417B6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286726" y="247651"/>
              <a:ext cx="711971" cy="640872"/>
            </a:xfrm>
            <a:prstGeom prst="rect">
              <a:avLst/>
            </a:prstGeom>
            <a:grpFill/>
          </xdr:spPr>
        </xdr:pic>
        <xdr:sp macro="" textlink="">
          <xdr:nvSpPr>
            <xdr:cNvPr id="13" name="Frame 12">
              <a:extLst>
                <a:ext uri="{FF2B5EF4-FFF2-40B4-BE49-F238E27FC236}">
                  <a16:creationId xmlns:a16="http://schemas.microsoft.com/office/drawing/2014/main" id="{569116A2-C86E-4DA3-AB79-7C6109A3A772}"/>
                </a:ext>
              </a:extLst>
            </xdr:cNvPr>
            <xdr:cNvSpPr/>
          </xdr:nvSpPr>
          <xdr:spPr>
            <a:xfrm>
              <a:off x="171449" y="142875"/>
              <a:ext cx="923925" cy="819150"/>
            </a:xfrm>
            <a:prstGeom prst="frame">
              <a:avLst/>
            </a:prstGeom>
            <a:grpFill/>
            <a:ln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2E051A26-5CF7-48EF-827F-8019B5FED1F0}"/>
              </a:ext>
            </a:extLst>
          </xdr:cNvPr>
          <xdr:cNvSpPr txBox="1"/>
        </xdr:nvSpPr>
        <xdr:spPr>
          <a:xfrm>
            <a:off x="1601436" y="200025"/>
            <a:ext cx="4677823" cy="847725"/>
          </a:xfrm>
          <a:prstGeom prst="frame">
            <a:avLst/>
          </a:prstGeom>
          <a:noFill/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b">
            <a:noAutofit/>
          </a:bodyPr>
          <a:lstStyle/>
          <a:p>
            <a:r>
              <a:rPr lang="en-IN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Project</a:t>
            </a:r>
            <a:r>
              <a:rPr lang="en-IN" sz="1100" b="1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Name  :-Alembic PH 2 _12MWp </a:t>
            </a:r>
            <a:endParaRPr lang="en-IN">
              <a:effectLst/>
            </a:endParaRPr>
          </a:p>
          <a:p>
            <a:r>
              <a:rPr lang="en-IN" sz="1100" b="1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Store Name     :- Alembic PH 2 _12MWp</a:t>
            </a:r>
            <a:endParaRPr lang="en-IN">
              <a:effectLst/>
            </a:endParaRPr>
          </a:p>
          <a:p>
            <a:r>
              <a:rPr lang="en-IN" sz="1100" b="1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Location          :- Vadodara Gujarat </a:t>
            </a:r>
            <a:endParaRPr lang="en-IN">
              <a:effectLst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45D55DF3-D465-442D-A0AA-8A4EAD0ACDF0}"/>
              </a:ext>
            </a:extLst>
          </xdr:cNvPr>
          <xdr:cNvSpPr txBox="1"/>
        </xdr:nvSpPr>
        <xdr:spPr>
          <a:xfrm>
            <a:off x="9906001" y="314325"/>
            <a:ext cx="4528697" cy="510995"/>
          </a:xfrm>
          <a:prstGeom prst="frame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IN" sz="20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GOODS</a:t>
            </a:r>
            <a:r>
              <a:rPr lang="en-IN" sz="20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 RECEIPT</a:t>
            </a:r>
            <a:endParaRPr lang="en-IN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78AB4FF3-D8DA-4623-A141-1324AD6F6FC9}"/>
              </a:ext>
            </a:extLst>
          </xdr:cNvPr>
          <xdr:cNvSpPr/>
        </xdr:nvSpPr>
        <xdr:spPr>
          <a:xfrm>
            <a:off x="19049" y="28575"/>
            <a:ext cx="25155525" cy="12001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Over_all" displayName="Over_all" ref="A3:N316" headerRowDxfId="142" dataDxfId="140" totalsRowDxfId="138" headerRowBorderDxfId="141" tableBorderDxfId="139" totalsRowBorderDxfId="137" headerRowCellStyle="Comma">
  <autoFilter ref="A3:N316" xr:uid="{00000000-000C-0000-FFFF-FFFF00000000}"/>
  <tableColumns count="14">
    <tableColumn id="1" xr3:uid="{00000000-0010-0000-0000-000001000000}" name="S.No" totalsRowLabel="11" dataDxfId="136" totalsRowDxfId="135">
      <calculatedColumnFormula>BOQ[[#This Row],[S.No]]</calculatedColumnFormula>
    </tableColumn>
    <tableColumn id="3" xr3:uid="{00000000-0010-0000-0000-000003000000}" name="Item Description" totalsRowFunction="custom" dataDxfId="134" totalsRowDxfId="133">
      <calculatedColumnFormula>BOQ[[#This Row],[Item Description]]</calculatedColumnFormula>
      <totalsRowFormula>'Master Data'!AP14</totalsRowFormula>
    </tableColumn>
    <tableColumn id="2" xr3:uid="{00000000-0010-0000-0000-000002000000}" name="Make / Vendor" dataDxfId="132" totalsRowDxfId="131">
      <calculatedColumnFormula>BOQ[[#This Row],[Make / Vendor]]</calculatedColumnFormula>
    </tableColumn>
    <tableColumn id="4" xr3:uid="{00000000-0010-0000-0000-000004000000}" name="Unit" totalsRowLabel="Nos" dataDxfId="130" totalsRowDxfId="129">
      <calculatedColumnFormula>BOQ[[#This Row],[Unit]]</calculatedColumnFormula>
    </tableColumn>
    <tableColumn id="5" xr3:uid="{00000000-0010-0000-0000-000005000000}" name="BOQ" dataDxfId="128" totalsRowDxfId="127" dataCellStyle="Comma"/>
    <tableColumn id="6" xr3:uid="{00000000-0010-0000-0000-000006000000}" name="Received" dataDxfId="126" dataCellStyle="Comma">
      <calculatedColumnFormula>SUMIF('Goods Receipt'!J:J,Over_all[[#This Row],[Item Description]],'Goods Receipt'!M:M)</calculatedColumnFormula>
    </tableColumn>
    <tableColumn id="19" xr3:uid="{00000000-0010-0000-0000-000013000000}" name="Yet to Receive" dataDxfId="125" dataCellStyle="Comma">
      <calculatedColumnFormula>IF(Over_all[[#This Row],[BOQ]]-Over_all[[#This Row],[Received]]&gt;=0,Over_all[[#This Row],[BOQ]]-Over_all[[#This Row],[Received]],"")</calculatedColumnFormula>
    </tableColumn>
    <tableColumn id="7" xr3:uid="{00000000-0010-0000-0000-000007000000}" name="Excess Received" dataDxfId="124" dataCellStyle="Comma">
      <calculatedColumnFormula>IF(Over_all[[#This Row],[BOQ]]-Over_all[[#This Row],[Received]]&lt;0,Over_all[[#This Row],[BOQ]]-Over_all[[#This Row],[Received]],"")</calculatedColumnFormula>
    </tableColumn>
    <tableColumn id="12" xr3:uid="{00000000-0010-0000-0000-00000C000000}" name="Column3" dataDxfId="123" totalsRowDxfId="122" dataCellStyle="Comma"/>
    <tableColumn id="20" xr3:uid="{00000000-0010-0000-0000-000014000000}" name="Received." dataDxfId="121" totalsRowDxfId="120" dataCellStyle="Comma">
      <calculatedColumnFormula>Over_all[[#This Row],[Received]]</calculatedColumnFormula>
    </tableColumn>
    <tableColumn id="9" xr3:uid="{00000000-0010-0000-0000-000009000000}" name="Issued" dataDxfId="119" totalsRowDxfId="118" dataCellStyle="Comma">
      <calculatedColumnFormula>SUMIF(ISSUE!$F:$F,Over_all[[#This Row],[Item Description]],ISSUE!$I:$I)</calculatedColumnFormula>
    </tableColumn>
    <tableColumn id="10" xr3:uid="{00000000-0010-0000-0000-00000A000000}" name="Theoretical Stock" dataDxfId="117" totalsRowDxfId="116" dataCellStyle="Comma">
      <calculatedColumnFormula>Over_all[[#This Row],[Received.]]-Over_all[[#This Row],[Issued]]</calculatedColumnFormula>
    </tableColumn>
    <tableColumn id="18" xr3:uid="{00000000-0010-0000-0000-000012000000}" name="Column32" dataDxfId="115" totalsRowDxfId="114" dataCellStyle="Comma"/>
    <tableColumn id="11" xr3:uid="{00000000-0010-0000-0000-00000B000000}" name="Remarks" dataDxfId="113" totalsRowDxfId="1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Master_data" displayName="Master_data" ref="F2:AR74" totalsRowShown="0" headerRowDxfId="111" dataDxfId="109" headerRowBorderDxfId="110" tableBorderDxfId="108" totalsRowBorderDxfId="107">
  <tableColumns count="39">
    <tableColumn id="1" xr3:uid="{00000000-0010-0000-0300-000001000000}" name="Assets" dataDxfId="106"/>
    <tableColumn id="2" xr3:uid="{00000000-0010-0000-0300-000002000000}" name="Battery" dataDxfId="105"/>
    <tableColumn id="12" xr3:uid="{00000000-0010-0000-0300-00000C000000}" name="Bus_Duct" dataDxfId="104"/>
    <tableColumn id="3" xr3:uid="{00000000-0010-0000-0300-000003000000}" name="Cable_Tray" dataDxfId="103"/>
    <tableColumn id="27" xr3:uid="{00000000-0010-0000-0300-00001B000000}" name="DC_Cables" dataDxfId="102"/>
    <tableColumn id="26" xr3:uid="{00000000-0010-0000-0300-00001A000000}" name="AC_Cables" dataDxfId="101"/>
    <tableColumn id="25" xr3:uid="{00000000-0010-0000-0300-000019000000}" name="HT_Cables" dataDxfId="100"/>
    <tableColumn id="24" xr3:uid="{00000000-0010-0000-0300-000018000000}" name="Earthing_cables" dataDxfId="99"/>
    <tableColumn id="4" xr3:uid="{00000000-0010-0000-0300-000004000000}" name="Aux_Control_Cable" dataDxfId="98"/>
    <tableColumn id="28" xr3:uid="{00000000-0010-0000-0300-00001C000000}" name="Communication_Cable" dataDxfId="97"/>
    <tableColumn id="5" xr3:uid="{00000000-0010-0000-0300-000005000000}" name="CCTV" dataDxfId="96"/>
    <tableColumn id="6" xr3:uid="{00000000-0010-0000-0300-000006000000}" name="UPS" dataDxfId="95"/>
    <tableColumn id="7" xr3:uid="{00000000-0010-0000-0300-000007000000}" name="MCS" dataDxfId="94"/>
    <tableColumn id="8" xr3:uid="{00000000-0010-0000-0300-000008000000}" name="Connectors" dataDxfId="93"/>
    <tableColumn id="33" xr3:uid="{00000000-0010-0000-0300-000021000000}" name="Cable_Glands" dataDxfId="92"/>
    <tableColumn id="34" xr3:uid="{00000000-0010-0000-0300-000022000000}" name="Cable_Termination_Kit" dataDxfId="91"/>
    <tableColumn id="9" xr3:uid="{00000000-0010-0000-0300-000009000000}" name="Cable_Lugs" dataDxfId="90"/>
    <tableColumn id="36" xr3:uid="{00000000-0010-0000-0300-000024000000}" name="Cable_Sleeve" dataDxfId="89"/>
    <tableColumn id="37" xr3:uid="{00000000-0010-0000-0300-000025000000}" name="Cable_Route_Marker" dataDxfId="88"/>
    <tableColumn id="35" xr3:uid="{00000000-0010-0000-0300-000023000000}" name="Cable_Tie" dataDxfId="87"/>
    <tableColumn id="32" xr3:uid="{00000000-0010-0000-0300-000020000000}" name="Inverter" dataDxfId="86"/>
    <tableColumn id="18" xr3:uid="{00000000-0010-0000-0300-000012000000}" name="Transformers" dataDxfId="85"/>
    <tableColumn id="29" xr3:uid="{00000000-0010-0000-0300-00001D000000}" name="HT_Panel" dataDxfId="84"/>
    <tableColumn id="30" xr3:uid="{00000000-0010-0000-0300-00001E000000}" name="LT_Panel" dataDxfId="83"/>
    <tableColumn id="31" xr3:uid="{00000000-0010-0000-0300-00001F000000}" name="Aux_UPS_Panel" dataDxfId="82"/>
    <tableColumn id="11" xr3:uid="{00000000-0010-0000-0300-00000B000000}" name="Earthing" dataDxfId="81"/>
    <tableColumn id="21" xr3:uid="{00000000-0010-0000-0300-000015000000}" name="Pheriperal Boundary" dataDxfId="80"/>
    <tableColumn id="13" xr3:uid="{00000000-0010-0000-0300-00000D000000}" name="Inverters_Structure" dataDxfId="79"/>
    <tableColumn id="14" xr3:uid="{00000000-0010-0000-0300-00000E000000}" name="Lighting_arrestor" dataDxfId="78"/>
    <tableColumn id="38" xr3:uid="{00000000-0010-0000-0300-000026000000}" name="Street_Light" dataDxfId="77"/>
    <tableColumn id="15" xr3:uid="{00000000-0010-0000-0300-00000F000000}" name="Module_Mounting_Structure" dataDxfId="76"/>
    <tableColumn id="20" xr3:uid="{00000000-0010-0000-0300-000014000000}" name="MMS_Fasteners" dataDxfId="75"/>
    <tableColumn id="10" xr3:uid="{00000000-0010-0000-0300-00000A000000}" name="NIFPS" dataDxfId="74"/>
    <tableColumn id="22" xr3:uid="{00000000-0010-0000-0300-000016000000}" name="Pipes" dataDxfId="73"/>
    <tableColumn id="23" xr3:uid="{00000000-0010-0000-0300-000017000000}" name="Solar_Modules" dataDxfId="72"/>
    <tableColumn id="16" xr3:uid="{00000000-0010-0000-0300-000010000000}" name="Safety_Equipments" dataDxfId="71"/>
    <tableColumn id="19" xr3:uid="{00000000-0010-0000-0300-000013000000}" name="Others" dataDxfId="70"/>
    <tableColumn id="39" xr3:uid="{65594980-60C7-4B3B-92BA-5D5CFC58E90C}" name="Switch Yard_Equipments With Accessories" dataDxfId="69"/>
    <tableColumn id="17" xr3:uid="{00000000-0010-0000-0300-000011000000}" name="Scada" dataDxfId="6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ISSUE" displayName="ISSUE" ref="A2:O5012" totalsRowShown="0" headerRowDxfId="67" dataDxfId="65" headerRowBorderDxfId="66" tableBorderDxfId="64" totalsRowBorderDxfId="63" headerRowCellStyle="Normal_Sheet1">
  <autoFilter ref="A2:O5012" xr:uid="{00000000-000C-0000-FFFF-FFFF02000000}"/>
  <tableColumns count="15">
    <tableColumn id="1" xr3:uid="{00000000-0010-0000-0200-000001000000}" name="S. No." dataDxfId="62"/>
    <tableColumn id="2" xr3:uid="{00000000-0010-0000-0200-000002000000}" name="Req Slip No." dataDxfId="61"/>
    <tableColumn id="3" xr3:uid="{00000000-0010-0000-0200-000003000000}" name="Date" dataDxfId="60"/>
    <tableColumn id="4" xr3:uid="{00000000-0010-0000-0200-000004000000}" name="Item Category" dataDxfId="59"/>
    <tableColumn id="5" xr3:uid="{00000000-0010-0000-0200-000005000000}" name="Item Types" dataDxfId="58"/>
    <tableColumn id="6" xr3:uid="{00000000-0010-0000-0200-000006000000}" name="Item Description" dataDxfId="57"/>
    <tableColumn id="7" xr3:uid="{00000000-0010-0000-0200-000007000000}" name="Unit" dataDxfId="56"/>
    <tableColumn id="8" xr3:uid="{00000000-0010-0000-0200-000008000000}" name="Quantity_x000a_Demanded" dataDxfId="55"/>
    <tableColumn id="9" xr3:uid="{00000000-0010-0000-0200-000009000000}" name="Quantity_x000a_Issued" dataDxfId="54"/>
    <tableColumn id="10" xr3:uid="{00000000-0010-0000-0200-00000A000000}" name="Sub-contractor Name" dataDxfId="53"/>
    <tableColumn id="11" xr3:uid="{00000000-0010-0000-0200-00000B000000}" name="Contractor Person_x000a_(Received by)" dataDxfId="52"/>
    <tableColumn id="12" xr3:uid="{00000000-0010-0000-0200-00000C000000}" name="Location" dataDxfId="51"/>
    <tableColumn id="13" xr3:uid="{00000000-0010-0000-0200-00000D000000}" name="Recommanded _x000a_Engineer (Name)" dataDxfId="50"/>
    <tableColumn id="14" xr3:uid="{00000000-0010-0000-0200-00000E000000}" name="Issued By" dataDxfId="49"/>
    <tableColumn id="15" xr3:uid="{00000000-0010-0000-0200-00000F000000}" name="Remarks" dataDxfId="4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Goods_Receipt" displayName="Goods_Receipt" ref="A3:Z1801" totalsRowShown="0" headerRowDxfId="47" dataDxfId="45" headerRowBorderDxfId="46" tableBorderDxfId="44" totalsRowBorderDxfId="43">
  <autoFilter ref="A3:Z1801" xr:uid="{00000000-0009-0000-0100-000001000000}"/>
  <tableColumns count="26">
    <tableColumn id="1" xr3:uid="{00000000-0010-0000-0100-000001000000}" name="S. No." dataDxfId="42"/>
    <tableColumn id="2" xr3:uid="{00000000-0010-0000-0100-000002000000}" name="Recd. Date" dataDxfId="41"/>
    <tableColumn id="3" xr3:uid="{00000000-0010-0000-0100-000003000000}" name="Vendor Invoice No" dataDxfId="40"/>
    <tableColumn id="4" xr3:uid="{00000000-0010-0000-0100-000004000000}" name="Vendor Invoice Date" dataDxfId="39"/>
    <tableColumn id="5" xr3:uid="{00000000-0010-0000-0100-000005000000}" name="GRN" dataDxfId="38"/>
    <tableColumn id="6" xr3:uid="{00000000-0010-0000-0100-000006000000}" name="GRN Date" dataDxfId="37"/>
    <tableColumn id="8" xr3:uid="{00000000-0010-0000-0100-000008000000}" name="Supplier  Name" dataDxfId="36"/>
    <tableColumn id="7" xr3:uid="{00000000-0010-0000-0100-000007000000}" name="Item Category" dataDxfId="35"/>
    <tableColumn id="10" xr3:uid="{00000000-0010-0000-0100-00000A000000}" name="Item Type" dataDxfId="34"/>
    <tableColumn id="11" xr3:uid="{00000000-0010-0000-0100-00000B000000}" name="Item Description" dataDxfId="33"/>
    <tableColumn id="12" xr3:uid="{00000000-0010-0000-0100-00000C000000}" name="Unit" dataDxfId="32"/>
    <tableColumn id="13" xr3:uid="{00000000-0010-0000-0100-00000D000000}" name=" Invoice. /_x000a_ Received Qty " dataDxfId="31" dataCellStyle="Comma"/>
    <tableColumn id="14" xr3:uid="{00000000-0010-0000-0100-00000E000000}" name=" Accepted Qty " dataDxfId="30"/>
    <tableColumn id="15" xr3:uid="{00000000-0010-0000-0100-00000F000000}" name="Rejected/_x000a_Shortage Qty." dataDxfId="29" dataCellStyle="Comma">
      <calculatedColumnFormula>Goods_Receipt[[#This Row],[ Invoice. /
 Received Qty ]]-Goods_Receipt[[#This Row],[ Accepted Qty ]]</calculatedColumnFormula>
    </tableColumn>
    <tableColumn id="16" xr3:uid="{00000000-0010-0000-0100-000010000000}" name="LR No." dataDxfId="28"/>
    <tableColumn id="17" xr3:uid="{00000000-0010-0000-0100-000011000000}" name="LR. Date" dataDxfId="27"/>
    <tableColumn id="18" xr3:uid="{00000000-0010-0000-0100-000012000000}" name="Transporter Name" dataDxfId="26"/>
    <tableColumn id="19" xr3:uid="{00000000-0010-0000-0100-000013000000}" name="Vechicle No" dataDxfId="25"/>
    <tableColumn id="20" xr3:uid="{00000000-0010-0000-0100-000014000000}" name="P O No." dataDxfId="24"/>
    <tableColumn id="21" xr3:uid="{00000000-0010-0000-0100-000015000000}" name="P O Date." dataDxfId="23"/>
    <tableColumn id="27" xr3:uid="{00000000-0010-0000-0100-00001B000000}" name="Received_x000a_Qty" dataDxfId="22" dataCellStyle="Comma"/>
    <tableColumn id="26" xr3:uid="{00000000-0010-0000-0100-00001A000000}" name="Purchase unit" dataDxfId="21"/>
    <tableColumn id="24" xr3:uid="{00000000-0010-0000-0100-000018000000}" name="Purchase Rate" dataDxfId="20"/>
    <tableColumn id="25" xr3:uid="{00000000-0010-0000-0100-000019000000}" name="Purchase Amount" dataDxfId="19" dataCellStyle="Comma"/>
    <tableColumn id="22" xr3:uid="{00000000-0010-0000-0100-000016000000}" name="WAY BILL No." dataDxfId="18"/>
    <tableColumn id="23" xr3:uid="{00000000-0010-0000-0100-000017000000}" name="Remarks" dataDxfId="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BOQ" displayName="BOQ" ref="A3:F316" totalsRowShown="0" headerRowDxfId="16" tableBorderDxfId="15">
  <autoFilter ref="A3:F316" xr:uid="{00000000-0009-0000-0100-000004000000}"/>
  <tableColumns count="6">
    <tableColumn id="1" xr3:uid="{00000000-0010-0000-0400-000001000000}" name="S.No" dataDxfId="14" totalsRowDxfId="13"/>
    <tableColumn id="2" xr3:uid="{00000000-0010-0000-0400-000002000000}" name="Item Description" dataDxfId="12" totalsRowDxfId="11"/>
    <tableColumn id="3" xr3:uid="{00000000-0010-0000-0400-000003000000}" name="Make / Vendor" dataDxfId="10" totalsRowDxfId="9"/>
    <tableColumn id="4" xr3:uid="{00000000-0010-0000-0400-000004000000}" name="Unit" dataDxfId="8" totalsRowDxfId="7"/>
    <tableColumn id="5" xr3:uid="{00000000-0010-0000-0400-000005000000}" name="BOQ" dataDxfId="6" totalsRowDxfId="5" dataCellStyle="Comma"/>
    <tableColumn id="6" xr3:uid="{00000000-0010-0000-0400-000006000000}" name="Remarks" dataDxfId="4" totalsRowDxfId="3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3300"/>
  </sheetPr>
  <dimension ref="A1:N317"/>
  <sheetViews>
    <sheetView showZeros="0" tabSelected="1" zoomScaleNormal="100" workbookViewId="0">
      <pane ySplit="3" topLeftCell="A6" activePane="bottomLeft" state="frozen"/>
      <selection activeCell="B5" sqref="B5"/>
      <selection pane="bottomLeft" activeCell="J293" sqref="J293"/>
    </sheetView>
  </sheetViews>
  <sheetFormatPr defaultColWidth="9.1796875" defaultRowHeight="11.5" outlineLevelRow="1" x14ac:dyDescent="0.35"/>
  <cols>
    <col min="1" max="1" width="6.54296875" style="213" bestFit="1" customWidth="1"/>
    <col min="2" max="2" width="47" style="225" customWidth="1"/>
    <col min="3" max="3" width="12.1796875" style="226" customWidth="1"/>
    <col min="4" max="4" width="6.453125" style="226" customWidth="1"/>
    <col min="5" max="5" width="8.26953125" style="226" customWidth="1"/>
    <col min="6" max="6" width="11.54296875" style="226" customWidth="1"/>
    <col min="7" max="7" width="11.26953125" style="226" customWidth="1"/>
    <col min="8" max="8" width="12" style="227" customWidth="1"/>
    <col min="9" max="9" width="0.453125" style="226" customWidth="1"/>
    <col min="10" max="10" width="9.54296875" style="226" customWidth="1"/>
    <col min="11" max="11" width="12.7265625" style="226" customWidth="1"/>
    <col min="12" max="12" width="11.54296875" style="226" customWidth="1"/>
    <col min="13" max="13" width="0.453125" style="213" customWidth="1"/>
    <col min="14" max="14" width="16.81640625" style="225" customWidth="1"/>
    <col min="15" max="16384" width="9.1796875" style="213"/>
  </cols>
  <sheetData>
    <row r="1" spans="1:14" ht="87" customHeight="1" thickBot="1" x14ac:dyDescent="0.4">
      <c r="A1" s="260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2"/>
    </row>
    <row r="2" spans="1:14" s="215" customFormat="1" ht="15" customHeight="1" thickBot="1" x14ac:dyDescent="0.4">
      <c r="A2" s="49" t="s">
        <v>133</v>
      </c>
      <c r="B2" s="76">
        <f ca="1">TODAY()</f>
        <v>45634</v>
      </c>
      <c r="C2" s="185"/>
      <c r="D2" s="185"/>
      <c r="E2" s="263" t="s">
        <v>134</v>
      </c>
      <c r="F2" s="263"/>
      <c r="G2" s="263"/>
      <c r="H2" s="263"/>
      <c r="I2" s="185"/>
      <c r="J2" s="263" t="s">
        <v>136</v>
      </c>
      <c r="K2" s="263"/>
      <c r="L2" s="263"/>
      <c r="M2" s="214"/>
      <c r="N2" s="73"/>
    </row>
    <row r="3" spans="1:14" ht="26.5" thickBot="1" x14ac:dyDescent="0.4">
      <c r="A3" s="81" t="s">
        <v>1</v>
      </c>
      <c r="B3" s="82" t="s">
        <v>2</v>
      </c>
      <c r="C3" s="106" t="s">
        <v>3</v>
      </c>
      <c r="D3" s="107" t="s">
        <v>4</v>
      </c>
      <c r="E3" s="106" t="s">
        <v>5</v>
      </c>
      <c r="F3" s="107" t="s">
        <v>6</v>
      </c>
      <c r="G3" s="106" t="s">
        <v>132</v>
      </c>
      <c r="H3" s="190" t="s">
        <v>135</v>
      </c>
      <c r="I3" s="216" t="s">
        <v>131</v>
      </c>
      <c r="J3" s="107" t="s">
        <v>7</v>
      </c>
      <c r="K3" s="107" t="s">
        <v>8</v>
      </c>
      <c r="L3" s="106" t="s">
        <v>130</v>
      </c>
      <c r="M3" s="217" t="s">
        <v>137</v>
      </c>
      <c r="N3" s="83" t="s">
        <v>9</v>
      </c>
    </row>
    <row r="4" spans="1:14" ht="16" customHeight="1" x14ac:dyDescent="0.35">
      <c r="A4" s="191" t="str">
        <f>BOQ[[#This Row],[S.No]]</f>
        <v>A</v>
      </c>
      <c r="B4" s="192" t="str">
        <f>BOQ[[#This Row],[Item Description]]</f>
        <v>Module_Mounting_Structure</v>
      </c>
      <c r="C4" s="193">
        <f>BOQ[[#This Row],[Make / Vendor]]</f>
        <v>0</v>
      </c>
      <c r="D4" s="193">
        <f>BOQ[[#This Row],[Unit]]</f>
        <v>0</v>
      </c>
      <c r="E4" s="194"/>
      <c r="F4" s="200">
        <f>SUMIF('Goods Receipt'!$J:$J,Over_all[[#This Row],[Item Description]],'Goods Receipt'!$M:$M)</f>
        <v>0</v>
      </c>
      <c r="G4" s="195"/>
      <c r="H4" s="196" t="str">
        <f>IF(Over_all[[#This Row],[BOQ]]-Over_all[[#This Row],[Received]]&lt;0,Over_all[[#This Row],[BOQ]]-Over_all[[#This Row],[Received]],"")</f>
        <v/>
      </c>
      <c r="I4" s="218"/>
      <c r="J4" s="195"/>
      <c r="K4" s="195">
        <f>SUMIF(ISSUE!$F:$F,Over_all[[#This Row],[Item Description]],ISSUE!$I:$I)</f>
        <v>0</v>
      </c>
      <c r="L4" s="195">
        <f>Over_all[[#This Row],[Received.]]-Over_all[[#This Row],[Issued]]</f>
        <v>0</v>
      </c>
      <c r="M4" s="219"/>
      <c r="N4" s="220"/>
    </row>
    <row r="5" spans="1:14" ht="16" customHeight="1" outlineLevel="1" x14ac:dyDescent="0.35">
      <c r="A5" s="197">
        <f>BOQ[[#This Row],[S.No]]</f>
        <v>1</v>
      </c>
      <c r="B5" s="198" t="str">
        <f>BOQ[[#This Row],[Item Description]]</f>
        <v>Column Post - 120x50x20x2.0 MM</v>
      </c>
      <c r="C5" s="199">
        <f>BOQ[[#This Row],[Make / Vendor]]</f>
        <v>0</v>
      </c>
      <c r="D5" s="199" t="str">
        <f>BOQ[[#This Row],[Unit]]</f>
        <v>Nos</v>
      </c>
      <c r="E5" s="199">
        <f>BOQ[[#This Row],[BOQ]]</f>
        <v>4434</v>
      </c>
      <c r="F5" s="200">
        <f>SUMIF('Goods Receipt'!$J:$J,Over_all[[#This Row],[Item Description]],'Goods Receipt'!$M:$M)</f>
        <v>4493</v>
      </c>
      <c r="G5" s="200" t="str">
        <f>IF(Over_all[[#This Row],[BOQ]]-Over_all[[#This Row],[Received]]&gt;=0,Over_all[[#This Row],[BOQ]]-Over_all[[#This Row],[Received]],"")</f>
        <v/>
      </c>
      <c r="H5" s="201">
        <f>IF(Over_all[[#This Row],[BOQ]]-Over_all[[#This Row],[Received]]&lt;0,Over_all[[#This Row],[BOQ]]-Over_all[[#This Row],[Received]],"")</f>
        <v>-59</v>
      </c>
      <c r="I5" s="221"/>
      <c r="J5" s="200">
        <f>Over_all[[#This Row],[Received]]</f>
        <v>4493</v>
      </c>
      <c r="K5" s="200">
        <f>SUMIF(ISSUE!$F:$F,Over_all[[#This Row],[Item Description]],ISSUE!$I:$I)</f>
        <v>2549</v>
      </c>
      <c r="L5" s="200">
        <f>Over_all[[#This Row],[Received.]]-Over_all[[#This Row],[Issued]]</f>
        <v>1944</v>
      </c>
      <c r="M5" s="212"/>
      <c r="N5" s="222"/>
    </row>
    <row r="6" spans="1:14" ht="16" customHeight="1" outlineLevel="1" x14ac:dyDescent="0.35">
      <c r="A6" s="197">
        <f>BOQ[[#This Row],[S.No]]</f>
        <v>2</v>
      </c>
      <c r="B6" s="198" t="str">
        <f>BOQ[[#This Row],[Item Description]]</f>
        <v>Column Ext - 50x50x2.0 MM</v>
      </c>
      <c r="C6" s="199">
        <f>BOQ[[#This Row],[Make / Vendor]]</f>
        <v>0</v>
      </c>
      <c r="D6" s="199" t="str">
        <f>BOQ[[#This Row],[Unit]]</f>
        <v>Nos</v>
      </c>
      <c r="E6" s="199">
        <f>BOQ[[#This Row],[BOQ]]</f>
        <v>4434</v>
      </c>
      <c r="F6" s="200">
        <f>SUMIF('Goods Receipt'!$J:$J,Over_all[[#This Row],[Item Description]],'Goods Receipt'!$M:$M)</f>
        <v>4409</v>
      </c>
      <c r="G6" s="200">
        <f>IF(Over_all[[#This Row],[BOQ]]-Over_all[[#This Row],[Received]]&gt;=0,Over_all[[#This Row],[BOQ]]-Over_all[[#This Row],[Received]],"")</f>
        <v>25</v>
      </c>
      <c r="H6" s="201" t="str">
        <f>IF(Over_all[[#This Row],[BOQ]]-Over_all[[#This Row],[Received]]&lt;0,Over_all[[#This Row],[BOQ]]-Over_all[[#This Row],[Received]],"")</f>
        <v/>
      </c>
      <c r="I6" s="221"/>
      <c r="J6" s="200">
        <f>Over_all[[#This Row],[Received]]</f>
        <v>4409</v>
      </c>
      <c r="K6" s="200">
        <f>SUMIF(ISSUE!$F:$F,Over_all[[#This Row],[Item Description]],ISSUE!$I:$I)</f>
        <v>2528</v>
      </c>
      <c r="L6" s="200">
        <f>Over_all[[#This Row],[Received.]]-Over_all[[#This Row],[Issued]]</f>
        <v>1881</v>
      </c>
      <c r="M6" s="212"/>
      <c r="N6" s="222"/>
    </row>
    <row r="7" spans="1:14" ht="16" customHeight="1" outlineLevel="1" x14ac:dyDescent="0.35">
      <c r="A7" s="197">
        <f>BOQ[[#This Row],[S.No]]</f>
        <v>3</v>
      </c>
      <c r="B7" s="198" t="str">
        <f>BOQ[[#This Row],[Item Description]]</f>
        <v>Module Mounting Strucyure - Purlin (P1)</v>
      </c>
      <c r="C7" s="199">
        <f>BOQ[[#This Row],[Make / Vendor]]</f>
        <v>0</v>
      </c>
      <c r="D7" s="199" t="str">
        <f>BOQ[[#This Row],[Unit]]</f>
        <v>Nos</v>
      </c>
      <c r="E7" s="199">
        <f>BOQ[[#This Row],[BOQ]]</f>
        <v>5912</v>
      </c>
      <c r="F7" s="200">
        <f>SUMIF('Goods Receipt'!$J:$J,Over_all[[#This Row],[Item Description]],'Goods Receipt'!$M:$M)</f>
        <v>5990</v>
      </c>
      <c r="G7" s="200" t="str">
        <f>IF(Over_all[[#This Row],[BOQ]]-Over_all[[#This Row],[Received]]&gt;=0,Over_all[[#This Row],[BOQ]]-Over_all[[#This Row],[Received]],"")</f>
        <v/>
      </c>
      <c r="H7" s="201">
        <f>IF(Over_all[[#This Row],[BOQ]]-Over_all[[#This Row],[Received]]&lt;0,Over_all[[#This Row],[BOQ]]-Over_all[[#This Row],[Received]],"")</f>
        <v>-78</v>
      </c>
      <c r="I7" s="221"/>
      <c r="J7" s="200">
        <f>Over_all[[#This Row],[Received]]</f>
        <v>5990</v>
      </c>
      <c r="K7" s="200">
        <f>SUMIF(ISSUE!$F:$F,Over_all[[#This Row],[Item Description]],ISSUE!$I:$I)</f>
        <v>0</v>
      </c>
      <c r="L7" s="200">
        <f>Over_all[[#This Row],[Received.]]-Over_all[[#This Row],[Issued]]</f>
        <v>5990</v>
      </c>
      <c r="M7" s="212"/>
      <c r="N7" s="222"/>
    </row>
    <row r="8" spans="1:14" ht="16" customHeight="1" outlineLevel="1" x14ac:dyDescent="0.35">
      <c r="A8" s="197">
        <f>BOQ[[#This Row],[S.No]]</f>
        <v>4</v>
      </c>
      <c r="B8" s="198" t="str">
        <f>BOQ[[#This Row],[Item Description]]</f>
        <v>Module Mounting Strucyure - Rafter</v>
      </c>
      <c r="C8" s="199">
        <f>BOQ[[#This Row],[Make / Vendor]]</f>
        <v>0</v>
      </c>
      <c r="D8" s="199" t="str">
        <f>BOQ[[#This Row],[Unit]]</f>
        <v>Nos</v>
      </c>
      <c r="E8" s="199">
        <f>BOQ[[#This Row],[BOQ]]</f>
        <v>4434</v>
      </c>
      <c r="F8" s="200">
        <f>SUMIF('Goods Receipt'!$J:$J,Over_all[[#This Row],[Item Description]],'Goods Receipt'!$M:$M)</f>
        <v>4488</v>
      </c>
      <c r="G8" s="200" t="str">
        <f>IF(Over_all[[#This Row],[BOQ]]-Over_all[[#This Row],[Received]]&gt;=0,Over_all[[#This Row],[BOQ]]-Over_all[[#This Row],[Received]],"")</f>
        <v/>
      </c>
      <c r="H8" s="201">
        <f>IF(Over_all[[#This Row],[BOQ]]-Over_all[[#This Row],[Received]]&lt;0,Over_all[[#This Row],[BOQ]]-Over_all[[#This Row],[Received]],"")</f>
        <v>-54</v>
      </c>
      <c r="I8" s="221"/>
      <c r="J8" s="200">
        <f>Over_all[[#This Row],[Received]]</f>
        <v>4488</v>
      </c>
      <c r="K8" s="200">
        <f>SUMIF(ISSUE!$F:$F,Over_all[[#This Row],[Item Description]],ISSUE!$I:$I)</f>
        <v>1090</v>
      </c>
      <c r="L8" s="200">
        <f>Over_all[[#This Row],[Received.]]-Over_all[[#This Row],[Issued]]</f>
        <v>3398</v>
      </c>
      <c r="M8" s="212"/>
      <c r="N8" s="222"/>
    </row>
    <row r="9" spans="1:14" ht="16" customHeight="1" outlineLevel="1" x14ac:dyDescent="0.35">
      <c r="A9" s="197">
        <f>BOQ[[#This Row],[S.No]]</f>
        <v>5</v>
      </c>
      <c r="B9" s="198" t="str">
        <f>BOQ[[#This Row],[Item Description]]</f>
        <v>Module Mounting Strucyure - Rafter Bracing Back</v>
      </c>
      <c r="C9" s="199">
        <f>BOQ[[#This Row],[Make / Vendor]]</f>
        <v>0</v>
      </c>
      <c r="D9" s="199" t="str">
        <f>BOQ[[#This Row],[Unit]]</f>
        <v>Nos</v>
      </c>
      <c r="E9" s="199">
        <f>BOQ[[#This Row],[BOQ]]</f>
        <v>4434</v>
      </c>
      <c r="F9" s="200">
        <f>SUMIF('Goods Receipt'!$J:$J,Over_all[[#This Row],[Item Description]],'Goods Receipt'!$M:$M)</f>
        <v>4494</v>
      </c>
      <c r="G9" s="200" t="str">
        <f>IF(Over_all[[#This Row],[BOQ]]-Over_all[[#This Row],[Received]]&gt;=0,Over_all[[#This Row],[BOQ]]-Over_all[[#This Row],[Received]],"")</f>
        <v/>
      </c>
      <c r="H9" s="201">
        <f>IF(Over_all[[#This Row],[BOQ]]-Over_all[[#This Row],[Received]]&lt;0,Over_all[[#This Row],[BOQ]]-Over_all[[#This Row],[Received]],"")</f>
        <v>-60</v>
      </c>
      <c r="I9" s="221"/>
      <c r="J9" s="200">
        <f>Over_all[[#This Row],[Received]]</f>
        <v>4494</v>
      </c>
      <c r="K9" s="200">
        <f>SUMIF(ISSUE!$F:$F,Over_all[[#This Row],[Item Description]],ISSUE!$I:$I)</f>
        <v>1090</v>
      </c>
      <c r="L9" s="200">
        <f>Over_all[[#This Row],[Received.]]-Over_all[[#This Row],[Issued]]</f>
        <v>3404</v>
      </c>
      <c r="M9" s="212"/>
      <c r="N9" s="222"/>
    </row>
    <row r="10" spans="1:14" ht="16" customHeight="1" outlineLevel="1" x14ac:dyDescent="0.35">
      <c r="A10" s="197">
        <f>BOQ[[#This Row],[S.No]]</f>
        <v>6</v>
      </c>
      <c r="B10" s="198" t="str">
        <f>BOQ[[#This Row],[Item Description]]</f>
        <v>Module Mounting Strucyure - Bracing Connector</v>
      </c>
      <c r="C10" s="199">
        <f>BOQ[[#This Row],[Make / Vendor]]</f>
        <v>0</v>
      </c>
      <c r="D10" s="199" t="str">
        <f>BOQ[[#This Row],[Unit]]</f>
        <v>Nos</v>
      </c>
      <c r="E10" s="199">
        <f>BOQ[[#This Row],[BOQ]]</f>
        <v>4434</v>
      </c>
      <c r="F10" s="200">
        <f>SUMIF('Goods Receipt'!$J:$J,Over_all[[#This Row],[Item Description]],'Goods Receipt'!$M:$M)</f>
        <v>4536</v>
      </c>
      <c r="G10" s="200" t="str">
        <f>IF(Over_all[[#This Row],[BOQ]]-Over_all[[#This Row],[Received]]&gt;=0,Over_all[[#This Row],[BOQ]]-Over_all[[#This Row],[Received]],"")</f>
        <v/>
      </c>
      <c r="H10" s="201">
        <f>IF(Over_all[[#This Row],[BOQ]]-Over_all[[#This Row],[Received]]&lt;0,Over_all[[#This Row],[BOQ]]-Over_all[[#This Row],[Received]],"")</f>
        <v>-102</v>
      </c>
      <c r="I10" s="221"/>
      <c r="J10" s="200">
        <f>Over_all[[#This Row],[Received]]</f>
        <v>4536</v>
      </c>
      <c r="K10" s="200">
        <f>SUMIF(ISSUE!$F:$F,Over_all[[#This Row],[Item Description]],ISSUE!$I:$I)</f>
        <v>0</v>
      </c>
      <c r="L10" s="200">
        <f>Over_all[[#This Row],[Received.]]-Over_all[[#This Row],[Issued]]</f>
        <v>4536</v>
      </c>
      <c r="M10" s="212"/>
      <c r="N10" s="222"/>
    </row>
    <row r="11" spans="1:14" ht="16" customHeight="1" outlineLevel="1" x14ac:dyDescent="0.35">
      <c r="A11" s="197">
        <f>BOQ[[#This Row],[S.No]]</f>
        <v>7</v>
      </c>
      <c r="B11" s="198" t="str">
        <f>BOQ[[#This Row],[Item Description]]</f>
        <v>Module Mounting Strucyure - Purlin (P2)</v>
      </c>
      <c r="C11" s="199">
        <f>BOQ[[#This Row],[Make / Vendor]]</f>
        <v>0</v>
      </c>
      <c r="D11" s="199" t="str">
        <f>BOQ[[#This Row],[Unit]]</f>
        <v>Nos</v>
      </c>
      <c r="E11" s="199">
        <f>BOQ[[#This Row],[BOQ]]</f>
        <v>2956</v>
      </c>
      <c r="F11" s="200">
        <f>SUMIF('Goods Receipt'!$J:$J,Over_all[[#This Row],[Item Description]],'Goods Receipt'!$M:$M)</f>
        <v>2995</v>
      </c>
      <c r="G11" s="200" t="str">
        <f>IF(Over_all[[#This Row],[BOQ]]-Over_all[[#This Row],[Received]]&gt;=0,Over_all[[#This Row],[BOQ]]-Over_all[[#This Row],[Received]],"")</f>
        <v/>
      </c>
      <c r="H11" s="201">
        <f>IF(Over_all[[#This Row],[BOQ]]-Over_all[[#This Row],[Received]]&lt;0,Over_all[[#This Row],[BOQ]]-Over_all[[#This Row],[Received]],"")</f>
        <v>-39</v>
      </c>
      <c r="I11" s="221"/>
      <c r="J11" s="200">
        <f>Over_all[[#This Row],[Received]]</f>
        <v>2995</v>
      </c>
      <c r="K11" s="200">
        <f>SUMIF(ISSUE!$F:$F,Over_all[[#This Row],[Item Description]],ISSUE!$I:$I)</f>
        <v>0</v>
      </c>
      <c r="L11" s="200">
        <f>Over_all[[#This Row],[Received.]]-Over_all[[#This Row],[Issued]]</f>
        <v>2995</v>
      </c>
      <c r="M11" s="212"/>
      <c r="N11" s="222"/>
    </row>
    <row r="12" spans="1:14" ht="16" customHeight="1" outlineLevel="1" x14ac:dyDescent="0.35">
      <c r="A12" s="197">
        <f>BOQ[[#This Row],[S.No]]</f>
        <v>8</v>
      </c>
      <c r="B12" s="198" t="str">
        <f>BOQ[[#This Row],[Item Description]]</f>
        <v>Module Mounting Strucyure - Col, to Rafter Bracing front</v>
      </c>
      <c r="C12" s="199">
        <f>BOQ[[#This Row],[Make / Vendor]]</f>
        <v>0</v>
      </c>
      <c r="D12" s="199" t="str">
        <f>BOQ[[#This Row],[Unit]]</f>
        <v>Nos</v>
      </c>
      <c r="E12" s="199">
        <f>BOQ[[#This Row],[BOQ]]</f>
        <v>4434</v>
      </c>
      <c r="F12" s="200">
        <f>SUMIF('Goods Receipt'!$J:$J,Over_all[[#This Row],[Item Description]],'Goods Receipt'!$M:$M)</f>
        <v>4200</v>
      </c>
      <c r="G12" s="200">
        <f>IF(Over_all[[#This Row],[BOQ]]-Over_all[[#This Row],[Received]]&gt;=0,Over_all[[#This Row],[BOQ]]-Over_all[[#This Row],[Received]],"")</f>
        <v>234</v>
      </c>
      <c r="H12" s="201" t="str">
        <f>IF(Over_all[[#This Row],[BOQ]]-Over_all[[#This Row],[Received]]&lt;0,Over_all[[#This Row],[BOQ]]-Over_all[[#This Row],[Received]],"")</f>
        <v/>
      </c>
      <c r="I12" s="221"/>
      <c r="J12" s="200">
        <f>Over_all[[#This Row],[Received]]</f>
        <v>4200</v>
      </c>
      <c r="K12" s="200">
        <f>SUMIF(ISSUE!$F:$F,Over_all[[#This Row],[Item Description]],ISSUE!$I:$I)</f>
        <v>1090</v>
      </c>
      <c r="L12" s="200">
        <f>Over_all[[#This Row],[Received.]]-Over_all[[#This Row],[Issued]]</f>
        <v>3110</v>
      </c>
      <c r="M12" s="212"/>
      <c r="N12" s="222"/>
    </row>
    <row r="13" spans="1:14" ht="16" customHeight="1" outlineLevel="1" x14ac:dyDescent="0.35">
      <c r="A13" s="197">
        <f>BOQ[[#This Row],[S.No]]</f>
        <v>9</v>
      </c>
      <c r="B13" s="198" t="str">
        <f>BOQ[[#This Row],[Item Description]]</f>
        <v>Module Mounting Strucyure - Stay Bracing</v>
      </c>
      <c r="C13" s="199">
        <f>BOQ[[#This Row],[Make / Vendor]]</f>
        <v>0</v>
      </c>
      <c r="D13" s="199" t="str">
        <f>BOQ[[#This Row],[Unit]]</f>
        <v>Nos</v>
      </c>
      <c r="E13" s="199">
        <f>BOQ[[#This Row],[BOQ]]</f>
        <v>1478</v>
      </c>
      <c r="F13" s="200">
        <f>SUMIF('Goods Receipt'!$J:$J,Over_all[[#This Row],[Item Description]],'Goods Receipt'!$M:$M)</f>
        <v>1498</v>
      </c>
      <c r="G13" s="200" t="str">
        <f>IF(Over_all[[#This Row],[BOQ]]-Over_all[[#This Row],[Received]]&gt;=0,Over_all[[#This Row],[BOQ]]-Over_all[[#This Row],[Received]],"")</f>
        <v/>
      </c>
      <c r="H13" s="201">
        <f>IF(Over_all[[#This Row],[BOQ]]-Over_all[[#This Row],[Received]]&lt;0,Over_all[[#This Row],[BOQ]]-Over_all[[#This Row],[Received]],"")</f>
        <v>-20</v>
      </c>
      <c r="I13" s="221"/>
      <c r="J13" s="200">
        <f>Over_all[[#This Row],[Received]]</f>
        <v>1498</v>
      </c>
      <c r="K13" s="200">
        <f>SUMIF(ISSUE!$F:$F,Over_all[[#This Row],[Item Description]],ISSUE!$I:$I)</f>
        <v>0</v>
      </c>
      <c r="L13" s="200">
        <f>Over_all[[#This Row],[Received.]]-Over_all[[#This Row],[Issued]]</f>
        <v>1498</v>
      </c>
      <c r="M13" s="212"/>
      <c r="N13" s="222"/>
    </row>
    <row r="14" spans="1:14" ht="16" customHeight="1" x14ac:dyDescent="0.35">
      <c r="A14" s="197">
        <f>BOQ[[#This Row],[S.No]]</f>
        <v>0</v>
      </c>
      <c r="B14" s="198">
        <f>BOQ[[#This Row],[Item Description]]</f>
        <v>0</v>
      </c>
      <c r="C14" s="199">
        <f>BOQ[[#This Row],[Make / Vendor]]</f>
        <v>0</v>
      </c>
      <c r="D14" s="199">
        <f>BOQ[[#This Row],[Unit]]</f>
        <v>0</v>
      </c>
      <c r="E14" s="199">
        <f>BOQ[[#This Row],[BOQ]]</f>
        <v>0</v>
      </c>
      <c r="F14" s="200">
        <f>SUMIF('Goods Receipt'!$J:$J,Over_all[[#This Row],[Item Description]],'Goods Receipt'!$M:$M)</f>
        <v>0</v>
      </c>
      <c r="G14" s="200">
        <f>IF(Over_all[[#This Row],[BOQ]]-Over_all[[#This Row],[Received]]&gt;=0,Over_all[[#This Row],[BOQ]]-Over_all[[#This Row],[Received]],"")</f>
        <v>0</v>
      </c>
      <c r="H14" s="201" t="str">
        <f>IF(Over_all[[#This Row],[BOQ]]-Over_all[[#This Row],[Received]]&lt;0,Over_all[[#This Row],[BOQ]]-Over_all[[#This Row],[Received]],"")</f>
        <v/>
      </c>
      <c r="I14" s="221"/>
      <c r="J14" s="200">
        <f>Over_all[[#This Row],[Received]]</f>
        <v>0</v>
      </c>
      <c r="K14" s="200">
        <f>SUMIF(ISSUE!$F:$F,Over_all[[#This Row],[Item Description]],ISSUE!$I:$I)</f>
        <v>0</v>
      </c>
      <c r="L14" s="200">
        <f>Over_all[[#This Row],[Received.]]-Over_all[[#This Row],[Issued]]</f>
        <v>0</v>
      </c>
      <c r="M14" s="212"/>
      <c r="N14" s="222"/>
    </row>
    <row r="15" spans="1:14" ht="16" customHeight="1" outlineLevel="1" x14ac:dyDescent="0.35">
      <c r="A15" s="202" t="str">
        <f>BOQ[[#This Row],[S.No]]</f>
        <v>B</v>
      </c>
      <c r="B15" s="203" t="str">
        <f>BOQ[[#This Row],[Item Description]]</f>
        <v>MMS_Fasteners</v>
      </c>
      <c r="C15" s="199">
        <f>BOQ[[#This Row],[Make / Vendor]]</f>
        <v>0</v>
      </c>
      <c r="D15" s="199">
        <f>BOQ[[#This Row],[Unit]]</f>
        <v>0</v>
      </c>
      <c r="E15" s="199">
        <f>BOQ[[#This Row],[BOQ]]</f>
        <v>0</v>
      </c>
      <c r="F15" s="200">
        <f>SUMIF('Goods Receipt'!$J:$J,Over_all[[#This Row],[Item Description]],'Goods Receipt'!$M:$M)</f>
        <v>0</v>
      </c>
      <c r="G15" s="200">
        <f>IF(Over_all[[#This Row],[BOQ]]-Over_all[[#This Row],[Received]]&gt;=0,Over_all[[#This Row],[BOQ]]-Over_all[[#This Row],[Received]],"")</f>
        <v>0</v>
      </c>
      <c r="H15" s="201" t="str">
        <f>IF(Over_all[[#This Row],[BOQ]]-Over_all[[#This Row],[Received]]&lt;0,Over_all[[#This Row],[BOQ]]-Over_all[[#This Row],[Received]],"")</f>
        <v/>
      </c>
      <c r="I15" s="221"/>
      <c r="J15" s="200">
        <f>Over_all[[#This Row],[Received]]</f>
        <v>0</v>
      </c>
      <c r="K15" s="200">
        <f>SUMIF(ISSUE!$F:$F,Over_all[[#This Row],[Item Description]],ISSUE!$I:$I)</f>
        <v>0</v>
      </c>
      <c r="L15" s="200">
        <f>Over_all[[#This Row],[Received.]]-Over_all[[#This Row],[Issued]]</f>
        <v>0</v>
      </c>
      <c r="M15" s="212"/>
      <c r="N15" s="222"/>
    </row>
    <row r="16" spans="1:14" ht="16" customHeight="1" outlineLevel="1" x14ac:dyDescent="0.35">
      <c r="A16" s="197">
        <f>BOQ[[#This Row],[S.No]]</f>
        <v>1</v>
      </c>
      <c r="B16" s="198" t="str">
        <f>BOQ[[#This Row],[Item Description]]</f>
        <v>HEX BOLT+NUT+2PLN WSR+1SP WSR M-16x40</v>
      </c>
      <c r="C16" s="199">
        <f>BOQ[[#This Row],[Make / Vendor]]</f>
        <v>0</v>
      </c>
      <c r="D16" s="199" t="str">
        <f>BOQ[[#This Row],[Unit]]</f>
        <v>Set</v>
      </c>
      <c r="E16" s="199">
        <f>BOQ[[#This Row],[BOQ]]</f>
        <v>4434</v>
      </c>
      <c r="F16" s="200">
        <f>SUMIF('Goods Receipt'!$J:$J,Over_all[[#This Row],[Item Description]],'Goods Receipt'!$M:$M)</f>
        <v>4290</v>
      </c>
      <c r="G16" s="200">
        <f>IF(Over_all[[#This Row],[BOQ]]-Over_all[[#This Row],[Received]]&gt;=0,Over_all[[#This Row],[BOQ]]-Over_all[[#This Row],[Received]],"")</f>
        <v>144</v>
      </c>
      <c r="H16" s="201" t="str">
        <f>IF(Over_all[[#This Row],[BOQ]]-Over_all[[#This Row],[Received]]&lt;0,Over_all[[#This Row],[BOQ]]-Over_all[[#This Row],[Received]],"")</f>
        <v/>
      </c>
      <c r="I16" s="221"/>
      <c r="J16" s="200">
        <f>Over_all[[#This Row],[Received]]</f>
        <v>4290</v>
      </c>
      <c r="K16" s="200">
        <f>SUMIF(ISSUE!$F:$F,Over_all[[#This Row],[Item Description]],ISSUE!$I:$I)</f>
        <v>2000</v>
      </c>
      <c r="L16" s="200">
        <f>Over_all[[#This Row],[Received.]]-Over_all[[#This Row],[Issued]]</f>
        <v>2290</v>
      </c>
      <c r="M16" s="212"/>
      <c r="N16" s="222"/>
    </row>
    <row r="17" spans="1:14" ht="16" customHeight="1" outlineLevel="1" x14ac:dyDescent="0.35">
      <c r="A17" s="204">
        <f>BOQ[[#This Row],[S.No]]</f>
        <v>2</v>
      </c>
      <c r="B17" s="198" t="str">
        <f>BOQ[[#This Row],[Item Description]]</f>
        <v>HEX BOLT+NUT+2PLN WSR+1SP WSR M-10x30</v>
      </c>
      <c r="C17" s="199">
        <f>BOQ[[#This Row],[Make / Vendor]]</f>
        <v>0</v>
      </c>
      <c r="D17" s="199" t="str">
        <f>BOQ[[#This Row],[Unit]]</f>
        <v>Set</v>
      </c>
      <c r="E17" s="199">
        <f>BOQ[[#This Row],[BOQ]]</f>
        <v>13302</v>
      </c>
      <c r="F17" s="200">
        <f>SUMIF('Goods Receipt'!$J:$J,Over_all[[#This Row],[Item Description]],'Goods Receipt'!$M:$M)</f>
        <v>12870</v>
      </c>
      <c r="G17" s="200">
        <f>IF(Over_all[[#This Row],[BOQ]]-Over_all[[#This Row],[Received]]&gt;=0,Over_all[[#This Row],[BOQ]]-Over_all[[#This Row],[Received]],"")</f>
        <v>432</v>
      </c>
      <c r="H17" s="201" t="str">
        <f>IF(Over_all[[#This Row],[BOQ]]-Over_all[[#This Row],[Received]]&lt;0,Over_all[[#This Row],[BOQ]]-Over_all[[#This Row],[Received]],"")</f>
        <v/>
      </c>
      <c r="I17" s="221"/>
      <c r="J17" s="200">
        <f>Over_all[[#This Row],[Received]]</f>
        <v>12870</v>
      </c>
      <c r="K17" s="200">
        <f>SUMIF(ISSUE!$F:$F,Over_all[[#This Row],[Item Description]],ISSUE!$I:$I)</f>
        <v>12770</v>
      </c>
      <c r="L17" s="200">
        <f>Over_all[[#This Row],[Received.]]-Over_all[[#This Row],[Issued]]</f>
        <v>100</v>
      </c>
      <c r="M17" s="212"/>
      <c r="N17" s="222"/>
    </row>
    <row r="18" spans="1:14" ht="16" customHeight="1" outlineLevel="1" x14ac:dyDescent="0.35">
      <c r="A18" s="197">
        <f>BOQ[[#This Row],[S.No]]</f>
        <v>3</v>
      </c>
      <c r="B18" s="205" t="str">
        <f>BOQ[[#This Row],[Item Description]]</f>
        <v>HEX BOLT+NUT+2PLN WSR+1SP WSR M-12x30</v>
      </c>
      <c r="C18" s="199">
        <f>BOQ[[#This Row],[Make / Vendor]]</f>
        <v>0</v>
      </c>
      <c r="D18" s="199" t="str">
        <f>BOQ[[#This Row],[Unit]]</f>
        <v>Set</v>
      </c>
      <c r="E18" s="199">
        <f>BOQ[[#This Row],[BOQ]]</f>
        <v>56164</v>
      </c>
      <c r="F18" s="200">
        <f>SUMIF('Goods Receipt'!$J:$J,Over_all[[#This Row],[Item Description]],'Goods Receipt'!$M:$M)</f>
        <v>54340</v>
      </c>
      <c r="G18" s="200">
        <f>IF(Over_all[[#This Row],[BOQ]]-Over_all[[#This Row],[Received]]&gt;=0,Over_all[[#This Row],[BOQ]]-Over_all[[#This Row],[Received]],"")</f>
        <v>1824</v>
      </c>
      <c r="H18" s="201" t="str">
        <f>IF(Over_all[[#This Row],[BOQ]]-Over_all[[#This Row],[Received]]&lt;0,Over_all[[#This Row],[BOQ]]-Over_all[[#This Row],[Received]],"")</f>
        <v/>
      </c>
      <c r="I18" s="221"/>
      <c r="J18" s="200">
        <f>Over_all[[#This Row],[Received]]</f>
        <v>54340</v>
      </c>
      <c r="K18" s="200">
        <f>SUMIF(ISSUE!$F:$F,Over_all[[#This Row],[Item Description]],ISSUE!$I:$I)</f>
        <v>7500</v>
      </c>
      <c r="L18" s="200">
        <f>Over_all[[#This Row],[Received.]]-Over_all[[#This Row],[Issued]]</f>
        <v>46840</v>
      </c>
      <c r="M18" s="212"/>
      <c r="N18" s="222"/>
    </row>
    <row r="19" spans="1:14" ht="16" customHeight="1" outlineLevel="1" x14ac:dyDescent="0.35">
      <c r="A19" s="197">
        <f>BOQ[[#This Row],[S.No]]</f>
        <v>4</v>
      </c>
      <c r="B19" s="205" t="str">
        <f>BOQ[[#This Row],[Item Description]]</f>
        <v>HEX BOLT+NUT+REC.WSR+ 1SP WSR M-10x30</v>
      </c>
      <c r="C19" s="199">
        <f>BOQ[[#This Row],[Make / Vendor]]</f>
        <v>0</v>
      </c>
      <c r="D19" s="199" t="str">
        <f>BOQ[[#This Row],[Unit]]</f>
        <v>Set</v>
      </c>
      <c r="E19" s="199">
        <f>BOQ[[#This Row],[BOQ]]</f>
        <v>59120</v>
      </c>
      <c r="F19" s="200">
        <f>SUMIF('Goods Receipt'!$J:$J,Over_all[[#This Row],[Item Description]],'Goods Receipt'!$M:$M)</f>
        <v>57200</v>
      </c>
      <c r="G19" s="200">
        <f>IF(Over_all[[#This Row],[BOQ]]-Over_all[[#This Row],[Received]]&gt;=0,Over_all[[#This Row],[BOQ]]-Over_all[[#This Row],[Received]],"")</f>
        <v>1920</v>
      </c>
      <c r="H19" s="201" t="str">
        <f>IF(Over_all[[#This Row],[BOQ]]-Over_all[[#This Row],[Received]]&lt;0,Over_all[[#This Row],[BOQ]]-Over_all[[#This Row],[Received]],"")</f>
        <v/>
      </c>
      <c r="I19" s="221"/>
      <c r="J19" s="200">
        <f>Over_all[[#This Row],[Received]]</f>
        <v>57200</v>
      </c>
      <c r="K19" s="200">
        <f>SUMIF(ISSUE!$F:$F,Over_all[[#This Row],[Item Description]],ISSUE!$I:$I)</f>
        <v>57200</v>
      </c>
      <c r="L19" s="200">
        <f>Over_all[[#This Row],[Received.]]-Over_all[[#This Row],[Issued]]</f>
        <v>0</v>
      </c>
      <c r="M19" s="212"/>
      <c r="N19" s="222"/>
    </row>
    <row r="20" spans="1:14" outlineLevel="1" x14ac:dyDescent="0.35">
      <c r="A20" s="197">
        <f>BOQ[[#This Row],[S.No]]</f>
        <v>5</v>
      </c>
      <c r="B20" s="205" t="str">
        <f>BOQ[[#This Row],[Item Description]]</f>
        <v>Rectangle Washer (40*20*11*3) Mechanical Plating</v>
      </c>
      <c r="C20" s="199">
        <f>BOQ[[#This Row],[Make / Vendor]]</f>
        <v>0</v>
      </c>
      <c r="D20" s="199" t="str">
        <f>BOQ[[#This Row],[Unit]]</f>
        <v>Nos</v>
      </c>
      <c r="E20" s="199">
        <f>BOQ[[#This Row],[BOQ]]</f>
        <v>118240</v>
      </c>
      <c r="F20" s="200">
        <f>SUMIF('Goods Receipt'!$J:$J,Over_all[[#This Row],[Item Description]],'Goods Receipt'!$M:$M)</f>
        <v>114400</v>
      </c>
      <c r="G20" s="200">
        <f>IF(Over_all[[#This Row],[BOQ]]-Over_all[[#This Row],[Received]]&gt;=0,Over_all[[#This Row],[BOQ]]-Over_all[[#This Row],[Received]],"")</f>
        <v>3840</v>
      </c>
      <c r="H20" s="201" t="str">
        <f>IF(Over_all[[#This Row],[BOQ]]-Over_all[[#This Row],[Received]]&lt;0,Over_all[[#This Row],[BOQ]]-Over_all[[#This Row],[Received]],"")</f>
        <v/>
      </c>
      <c r="I20" s="221"/>
      <c r="J20" s="200">
        <f>Over_all[[#This Row],[Received]]</f>
        <v>114400</v>
      </c>
      <c r="K20" s="200">
        <f>SUMIF(ISSUE!$F:$F,Over_all[[#This Row],[Item Description]],ISSUE!$I:$I)</f>
        <v>0</v>
      </c>
      <c r="L20" s="200">
        <f>Over_all[[#This Row],[Received.]]-Over_all[[#This Row],[Issued]]</f>
        <v>114400</v>
      </c>
      <c r="M20" s="212"/>
      <c r="N20" s="222"/>
    </row>
    <row r="21" spans="1:14" ht="16" customHeight="1" outlineLevel="1" x14ac:dyDescent="0.35">
      <c r="A21" s="197">
        <f>BOQ[[#This Row],[S.No]]</f>
        <v>6</v>
      </c>
      <c r="B21" s="205" t="str">
        <f>BOQ[[#This Row],[Item Description]]</f>
        <v>Hex Bolt,M8x20</v>
      </c>
      <c r="C21" s="199">
        <f>BOQ[[#This Row],[Make / Vendor]]</f>
        <v>0</v>
      </c>
      <c r="D21" s="199" t="str">
        <f>BOQ[[#This Row],[Unit]]</f>
        <v>Nos</v>
      </c>
      <c r="E21" s="199">
        <f>BOQ[[#This Row],[BOQ]]</f>
        <v>84246</v>
      </c>
      <c r="F21" s="200">
        <f>SUMIF('Goods Receipt'!$J:$J,Over_all[[#This Row],[Item Description]],'Goods Receipt'!$M:$M)</f>
        <v>81510</v>
      </c>
      <c r="G21" s="200">
        <f>IF(Over_all[[#This Row],[BOQ]]-Over_all[[#This Row],[Received]]&gt;=0,Over_all[[#This Row],[BOQ]]-Over_all[[#This Row],[Received]],"")</f>
        <v>2736</v>
      </c>
      <c r="H21" s="201" t="str">
        <f>IF(Over_all[[#This Row],[BOQ]]-Over_all[[#This Row],[Received]]&lt;0,Over_all[[#This Row],[BOQ]]-Over_all[[#This Row],[Received]],"")</f>
        <v/>
      </c>
      <c r="I21" s="221"/>
      <c r="J21" s="200">
        <f>Over_all[[#This Row],[Received]]</f>
        <v>81510</v>
      </c>
      <c r="K21" s="200">
        <f>SUMIF(ISSUE!$F:$F,Over_all[[#This Row],[Item Description]],ISSUE!$I:$I)</f>
        <v>3510</v>
      </c>
      <c r="L21" s="200">
        <f>Over_all[[#This Row],[Received.]]-Over_all[[#This Row],[Issued]]</f>
        <v>78000</v>
      </c>
      <c r="M21" s="212"/>
      <c r="N21" s="222"/>
    </row>
    <row r="22" spans="1:14" ht="16" customHeight="1" outlineLevel="1" x14ac:dyDescent="0.35">
      <c r="A22" s="197">
        <f>BOQ[[#This Row],[S.No]]</f>
        <v>7</v>
      </c>
      <c r="B22" s="205" t="str">
        <f>BOQ[[#This Row],[Item Description]]</f>
        <v>Hex Nut,M8</v>
      </c>
      <c r="C22" s="199">
        <f>BOQ[[#This Row],[Make / Vendor]]</f>
        <v>0</v>
      </c>
      <c r="D22" s="199" t="str">
        <f>BOQ[[#This Row],[Unit]]</f>
        <v>Nos</v>
      </c>
      <c r="E22" s="199">
        <f>BOQ[[#This Row],[BOQ]]</f>
        <v>84246</v>
      </c>
      <c r="F22" s="200">
        <f>SUMIF('Goods Receipt'!$J:$J,Over_all[[#This Row],[Item Description]],'Goods Receipt'!$M:$M)</f>
        <v>81510</v>
      </c>
      <c r="G22" s="200">
        <f>IF(Over_all[[#This Row],[BOQ]]-Over_all[[#This Row],[Received]]&gt;=0,Over_all[[#This Row],[BOQ]]-Over_all[[#This Row],[Received]],"")</f>
        <v>2736</v>
      </c>
      <c r="H22" s="201" t="str">
        <f>IF(Over_all[[#This Row],[BOQ]]-Over_all[[#This Row],[Received]]&lt;0,Over_all[[#This Row],[BOQ]]-Over_all[[#This Row],[Received]],"")</f>
        <v/>
      </c>
      <c r="I22" s="221"/>
      <c r="J22" s="200">
        <f>Over_all[[#This Row],[Received]]</f>
        <v>81510</v>
      </c>
      <c r="K22" s="200">
        <f>SUMIF(ISSUE!$F:$F,Over_all[[#This Row],[Item Description]],ISSUE!$I:$I)</f>
        <v>6510</v>
      </c>
      <c r="L22" s="200">
        <f>Over_all[[#This Row],[Received.]]-Over_all[[#This Row],[Issued]]</f>
        <v>75000</v>
      </c>
      <c r="M22" s="212"/>
      <c r="N22" s="222"/>
    </row>
    <row r="23" spans="1:14" ht="16" customHeight="1" x14ac:dyDescent="0.35">
      <c r="A23" s="197">
        <f>BOQ[[#This Row],[S.No]]</f>
        <v>8</v>
      </c>
      <c r="B23" s="205" t="str">
        <f>BOQ[[#This Row],[Item Description]]</f>
        <v>Plain WSR,M8</v>
      </c>
      <c r="C23" s="199">
        <f>BOQ[[#This Row],[Make / Vendor]]</f>
        <v>0</v>
      </c>
      <c r="D23" s="199" t="str">
        <f>BOQ[[#This Row],[Unit]]</f>
        <v>Nos</v>
      </c>
      <c r="E23" s="199">
        <f>BOQ[[#This Row],[BOQ]]</f>
        <v>168492</v>
      </c>
      <c r="F23" s="200">
        <f>SUMIF('Goods Receipt'!$J:$J,Over_all[[#This Row],[Item Description]],'Goods Receipt'!$M:$M)</f>
        <v>163020</v>
      </c>
      <c r="G23" s="200">
        <f>IF(Over_all[[#This Row],[BOQ]]-Over_all[[#This Row],[Received]]&gt;=0,Over_all[[#This Row],[BOQ]]-Over_all[[#This Row],[Received]],"")</f>
        <v>5472</v>
      </c>
      <c r="H23" s="201" t="str">
        <f>IF(Over_all[[#This Row],[BOQ]]-Over_all[[#This Row],[Received]]&lt;0,Over_all[[#This Row],[BOQ]]-Over_all[[#This Row],[Received]],"")</f>
        <v/>
      </c>
      <c r="I23" s="221"/>
      <c r="J23" s="200">
        <f>Over_all[[#This Row],[Received]]</f>
        <v>163020</v>
      </c>
      <c r="K23" s="200">
        <f>SUMIF(ISSUE!$F:$F,Over_all[[#This Row],[Item Description]],ISSUE!$I:$I)</f>
        <v>32604</v>
      </c>
      <c r="L23" s="200">
        <f>Over_all[[#This Row],[Received.]]-Over_all[[#This Row],[Issued]]</f>
        <v>130416</v>
      </c>
      <c r="M23" s="212"/>
      <c r="N23" s="222"/>
    </row>
    <row r="24" spans="1:14" ht="16" customHeight="1" outlineLevel="1" x14ac:dyDescent="0.35">
      <c r="A24" s="197">
        <f>BOQ[[#This Row],[S.No]]</f>
        <v>9</v>
      </c>
      <c r="B24" s="205" t="str">
        <f>BOQ[[#This Row],[Item Description]]</f>
        <v>Spring WSRM8</v>
      </c>
      <c r="C24" s="199">
        <f>BOQ[[#This Row],[Make / Vendor]]</f>
        <v>0</v>
      </c>
      <c r="D24" s="199" t="str">
        <f>BOQ[[#This Row],[Unit]]</f>
        <v>Nos</v>
      </c>
      <c r="E24" s="199">
        <f>BOQ[[#This Row],[BOQ]]</f>
        <v>84246</v>
      </c>
      <c r="F24" s="200">
        <f>SUMIF('Goods Receipt'!$J:$J,Over_all[[#This Row],[Item Description]],'Goods Receipt'!$M:$M)</f>
        <v>81510</v>
      </c>
      <c r="G24" s="200">
        <f>IF(Over_all[[#This Row],[BOQ]]-Over_all[[#This Row],[Received]]&gt;=0,Over_all[[#This Row],[BOQ]]-Over_all[[#This Row],[Received]],"")</f>
        <v>2736</v>
      </c>
      <c r="H24" s="201" t="str">
        <f>IF(Over_all[[#This Row],[BOQ]]-Over_all[[#This Row],[Received]]&lt;0,Over_all[[#This Row],[BOQ]]-Over_all[[#This Row],[Received]],"")</f>
        <v/>
      </c>
      <c r="I24" s="221"/>
      <c r="J24" s="200">
        <f>Over_all[[#This Row],[Received]]</f>
        <v>81510</v>
      </c>
      <c r="K24" s="200">
        <f>SUMIF(ISSUE!$F:$F,Over_all[[#This Row],[Item Description]],ISSUE!$I:$I)</f>
        <v>41510</v>
      </c>
      <c r="L24" s="200">
        <f>Over_all[[#This Row],[Received.]]-Over_all[[#This Row],[Issued]]</f>
        <v>40000</v>
      </c>
      <c r="M24" s="212"/>
      <c r="N24" s="222"/>
    </row>
    <row r="25" spans="1:14" ht="16" customHeight="1" outlineLevel="1" x14ac:dyDescent="0.35">
      <c r="A25" s="197">
        <f>BOQ[[#This Row],[S.No]]</f>
        <v>10</v>
      </c>
      <c r="B25" s="205" t="str">
        <f>BOQ[[#This Row],[Item Description]]</f>
        <v>M8 Serrated Washer</v>
      </c>
      <c r="C25" s="199">
        <f>BOQ[[#This Row],[Make / Vendor]]</f>
        <v>0</v>
      </c>
      <c r="D25" s="199" t="str">
        <f>BOQ[[#This Row],[Unit]]</f>
        <v>Nos</v>
      </c>
      <c r="E25" s="199">
        <f>BOQ[[#This Row],[BOQ]]</f>
        <v>42000</v>
      </c>
      <c r="F25" s="200">
        <f>SUMIF('Goods Receipt'!$J:$J,Over_all[[#This Row],[Item Description]],'Goods Receipt'!$M:$M)</f>
        <v>42000</v>
      </c>
      <c r="G25" s="200">
        <f>IF(Over_all[[#This Row],[BOQ]]-Over_all[[#This Row],[Received]]&gt;=0,Over_all[[#This Row],[BOQ]]-Over_all[[#This Row],[Received]],"")</f>
        <v>0</v>
      </c>
      <c r="H25" s="201" t="str">
        <f>IF(Over_all[[#This Row],[BOQ]]-Over_all[[#This Row],[Received]]&lt;0,Over_all[[#This Row],[BOQ]]-Over_all[[#This Row],[Received]],"")</f>
        <v/>
      </c>
      <c r="I25" s="221"/>
      <c r="J25" s="200">
        <f>Over_all[[#This Row],[Received]]</f>
        <v>42000</v>
      </c>
      <c r="K25" s="200">
        <f>SUMIF(ISSUE!$F:$F,Over_all[[#This Row],[Item Description]],ISSUE!$I:$I)</f>
        <v>0</v>
      </c>
      <c r="L25" s="200">
        <f>Over_all[[#This Row],[Received.]]-Over_all[[#This Row],[Issued]]</f>
        <v>42000</v>
      </c>
      <c r="M25" s="212"/>
      <c r="N25" s="222"/>
    </row>
    <row r="26" spans="1:14" ht="16" customHeight="1" outlineLevel="1" x14ac:dyDescent="0.35">
      <c r="A26" s="206">
        <f>BOQ[[#This Row],[S.No]]</f>
        <v>0</v>
      </c>
      <c r="B26" s="198">
        <f>BOQ[[#This Row],[Item Description]]</f>
        <v>0</v>
      </c>
      <c r="C26" s="199">
        <f>BOQ[[#This Row],[Make / Vendor]]</f>
        <v>0</v>
      </c>
      <c r="D26" s="199">
        <f>BOQ[[#This Row],[Unit]]</f>
        <v>0</v>
      </c>
      <c r="E26" s="199">
        <f>BOQ[[#This Row],[BOQ]]</f>
        <v>0</v>
      </c>
      <c r="F26" s="200">
        <f>SUMIF('Goods Receipt'!$J:$J,Over_all[[#This Row],[Item Description]],'Goods Receipt'!$M:$M)</f>
        <v>0</v>
      </c>
      <c r="G26" s="200">
        <f>IF(Over_all[[#This Row],[BOQ]]-Over_all[[#This Row],[Received]]&gt;=0,Over_all[[#This Row],[BOQ]]-Over_all[[#This Row],[Received]],"")</f>
        <v>0</v>
      </c>
      <c r="H26" s="201" t="str">
        <f>IF(Over_all[[#This Row],[BOQ]]-Over_all[[#This Row],[Received]]&lt;0,Over_all[[#This Row],[BOQ]]-Over_all[[#This Row],[Received]],"")</f>
        <v/>
      </c>
      <c r="I26" s="221"/>
      <c r="J26" s="200">
        <f>Over_all[[#This Row],[Received]]</f>
        <v>0</v>
      </c>
      <c r="K26" s="200">
        <f>SUMIF(ISSUE!$F:$F,Over_all[[#This Row],[Item Description]],ISSUE!$I:$I)</f>
        <v>0</v>
      </c>
      <c r="L26" s="200">
        <f>Over_all[[#This Row],[Received.]]-Over_all[[#This Row],[Issued]]</f>
        <v>0</v>
      </c>
      <c r="M26" s="212"/>
      <c r="N26" s="222"/>
    </row>
    <row r="27" spans="1:14" ht="16" customHeight="1" x14ac:dyDescent="0.35">
      <c r="A27" s="202" t="str">
        <f>BOQ[[#This Row],[S.No]]</f>
        <v>C</v>
      </c>
      <c r="B27" s="203" t="str">
        <f>BOQ[[#This Row],[Item Description]]</f>
        <v>Solar_Modules</v>
      </c>
      <c r="C27" s="199">
        <f>BOQ[[#This Row],[Make / Vendor]]</f>
        <v>0</v>
      </c>
      <c r="D27" s="199" t="s">
        <v>11</v>
      </c>
      <c r="E27" s="199">
        <v>20692</v>
      </c>
      <c r="F27" s="200">
        <f>SUMIF('Goods Receipt'!$J:$J,Over_all[[#This Row],[Item Description]],'Goods Receipt'!$M:$M)</f>
        <v>0</v>
      </c>
      <c r="G27" s="200">
        <f>IF(Over_all[[#This Row],[BOQ]]-Over_all[[#This Row],[Received]]&gt;=0,Over_all[[#This Row],[BOQ]]-Over_all[[#This Row],[Received]],"")</f>
        <v>20692</v>
      </c>
      <c r="H27" s="201" t="str">
        <f>IF(Over_all[[#This Row],[BOQ]]-Over_all[[#This Row],[Received]]&lt;0,Over_all[[#This Row],[BOQ]]-Over_all[[#This Row],[Received]],"")</f>
        <v/>
      </c>
      <c r="I27" s="221"/>
      <c r="J27" s="200">
        <f>Over_all[[#This Row],[Received]]</f>
        <v>0</v>
      </c>
      <c r="K27" s="200">
        <f>SUMIF(ISSUE!$F:$F,Over_all[[#This Row],[Item Description]],ISSUE!$I:$I)</f>
        <v>0</v>
      </c>
      <c r="L27" s="200">
        <f>Over_all[[#This Row],[Received.]]-Over_all[[#This Row],[Issued]]</f>
        <v>0</v>
      </c>
      <c r="M27" s="212"/>
      <c r="N27" s="222"/>
    </row>
    <row r="28" spans="1:14" ht="16" customHeight="1" x14ac:dyDescent="0.35">
      <c r="A28" s="204">
        <f>BOQ[[#This Row],[S.No]]</f>
        <v>0</v>
      </c>
      <c r="B28" s="198">
        <f>BOQ[[#This Row],[Item Description]]</f>
        <v>0</v>
      </c>
      <c r="C28" s="199">
        <f>BOQ[[#This Row],[Make / Vendor]]</f>
        <v>0</v>
      </c>
      <c r="D28" s="199"/>
      <c r="E28" s="199"/>
      <c r="F28" s="200">
        <f>SUMIF('Goods Receipt'!$J:$J,Over_all[[#This Row],[Item Description]],'Goods Receipt'!$M:$M)</f>
        <v>0</v>
      </c>
      <c r="G28" s="200">
        <f>IF(Over_all[[#This Row],[BOQ]]-Over_all[[#This Row],[Received]]&gt;=0,Over_all[[#This Row],[BOQ]]-Over_all[[#This Row],[Received]],"")</f>
        <v>0</v>
      </c>
      <c r="H28" s="201" t="str">
        <f>IF(Over_all[[#This Row],[BOQ]]-Over_all[[#This Row],[Received]]&lt;0,Over_all[[#This Row],[BOQ]]-Over_all[[#This Row],[Received]],"")</f>
        <v/>
      </c>
      <c r="I28" s="221"/>
      <c r="J28" s="200">
        <f>Over_all[[#This Row],[Received]]</f>
        <v>0</v>
      </c>
      <c r="K28" s="200">
        <f>SUMIF(ISSUE!$F:$F,Over_all[[#This Row],[Item Description]],ISSUE!$I:$I)</f>
        <v>0</v>
      </c>
      <c r="L28" s="200">
        <f>Over_all[[#This Row],[Received.]]-Over_all[[#This Row],[Issued]]</f>
        <v>0</v>
      </c>
      <c r="M28" s="212"/>
      <c r="N28" s="222"/>
    </row>
    <row r="29" spans="1:14" ht="16" customHeight="1" outlineLevel="1" x14ac:dyDescent="0.35">
      <c r="A29" s="207" t="str">
        <f>BOQ[[#This Row],[S.No]]</f>
        <v>D</v>
      </c>
      <c r="B29" s="208" t="str">
        <f>BOQ[[#This Row],[Item Description]]</f>
        <v>Cables</v>
      </c>
      <c r="C29" s="199">
        <f>BOQ[[#This Row],[Make / Vendor]]</f>
        <v>0</v>
      </c>
      <c r="D29" s="199">
        <f>BOQ[[#This Row],[Unit]]</f>
        <v>0</v>
      </c>
      <c r="E29" s="199">
        <f>BOQ[[#This Row],[BOQ]]</f>
        <v>0</v>
      </c>
      <c r="F29" s="200">
        <f>SUMIF('Goods Receipt'!$J:$J,Over_all[[#This Row],[Item Description]],'Goods Receipt'!$M:$M)</f>
        <v>0</v>
      </c>
      <c r="G29" s="200">
        <f>IF(Over_all[[#This Row],[BOQ]]-Over_all[[#This Row],[Received]]&gt;=0,Over_all[[#This Row],[BOQ]]-Over_all[[#This Row],[Received]],"")</f>
        <v>0</v>
      </c>
      <c r="H29" s="201" t="str">
        <f>IF(Over_all[[#This Row],[BOQ]]-Over_all[[#This Row],[Received]]&lt;0,Over_all[[#This Row],[BOQ]]-Over_all[[#This Row],[Received]],"")</f>
        <v/>
      </c>
      <c r="I29" s="221"/>
      <c r="J29" s="200">
        <f>Over_all[[#This Row],[Received]]</f>
        <v>0</v>
      </c>
      <c r="K29" s="200">
        <f>SUMIF(ISSUE!$F:$F,Over_all[[#This Row],[Item Description]],ISSUE!$I:$I)</f>
        <v>0</v>
      </c>
      <c r="L29" s="200">
        <f>Over_all[[#This Row],[Received.]]-Over_all[[#This Row],[Issued]]</f>
        <v>0</v>
      </c>
      <c r="M29" s="212"/>
      <c r="N29" s="222"/>
    </row>
    <row r="30" spans="1:14" ht="16" customHeight="1" outlineLevel="1" x14ac:dyDescent="0.35">
      <c r="A30" s="209" t="str">
        <f>BOQ[[#This Row],[S.No]]</f>
        <v>D.1</v>
      </c>
      <c r="B30" s="208" t="str">
        <f>BOQ[[#This Row],[Item Description]]</f>
        <v>DC_Cables</v>
      </c>
      <c r="C30" s="199">
        <f>BOQ[[#This Row],[Make / Vendor]]</f>
        <v>0</v>
      </c>
      <c r="D30" s="199">
        <f>BOQ[[#This Row],[Unit]]</f>
        <v>0</v>
      </c>
      <c r="E30" s="199">
        <f>BOQ[[#This Row],[BOQ]]</f>
        <v>0</v>
      </c>
      <c r="F30" s="200">
        <f>SUMIF('Goods Receipt'!$J:$J,Over_all[[#This Row],[Item Description]],'Goods Receipt'!$M:$M)</f>
        <v>0</v>
      </c>
      <c r="G30" s="200">
        <f>IF(Over_all[[#This Row],[BOQ]]-Over_all[[#This Row],[Received]]&gt;=0,Over_all[[#This Row],[BOQ]]-Over_all[[#This Row],[Received]],"")</f>
        <v>0</v>
      </c>
      <c r="H30" s="201" t="str">
        <f>IF(Over_all[[#This Row],[BOQ]]-Over_all[[#This Row],[Received]]&lt;0,Over_all[[#This Row],[BOQ]]-Over_all[[#This Row],[Received]],"")</f>
        <v/>
      </c>
      <c r="I30" s="221"/>
      <c r="J30" s="200">
        <f>Over_all[[#This Row],[Received]]</f>
        <v>0</v>
      </c>
      <c r="K30" s="200">
        <f>SUMIF(ISSUE!$F:$F,Over_all[[#This Row],[Item Description]],ISSUE!$I:$I)</f>
        <v>0</v>
      </c>
      <c r="L30" s="200">
        <f>Over_all[[#This Row],[Received.]]-Over_all[[#This Row],[Issued]]</f>
        <v>0</v>
      </c>
      <c r="M30" s="212"/>
      <c r="N30" s="222"/>
    </row>
    <row r="31" spans="1:14" ht="16" customHeight="1" outlineLevel="1" x14ac:dyDescent="0.35">
      <c r="A31" s="204">
        <f>BOQ[[#This Row],[S.No]]</f>
        <v>1</v>
      </c>
      <c r="B31" s="198" t="str">
        <f>BOQ[[#This Row],[Item Description]]</f>
        <v>1CX6Sqmm DC Cable Black</v>
      </c>
      <c r="C31" s="199">
        <f>BOQ[[#This Row],[Make / Vendor]]</f>
        <v>0</v>
      </c>
      <c r="D31" s="199" t="str">
        <f>BOQ[[#This Row],[Unit]]</f>
        <v>Mtr</v>
      </c>
      <c r="E31" s="199">
        <f>BOQ[[#This Row],[BOQ]]</f>
        <v>17000</v>
      </c>
      <c r="F31" s="200">
        <f>SUMIF('Goods Receipt'!$J:$J,Over_all[[#This Row],[Item Description]],'Goods Receipt'!$M:$M)</f>
        <v>18582</v>
      </c>
      <c r="G31" s="200" t="str">
        <f>IF(Over_all[[#This Row],[BOQ]]-Over_all[[#This Row],[Received]]&gt;=0,Over_all[[#This Row],[BOQ]]-Over_all[[#This Row],[Received]],"")</f>
        <v/>
      </c>
      <c r="H31" s="201">
        <f>IF(Over_all[[#This Row],[BOQ]]-Over_all[[#This Row],[Received]]&lt;0,Over_all[[#This Row],[BOQ]]-Over_all[[#This Row],[Received]],"")</f>
        <v>-1582</v>
      </c>
      <c r="I31" s="221"/>
      <c r="J31" s="200">
        <f>Over_all[[#This Row],[Received]]</f>
        <v>18582</v>
      </c>
      <c r="K31" s="200">
        <f>SUMIF(ISSUE!$F:$F,Over_all[[#This Row],[Item Description]],ISSUE!$I:$I)</f>
        <v>16082</v>
      </c>
      <c r="L31" s="200">
        <f>Over_all[[#This Row],[Received.]]-Over_all[[#This Row],[Issued]]</f>
        <v>2500</v>
      </c>
      <c r="M31" s="212"/>
      <c r="N31" s="222"/>
    </row>
    <row r="32" spans="1:14" ht="16" customHeight="1" x14ac:dyDescent="0.35">
      <c r="A32" s="197">
        <f>BOQ[[#This Row],[S.No]]</f>
        <v>2</v>
      </c>
      <c r="B32" s="205" t="str">
        <f>BOQ[[#This Row],[Item Description]]</f>
        <v>1CX6Sqmm DC Cable Red</v>
      </c>
      <c r="C32" s="199">
        <f>BOQ[[#This Row],[Make / Vendor]]</f>
        <v>0</v>
      </c>
      <c r="D32" s="199" t="str">
        <f>BOQ[[#This Row],[Unit]]</f>
        <v>Mtr</v>
      </c>
      <c r="E32" s="199">
        <f>BOQ[[#This Row],[BOQ]]</f>
        <v>17000</v>
      </c>
      <c r="F32" s="200">
        <f>SUMIF('Goods Receipt'!$J:$J,Over_all[[#This Row],[Item Description]],'Goods Receipt'!$M:$M)</f>
        <v>21199</v>
      </c>
      <c r="G32" s="200" t="str">
        <f>IF(Over_all[[#This Row],[BOQ]]-Over_all[[#This Row],[Received]]&gt;=0,Over_all[[#This Row],[BOQ]]-Over_all[[#This Row],[Received]],"")</f>
        <v/>
      </c>
      <c r="H32" s="201">
        <f>IF(Over_all[[#This Row],[BOQ]]-Over_all[[#This Row],[Received]]&lt;0,Over_all[[#This Row],[BOQ]]-Over_all[[#This Row],[Received]],"")</f>
        <v>-4199</v>
      </c>
      <c r="I32" s="221"/>
      <c r="J32" s="200">
        <f>Over_all[[#This Row],[Received]]</f>
        <v>21199</v>
      </c>
      <c r="K32" s="200">
        <f>SUMIF(ISSUE!$F:$F,Over_all[[#This Row],[Item Description]],ISSUE!$I:$I)</f>
        <v>16107</v>
      </c>
      <c r="L32" s="200">
        <f>Over_all[[#This Row],[Received.]]-Over_all[[#This Row],[Issued]]</f>
        <v>5092</v>
      </c>
      <c r="M32" s="212"/>
      <c r="N32" s="222"/>
    </row>
    <row r="33" spans="1:14" ht="16" customHeight="1" outlineLevel="1" x14ac:dyDescent="0.35">
      <c r="A33" s="206">
        <f>BOQ[[#This Row],[S.No]]</f>
        <v>0</v>
      </c>
      <c r="B33" s="198">
        <f>BOQ[[#This Row],[Item Description]]</f>
        <v>0</v>
      </c>
      <c r="C33" s="199">
        <f>BOQ[[#This Row],[Make / Vendor]]</f>
        <v>0</v>
      </c>
      <c r="D33" s="199">
        <f>BOQ[[#This Row],[Unit]]</f>
        <v>0</v>
      </c>
      <c r="E33" s="199">
        <f>BOQ[[#This Row],[BOQ]]</f>
        <v>0</v>
      </c>
      <c r="F33" s="200">
        <f>SUMIF('Goods Receipt'!$J:$J,Over_all[[#This Row],[Item Description]],'Goods Receipt'!$M:$M)</f>
        <v>0</v>
      </c>
      <c r="G33" s="200">
        <f>IF(Over_all[[#This Row],[BOQ]]-Over_all[[#This Row],[Received]]&gt;=0,Over_all[[#This Row],[BOQ]]-Over_all[[#This Row],[Received]],"")</f>
        <v>0</v>
      </c>
      <c r="H33" s="201" t="str">
        <f>IF(Over_all[[#This Row],[BOQ]]-Over_all[[#This Row],[Received]]&lt;0,Over_all[[#This Row],[BOQ]]-Over_all[[#This Row],[Received]],"")</f>
        <v/>
      </c>
      <c r="I33" s="221"/>
      <c r="J33" s="200">
        <f>Over_all[[#This Row],[Received]]</f>
        <v>0</v>
      </c>
      <c r="K33" s="200">
        <f>SUMIF(ISSUE!$F:$F,Over_all[[#This Row],[Item Description]],ISSUE!$I:$I)</f>
        <v>0</v>
      </c>
      <c r="L33" s="200">
        <f>Over_all[[#This Row],[Received.]]-Over_all[[#This Row],[Issued]]</f>
        <v>0</v>
      </c>
      <c r="M33" s="212"/>
      <c r="N33" s="222"/>
    </row>
    <row r="34" spans="1:14" ht="16" customHeight="1" outlineLevel="1" x14ac:dyDescent="0.35">
      <c r="A34" s="207" t="str">
        <f>BOQ[[#This Row],[S.No]]</f>
        <v>D.2</v>
      </c>
      <c r="B34" s="208" t="str">
        <f>BOQ[[#This Row],[Item Description]]</f>
        <v>AC_Cables</v>
      </c>
      <c r="C34" s="199">
        <f>BOQ[[#This Row],[Make / Vendor]]</f>
        <v>0</v>
      </c>
      <c r="D34" s="199">
        <f>BOQ[[#This Row],[Unit]]</f>
        <v>0</v>
      </c>
      <c r="E34" s="199">
        <f>BOQ[[#This Row],[BOQ]]</f>
        <v>0</v>
      </c>
      <c r="F34" s="200">
        <f>SUMIF('Goods Receipt'!$J:$J,Over_all[[#This Row],[Item Description]],'Goods Receipt'!$M:$M)</f>
        <v>0</v>
      </c>
      <c r="G34" s="200">
        <f>IF(Over_all[[#This Row],[BOQ]]-Over_all[[#This Row],[Received]]&gt;=0,Over_all[[#This Row],[BOQ]]-Over_all[[#This Row],[Received]],"")</f>
        <v>0</v>
      </c>
      <c r="H34" s="201" t="str">
        <f>IF(Over_all[[#This Row],[BOQ]]-Over_all[[#This Row],[Received]]&lt;0,Over_all[[#This Row],[BOQ]]-Over_all[[#This Row],[Received]],"")</f>
        <v/>
      </c>
      <c r="I34" s="221"/>
      <c r="J34" s="200">
        <f>Over_all[[#This Row],[Received]]</f>
        <v>0</v>
      </c>
      <c r="K34" s="200">
        <f>SUMIF(ISSUE!$F:$F,Over_all[[#This Row],[Item Description]],ISSUE!$I:$I)</f>
        <v>0</v>
      </c>
      <c r="L34" s="200">
        <f>Over_all[[#This Row],[Received.]]-Over_all[[#This Row],[Issued]]</f>
        <v>0</v>
      </c>
      <c r="M34" s="212"/>
      <c r="N34" s="222"/>
    </row>
    <row r="35" spans="1:14" ht="16" customHeight="1" x14ac:dyDescent="0.35">
      <c r="A35" s="197">
        <f>BOQ[[#This Row],[S.No]]</f>
        <v>1</v>
      </c>
      <c r="B35" s="205" t="str">
        <f>BOQ[[#This Row],[Item Description]]</f>
        <v>3CX240Sqmm A2XFY UNSCR ATR UV AF 3.3 KV</v>
      </c>
      <c r="C35" s="199">
        <f>BOQ[[#This Row],[Make / Vendor]]</f>
        <v>0</v>
      </c>
      <c r="D35" s="199" t="str">
        <f>BOQ[[#This Row],[Unit]]</f>
        <v>Mtr</v>
      </c>
      <c r="E35" s="199">
        <f>BOQ[[#This Row],[BOQ]]</f>
        <v>9500</v>
      </c>
      <c r="F35" s="200">
        <f>SUMIF('Goods Receipt'!$J:$J,Over_all[[#This Row],[Item Description]],'Goods Receipt'!$M:$M)</f>
        <v>12066</v>
      </c>
      <c r="G35" s="200" t="str">
        <f>IF(Over_all[[#This Row],[BOQ]]-Over_all[[#This Row],[Received]]&gt;=0,Over_all[[#This Row],[BOQ]]-Over_all[[#This Row],[Received]],"")</f>
        <v/>
      </c>
      <c r="H35" s="201">
        <f>IF(Over_all[[#This Row],[BOQ]]-Over_all[[#This Row],[Received]]&lt;0,Over_all[[#This Row],[BOQ]]-Over_all[[#This Row],[Received]],"")</f>
        <v>-2566</v>
      </c>
      <c r="I35" s="221"/>
      <c r="J35" s="200">
        <f>Over_all[[#This Row],[Received]]</f>
        <v>12066</v>
      </c>
      <c r="K35" s="200">
        <f>SUMIF(ISSUE!$F:$F,Over_all[[#This Row],[Item Description]],ISSUE!$I:$I)</f>
        <v>8045</v>
      </c>
      <c r="L35" s="200">
        <f>Over_all[[#This Row],[Received.]]-Over_all[[#This Row],[Issued]]</f>
        <v>4021</v>
      </c>
      <c r="M35" s="212"/>
      <c r="N35" s="222"/>
    </row>
    <row r="36" spans="1:14" ht="16" customHeight="1" outlineLevel="1" x14ac:dyDescent="0.35">
      <c r="A36" s="204">
        <f>BOQ[[#This Row],[S.No]]</f>
        <v>0</v>
      </c>
      <c r="B36" s="198">
        <f>BOQ[[#This Row],[Item Description]]</f>
        <v>0</v>
      </c>
      <c r="C36" s="199">
        <f>BOQ[[#This Row],[Make / Vendor]]</f>
        <v>0</v>
      </c>
      <c r="D36" s="199">
        <f>BOQ[[#This Row],[Unit]]</f>
        <v>0</v>
      </c>
      <c r="E36" s="199">
        <f>BOQ[[#This Row],[BOQ]]</f>
        <v>0</v>
      </c>
      <c r="F36" s="200">
        <f>SUMIF('Goods Receipt'!$J:$J,Over_all[[#This Row],[Item Description]],'Goods Receipt'!$M:$M)</f>
        <v>0</v>
      </c>
      <c r="G36" s="200">
        <f>IF(Over_all[[#This Row],[BOQ]]-Over_all[[#This Row],[Received]]&gt;=0,Over_all[[#This Row],[BOQ]]-Over_all[[#This Row],[Received]],"")</f>
        <v>0</v>
      </c>
      <c r="H36" s="201" t="str">
        <f>IF(Over_all[[#This Row],[BOQ]]-Over_all[[#This Row],[Received]]&lt;0,Over_all[[#This Row],[BOQ]]-Over_all[[#This Row],[Received]],"")</f>
        <v/>
      </c>
      <c r="I36" s="221"/>
      <c r="J36" s="200">
        <f>Over_all[[#This Row],[Received]]</f>
        <v>0</v>
      </c>
      <c r="K36" s="200">
        <f>SUMIF(ISSUE!$F:$F,Over_all[[#This Row],[Item Description]],ISSUE!$I:$I)</f>
        <v>0</v>
      </c>
      <c r="L36" s="200">
        <f>Over_all[[#This Row],[Received.]]-Over_all[[#This Row],[Issued]]</f>
        <v>0</v>
      </c>
      <c r="M36" s="212"/>
      <c r="N36" s="222"/>
    </row>
    <row r="37" spans="1:14" ht="16" customHeight="1" outlineLevel="1" x14ac:dyDescent="0.35">
      <c r="A37" s="207" t="str">
        <f>BOQ[[#This Row],[S.No]]</f>
        <v>D.3</v>
      </c>
      <c r="B37" s="208" t="str">
        <f>BOQ[[#This Row],[Item Description]]</f>
        <v>HT_Cables</v>
      </c>
      <c r="C37" s="199">
        <f>BOQ[[#This Row],[Make / Vendor]]</f>
        <v>0</v>
      </c>
      <c r="D37" s="199">
        <f>BOQ[[#This Row],[Unit]]</f>
        <v>0</v>
      </c>
      <c r="E37" s="199">
        <f>BOQ[[#This Row],[BOQ]]</f>
        <v>0</v>
      </c>
      <c r="F37" s="200">
        <f>SUMIF('Goods Receipt'!$J:$J,Over_all[[#This Row],[Item Description]],'Goods Receipt'!$M:$M)</f>
        <v>0</v>
      </c>
      <c r="G37" s="200">
        <f>IF(Over_all[[#This Row],[BOQ]]-Over_all[[#This Row],[Received]]&gt;=0,Over_all[[#This Row],[BOQ]]-Over_all[[#This Row],[Received]],"")</f>
        <v>0</v>
      </c>
      <c r="H37" s="201" t="str">
        <f>IF(Over_all[[#This Row],[BOQ]]-Over_all[[#This Row],[Received]]&lt;0,Over_all[[#This Row],[BOQ]]-Over_all[[#This Row],[Received]],"")</f>
        <v/>
      </c>
      <c r="I37" s="221"/>
      <c r="J37" s="200">
        <f>Over_all[[#This Row],[Received]]</f>
        <v>0</v>
      </c>
      <c r="K37" s="200">
        <f>SUMIF(ISSUE!$F:$F,Over_all[[#This Row],[Item Description]],ISSUE!$I:$I)</f>
        <v>0</v>
      </c>
      <c r="L37" s="200">
        <f>Over_all[[#This Row],[Received.]]-Over_all[[#This Row],[Issued]]</f>
        <v>0</v>
      </c>
      <c r="M37" s="212"/>
      <c r="N37" s="222"/>
    </row>
    <row r="38" spans="1:14" ht="16" customHeight="1" outlineLevel="1" x14ac:dyDescent="0.35">
      <c r="A38" s="206">
        <f>BOQ[[#This Row],[S.No]]</f>
        <v>1</v>
      </c>
      <c r="B38" s="205" t="str">
        <f>BOQ[[#This Row],[Item Description]]</f>
        <v>3CX240Sqmm A2XFY 19/33KV HT Cable</v>
      </c>
      <c r="C38" s="199">
        <f>BOQ[[#This Row],[Make / Vendor]]</f>
        <v>0</v>
      </c>
      <c r="D38" s="199" t="str">
        <f>BOQ[[#This Row],[Unit]]</f>
        <v>Mtr</v>
      </c>
      <c r="E38" s="199">
        <f>BOQ[[#This Row],[BOQ]]</f>
        <v>1400</v>
      </c>
      <c r="F38" s="200">
        <f>SUMIF('Goods Receipt'!$J:$J,Over_all[[#This Row],[Item Description]],'Goods Receipt'!$M:$M)</f>
        <v>1512</v>
      </c>
      <c r="G38" s="200" t="str">
        <f>IF(Over_all[[#This Row],[BOQ]]-Over_all[[#This Row],[Received]]&gt;=0,Over_all[[#This Row],[BOQ]]-Over_all[[#This Row],[Received]],"")</f>
        <v/>
      </c>
      <c r="H38" s="201">
        <f>IF(Over_all[[#This Row],[BOQ]]-Over_all[[#This Row],[Received]]&lt;0,Over_all[[#This Row],[BOQ]]-Over_all[[#This Row],[Received]],"")</f>
        <v>-112</v>
      </c>
      <c r="I38" s="221"/>
      <c r="J38" s="200">
        <f>Over_all[[#This Row],[Received]]</f>
        <v>1512</v>
      </c>
      <c r="K38" s="200">
        <f>SUMIF(ISSUE!$F:$F,Over_all[[#This Row],[Item Description]],ISSUE!$I:$I)</f>
        <v>0</v>
      </c>
      <c r="L38" s="200">
        <f>Over_all[[#This Row],[Received.]]-Over_all[[#This Row],[Issued]]</f>
        <v>1512</v>
      </c>
      <c r="M38" s="212"/>
      <c r="N38" s="222"/>
    </row>
    <row r="39" spans="1:14" ht="16" customHeight="1" outlineLevel="1" x14ac:dyDescent="0.35">
      <c r="A39" s="204">
        <f>BOQ[[#This Row],[S.No]]</f>
        <v>0</v>
      </c>
      <c r="B39" s="198">
        <f>BOQ[[#This Row],[Item Description]]</f>
        <v>0</v>
      </c>
      <c r="C39" s="199">
        <f>BOQ[[#This Row],[Make / Vendor]]</f>
        <v>0</v>
      </c>
      <c r="D39" s="199">
        <f>BOQ[[#This Row],[Unit]]</f>
        <v>0</v>
      </c>
      <c r="E39" s="199">
        <f>BOQ[[#This Row],[BOQ]]</f>
        <v>0</v>
      </c>
      <c r="F39" s="200">
        <f>SUMIF('Goods Receipt'!$J:$J,Over_all[[#This Row],[Item Description]],'Goods Receipt'!$M:$M)</f>
        <v>0</v>
      </c>
      <c r="G39" s="200">
        <f>IF(Over_all[[#This Row],[BOQ]]-Over_all[[#This Row],[Received]]&gt;=0,Over_all[[#This Row],[BOQ]]-Over_all[[#This Row],[Received]],"")</f>
        <v>0</v>
      </c>
      <c r="H39" s="201" t="str">
        <f>IF(Over_all[[#This Row],[BOQ]]-Over_all[[#This Row],[Received]]&lt;0,Over_all[[#This Row],[BOQ]]-Over_all[[#This Row],[Received]],"")</f>
        <v/>
      </c>
      <c r="I39" s="221"/>
      <c r="J39" s="200">
        <f>Over_all[[#This Row],[Received]]</f>
        <v>0</v>
      </c>
      <c r="K39" s="200">
        <f>SUMIF(ISSUE!$F:$F,Over_all[[#This Row],[Item Description]],ISSUE!$I:$I)</f>
        <v>0</v>
      </c>
      <c r="L39" s="200">
        <f>Over_all[[#This Row],[Received.]]-Over_all[[#This Row],[Issued]]</f>
        <v>0</v>
      </c>
      <c r="M39" s="212"/>
      <c r="N39" s="222"/>
    </row>
    <row r="40" spans="1:14" ht="16" customHeight="1" x14ac:dyDescent="0.35">
      <c r="A40" s="207" t="str">
        <f>BOQ[[#This Row],[S.No]]</f>
        <v>D.4</v>
      </c>
      <c r="B40" s="208" t="str">
        <f>BOQ[[#This Row],[Item Description]]</f>
        <v>Earthing_cables</v>
      </c>
      <c r="C40" s="199">
        <f>BOQ[[#This Row],[Make / Vendor]]</f>
        <v>0</v>
      </c>
      <c r="D40" s="199">
        <f>BOQ[[#This Row],[Unit]]</f>
        <v>0</v>
      </c>
      <c r="E40" s="199">
        <f>BOQ[[#This Row],[BOQ]]</f>
        <v>0</v>
      </c>
      <c r="F40" s="200">
        <f>SUMIF('Goods Receipt'!$J:$J,Over_all[[#This Row],[Item Description]],'Goods Receipt'!$M:$M)</f>
        <v>0</v>
      </c>
      <c r="G40" s="200">
        <f>IF(Over_all[[#This Row],[BOQ]]-Over_all[[#This Row],[Received]]&gt;=0,Over_all[[#This Row],[BOQ]]-Over_all[[#This Row],[Received]],"")</f>
        <v>0</v>
      </c>
      <c r="H40" s="201" t="str">
        <f>IF(Over_all[[#This Row],[BOQ]]-Over_all[[#This Row],[Received]]&lt;0,Over_all[[#This Row],[BOQ]]-Over_all[[#This Row],[Received]],"")</f>
        <v/>
      </c>
      <c r="I40" s="221"/>
      <c r="J40" s="200">
        <f>Over_all[[#This Row],[Received]]</f>
        <v>0</v>
      </c>
      <c r="K40" s="200">
        <f>SUMIF(ISSUE!$F:$F,Over_all[[#This Row],[Item Description]],ISSUE!$I:$I)</f>
        <v>0</v>
      </c>
      <c r="L40" s="200">
        <f>Over_all[[#This Row],[Received.]]-Over_all[[#This Row],[Issued]]</f>
        <v>0</v>
      </c>
      <c r="M40" s="212"/>
      <c r="N40" s="222"/>
    </row>
    <row r="41" spans="1:14" ht="16" customHeight="1" outlineLevel="1" x14ac:dyDescent="0.35">
      <c r="A41" s="197">
        <f>BOQ[[#This Row],[S.No]]</f>
        <v>1</v>
      </c>
      <c r="B41" s="198" t="str">
        <f>BOQ[[#This Row],[Item Description]]</f>
        <v>1C X 50Sq.mm Copper Flexible Cable</v>
      </c>
      <c r="C41" s="199">
        <f>BOQ[[#This Row],[Make / Vendor]]</f>
        <v>0</v>
      </c>
      <c r="D41" s="199" t="str">
        <f>BOQ[[#This Row],[Unit]]</f>
        <v>Mtr</v>
      </c>
      <c r="E41" s="199">
        <f>BOQ[[#This Row],[BOQ]]</f>
        <v>150</v>
      </c>
      <c r="F41" s="200">
        <f>SUMIF('Goods Receipt'!$J:$J,Over_all[[#This Row],[Item Description]],'Goods Receipt'!$M:$M)</f>
        <v>150</v>
      </c>
      <c r="G41" s="200">
        <f>IF(Over_all[[#This Row],[BOQ]]-Over_all[[#This Row],[Received]]&gt;=0,Over_all[[#This Row],[BOQ]]-Over_all[[#This Row],[Received]],"")</f>
        <v>0</v>
      </c>
      <c r="H41" s="201" t="str">
        <f>IF(Over_all[[#This Row],[BOQ]]-Over_all[[#This Row],[Received]]&lt;0,Over_all[[#This Row],[BOQ]]-Over_all[[#This Row],[Received]],"")</f>
        <v/>
      </c>
      <c r="I41" s="221"/>
      <c r="J41" s="200">
        <f>Over_all[[#This Row],[Received]]</f>
        <v>150</v>
      </c>
      <c r="K41" s="200">
        <f>SUMIF(ISSUE!$F:$F,Over_all[[#This Row],[Item Description]],ISSUE!$I:$I)</f>
        <v>0</v>
      </c>
      <c r="L41" s="200">
        <f>Over_all[[#This Row],[Received.]]-Over_all[[#This Row],[Issued]]</f>
        <v>150</v>
      </c>
      <c r="M41" s="212"/>
      <c r="N41" s="222"/>
    </row>
    <row r="42" spans="1:14" ht="16" customHeight="1" outlineLevel="1" x14ac:dyDescent="0.35">
      <c r="A42" s="204">
        <f>BOQ[[#This Row],[S.No]]</f>
        <v>0</v>
      </c>
      <c r="B42" s="198">
        <f>BOQ[[#This Row],[Item Description]]</f>
        <v>0</v>
      </c>
      <c r="C42" s="199">
        <f>BOQ[[#This Row],[Make / Vendor]]</f>
        <v>0</v>
      </c>
      <c r="D42" s="199">
        <f>BOQ[[#This Row],[Unit]]</f>
        <v>0</v>
      </c>
      <c r="E42" s="199">
        <f>BOQ[[#This Row],[BOQ]]</f>
        <v>0</v>
      </c>
      <c r="F42" s="200">
        <f>SUMIF('Goods Receipt'!$J:$J,Over_all[[#This Row],[Item Description]],'Goods Receipt'!$M:$M)</f>
        <v>0</v>
      </c>
      <c r="G42" s="200">
        <f>IF(Over_all[[#This Row],[BOQ]]-Over_all[[#This Row],[Received]]&gt;=0,Over_all[[#This Row],[BOQ]]-Over_all[[#This Row],[Received]],"")</f>
        <v>0</v>
      </c>
      <c r="H42" s="201" t="str">
        <f>IF(Over_all[[#This Row],[BOQ]]-Over_all[[#This Row],[Received]]&lt;0,Over_all[[#This Row],[BOQ]]-Over_all[[#This Row],[Received]],"")</f>
        <v/>
      </c>
      <c r="I42" s="221"/>
      <c r="J42" s="200">
        <f>Over_all[[#This Row],[Received]]</f>
        <v>0</v>
      </c>
      <c r="K42" s="200">
        <f>SUMIF(ISSUE!$F:$F,Over_all[[#This Row],[Item Description]],ISSUE!$I:$I)</f>
        <v>0</v>
      </c>
      <c r="L42" s="200">
        <f>Over_all[[#This Row],[Received.]]-Over_all[[#This Row],[Issued]]</f>
        <v>0</v>
      </c>
      <c r="M42" s="212"/>
      <c r="N42" s="222"/>
    </row>
    <row r="43" spans="1:14" ht="16" customHeight="1" outlineLevel="1" x14ac:dyDescent="0.35">
      <c r="A43" s="207" t="str">
        <f>BOQ[[#This Row],[S.No]]</f>
        <v>D.5</v>
      </c>
      <c r="B43" s="208" t="str">
        <f>BOQ[[#This Row],[Item Description]]</f>
        <v>Aux_Control_Cable</v>
      </c>
      <c r="C43" s="199">
        <f>BOQ[[#This Row],[Make / Vendor]]</f>
        <v>0</v>
      </c>
      <c r="D43" s="199">
        <f>BOQ[[#This Row],[Unit]]</f>
        <v>0</v>
      </c>
      <c r="E43" s="199">
        <f>BOQ[[#This Row],[BOQ]]</f>
        <v>0</v>
      </c>
      <c r="F43" s="200">
        <f>SUMIF('Goods Receipt'!$J:$J,Over_all[[#This Row],[Item Description]],'Goods Receipt'!$M:$M)</f>
        <v>0</v>
      </c>
      <c r="G43" s="200">
        <f>IF(Over_all[[#This Row],[BOQ]]-Over_all[[#This Row],[Received]]&gt;=0,Over_all[[#This Row],[BOQ]]-Over_all[[#This Row],[Received]],"")</f>
        <v>0</v>
      </c>
      <c r="H43" s="201" t="str">
        <f>IF(Over_all[[#This Row],[BOQ]]-Over_all[[#This Row],[Received]]&lt;0,Over_all[[#This Row],[BOQ]]-Over_all[[#This Row],[Received]],"")</f>
        <v/>
      </c>
      <c r="I43" s="221"/>
      <c r="J43" s="200">
        <f>Over_all[[#This Row],[Received]]</f>
        <v>0</v>
      </c>
      <c r="K43" s="200">
        <f>SUMIF(ISSUE!$F:$F,Over_all[[#This Row],[Item Description]],ISSUE!$I:$I)</f>
        <v>0</v>
      </c>
      <c r="L43" s="200">
        <f>Over_all[[#This Row],[Received.]]-Over_all[[#This Row],[Issued]]</f>
        <v>0</v>
      </c>
      <c r="M43" s="212"/>
      <c r="N43" s="222"/>
    </row>
    <row r="44" spans="1:14" ht="16" customHeight="1" outlineLevel="1" x14ac:dyDescent="0.35">
      <c r="A44" s="204">
        <f>BOQ[[#This Row],[S.No]]</f>
        <v>1</v>
      </c>
      <c r="B44" s="198" t="str">
        <f>BOQ[[#This Row],[Item Description]]</f>
        <v>3C X 35Sq.mm 1.1 Kv A2XFY Cable</v>
      </c>
      <c r="C44" s="199">
        <f>BOQ[[#This Row],[Make / Vendor]]</f>
        <v>0</v>
      </c>
      <c r="D44" s="199" t="str">
        <f>BOQ[[#This Row],[Unit]]</f>
        <v>Mtr</v>
      </c>
      <c r="E44" s="199">
        <f>BOQ[[#This Row],[BOQ]]</f>
        <v>30</v>
      </c>
      <c r="F44" s="200">
        <f>SUMIF('Goods Receipt'!$J:$J,Over_all[[#This Row],[Item Description]],'Goods Receipt'!$M:$M)</f>
        <v>30</v>
      </c>
      <c r="G44" s="200">
        <f>IF(Over_all[[#This Row],[BOQ]]-Over_all[[#This Row],[Received]]&gt;=0,Over_all[[#This Row],[BOQ]]-Over_all[[#This Row],[Received]],"")</f>
        <v>0</v>
      </c>
      <c r="H44" s="201" t="str">
        <f>IF(Over_all[[#This Row],[BOQ]]-Over_all[[#This Row],[Received]]&lt;0,Over_all[[#This Row],[BOQ]]-Over_all[[#This Row],[Received]],"")</f>
        <v/>
      </c>
      <c r="I44" s="221"/>
      <c r="J44" s="200">
        <f>Over_all[[#This Row],[Received]]</f>
        <v>30</v>
      </c>
      <c r="K44" s="200">
        <f>SUMIF(ISSUE!$F:$F,Over_all[[#This Row],[Item Description]],ISSUE!$I:$I)</f>
        <v>0</v>
      </c>
      <c r="L44" s="200">
        <f>Over_all[[#This Row],[Received.]]-Over_all[[#This Row],[Issued]]</f>
        <v>30</v>
      </c>
      <c r="M44" s="212"/>
      <c r="N44" s="222"/>
    </row>
    <row r="45" spans="1:14" ht="16" customHeight="1" outlineLevel="1" x14ac:dyDescent="0.35">
      <c r="A45" s="197">
        <f>BOQ[[#This Row],[S.No]]</f>
        <v>2</v>
      </c>
      <c r="B45" s="205" t="str">
        <f>BOQ[[#This Row],[Item Description]]</f>
        <v>4C X 6Sq.mm 1.1 Kv A2XWY Cable</v>
      </c>
      <c r="C45" s="199">
        <f>BOQ[[#This Row],[Make / Vendor]]</f>
        <v>0</v>
      </c>
      <c r="D45" s="199" t="str">
        <f>BOQ[[#This Row],[Unit]]</f>
        <v>Mtr</v>
      </c>
      <c r="E45" s="199">
        <f>BOQ[[#This Row],[BOQ]]</f>
        <v>3100</v>
      </c>
      <c r="F45" s="200">
        <f>SUMIF('Goods Receipt'!$J:$J,Over_all[[#This Row],[Item Description]],'Goods Receipt'!$M:$M)</f>
        <v>3081</v>
      </c>
      <c r="G45" s="200">
        <f>IF(Over_all[[#This Row],[BOQ]]-Over_all[[#This Row],[Received]]&gt;=0,Over_all[[#This Row],[BOQ]]-Over_all[[#This Row],[Received]],"")</f>
        <v>19</v>
      </c>
      <c r="H45" s="201" t="str">
        <f>IF(Over_all[[#This Row],[BOQ]]-Over_all[[#This Row],[Received]]&lt;0,Over_all[[#This Row],[BOQ]]-Over_all[[#This Row],[Received]],"")</f>
        <v/>
      </c>
      <c r="I45" s="221"/>
      <c r="J45" s="200">
        <f>Over_all[[#This Row],[Received]]</f>
        <v>3081</v>
      </c>
      <c r="K45" s="200">
        <f>SUMIF(ISSUE!$F:$F,Over_all[[#This Row],[Item Description]],ISSUE!$I:$I)</f>
        <v>0</v>
      </c>
      <c r="L45" s="200">
        <f>Over_all[[#This Row],[Received.]]-Over_all[[#This Row],[Issued]]</f>
        <v>3081</v>
      </c>
      <c r="M45" s="212"/>
      <c r="N45" s="222"/>
    </row>
    <row r="46" spans="1:14" ht="16" customHeight="1" outlineLevel="1" x14ac:dyDescent="0.35">
      <c r="A46" s="204">
        <f>BOQ[[#This Row],[S.No]]</f>
        <v>3</v>
      </c>
      <c r="B46" s="198" t="str">
        <f>BOQ[[#This Row],[Item Description]]</f>
        <v>2C X 6Sq.mm Flexible HRFR Cable</v>
      </c>
      <c r="C46" s="199">
        <f>BOQ[[#This Row],[Make / Vendor]]</f>
        <v>0</v>
      </c>
      <c r="D46" s="199" t="str">
        <f>BOQ[[#This Row],[Unit]]</f>
        <v>Mtr</v>
      </c>
      <c r="E46" s="199">
        <f>BOQ[[#This Row],[BOQ]]</f>
        <v>30</v>
      </c>
      <c r="F46" s="200">
        <f>SUMIF('Goods Receipt'!$J:$J,Over_all[[#This Row],[Item Description]],'Goods Receipt'!$M:$M)</f>
        <v>30</v>
      </c>
      <c r="G46" s="200">
        <f>IF(Over_all[[#This Row],[BOQ]]-Over_all[[#This Row],[Received]]&gt;=0,Over_all[[#This Row],[BOQ]]-Over_all[[#This Row],[Received]],"")</f>
        <v>0</v>
      </c>
      <c r="H46" s="201" t="str">
        <f>IF(Over_all[[#This Row],[BOQ]]-Over_all[[#This Row],[Received]]&lt;0,Over_all[[#This Row],[BOQ]]-Over_all[[#This Row],[Received]],"")</f>
        <v/>
      </c>
      <c r="I46" s="221"/>
      <c r="J46" s="200">
        <f>Over_all[[#This Row],[Received]]</f>
        <v>30</v>
      </c>
      <c r="K46" s="200">
        <f>SUMIF(ISSUE!$F:$F,Over_all[[#This Row],[Item Description]],ISSUE!$I:$I)</f>
        <v>0</v>
      </c>
      <c r="L46" s="200">
        <f>Over_all[[#This Row],[Received.]]-Over_all[[#This Row],[Issued]]</f>
        <v>30</v>
      </c>
      <c r="M46" s="212"/>
      <c r="N46" s="222"/>
    </row>
    <row r="47" spans="1:14" ht="16" customHeight="1" outlineLevel="1" x14ac:dyDescent="0.35">
      <c r="A47" s="197">
        <f>BOQ[[#This Row],[S.No]]</f>
        <v>4</v>
      </c>
      <c r="B47" s="198" t="str">
        <f>BOQ[[#This Row],[Item Description]]</f>
        <v>2C X 4Sq.mm Copper Flexible Cable</v>
      </c>
      <c r="C47" s="199">
        <f>BOQ[[#This Row],[Make / Vendor]]</f>
        <v>0</v>
      </c>
      <c r="D47" s="199" t="str">
        <f>BOQ[[#This Row],[Unit]]</f>
        <v>Mtr</v>
      </c>
      <c r="E47" s="199">
        <f>BOQ[[#This Row],[BOQ]]</f>
        <v>2200</v>
      </c>
      <c r="F47" s="200">
        <f>SUMIF('Goods Receipt'!$J:$J,Over_all[[#This Row],[Item Description]],'Goods Receipt'!$M:$M)</f>
        <v>2200</v>
      </c>
      <c r="G47" s="200">
        <f>IF(Over_all[[#This Row],[BOQ]]-Over_all[[#This Row],[Received]]&gt;=0,Over_all[[#This Row],[BOQ]]-Over_all[[#This Row],[Received]],"")</f>
        <v>0</v>
      </c>
      <c r="H47" s="201" t="str">
        <f>IF(Over_all[[#This Row],[BOQ]]-Over_all[[#This Row],[Received]]&lt;0,Over_all[[#This Row],[BOQ]]-Over_all[[#This Row],[Received]],"")</f>
        <v/>
      </c>
      <c r="I47" s="221"/>
      <c r="J47" s="200">
        <f>Over_all[[#This Row],[Received]]</f>
        <v>2200</v>
      </c>
      <c r="K47" s="200">
        <f>SUMIF(ISSUE!$F:$F,Over_all[[#This Row],[Item Description]],ISSUE!$I:$I)</f>
        <v>0</v>
      </c>
      <c r="L47" s="200">
        <f>Over_all[[#This Row],[Received.]]-Over_all[[#This Row],[Issued]]</f>
        <v>2200</v>
      </c>
      <c r="M47" s="212"/>
      <c r="N47" s="222"/>
    </row>
    <row r="48" spans="1:14" ht="16" customHeight="1" x14ac:dyDescent="0.35">
      <c r="A48" s="204">
        <f>BOQ[[#This Row],[S.No]]</f>
        <v>5</v>
      </c>
      <c r="B48" s="198" t="str">
        <f>BOQ[[#This Row],[Item Description]]</f>
        <v>2C X 2.5 Sq.mm Copper Flexible Cable</v>
      </c>
      <c r="C48" s="199">
        <f>BOQ[[#This Row],[Make / Vendor]]</f>
        <v>0</v>
      </c>
      <c r="D48" s="199" t="str">
        <f>BOQ[[#This Row],[Unit]]</f>
        <v>Mtr</v>
      </c>
      <c r="E48" s="199">
        <f>BOQ[[#This Row],[BOQ]]</f>
        <v>400</v>
      </c>
      <c r="F48" s="200">
        <f>SUMIF('Goods Receipt'!$J:$J,Over_all[[#This Row],[Item Description]],'Goods Receipt'!$M:$M)</f>
        <v>400</v>
      </c>
      <c r="G48" s="200">
        <f>IF(Over_all[[#This Row],[BOQ]]-Over_all[[#This Row],[Received]]&gt;=0,Over_all[[#This Row],[BOQ]]-Over_all[[#This Row],[Received]],"")</f>
        <v>0</v>
      </c>
      <c r="H48" s="201" t="str">
        <f>IF(Over_all[[#This Row],[BOQ]]-Over_all[[#This Row],[Received]]&lt;0,Over_all[[#This Row],[BOQ]]-Over_all[[#This Row],[Received]],"")</f>
        <v/>
      </c>
      <c r="I48" s="221"/>
      <c r="J48" s="200">
        <f>Over_all[[#This Row],[Received]]</f>
        <v>400</v>
      </c>
      <c r="K48" s="200">
        <f>SUMIF(ISSUE!$F:$F,Over_all[[#This Row],[Item Description]],ISSUE!$I:$I)</f>
        <v>0</v>
      </c>
      <c r="L48" s="200">
        <f>Over_all[[#This Row],[Received.]]-Over_all[[#This Row],[Issued]]</f>
        <v>400</v>
      </c>
      <c r="M48" s="212"/>
      <c r="N48" s="222"/>
    </row>
    <row r="49" spans="1:14" ht="16" customHeight="1" outlineLevel="1" x14ac:dyDescent="0.35">
      <c r="A49" s="206">
        <f>BOQ[[#This Row],[S.No]]</f>
        <v>6</v>
      </c>
      <c r="B49" s="198" t="str">
        <f>BOQ[[#This Row],[Item Description]]</f>
        <v>12C X 2.5 Sq.mm 1.1 Kv 2XFY Cable</v>
      </c>
      <c r="C49" s="199">
        <f>BOQ[[#This Row],[Make / Vendor]]</f>
        <v>0</v>
      </c>
      <c r="D49" s="199" t="str">
        <f>BOQ[[#This Row],[Unit]]</f>
        <v>Mtr</v>
      </c>
      <c r="E49" s="199">
        <f>BOQ[[#This Row],[BOQ]]</f>
        <v>250</v>
      </c>
      <c r="F49" s="200">
        <f>SUMIF('Goods Receipt'!$J:$J,Over_all[[#This Row],[Item Description]],'Goods Receipt'!$M:$M)</f>
        <v>250</v>
      </c>
      <c r="G49" s="200">
        <f>IF(Over_all[[#This Row],[BOQ]]-Over_all[[#This Row],[Received]]&gt;=0,Over_all[[#This Row],[BOQ]]-Over_all[[#This Row],[Received]],"")</f>
        <v>0</v>
      </c>
      <c r="H49" s="201" t="str">
        <f>IF(Over_all[[#This Row],[BOQ]]-Over_all[[#This Row],[Received]]&lt;0,Over_all[[#This Row],[BOQ]]-Over_all[[#This Row],[Received]],"")</f>
        <v/>
      </c>
      <c r="I49" s="221"/>
      <c r="J49" s="200">
        <f>Over_all[[#This Row],[Received]]</f>
        <v>250</v>
      </c>
      <c r="K49" s="200">
        <f>SUMIF(ISSUE!$F:$F,Over_all[[#This Row],[Item Description]],ISSUE!$I:$I)</f>
        <v>0</v>
      </c>
      <c r="L49" s="200">
        <f>Over_all[[#This Row],[Received.]]-Over_all[[#This Row],[Issued]]</f>
        <v>250</v>
      </c>
      <c r="M49" s="212"/>
      <c r="N49" s="222"/>
    </row>
    <row r="50" spans="1:14" ht="16" customHeight="1" outlineLevel="1" x14ac:dyDescent="0.35">
      <c r="A50" s="197">
        <f>BOQ[[#This Row],[S.No]]</f>
        <v>7</v>
      </c>
      <c r="B50" s="205" t="str">
        <f>BOQ[[#This Row],[Item Description]]</f>
        <v>3C X 4 Sq.mm Copper Flexible Cable</v>
      </c>
      <c r="C50" s="199">
        <f>BOQ[[#This Row],[Make / Vendor]]</f>
        <v>0</v>
      </c>
      <c r="D50" s="199" t="str">
        <f>BOQ[[#This Row],[Unit]]</f>
        <v>Mtr</v>
      </c>
      <c r="E50" s="199">
        <f>BOQ[[#This Row],[BOQ]]</f>
        <v>100</v>
      </c>
      <c r="F50" s="200">
        <f>SUMIF('Goods Receipt'!$J:$J,Over_all[[#This Row],[Item Description]],'Goods Receipt'!$M:$M)</f>
        <v>100</v>
      </c>
      <c r="G50" s="200">
        <f>IF(Over_all[[#This Row],[BOQ]]-Over_all[[#This Row],[Received]]&gt;=0,Over_all[[#This Row],[BOQ]]-Over_all[[#This Row],[Received]],"")</f>
        <v>0</v>
      </c>
      <c r="H50" s="201" t="str">
        <f>IF(Over_all[[#This Row],[BOQ]]-Over_all[[#This Row],[Received]]&lt;0,Over_all[[#This Row],[BOQ]]-Over_all[[#This Row],[Received]],"")</f>
        <v/>
      </c>
      <c r="I50" s="221"/>
      <c r="J50" s="200">
        <f>Over_all[[#This Row],[Received]]</f>
        <v>100</v>
      </c>
      <c r="K50" s="200">
        <f>SUMIF(ISSUE!$F:$F,Over_all[[#This Row],[Item Description]],ISSUE!$I:$I)</f>
        <v>0</v>
      </c>
      <c r="L50" s="200">
        <f>Over_all[[#This Row],[Received.]]-Over_all[[#This Row],[Issued]]</f>
        <v>100</v>
      </c>
      <c r="M50" s="212"/>
      <c r="N50" s="222"/>
    </row>
    <row r="51" spans="1:14" ht="16" customHeight="1" outlineLevel="1" x14ac:dyDescent="0.35">
      <c r="A51" s="206">
        <f>BOQ[[#This Row],[S.No]]</f>
        <v>0</v>
      </c>
      <c r="B51" s="198">
        <f>BOQ[[#This Row],[Item Description]]</f>
        <v>0</v>
      </c>
      <c r="C51" s="199">
        <f>BOQ[[#This Row],[Make / Vendor]]</f>
        <v>0</v>
      </c>
      <c r="D51" s="199">
        <f>BOQ[[#This Row],[Unit]]</f>
        <v>0</v>
      </c>
      <c r="E51" s="199">
        <f>BOQ[[#This Row],[BOQ]]</f>
        <v>0</v>
      </c>
      <c r="F51" s="200">
        <f>SUMIF('Goods Receipt'!$J:$J,Over_all[[#This Row],[Item Description]],'Goods Receipt'!$M:$M)</f>
        <v>0</v>
      </c>
      <c r="G51" s="200">
        <f>IF(Over_all[[#This Row],[BOQ]]-Over_all[[#This Row],[Received]]&gt;=0,Over_all[[#This Row],[BOQ]]-Over_all[[#This Row],[Received]],"")</f>
        <v>0</v>
      </c>
      <c r="H51" s="201" t="str">
        <f>IF(Over_all[[#This Row],[BOQ]]-Over_all[[#This Row],[Received]]&lt;0,Over_all[[#This Row],[BOQ]]-Over_all[[#This Row],[Received]],"")</f>
        <v/>
      </c>
      <c r="I51" s="221"/>
      <c r="J51" s="200">
        <f>Over_all[[#This Row],[Received]]</f>
        <v>0</v>
      </c>
      <c r="K51" s="200">
        <f>SUMIF(ISSUE!$F:$F,Over_all[[#This Row],[Item Description]],ISSUE!$I:$I)</f>
        <v>0</v>
      </c>
      <c r="L51" s="200">
        <f>Over_all[[#This Row],[Received.]]-Over_all[[#This Row],[Issued]]</f>
        <v>0</v>
      </c>
      <c r="M51" s="212"/>
      <c r="N51" s="222"/>
    </row>
    <row r="52" spans="1:14" ht="16" customHeight="1" outlineLevel="1" x14ac:dyDescent="0.35">
      <c r="A52" s="207" t="str">
        <f>BOQ[[#This Row],[S.No]]</f>
        <v>D.6</v>
      </c>
      <c r="B52" s="208" t="str">
        <f>BOQ[[#This Row],[Item Description]]</f>
        <v>Communication_Cable</v>
      </c>
      <c r="C52" s="199">
        <f>BOQ[[#This Row],[Make / Vendor]]</f>
        <v>0</v>
      </c>
      <c r="D52" s="199">
        <f>BOQ[[#This Row],[Unit]]</f>
        <v>0</v>
      </c>
      <c r="E52" s="199">
        <f>BOQ[[#This Row],[BOQ]]</f>
        <v>0</v>
      </c>
      <c r="F52" s="200">
        <f>SUMIF('Goods Receipt'!$J:$J,Over_all[[#This Row],[Item Description]],'Goods Receipt'!$M:$M)</f>
        <v>0</v>
      </c>
      <c r="G52" s="200">
        <f>IF(Over_all[[#This Row],[BOQ]]-Over_all[[#This Row],[Received]]&gt;=0,Over_all[[#This Row],[BOQ]]-Over_all[[#This Row],[Received]],"")</f>
        <v>0</v>
      </c>
      <c r="H52" s="201" t="str">
        <f>IF(Over_all[[#This Row],[BOQ]]-Over_all[[#This Row],[Received]]&lt;0,Over_all[[#This Row],[BOQ]]-Over_all[[#This Row],[Received]],"")</f>
        <v/>
      </c>
      <c r="I52" s="221"/>
      <c r="J52" s="200">
        <f>Over_all[[#This Row],[Received]]</f>
        <v>0</v>
      </c>
      <c r="K52" s="200">
        <f>SUMIF(ISSUE!$F:$F,Over_all[[#This Row],[Item Description]],ISSUE!$I:$I)</f>
        <v>0</v>
      </c>
      <c r="L52" s="200">
        <f>Over_all[[#This Row],[Received.]]-Over_all[[#This Row],[Issued]]</f>
        <v>0</v>
      </c>
      <c r="M52" s="212"/>
      <c r="N52" s="222"/>
    </row>
    <row r="53" spans="1:14" ht="16" customHeight="1" outlineLevel="1" x14ac:dyDescent="0.35">
      <c r="A53" s="197">
        <f>BOQ[[#This Row],[S.No]]</f>
        <v>1</v>
      </c>
      <c r="B53" s="205" t="str">
        <f>BOQ[[#This Row],[Item Description]]</f>
        <v>CAT-6 Cable</v>
      </c>
      <c r="C53" s="199">
        <f>BOQ[[#This Row],[Make / Vendor]]</f>
        <v>0</v>
      </c>
      <c r="D53" s="199" t="str">
        <f>BOQ[[#This Row],[Unit]]</f>
        <v>Mtr</v>
      </c>
      <c r="E53" s="199">
        <f>BOQ[[#This Row],[BOQ]]</f>
        <v>100</v>
      </c>
      <c r="F53" s="200">
        <f>SUMIF('Goods Receipt'!$J:$J,Over_all[[#This Row],[Item Description]],'Goods Receipt'!$M:$M)</f>
        <v>100</v>
      </c>
      <c r="G53" s="200">
        <f>IF(Over_all[[#This Row],[BOQ]]-Over_all[[#This Row],[Received]]&gt;=0,Over_all[[#This Row],[BOQ]]-Over_all[[#This Row],[Received]],"")</f>
        <v>0</v>
      </c>
      <c r="H53" s="201" t="str">
        <f>IF(Over_all[[#This Row],[BOQ]]-Over_all[[#This Row],[Received]]&lt;0,Over_all[[#This Row],[BOQ]]-Over_all[[#This Row],[Received]],"")</f>
        <v/>
      </c>
      <c r="I53" s="221"/>
      <c r="J53" s="200">
        <f>Over_all[[#This Row],[Received]]</f>
        <v>100</v>
      </c>
      <c r="K53" s="200">
        <f>SUMIF(ISSUE!$F:$F,Over_all[[#This Row],[Item Description]],ISSUE!$I:$I)</f>
        <v>0</v>
      </c>
      <c r="L53" s="200">
        <f>Over_all[[#This Row],[Received.]]-Over_all[[#This Row],[Issued]]</f>
        <v>100</v>
      </c>
      <c r="M53" s="212"/>
      <c r="N53" s="222"/>
    </row>
    <row r="54" spans="1:14" ht="16" customHeight="1" outlineLevel="1" x14ac:dyDescent="0.35">
      <c r="A54" s="206">
        <f>BOQ[[#This Row],[S.No]]</f>
        <v>2</v>
      </c>
      <c r="B54" s="198" t="str">
        <f>BOQ[[#This Row],[Item Description]]</f>
        <v>RS 485 ARM Cable</v>
      </c>
      <c r="C54" s="199">
        <f>BOQ[[#This Row],[Make / Vendor]]</f>
        <v>0</v>
      </c>
      <c r="D54" s="199" t="str">
        <f>BOQ[[#This Row],[Unit]]</f>
        <v>Mtr</v>
      </c>
      <c r="E54" s="199">
        <f>BOQ[[#This Row],[BOQ]]</f>
        <v>300</v>
      </c>
      <c r="F54" s="200">
        <f>SUMIF('Goods Receipt'!$J:$J,Over_all[[#This Row],[Item Description]],'Goods Receipt'!$M:$M)</f>
        <v>300</v>
      </c>
      <c r="G54" s="200">
        <f>IF(Over_all[[#This Row],[BOQ]]-Over_all[[#This Row],[Received]]&gt;=0,Over_all[[#This Row],[BOQ]]-Over_all[[#This Row],[Received]],"")</f>
        <v>0</v>
      </c>
      <c r="H54" s="201" t="str">
        <f>IF(Over_all[[#This Row],[BOQ]]-Over_all[[#This Row],[Received]]&lt;0,Over_all[[#This Row],[BOQ]]-Over_all[[#This Row],[Received]],"")</f>
        <v/>
      </c>
      <c r="I54" s="221"/>
      <c r="J54" s="200">
        <f>Over_all[[#This Row],[Received]]</f>
        <v>300</v>
      </c>
      <c r="K54" s="200">
        <f>SUMIF(ISSUE!$F:$F,Over_all[[#This Row],[Item Description]],ISSUE!$I:$I)</f>
        <v>0</v>
      </c>
      <c r="L54" s="200">
        <f>Over_all[[#This Row],[Received.]]-Over_all[[#This Row],[Issued]]</f>
        <v>300</v>
      </c>
      <c r="M54" s="212"/>
      <c r="N54" s="222"/>
    </row>
    <row r="55" spans="1:14" ht="16" customHeight="1" outlineLevel="1" x14ac:dyDescent="0.35">
      <c r="A55" s="206">
        <f>BOQ[[#This Row],[S.No]]</f>
        <v>3</v>
      </c>
      <c r="B55" s="205" t="str">
        <f>BOQ[[#This Row],[Item Description]]</f>
        <v>12F FO Cable</v>
      </c>
      <c r="C55" s="199">
        <f>BOQ[[#This Row],[Make / Vendor]]</f>
        <v>0</v>
      </c>
      <c r="D55" s="199" t="str">
        <f>BOQ[[#This Row],[Unit]]</f>
        <v>Mtr</v>
      </c>
      <c r="E55" s="199">
        <f>BOQ[[#This Row],[BOQ]]</f>
        <v>1300</v>
      </c>
      <c r="F55" s="200">
        <f>SUMIF('Goods Receipt'!$J:$J,Over_all[[#This Row],[Item Description]],'Goods Receipt'!$M:$M)</f>
        <v>1300</v>
      </c>
      <c r="G55" s="200">
        <f>IF(Over_all[[#This Row],[BOQ]]-Over_all[[#This Row],[Received]]&gt;=0,Over_all[[#This Row],[BOQ]]-Over_all[[#This Row],[Received]],"")</f>
        <v>0</v>
      </c>
      <c r="H55" s="201" t="str">
        <f>IF(Over_all[[#This Row],[BOQ]]-Over_all[[#This Row],[Received]]&lt;0,Over_all[[#This Row],[BOQ]]-Over_all[[#This Row],[Received]],"")</f>
        <v/>
      </c>
      <c r="I55" s="221"/>
      <c r="J55" s="200">
        <f>Over_all[[#This Row],[Received]]</f>
        <v>1300</v>
      </c>
      <c r="K55" s="200">
        <f>SUMIF(ISSUE!$F:$F,Over_all[[#This Row],[Item Description]],ISSUE!$I:$I)</f>
        <v>0</v>
      </c>
      <c r="L55" s="200">
        <f>Over_all[[#This Row],[Received.]]-Over_all[[#This Row],[Issued]]</f>
        <v>1300</v>
      </c>
      <c r="M55" s="212"/>
      <c r="N55" s="222"/>
    </row>
    <row r="56" spans="1:14" ht="16" customHeight="1" x14ac:dyDescent="0.35">
      <c r="A56" s="206">
        <f>BOQ[[#This Row],[S.No]]</f>
        <v>0</v>
      </c>
      <c r="B56" s="198">
        <f>BOQ[[#This Row],[Item Description]]</f>
        <v>0</v>
      </c>
      <c r="C56" s="199">
        <f>BOQ[[#This Row],[Make / Vendor]]</f>
        <v>0</v>
      </c>
      <c r="D56" s="199">
        <f>BOQ[[#This Row],[Unit]]</f>
        <v>0</v>
      </c>
      <c r="E56" s="199">
        <f>BOQ[[#This Row],[BOQ]]</f>
        <v>0</v>
      </c>
      <c r="F56" s="200">
        <f>SUMIF('Goods Receipt'!$J:$J,Over_all[[#This Row],[Item Description]],'Goods Receipt'!$M:$M)</f>
        <v>0</v>
      </c>
      <c r="G56" s="200">
        <f>IF(Over_all[[#This Row],[BOQ]]-Over_all[[#This Row],[Received]]&gt;=0,Over_all[[#This Row],[BOQ]]-Over_all[[#This Row],[Received]],"")</f>
        <v>0</v>
      </c>
      <c r="H56" s="201" t="str">
        <f>IF(Over_all[[#This Row],[BOQ]]-Over_all[[#This Row],[Received]]&lt;0,Over_all[[#This Row],[BOQ]]-Over_all[[#This Row],[Received]],"")</f>
        <v/>
      </c>
      <c r="I56" s="221"/>
      <c r="J56" s="200">
        <f>Over_all[[#This Row],[Received]]</f>
        <v>0</v>
      </c>
      <c r="K56" s="200">
        <f>SUMIF(ISSUE!$F:$F,Over_all[[#This Row],[Item Description]],ISSUE!$I:$I)</f>
        <v>0</v>
      </c>
      <c r="L56" s="200">
        <f>Over_all[[#This Row],[Received.]]-Over_all[[#This Row],[Issued]]</f>
        <v>0</v>
      </c>
      <c r="M56" s="212"/>
      <c r="N56" s="222"/>
    </row>
    <row r="57" spans="1:14" ht="16" customHeight="1" outlineLevel="1" x14ac:dyDescent="0.35">
      <c r="A57" s="207" t="str">
        <f>BOQ[[#This Row],[S.No]]</f>
        <v>E</v>
      </c>
      <c r="B57" s="208" t="str">
        <f>BOQ[[#This Row],[Item Description]]</f>
        <v>Equipment</v>
      </c>
      <c r="C57" s="199">
        <f>BOQ[[#This Row],[Make / Vendor]]</f>
        <v>0</v>
      </c>
      <c r="D57" s="199">
        <f>BOQ[[#This Row],[Unit]]</f>
        <v>0</v>
      </c>
      <c r="E57" s="199">
        <f>BOQ[[#This Row],[BOQ]]</f>
        <v>0</v>
      </c>
      <c r="F57" s="200">
        <f>SUMIF('Goods Receipt'!$J:$J,Over_all[[#This Row],[Item Description]],'Goods Receipt'!$M:$M)</f>
        <v>0</v>
      </c>
      <c r="G57" s="200">
        <f>IF(Over_all[[#This Row],[BOQ]]-Over_all[[#This Row],[Received]]&gt;=0,Over_all[[#This Row],[BOQ]]-Over_all[[#This Row],[Received]],"")</f>
        <v>0</v>
      </c>
      <c r="H57" s="201" t="str">
        <f>IF(Over_all[[#This Row],[BOQ]]-Over_all[[#This Row],[Received]]&lt;0,Over_all[[#This Row],[BOQ]]-Over_all[[#This Row],[Received]],"")</f>
        <v/>
      </c>
      <c r="I57" s="221"/>
      <c r="J57" s="200">
        <f>Over_all[[#This Row],[Received]]</f>
        <v>0</v>
      </c>
      <c r="K57" s="200">
        <f>SUMIF(ISSUE!$F:$F,Over_all[[#This Row],[Item Description]],ISSUE!$I:$I)</f>
        <v>0</v>
      </c>
      <c r="L57" s="200">
        <f>Over_all[[#This Row],[Received.]]-Over_all[[#This Row],[Issued]]</f>
        <v>0</v>
      </c>
      <c r="M57" s="212"/>
      <c r="N57" s="222"/>
    </row>
    <row r="58" spans="1:14" ht="16" customHeight="1" outlineLevel="1" x14ac:dyDescent="0.35">
      <c r="A58" s="207" t="str">
        <f>BOQ[[#This Row],[S.No]]</f>
        <v>E-1</v>
      </c>
      <c r="B58" s="208" t="str">
        <f>BOQ[[#This Row],[Item Description]]</f>
        <v>Inverter</v>
      </c>
      <c r="C58" s="199">
        <f>BOQ[[#This Row],[Make / Vendor]]</f>
        <v>0</v>
      </c>
      <c r="D58" s="199">
        <f>BOQ[[#This Row],[Unit]]</f>
        <v>0</v>
      </c>
      <c r="E58" s="199">
        <f>BOQ[[#This Row],[BOQ]]</f>
        <v>0</v>
      </c>
      <c r="F58" s="200">
        <f>SUMIF('Goods Receipt'!$J:$J,Over_all[[#This Row],[Item Description]],'Goods Receipt'!$M:$M)</f>
        <v>0</v>
      </c>
      <c r="G58" s="200">
        <f>IF(Over_all[[#This Row],[BOQ]]-Over_all[[#This Row],[Received]]&gt;=0,Over_all[[#This Row],[BOQ]]-Over_all[[#This Row],[Received]],"")</f>
        <v>0</v>
      </c>
      <c r="H58" s="201" t="str">
        <f>IF(Over_all[[#This Row],[BOQ]]-Over_all[[#This Row],[Received]]&lt;0,Over_all[[#This Row],[BOQ]]-Over_all[[#This Row],[Received]],"")</f>
        <v/>
      </c>
      <c r="I58" s="221"/>
      <c r="J58" s="200">
        <f>Over_all[[#This Row],[Received]]</f>
        <v>0</v>
      </c>
      <c r="K58" s="200">
        <f>SUMIF(ISSUE!$F:$F,Over_all[[#This Row],[Item Description]],ISSUE!$I:$I)</f>
        <v>0</v>
      </c>
      <c r="L58" s="200">
        <f>Over_all[[#This Row],[Received.]]-Over_all[[#This Row],[Issued]]</f>
        <v>0</v>
      </c>
      <c r="M58" s="212"/>
      <c r="N58" s="222"/>
    </row>
    <row r="59" spans="1:14" ht="16" customHeight="1" outlineLevel="1" x14ac:dyDescent="0.35">
      <c r="A59" s="197">
        <f>BOQ[[#This Row],[S.No]]</f>
        <v>1</v>
      </c>
      <c r="B59" s="205" t="str">
        <f>BOQ[[#This Row],[Item Description]]</f>
        <v>Solis 225K-EHV-5G Plus Grid Tie Solar PV Inverter</v>
      </c>
      <c r="C59" s="199">
        <f>BOQ[[#This Row],[Make / Vendor]]</f>
        <v>0</v>
      </c>
      <c r="D59" s="199" t="str">
        <f>BOQ[[#This Row],[Unit]]</f>
        <v>Nos</v>
      </c>
      <c r="E59" s="199">
        <f>BOQ[[#This Row],[BOQ]]</f>
        <v>44</v>
      </c>
      <c r="F59" s="200">
        <f>SUMIF('Goods Receipt'!$J:$J,Over_all[[#This Row],[Item Description]],'Goods Receipt'!$M:$M)</f>
        <v>52</v>
      </c>
      <c r="G59" s="200" t="str">
        <f>IF(Over_all[[#This Row],[BOQ]]-Over_all[[#This Row],[Received]]&gt;=0,Over_all[[#This Row],[BOQ]]-Over_all[[#This Row],[Received]],"")</f>
        <v/>
      </c>
      <c r="H59" s="201">
        <f>IF(Over_all[[#This Row],[BOQ]]-Over_all[[#This Row],[Received]]&lt;0,Over_all[[#This Row],[BOQ]]-Over_all[[#This Row],[Received]],"")</f>
        <v>-8</v>
      </c>
      <c r="I59" s="221"/>
      <c r="J59" s="200">
        <f>Over_all[[#This Row],[Received]]</f>
        <v>52</v>
      </c>
      <c r="K59" s="200">
        <f>SUMIF(ISSUE!$F:$F,Over_all[[#This Row],[Item Description]],ISSUE!$I:$I)</f>
        <v>0</v>
      </c>
      <c r="L59" s="200">
        <f>Over_all[[#This Row],[Received.]]-Over_all[[#This Row],[Issued]]</f>
        <v>52</v>
      </c>
      <c r="M59" s="212"/>
      <c r="N59" s="222"/>
    </row>
    <row r="60" spans="1:14" ht="16" customHeight="1" outlineLevel="1" x14ac:dyDescent="0.35">
      <c r="A60" s="206">
        <f>BOQ[[#This Row],[S.No]]</f>
        <v>0</v>
      </c>
      <c r="B60" s="198">
        <f>BOQ[[#This Row],[Item Description]]</f>
        <v>0</v>
      </c>
      <c r="C60" s="199">
        <f>BOQ[[#This Row],[Make / Vendor]]</f>
        <v>0</v>
      </c>
      <c r="D60" s="199">
        <f>BOQ[[#This Row],[Unit]]</f>
        <v>0</v>
      </c>
      <c r="E60" s="199">
        <f>BOQ[[#This Row],[BOQ]]</f>
        <v>0</v>
      </c>
      <c r="F60" s="200">
        <f>SUMIF('Goods Receipt'!$J:$J,Over_all[[#This Row],[Item Description]],'Goods Receipt'!$M:$M)</f>
        <v>0</v>
      </c>
      <c r="G60" s="200">
        <f>IF(Over_all[[#This Row],[BOQ]]-Over_all[[#This Row],[Received]]&gt;=0,Over_all[[#This Row],[BOQ]]-Over_all[[#This Row],[Received]],"")</f>
        <v>0</v>
      </c>
      <c r="H60" s="201" t="str">
        <f>IF(Over_all[[#This Row],[BOQ]]-Over_all[[#This Row],[Received]]&lt;0,Over_all[[#This Row],[BOQ]]-Over_all[[#This Row],[Received]],"")</f>
        <v/>
      </c>
      <c r="I60" s="221"/>
      <c r="J60" s="200">
        <f>Over_all[[#This Row],[Received]]</f>
        <v>0</v>
      </c>
      <c r="K60" s="200">
        <f>SUMIF(ISSUE!$F:$F,Over_all[[#This Row],[Item Description]],ISSUE!$I:$I)</f>
        <v>0</v>
      </c>
      <c r="L60" s="200">
        <f>Over_all[[#This Row],[Received.]]-Over_all[[#This Row],[Issued]]</f>
        <v>0</v>
      </c>
      <c r="M60" s="212"/>
      <c r="N60" s="222"/>
    </row>
    <row r="61" spans="1:14" ht="16" customHeight="1" x14ac:dyDescent="0.35">
      <c r="A61" s="207" t="str">
        <f>BOQ[[#This Row],[S.No]]</f>
        <v>E-2</v>
      </c>
      <c r="B61" s="208" t="str">
        <f>BOQ[[#This Row],[Item Description]]</f>
        <v>LT_Panel</v>
      </c>
      <c r="C61" s="199">
        <f>BOQ[[#This Row],[Make / Vendor]]</f>
        <v>0</v>
      </c>
      <c r="D61" s="199">
        <f>BOQ[[#This Row],[Unit]]</f>
        <v>0</v>
      </c>
      <c r="E61" s="199">
        <f>BOQ[[#This Row],[BOQ]]</f>
        <v>0</v>
      </c>
      <c r="F61" s="200">
        <f>SUMIF('Goods Receipt'!$J:$J,Over_all[[#This Row],[Item Description]],'Goods Receipt'!$M:$M)</f>
        <v>0</v>
      </c>
      <c r="G61" s="200">
        <f>IF(Over_all[[#This Row],[BOQ]]-Over_all[[#This Row],[Received]]&gt;=0,Over_all[[#This Row],[BOQ]]-Over_all[[#This Row],[Received]],"")</f>
        <v>0</v>
      </c>
      <c r="H61" s="201" t="str">
        <f>IF(Over_all[[#This Row],[BOQ]]-Over_all[[#This Row],[Received]]&lt;0,Over_all[[#This Row],[BOQ]]-Over_all[[#This Row],[Received]],"")</f>
        <v/>
      </c>
      <c r="I61" s="221"/>
      <c r="J61" s="200">
        <f>Over_all[[#This Row],[Received]]</f>
        <v>0</v>
      </c>
      <c r="K61" s="200">
        <f>SUMIF(ISSUE!$F:$F,Over_all[[#This Row],[Item Description]],ISSUE!$I:$I)</f>
        <v>0</v>
      </c>
      <c r="L61" s="200">
        <f>Over_all[[#This Row],[Received.]]-Over_all[[#This Row],[Issued]]</f>
        <v>0</v>
      </c>
      <c r="M61" s="212"/>
      <c r="N61" s="222"/>
    </row>
    <row r="62" spans="1:14" ht="16" customHeight="1" x14ac:dyDescent="0.35">
      <c r="A62" s="206">
        <f>BOQ[[#This Row],[S.No]]</f>
        <v>1</v>
      </c>
      <c r="B62" s="198" t="str">
        <f>BOQ[[#This Row],[Item Description]]</f>
        <v>800V LT Panel</v>
      </c>
      <c r="C62" s="199">
        <f>BOQ[[#This Row],[Make / Vendor]]</f>
        <v>0</v>
      </c>
      <c r="D62" s="199" t="str">
        <f>BOQ[[#This Row],[Unit]]</f>
        <v>Nos</v>
      </c>
      <c r="E62" s="199">
        <f>BOQ[[#This Row],[BOQ]]</f>
        <v>4</v>
      </c>
      <c r="F62" s="200">
        <f>SUMIF('Goods Receipt'!$J:$J,Over_all[[#This Row],[Item Description]],'Goods Receipt'!$M:$M)</f>
        <v>4</v>
      </c>
      <c r="G62" s="200">
        <f>IF(Over_all[[#This Row],[BOQ]]-Over_all[[#This Row],[Received]]&gt;=0,Over_all[[#This Row],[BOQ]]-Over_all[[#This Row],[Received]],"")</f>
        <v>0</v>
      </c>
      <c r="H62" s="201" t="str">
        <f>IF(Over_all[[#This Row],[BOQ]]-Over_all[[#This Row],[Received]]&lt;0,Over_all[[#This Row],[BOQ]]-Over_all[[#This Row],[Received]],"")</f>
        <v/>
      </c>
      <c r="I62" s="221"/>
      <c r="J62" s="200">
        <f>Over_all[[#This Row],[Received]]</f>
        <v>4</v>
      </c>
      <c r="K62" s="200">
        <f>SUMIF(ISSUE!$F:$F,Over_all[[#This Row],[Item Description]],ISSUE!$I:$I)</f>
        <v>0</v>
      </c>
      <c r="L62" s="200">
        <f>Over_all[[#This Row],[Received.]]-Over_all[[#This Row],[Issued]]</f>
        <v>4</v>
      </c>
      <c r="M62" s="212"/>
      <c r="N62" s="222"/>
    </row>
    <row r="63" spans="1:14" ht="16" customHeight="1" outlineLevel="1" x14ac:dyDescent="0.35">
      <c r="A63" s="206">
        <f>BOQ[[#This Row],[S.No]]</f>
        <v>0</v>
      </c>
      <c r="B63" s="198">
        <f>BOQ[[#This Row],[Item Description]]</f>
        <v>0</v>
      </c>
      <c r="C63" s="199">
        <f>BOQ[[#This Row],[Make / Vendor]]</f>
        <v>0</v>
      </c>
      <c r="D63" s="199">
        <f>BOQ[[#This Row],[Unit]]</f>
        <v>0</v>
      </c>
      <c r="E63" s="199">
        <f>BOQ[[#This Row],[BOQ]]</f>
        <v>0</v>
      </c>
      <c r="F63" s="200">
        <f>SUMIF('Goods Receipt'!$J:$J,Over_all[[#This Row],[Item Description]],'Goods Receipt'!$M:$M)</f>
        <v>0</v>
      </c>
      <c r="G63" s="200">
        <f>IF(Over_all[[#This Row],[BOQ]]-Over_all[[#This Row],[Received]]&gt;=0,Over_all[[#This Row],[BOQ]]-Over_all[[#This Row],[Received]],"")</f>
        <v>0</v>
      </c>
      <c r="H63" s="201" t="str">
        <f>IF(Over_all[[#This Row],[BOQ]]-Over_all[[#This Row],[Received]]&lt;0,Over_all[[#This Row],[BOQ]]-Over_all[[#This Row],[Received]],"")</f>
        <v/>
      </c>
      <c r="I63" s="221"/>
      <c r="J63" s="200">
        <f>Over_all[[#This Row],[Received]]</f>
        <v>0</v>
      </c>
      <c r="K63" s="200">
        <f>SUMIF(ISSUE!$F:$F,Over_all[[#This Row],[Item Description]],ISSUE!$I:$I)</f>
        <v>0</v>
      </c>
      <c r="L63" s="200">
        <f>Over_all[[#This Row],[Received.]]-Over_all[[#This Row],[Issued]]</f>
        <v>0</v>
      </c>
      <c r="M63" s="212"/>
      <c r="N63" s="222"/>
    </row>
    <row r="64" spans="1:14" ht="16" customHeight="1" outlineLevel="1" x14ac:dyDescent="0.35">
      <c r="A64" s="207" t="str">
        <f>BOQ[[#This Row],[S.No]]</f>
        <v>E-3</v>
      </c>
      <c r="B64" s="208" t="str">
        <f>BOQ[[#This Row],[Item Description]]</f>
        <v>Transformers</v>
      </c>
      <c r="C64" s="199">
        <f>BOQ[[#This Row],[Make / Vendor]]</f>
        <v>0</v>
      </c>
      <c r="D64" s="199">
        <f>BOQ[[#This Row],[Unit]]</f>
        <v>0</v>
      </c>
      <c r="E64" s="199">
        <f>BOQ[[#This Row],[BOQ]]</f>
        <v>0</v>
      </c>
      <c r="F64" s="200">
        <f>SUMIF('Goods Receipt'!$J:$J,Over_all[[#This Row],[Item Description]],'Goods Receipt'!$M:$M)</f>
        <v>0</v>
      </c>
      <c r="G64" s="200">
        <f>IF(Over_all[[#This Row],[BOQ]]-Over_all[[#This Row],[Received]]&gt;=0,Over_all[[#This Row],[BOQ]]-Over_all[[#This Row],[Received]],"")</f>
        <v>0</v>
      </c>
      <c r="H64" s="201" t="str">
        <f>IF(Over_all[[#This Row],[BOQ]]-Over_all[[#This Row],[Received]]&lt;0,Over_all[[#This Row],[BOQ]]-Over_all[[#This Row],[Received]],"")</f>
        <v/>
      </c>
      <c r="I64" s="221"/>
      <c r="J64" s="200">
        <f>Over_all[[#This Row],[Received]]</f>
        <v>0</v>
      </c>
      <c r="K64" s="200">
        <f>SUMIF(ISSUE!$F:$F,Over_all[[#This Row],[Item Description]],ISSUE!$I:$I)</f>
        <v>0</v>
      </c>
      <c r="L64" s="200">
        <f>Over_all[[#This Row],[Received.]]-Over_all[[#This Row],[Issued]]</f>
        <v>0</v>
      </c>
      <c r="M64" s="212"/>
      <c r="N64" s="222"/>
    </row>
    <row r="65" spans="1:14" ht="16" customHeight="1" outlineLevel="1" x14ac:dyDescent="0.35">
      <c r="A65" s="197">
        <f>BOQ[[#This Row],[S.No]]</f>
        <v>1</v>
      </c>
      <c r="B65" s="205" t="str">
        <f>BOQ[[#This Row],[Item Description]]</f>
        <v>6 MVA Transformer</v>
      </c>
      <c r="C65" s="199">
        <f>BOQ[[#This Row],[Make / Vendor]]</f>
        <v>0</v>
      </c>
      <c r="D65" s="199" t="str">
        <f>BOQ[[#This Row],[Unit]]</f>
        <v>Nos</v>
      </c>
      <c r="E65" s="199">
        <f>BOQ[[#This Row],[BOQ]]</f>
        <v>2</v>
      </c>
      <c r="F65" s="200">
        <f>SUMIF('Goods Receipt'!$J:$J,Over_all[[#This Row],[Item Description]],'Goods Receipt'!$M:$M)</f>
        <v>2</v>
      </c>
      <c r="G65" s="200">
        <f>IF(Over_all[[#This Row],[BOQ]]-Over_all[[#This Row],[Received]]&gt;=0,Over_all[[#This Row],[BOQ]]-Over_all[[#This Row],[Received]],"")</f>
        <v>0</v>
      </c>
      <c r="H65" s="201" t="str">
        <f>IF(Over_all[[#This Row],[BOQ]]-Over_all[[#This Row],[Received]]&lt;0,Over_all[[#This Row],[BOQ]]-Over_all[[#This Row],[Received]],"")</f>
        <v/>
      </c>
      <c r="I65" s="221"/>
      <c r="J65" s="200">
        <f>Over_all[[#This Row],[Received]]</f>
        <v>2</v>
      </c>
      <c r="K65" s="200">
        <f>SUMIF(ISSUE!$F:$F,Over_all[[#This Row],[Item Description]],ISSUE!$I:$I)</f>
        <v>0</v>
      </c>
      <c r="L65" s="200">
        <f>Over_all[[#This Row],[Received.]]-Over_all[[#This Row],[Issued]]</f>
        <v>2</v>
      </c>
      <c r="M65" s="212"/>
      <c r="N65" s="222"/>
    </row>
    <row r="66" spans="1:14" ht="16" customHeight="1" x14ac:dyDescent="0.35">
      <c r="A66" s="197">
        <f>BOQ[[#This Row],[S.No]]</f>
        <v>2</v>
      </c>
      <c r="B66" s="205" t="str">
        <f>BOQ[[#This Row],[Item Description]]</f>
        <v>Radiators</v>
      </c>
      <c r="C66" s="199">
        <f>BOQ[[#This Row],[Make / Vendor]]</f>
        <v>0</v>
      </c>
      <c r="D66" s="199" t="str">
        <f>BOQ[[#This Row],[Unit]]</f>
        <v>Nos</v>
      </c>
      <c r="E66" s="199">
        <f>BOQ[[#This Row],[BOQ]]</f>
        <v>16</v>
      </c>
      <c r="F66" s="200">
        <f>SUMIF('Goods Receipt'!$J:$J,Over_all[[#This Row],[Item Description]],'Goods Receipt'!$M:$M)</f>
        <v>16</v>
      </c>
      <c r="G66" s="200">
        <f>IF(Over_all[[#This Row],[BOQ]]-Over_all[[#This Row],[Received]]&gt;=0,Over_all[[#This Row],[BOQ]]-Over_all[[#This Row],[Received]],"")</f>
        <v>0</v>
      </c>
      <c r="H66" s="201" t="str">
        <f>IF(Over_all[[#This Row],[BOQ]]-Over_all[[#This Row],[Received]]&lt;0,Over_all[[#This Row],[BOQ]]-Over_all[[#This Row],[Received]],"")</f>
        <v/>
      </c>
      <c r="I66" s="221"/>
      <c r="J66" s="200">
        <f>Over_all[[#This Row],[Received]]</f>
        <v>16</v>
      </c>
      <c r="K66" s="200">
        <f>SUMIF(ISSUE!$F:$F,Over_all[[#This Row],[Item Description]],ISSUE!$I:$I)</f>
        <v>0</v>
      </c>
      <c r="L66" s="200">
        <f>Over_all[[#This Row],[Received.]]-Over_all[[#This Row],[Issued]]</f>
        <v>16</v>
      </c>
      <c r="M66" s="212"/>
      <c r="N66" s="222"/>
    </row>
    <row r="67" spans="1:14" ht="16" customHeight="1" outlineLevel="1" x14ac:dyDescent="0.35">
      <c r="A67" s="197">
        <f>BOQ[[#This Row],[S.No]]</f>
        <v>3</v>
      </c>
      <c r="B67" s="205" t="str">
        <f>BOQ[[#This Row],[Item Description]]</f>
        <v>Marshalling Box</v>
      </c>
      <c r="C67" s="199">
        <f>BOQ[[#This Row],[Make / Vendor]]</f>
        <v>0</v>
      </c>
      <c r="D67" s="199" t="str">
        <f>BOQ[[#This Row],[Unit]]</f>
        <v>Nos</v>
      </c>
      <c r="E67" s="199">
        <f>BOQ[[#This Row],[BOQ]]</f>
        <v>2</v>
      </c>
      <c r="F67" s="200">
        <f>SUMIF('Goods Receipt'!$J:$J,Over_all[[#This Row],[Item Description]],'Goods Receipt'!$M:$M)</f>
        <v>2</v>
      </c>
      <c r="G67" s="200">
        <f>IF(Over_all[[#This Row],[BOQ]]-Over_all[[#This Row],[Received]]&gt;=0,Over_all[[#This Row],[BOQ]]-Over_all[[#This Row],[Received]],"")</f>
        <v>0</v>
      </c>
      <c r="H67" s="201" t="str">
        <f>IF(Over_all[[#This Row],[BOQ]]-Over_all[[#This Row],[Received]]&lt;0,Over_all[[#This Row],[BOQ]]-Over_all[[#This Row],[Received]],"")</f>
        <v/>
      </c>
      <c r="I67" s="221"/>
      <c r="J67" s="200">
        <f>Over_all[[#This Row],[Received]]</f>
        <v>2</v>
      </c>
      <c r="K67" s="200">
        <f>SUMIF(ISSUE!$F:$F,Over_all[[#This Row],[Item Description]],ISSUE!$I:$I)</f>
        <v>0</v>
      </c>
      <c r="L67" s="200">
        <f>Over_all[[#This Row],[Received.]]-Over_all[[#This Row],[Issued]]</f>
        <v>2</v>
      </c>
      <c r="M67" s="212"/>
      <c r="N67" s="222"/>
    </row>
    <row r="68" spans="1:14" ht="16" customHeight="1" outlineLevel="1" x14ac:dyDescent="0.35">
      <c r="A68" s="197">
        <f>BOQ[[#This Row],[S.No]]</f>
        <v>4</v>
      </c>
      <c r="B68" s="205" t="str">
        <f>BOQ[[#This Row],[Item Description]]</f>
        <v xml:space="preserve"> Conservator Tank With Accessories</v>
      </c>
      <c r="C68" s="199">
        <f>BOQ[[#This Row],[Make / Vendor]]</f>
        <v>0</v>
      </c>
      <c r="D68" s="199" t="str">
        <f>BOQ[[#This Row],[Unit]]</f>
        <v>Nos</v>
      </c>
      <c r="E68" s="199">
        <f>BOQ[[#This Row],[BOQ]]</f>
        <v>2</v>
      </c>
      <c r="F68" s="200">
        <f>SUMIF('Goods Receipt'!$J:$J,Over_all[[#This Row],[Item Description]],'Goods Receipt'!$M:$M)</f>
        <v>2</v>
      </c>
      <c r="G68" s="200">
        <f>IF(Over_all[[#This Row],[BOQ]]-Over_all[[#This Row],[Received]]&gt;=0,Over_all[[#This Row],[BOQ]]-Over_all[[#This Row],[Received]],"")</f>
        <v>0</v>
      </c>
      <c r="H68" s="201" t="str">
        <f>IF(Over_all[[#This Row],[BOQ]]-Over_all[[#This Row],[Received]]&lt;0,Over_all[[#This Row],[BOQ]]-Over_all[[#This Row],[Received]],"")</f>
        <v/>
      </c>
      <c r="I68" s="221"/>
      <c r="J68" s="200">
        <f>Over_all[[#This Row],[Received]]</f>
        <v>2</v>
      </c>
      <c r="K68" s="200">
        <f>SUMIF(ISSUE!$F:$F,Over_all[[#This Row],[Item Description]],ISSUE!$I:$I)</f>
        <v>0</v>
      </c>
      <c r="L68" s="200">
        <f>Over_all[[#This Row],[Received.]]-Over_all[[#This Row],[Issued]]</f>
        <v>2</v>
      </c>
      <c r="M68" s="212"/>
      <c r="N68" s="222"/>
    </row>
    <row r="69" spans="1:14" ht="16" customHeight="1" outlineLevel="1" x14ac:dyDescent="0.35">
      <c r="A69" s="197">
        <f>BOQ[[#This Row],[S.No]]</f>
        <v>5</v>
      </c>
      <c r="B69" s="205" t="str">
        <f>BOQ[[#This Row],[Item Description]]</f>
        <v>HV Cable Box  &amp; HV Cable Box Canopy Fitted</v>
      </c>
      <c r="C69" s="199">
        <f>BOQ[[#This Row],[Make / Vendor]]</f>
        <v>0</v>
      </c>
      <c r="D69" s="199" t="str">
        <f>BOQ[[#This Row],[Unit]]</f>
        <v>Nos</v>
      </c>
      <c r="E69" s="199">
        <f>BOQ[[#This Row],[BOQ]]</f>
        <v>2</v>
      </c>
      <c r="F69" s="200">
        <f>SUMIF('Goods Receipt'!$J:$J,Over_all[[#This Row],[Item Description]],'Goods Receipt'!$M:$M)</f>
        <v>2</v>
      </c>
      <c r="G69" s="200">
        <f>IF(Over_all[[#This Row],[BOQ]]-Over_all[[#This Row],[Received]]&gt;=0,Over_all[[#This Row],[BOQ]]-Over_all[[#This Row],[Received]],"")</f>
        <v>0</v>
      </c>
      <c r="H69" s="201" t="str">
        <f>IF(Over_all[[#This Row],[BOQ]]-Over_all[[#This Row],[Received]]&lt;0,Over_all[[#This Row],[BOQ]]-Over_all[[#This Row],[Received]],"")</f>
        <v/>
      </c>
      <c r="I69" s="221"/>
      <c r="J69" s="200">
        <f>Over_all[[#This Row],[Received]]</f>
        <v>2</v>
      </c>
      <c r="K69" s="200">
        <f>SUMIF(ISSUE!$F:$F,Over_all[[#This Row],[Item Description]],ISSUE!$I:$I)</f>
        <v>0</v>
      </c>
      <c r="L69" s="200">
        <f>Over_all[[#This Row],[Received.]]-Over_all[[#This Row],[Issued]]</f>
        <v>2</v>
      </c>
      <c r="M69" s="212"/>
      <c r="N69" s="222"/>
    </row>
    <row r="70" spans="1:14" ht="16" customHeight="1" outlineLevel="1" x14ac:dyDescent="0.35">
      <c r="A70" s="197">
        <f>BOQ[[#This Row],[S.No]]</f>
        <v>6</v>
      </c>
      <c r="B70" s="205" t="str">
        <f>BOQ[[#This Row],[Item Description]]</f>
        <v>33Kv Insulators</v>
      </c>
      <c r="C70" s="199">
        <f>BOQ[[#This Row],[Make / Vendor]]</f>
        <v>0</v>
      </c>
      <c r="D70" s="199" t="str">
        <f>BOQ[[#This Row],[Unit]]</f>
        <v>Nos</v>
      </c>
      <c r="E70" s="199">
        <f>BOQ[[#This Row],[BOQ]]</f>
        <v>6</v>
      </c>
      <c r="F70" s="200">
        <f>SUMIF('Goods Receipt'!$J:$J,Over_all[[#This Row],[Item Description]],'Goods Receipt'!$M:$M)</f>
        <v>6</v>
      </c>
      <c r="G70" s="200">
        <f>IF(Over_all[[#This Row],[BOQ]]-Over_all[[#This Row],[Received]]&gt;=0,Over_all[[#This Row],[BOQ]]-Over_all[[#This Row],[Received]],"")</f>
        <v>0</v>
      </c>
      <c r="H70" s="201" t="str">
        <f>IF(Over_all[[#This Row],[BOQ]]-Over_all[[#This Row],[Received]]&lt;0,Over_all[[#This Row],[BOQ]]-Over_all[[#This Row],[Received]],"")</f>
        <v/>
      </c>
      <c r="I70" s="221"/>
      <c r="J70" s="200">
        <f>Over_all[[#This Row],[Received]]</f>
        <v>6</v>
      </c>
      <c r="K70" s="200">
        <f>SUMIF(ISSUE!$F:$F,Over_all[[#This Row],[Item Description]],ISSUE!$I:$I)</f>
        <v>0</v>
      </c>
      <c r="L70" s="200">
        <f>Over_all[[#This Row],[Received.]]-Over_all[[#This Row],[Issued]]</f>
        <v>6</v>
      </c>
      <c r="M70" s="212"/>
      <c r="N70" s="222"/>
    </row>
    <row r="71" spans="1:14" ht="16" customHeight="1" outlineLevel="1" x14ac:dyDescent="0.35">
      <c r="A71" s="197">
        <f>BOQ[[#This Row],[S.No]]</f>
        <v>7</v>
      </c>
      <c r="B71" s="205" t="str">
        <f>BOQ[[#This Row],[Item Description]]</f>
        <v>Aluminium Gland Plate</v>
      </c>
      <c r="C71" s="199">
        <f>BOQ[[#This Row],[Make / Vendor]]</f>
        <v>0</v>
      </c>
      <c r="D71" s="199" t="str">
        <f>BOQ[[#This Row],[Unit]]</f>
        <v>Nos</v>
      </c>
      <c r="E71" s="199">
        <f>BOQ[[#This Row],[BOQ]]</f>
        <v>2</v>
      </c>
      <c r="F71" s="200">
        <f>SUMIF('Goods Receipt'!$J:$J,Over_all[[#This Row],[Item Description]],'Goods Receipt'!$M:$M)</f>
        <v>2</v>
      </c>
      <c r="G71" s="200">
        <f>IF(Over_all[[#This Row],[BOQ]]-Over_all[[#This Row],[Received]]&gt;=0,Over_all[[#This Row],[BOQ]]-Over_all[[#This Row],[Received]],"")</f>
        <v>0</v>
      </c>
      <c r="H71" s="201" t="str">
        <f>IF(Over_all[[#This Row],[BOQ]]-Over_all[[#This Row],[Received]]&lt;0,Over_all[[#This Row],[BOQ]]-Over_all[[#This Row],[Received]],"")</f>
        <v/>
      </c>
      <c r="I71" s="221"/>
      <c r="J71" s="200">
        <f>Over_all[[#This Row],[Received]]</f>
        <v>2</v>
      </c>
      <c r="K71" s="200">
        <f>SUMIF(ISSUE!$F:$F,Over_all[[#This Row],[Item Description]],ISSUE!$I:$I)</f>
        <v>0</v>
      </c>
      <c r="L71" s="200">
        <f>Over_all[[#This Row],[Received.]]-Over_all[[#This Row],[Issued]]</f>
        <v>2</v>
      </c>
      <c r="M71" s="212"/>
      <c r="N71" s="222"/>
    </row>
    <row r="72" spans="1:14" ht="16" customHeight="1" outlineLevel="1" x14ac:dyDescent="0.35">
      <c r="A72" s="197">
        <f>BOQ[[#This Row],[S.No]]</f>
        <v>8</v>
      </c>
      <c r="B72" s="205" t="str">
        <f>BOQ[[#This Row],[Item Description]]</f>
        <v>Inspection Cover</v>
      </c>
      <c r="C72" s="199">
        <f>BOQ[[#This Row],[Make / Vendor]]</f>
        <v>0</v>
      </c>
      <c r="D72" s="199" t="str">
        <f>BOQ[[#This Row],[Unit]]</f>
        <v>Nos</v>
      </c>
      <c r="E72" s="199">
        <f>BOQ[[#This Row],[BOQ]]</f>
        <v>2</v>
      </c>
      <c r="F72" s="200">
        <f>SUMIF('Goods Receipt'!$J:$J,Over_all[[#This Row],[Item Description]],'Goods Receipt'!$M:$M)</f>
        <v>2</v>
      </c>
      <c r="G72" s="200">
        <f>IF(Over_all[[#This Row],[BOQ]]-Over_all[[#This Row],[Received]]&gt;=0,Over_all[[#This Row],[BOQ]]-Over_all[[#This Row],[Received]],"")</f>
        <v>0</v>
      </c>
      <c r="H72" s="201" t="str">
        <f>IF(Over_all[[#This Row],[BOQ]]-Over_all[[#This Row],[Received]]&lt;0,Over_all[[#This Row],[BOQ]]-Over_all[[#This Row],[Received]],"")</f>
        <v/>
      </c>
      <c r="I72" s="221"/>
      <c r="J72" s="200">
        <f>Over_all[[#This Row],[Received]]</f>
        <v>2</v>
      </c>
      <c r="K72" s="200">
        <f>SUMIF(ISSUE!$F:$F,Over_all[[#This Row],[Item Description]],ISSUE!$I:$I)</f>
        <v>0</v>
      </c>
      <c r="L72" s="200">
        <f>Over_all[[#This Row],[Received.]]-Over_all[[#This Row],[Issued]]</f>
        <v>2</v>
      </c>
      <c r="M72" s="212"/>
      <c r="N72" s="222"/>
    </row>
    <row r="73" spans="1:14" ht="16" customHeight="1" x14ac:dyDescent="0.35">
      <c r="A73" s="197">
        <f>BOQ[[#This Row],[S.No]]</f>
        <v>9</v>
      </c>
      <c r="B73" s="205" t="str">
        <f>BOQ[[#This Row],[Item Description]]</f>
        <v>50 X 06 mm Copper Flat</v>
      </c>
      <c r="C73" s="199">
        <f>BOQ[[#This Row],[Make / Vendor]]</f>
        <v>0</v>
      </c>
      <c r="D73" s="199" t="str">
        <f>BOQ[[#This Row],[Unit]]</f>
        <v>Mtr</v>
      </c>
      <c r="E73" s="199">
        <f>BOQ[[#This Row],[BOQ]]</f>
        <v>6</v>
      </c>
      <c r="F73" s="200">
        <f>SUMIF('Goods Receipt'!$J:$J,Over_all[[#This Row],[Item Description]],'Goods Receipt'!$M:$M)</f>
        <v>6</v>
      </c>
      <c r="G73" s="200">
        <f>IF(Over_all[[#This Row],[BOQ]]-Over_all[[#This Row],[Received]]&gt;=0,Over_all[[#This Row],[BOQ]]-Over_all[[#This Row],[Received]],"")</f>
        <v>0</v>
      </c>
      <c r="H73" s="201" t="str">
        <f>IF(Over_all[[#This Row],[BOQ]]-Over_all[[#This Row],[Received]]&lt;0,Over_all[[#This Row],[BOQ]]-Over_all[[#This Row],[Received]],"")</f>
        <v/>
      </c>
      <c r="I73" s="221"/>
      <c r="J73" s="200">
        <f>Over_all[[#This Row],[Received]]</f>
        <v>6</v>
      </c>
      <c r="K73" s="200">
        <f>SUMIF(ISSUE!$F:$F,Over_all[[#This Row],[Item Description]],ISSUE!$I:$I)</f>
        <v>0</v>
      </c>
      <c r="L73" s="200">
        <f>Over_all[[#This Row],[Received.]]-Over_all[[#This Row],[Issued]]</f>
        <v>6</v>
      </c>
      <c r="M73" s="212"/>
      <c r="N73" s="222"/>
    </row>
    <row r="74" spans="1:14" ht="16" customHeight="1" outlineLevel="1" x14ac:dyDescent="0.35">
      <c r="A74" s="197">
        <f>BOQ[[#This Row],[S.No]]</f>
        <v>10</v>
      </c>
      <c r="B74" s="205" t="str">
        <f>BOQ[[#This Row],[Item Description]]</f>
        <v>Danger Plate</v>
      </c>
      <c r="C74" s="199">
        <f>BOQ[[#This Row],[Make / Vendor]]</f>
        <v>0</v>
      </c>
      <c r="D74" s="199" t="str">
        <f>BOQ[[#This Row],[Unit]]</f>
        <v>Nos</v>
      </c>
      <c r="E74" s="199">
        <f>BOQ[[#This Row],[BOQ]]</f>
        <v>2</v>
      </c>
      <c r="F74" s="200">
        <f>SUMIF('Goods Receipt'!$J:$J,Over_all[[#This Row],[Item Description]],'Goods Receipt'!$M:$M)</f>
        <v>2</v>
      </c>
      <c r="G74" s="200">
        <f>IF(Over_all[[#This Row],[BOQ]]-Over_all[[#This Row],[Received]]&gt;=0,Over_all[[#This Row],[BOQ]]-Over_all[[#This Row],[Received]],"")</f>
        <v>0</v>
      </c>
      <c r="H74" s="201" t="str">
        <f>IF(Over_all[[#This Row],[BOQ]]-Over_all[[#This Row],[Received]]&lt;0,Over_all[[#This Row],[BOQ]]-Over_all[[#This Row],[Received]],"")</f>
        <v/>
      </c>
      <c r="I74" s="221"/>
      <c r="J74" s="200">
        <f>Over_all[[#This Row],[Received]]</f>
        <v>2</v>
      </c>
      <c r="K74" s="200">
        <f>SUMIF(ISSUE!$F:$F,Over_all[[#This Row],[Item Description]],ISSUE!$I:$I)</f>
        <v>0</v>
      </c>
      <c r="L74" s="200">
        <f>Over_all[[#This Row],[Received.]]-Over_all[[#This Row],[Issued]]</f>
        <v>2</v>
      </c>
      <c r="M74" s="212"/>
      <c r="N74" s="222"/>
    </row>
    <row r="75" spans="1:14" ht="16" customHeight="1" outlineLevel="1" x14ac:dyDescent="0.35">
      <c r="A75" s="197">
        <f>BOQ[[#This Row],[S.No]]</f>
        <v>11</v>
      </c>
      <c r="B75" s="205" t="str">
        <f>BOQ[[#This Row],[Item Description]]</f>
        <v>Breather</v>
      </c>
      <c r="C75" s="199">
        <f>BOQ[[#This Row],[Make / Vendor]]</f>
        <v>0</v>
      </c>
      <c r="D75" s="199" t="str">
        <f>BOQ[[#This Row],[Unit]]</f>
        <v>Nos</v>
      </c>
      <c r="E75" s="199">
        <f>BOQ[[#This Row],[BOQ]]</f>
        <v>2</v>
      </c>
      <c r="F75" s="200">
        <f>SUMIF('Goods Receipt'!$J:$J,Over_all[[#This Row],[Item Description]],'Goods Receipt'!$M:$M)</f>
        <v>2</v>
      </c>
      <c r="G75" s="200">
        <f>IF(Over_all[[#This Row],[BOQ]]-Over_all[[#This Row],[Received]]&gt;=0,Over_all[[#This Row],[BOQ]]-Over_all[[#This Row],[Received]],"")</f>
        <v>0</v>
      </c>
      <c r="H75" s="201" t="str">
        <f>IF(Over_all[[#This Row],[BOQ]]-Over_all[[#This Row],[Received]]&lt;0,Over_all[[#This Row],[BOQ]]-Over_all[[#This Row],[Received]],"")</f>
        <v/>
      </c>
      <c r="I75" s="221"/>
      <c r="J75" s="200">
        <f>Over_all[[#This Row],[Received]]</f>
        <v>2</v>
      </c>
      <c r="K75" s="200">
        <f>SUMIF(ISSUE!$F:$F,Over_all[[#This Row],[Item Description]],ISSUE!$I:$I)</f>
        <v>0</v>
      </c>
      <c r="L75" s="200">
        <f>Over_all[[#This Row],[Received.]]-Over_all[[#This Row],[Issued]]</f>
        <v>2</v>
      </c>
      <c r="M75" s="212"/>
      <c r="N75" s="222"/>
    </row>
    <row r="76" spans="1:14" ht="16" customHeight="1" outlineLevel="1" x14ac:dyDescent="0.35">
      <c r="A76" s="204">
        <f>BOQ[[#This Row],[S.No]]</f>
        <v>12</v>
      </c>
      <c r="B76" s="198" t="str">
        <f>BOQ[[#This Row],[Item Description]]</f>
        <v>Buchholz Relay &amp; Buchholz Canopy</v>
      </c>
      <c r="C76" s="199">
        <f>BOQ[[#This Row],[Make / Vendor]]</f>
        <v>0</v>
      </c>
      <c r="D76" s="199" t="str">
        <f>BOQ[[#This Row],[Unit]]</f>
        <v>Nos</v>
      </c>
      <c r="E76" s="199">
        <f>BOQ[[#This Row],[BOQ]]</f>
        <v>2</v>
      </c>
      <c r="F76" s="200">
        <f>SUMIF('Goods Receipt'!$J:$J,Over_all[[#This Row],[Item Description]],'Goods Receipt'!$M:$M)</f>
        <v>2</v>
      </c>
      <c r="G76" s="200">
        <f>IF(Over_all[[#This Row],[BOQ]]-Over_all[[#This Row],[Received]]&gt;=0,Over_all[[#This Row],[BOQ]]-Over_all[[#This Row],[Received]],"")</f>
        <v>0</v>
      </c>
      <c r="H76" s="201" t="str">
        <f>IF(Over_all[[#This Row],[BOQ]]-Over_all[[#This Row],[Received]]&lt;0,Over_all[[#This Row],[BOQ]]-Over_all[[#This Row],[Received]],"")</f>
        <v/>
      </c>
      <c r="I76" s="221"/>
      <c r="J76" s="200">
        <f>Over_all[[#This Row],[Received]]</f>
        <v>2</v>
      </c>
      <c r="K76" s="200">
        <f>SUMIF(ISSUE!$F:$F,Over_all[[#This Row],[Item Description]],ISSUE!$I:$I)</f>
        <v>0</v>
      </c>
      <c r="L76" s="200">
        <f>Over_all[[#This Row],[Received.]]-Over_all[[#This Row],[Issued]]</f>
        <v>2</v>
      </c>
      <c r="M76" s="212"/>
      <c r="N76" s="222"/>
    </row>
    <row r="77" spans="1:14" ht="16" customHeight="1" outlineLevel="1" x14ac:dyDescent="0.35">
      <c r="A77" s="197">
        <f>BOQ[[#This Row],[S.No]]</f>
        <v>13</v>
      </c>
      <c r="B77" s="205" t="str">
        <f>BOQ[[#This Row],[Item Description]]</f>
        <v xml:space="preserve"> 450mm / 132w / 900 rpm With Wire Guard For Fan</v>
      </c>
      <c r="C77" s="199">
        <f>BOQ[[#This Row],[Make / Vendor]]</f>
        <v>0</v>
      </c>
      <c r="D77" s="199" t="str">
        <f>BOQ[[#This Row],[Unit]]</f>
        <v>Nos</v>
      </c>
      <c r="E77" s="199">
        <f>BOQ[[#This Row],[BOQ]]</f>
        <v>2</v>
      </c>
      <c r="F77" s="200">
        <f>SUMIF('Goods Receipt'!$J:$J,Over_all[[#This Row],[Item Description]],'Goods Receipt'!$M:$M)</f>
        <v>2</v>
      </c>
      <c r="G77" s="200">
        <f>IF(Over_all[[#This Row],[BOQ]]-Over_all[[#This Row],[Received]]&gt;=0,Over_all[[#This Row],[BOQ]]-Over_all[[#This Row],[Received]],"")</f>
        <v>0</v>
      </c>
      <c r="H77" s="201" t="str">
        <f>IF(Over_all[[#This Row],[BOQ]]-Over_all[[#This Row],[Received]]&lt;0,Over_all[[#This Row],[BOQ]]-Over_all[[#This Row],[Received]],"")</f>
        <v/>
      </c>
      <c r="I77" s="221"/>
      <c r="J77" s="200">
        <f>Over_all[[#This Row],[Received]]</f>
        <v>2</v>
      </c>
      <c r="K77" s="200">
        <f>SUMIF(ISSUE!$F:$F,Over_all[[#This Row],[Item Description]],ISSUE!$I:$I)</f>
        <v>0</v>
      </c>
      <c r="L77" s="200">
        <f>Over_all[[#This Row],[Received.]]-Over_all[[#This Row],[Issued]]</f>
        <v>2</v>
      </c>
      <c r="M77" s="212"/>
      <c r="N77" s="222"/>
    </row>
    <row r="78" spans="1:14" ht="16" customHeight="1" outlineLevel="1" x14ac:dyDescent="0.35">
      <c r="A78" s="197">
        <f>BOQ[[#This Row],[S.No]]</f>
        <v>14</v>
      </c>
      <c r="B78" s="205" t="str">
        <f>BOQ[[#This Row],[Item Description]]</f>
        <v>Transformer Oil</v>
      </c>
      <c r="C78" s="199">
        <f>BOQ[[#This Row],[Make / Vendor]]</f>
        <v>0</v>
      </c>
      <c r="D78" s="199" t="str">
        <f>BOQ[[#This Row],[Unit]]</f>
        <v>Nos</v>
      </c>
      <c r="E78" s="199">
        <f>BOQ[[#This Row],[BOQ]]</f>
        <v>14</v>
      </c>
      <c r="F78" s="200">
        <f>SUMIF('Goods Receipt'!$J:$J,Over_all[[#This Row],[Item Description]],'Goods Receipt'!$M:$M)</f>
        <v>14</v>
      </c>
      <c r="G78" s="200">
        <f>IF(Over_all[[#This Row],[BOQ]]-Over_all[[#This Row],[Received]]&gt;=0,Over_all[[#This Row],[BOQ]]-Over_all[[#This Row],[Received]],"")</f>
        <v>0</v>
      </c>
      <c r="H78" s="201" t="str">
        <f>IF(Over_all[[#This Row],[BOQ]]-Over_all[[#This Row],[Received]]&lt;0,Over_all[[#This Row],[BOQ]]-Over_all[[#This Row],[Received]],"")</f>
        <v/>
      </c>
      <c r="I78" s="221"/>
      <c r="J78" s="200">
        <f>Over_all[[#This Row],[Received]]</f>
        <v>14</v>
      </c>
      <c r="K78" s="200">
        <f>SUMIF(ISSUE!$F:$F,Over_all[[#This Row],[Item Description]],ISSUE!$I:$I)</f>
        <v>0</v>
      </c>
      <c r="L78" s="200">
        <f>Over_all[[#This Row],[Received.]]-Over_all[[#This Row],[Issued]]</f>
        <v>14</v>
      </c>
      <c r="M78" s="212"/>
      <c r="N78" s="222"/>
    </row>
    <row r="79" spans="1:14" ht="16" customHeight="1" outlineLevel="1" x14ac:dyDescent="0.35">
      <c r="A79" s="206">
        <f>BOQ[[#This Row],[S.No]]</f>
        <v>0</v>
      </c>
      <c r="B79" s="198">
        <f>BOQ[[#This Row],[Item Description]]</f>
        <v>0</v>
      </c>
      <c r="C79" s="199">
        <f>BOQ[[#This Row],[Make / Vendor]]</f>
        <v>0</v>
      </c>
      <c r="D79" s="199">
        <f>BOQ[[#This Row],[Unit]]</f>
        <v>0</v>
      </c>
      <c r="E79" s="199">
        <f>BOQ[[#This Row],[BOQ]]</f>
        <v>0</v>
      </c>
      <c r="F79" s="200">
        <f>SUMIF('Goods Receipt'!$J:$J,Over_all[[#This Row],[Item Description]],'Goods Receipt'!$M:$M)</f>
        <v>0</v>
      </c>
      <c r="G79" s="200">
        <f>IF(Over_all[[#This Row],[BOQ]]-Over_all[[#This Row],[Received]]&gt;=0,Over_all[[#This Row],[BOQ]]-Over_all[[#This Row],[Received]],"")</f>
        <v>0</v>
      </c>
      <c r="H79" s="201" t="str">
        <f>IF(Over_all[[#This Row],[BOQ]]-Over_all[[#This Row],[Received]]&lt;0,Over_all[[#This Row],[BOQ]]-Over_all[[#This Row],[Received]],"")</f>
        <v/>
      </c>
      <c r="I79" s="221"/>
      <c r="J79" s="200">
        <f>Over_all[[#This Row],[Received]]</f>
        <v>0</v>
      </c>
      <c r="K79" s="200">
        <f>SUMIF(ISSUE!$F:$F,Over_all[[#This Row],[Item Description]],ISSUE!$I:$I)</f>
        <v>0</v>
      </c>
      <c r="L79" s="200">
        <f>Over_all[[#This Row],[Received.]]-Over_all[[#This Row],[Issued]]</f>
        <v>0</v>
      </c>
      <c r="M79" s="212"/>
      <c r="N79" s="222"/>
    </row>
    <row r="80" spans="1:14" ht="16" customHeight="1" outlineLevel="1" x14ac:dyDescent="0.35">
      <c r="A80" s="207" t="str">
        <f>BOQ[[#This Row],[S.No]]</f>
        <v>E-4</v>
      </c>
      <c r="B80" s="208" t="str">
        <f>BOQ[[#This Row],[Item Description]]</f>
        <v>HT_Panel</v>
      </c>
      <c r="C80" s="199">
        <f>BOQ[[#This Row],[Make / Vendor]]</f>
        <v>0</v>
      </c>
      <c r="D80" s="199">
        <f>BOQ[[#This Row],[Unit]]</f>
        <v>0</v>
      </c>
      <c r="E80" s="199">
        <f>BOQ[[#This Row],[BOQ]]</f>
        <v>0</v>
      </c>
      <c r="F80" s="200">
        <f>SUMIF('Goods Receipt'!$J:$J,Over_all[[#This Row],[Item Description]],'Goods Receipt'!$M:$M)</f>
        <v>0</v>
      </c>
      <c r="G80" s="200">
        <f>IF(Over_all[[#This Row],[BOQ]]-Over_all[[#This Row],[Received]]&gt;=0,Over_all[[#This Row],[BOQ]]-Over_all[[#This Row],[Received]],"")</f>
        <v>0</v>
      </c>
      <c r="H80" s="201" t="str">
        <f>IF(Over_all[[#This Row],[BOQ]]-Over_all[[#This Row],[Received]]&lt;0,Over_all[[#This Row],[BOQ]]-Over_all[[#This Row],[Received]],"")</f>
        <v/>
      </c>
      <c r="I80" s="221"/>
      <c r="J80" s="200">
        <f>Over_all[[#This Row],[Received]]</f>
        <v>0</v>
      </c>
      <c r="K80" s="200">
        <f>SUMIF(ISSUE!$F:$F,Over_all[[#This Row],[Item Description]],ISSUE!$I:$I)</f>
        <v>0</v>
      </c>
      <c r="L80" s="200">
        <f>Over_all[[#This Row],[Received.]]-Over_all[[#This Row],[Issued]]</f>
        <v>0</v>
      </c>
      <c r="M80" s="212"/>
      <c r="N80" s="222"/>
    </row>
    <row r="81" spans="1:14" ht="16" customHeight="1" outlineLevel="1" x14ac:dyDescent="0.35">
      <c r="A81" s="204">
        <f>BOQ[[#This Row],[S.No]]</f>
        <v>1</v>
      </c>
      <c r="B81" s="198" t="str">
        <f>BOQ[[#This Row],[Item Description]]</f>
        <v>33KV HT VCB Panel</v>
      </c>
      <c r="C81" s="199">
        <f>BOQ[[#This Row],[Make / Vendor]]</f>
        <v>0</v>
      </c>
      <c r="D81" s="199" t="str">
        <f>BOQ[[#This Row],[Unit]]</f>
        <v>Nos</v>
      </c>
      <c r="E81" s="199">
        <f>BOQ[[#This Row],[BOQ]]</f>
        <v>3</v>
      </c>
      <c r="F81" s="200">
        <f>SUMIF('Goods Receipt'!$J:$J,Over_all[[#This Row],[Item Description]],'Goods Receipt'!$M:$M)</f>
        <v>3</v>
      </c>
      <c r="G81" s="200">
        <f>IF(Over_all[[#This Row],[BOQ]]-Over_all[[#This Row],[Received]]&gt;=0,Over_all[[#This Row],[BOQ]]-Over_all[[#This Row],[Received]],"")</f>
        <v>0</v>
      </c>
      <c r="H81" s="201" t="str">
        <f>IF(Over_all[[#This Row],[BOQ]]-Over_all[[#This Row],[Received]]&lt;0,Over_all[[#This Row],[BOQ]]-Over_all[[#This Row],[Received]],"")</f>
        <v/>
      </c>
      <c r="I81" s="221"/>
      <c r="J81" s="200">
        <f>Over_all[[#This Row],[Received]]</f>
        <v>3</v>
      </c>
      <c r="K81" s="200">
        <f>SUMIF(ISSUE!$F:$F,Over_all[[#This Row],[Item Description]],ISSUE!$I:$I)</f>
        <v>0</v>
      </c>
      <c r="L81" s="200">
        <f>Over_all[[#This Row],[Received.]]-Over_all[[#This Row],[Issued]]</f>
        <v>3</v>
      </c>
      <c r="M81" s="212"/>
      <c r="N81" s="222"/>
    </row>
    <row r="82" spans="1:14" ht="16" customHeight="1" outlineLevel="1" x14ac:dyDescent="0.35">
      <c r="A82" s="197">
        <f>BOQ[[#This Row],[S.No]]</f>
        <v>2</v>
      </c>
      <c r="B82" s="205" t="str">
        <f>BOQ[[#This Row],[Item Description]]</f>
        <v>33KV HT VCB Panel (21C-1OG) Board Panel</v>
      </c>
      <c r="C82" s="199">
        <f>BOQ[[#This Row],[Make / Vendor]]</f>
        <v>0</v>
      </c>
      <c r="D82" s="199" t="str">
        <f>BOQ[[#This Row],[Unit]]</f>
        <v>Nos</v>
      </c>
      <c r="E82" s="199">
        <f>BOQ[[#This Row],[BOQ]]</f>
        <v>1</v>
      </c>
      <c r="F82" s="200">
        <f>SUMIF('Goods Receipt'!$J:$J,Over_all[[#This Row],[Item Description]],'Goods Receipt'!$M:$M)</f>
        <v>1</v>
      </c>
      <c r="G82" s="200">
        <f>IF(Over_all[[#This Row],[BOQ]]-Over_all[[#This Row],[Received]]&gt;=0,Over_all[[#This Row],[BOQ]]-Over_all[[#This Row],[Received]],"")</f>
        <v>0</v>
      </c>
      <c r="H82" s="201" t="str">
        <f>IF(Over_all[[#This Row],[BOQ]]-Over_all[[#This Row],[Received]]&lt;0,Over_all[[#This Row],[BOQ]]-Over_all[[#This Row],[Received]],"")</f>
        <v/>
      </c>
      <c r="I82" s="221"/>
      <c r="J82" s="200">
        <f>Over_all[[#This Row],[Received]]</f>
        <v>1</v>
      </c>
      <c r="K82" s="200">
        <f>SUMIF(ISSUE!$F:$F,Over_all[[#This Row],[Item Description]],ISSUE!$I:$I)</f>
        <v>0</v>
      </c>
      <c r="L82" s="200">
        <f>Over_all[[#This Row],[Received.]]-Over_all[[#This Row],[Issued]]</f>
        <v>1</v>
      </c>
      <c r="M82" s="212"/>
      <c r="N82" s="222"/>
    </row>
    <row r="83" spans="1:14" ht="16" customHeight="1" outlineLevel="1" x14ac:dyDescent="0.35">
      <c r="A83" s="206">
        <f>BOQ[[#This Row],[S.No]]</f>
        <v>0</v>
      </c>
      <c r="B83" s="198">
        <f>BOQ[[#This Row],[Item Description]]</f>
        <v>0</v>
      </c>
      <c r="C83" s="199">
        <f>BOQ[[#This Row],[Make / Vendor]]</f>
        <v>0</v>
      </c>
      <c r="D83" s="199" t="str">
        <f>BOQ[[#This Row],[Unit]]</f>
        <v xml:space="preserve"> </v>
      </c>
      <c r="E83" s="199">
        <f>BOQ[[#This Row],[BOQ]]</f>
        <v>0</v>
      </c>
      <c r="F83" s="200">
        <f>SUMIF('Goods Receipt'!$J:$J,Over_all[[#This Row],[Item Description]],'Goods Receipt'!$M:$M)</f>
        <v>0</v>
      </c>
      <c r="G83" s="200">
        <f>IF(Over_all[[#This Row],[BOQ]]-Over_all[[#This Row],[Received]]&gt;=0,Over_all[[#This Row],[BOQ]]-Over_all[[#This Row],[Received]],"")</f>
        <v>0</v>
      </c>
      <c r="H83" s="201" t="str">
        <f>IF(Over_all[[#This Row],[BOQ]]-Over_all[[#This Row],[Received]]&lt;0,Over_all[[#This Row],[BOQ]]-Over_all[[#This Row],[Received]],"")</f>
        <v/>
      </c>
      <c r="I83" s="221"/>
      <c r="J83" s="200">
        <f>Over_all[[#This Row],[Received]]</f>
        <v>0</v>
      </c>
      <c r="K83" s="200">
        <f>SUMIF(ISSUE!$F:$F,Over_all[[#This Row],[Item Description]],ISSUE!$I:$I)</f>
        <v>0</v>
      </c>
      <c r="L83" s="200">
        <f>Over_all[[#This Row],[Received.]]-Over_all[[#This Row],[Issued]]</f>
        <v>0</v>
      </c>
      <c r="M83" s="212"/>
      <c r="N83" s="222"/>
    </row>
    <row r="84" spans="1:14" ht="16" customHeight="1" outlineLevel="1" x14ac:dyDescent="0.35">
      <c r="A84" s="207" t="str">
        <f>BOQ[[#This Row],[S.No]]</f>
        <v>E-5</v>
      </c>
      <c r="B84" s="208" t="str">
        <f>BOQ[[#This Row],[Item Description]]</f>
        <v>Aux_UPS_Panel</v>
      </c>
      <c r="C84" s="199">
        <f>BOQ[[#This Row],[Make / Vendor]]</f>
        <v>0</v>
      </c>
      <c r="D84" s="199">
        <f>BOQ[[#This Row],[Unit]]</f>
        <v>0</v>
      </c>
      <c r="E84" s="199">
        <f>BOQ[[#This Row],[BOQ]]</f>
        <v>0</v>
      </c>
      <c r="F84" s="200">
        <f>SUMIF('Goods Receipt'!$J:$J,Over_all[[#This Row],[Item Description]],'Goods Receipt'!$M:$M)</f>
        <v>0</v>
      </c>
      <c r="G84" s="200">
        <f>IF(Over_all[[#This Row],[BOQ]]-Over_all[[#This Row],[Received]]&gt;=0,Over_all[[#This Row],[BOQ]]-Over_all[[#This Row],[Received]],"")</f>
        <v>0</v>
      </c>
      <c r="H84" s="201" t="str">
        <f>IF(Over_all[[#This Row],[BOQ]]-Over_all[[#This Row],[Received]]&lt;0,Over_all[[#This Row],[BOQ]]-Over_all[[#This Row],[Received]],"")</f>
        <v/>
      </c>
      <c r="I84" s="221"/>
      <c r="J84" s="200">
        <f>Over_all[[#This Row],[Received]]</f>
        <v>0</v>
      </c>
      <c r="K84" s="200">
        <f>SUMIF(ISSUE!$F:$F,Over_all[[#This Row],[Item Description]],ISSUE!$I:$I)</f>
        <v>0</v>
      </c>
      <c r="L84" s="200">
        <f>Over_all[[#This Row],[Received.]]-Over_all[[#This Row],[Issued]]</f>
        <v>0</v>
      </c>
      <c r="M84" s="212"/>
      <c r="N84" s="222"/>
    </row>
    <row r="85" spans="1:14" ht="16" customHeight="1" outlineLevel="1" x14ac:dyDescent="0.35">
      <c r="A85" s="197">
        <f>BOQ[[#This Row],[S.No]]</f>
        <v>1</v>
      </c>
      <c r="B85" s="205" t="str">
        <f>BOQ[[#This Row],[Item Description]]</f>
        <v xml:space="preserve">AUX ACDB Panel </v>
      </c>
      <c r="C85" s="199">
        <f>BOQ[[#This Row],[Make / Vendor]]</f>
        <v>0</v>
      </c>
      <c r="D85" s="199" t="str">
        <f>BOQ[[#This Row],[Unit]]</f>
        <v>Nos</v>
      </c>
      <c r="E85" s="199">
        <f>BOQ[[#This Row],[BOQ]]</f>
        <v>2</v>
      </c>
      <c r="F85" s="200">
        <f>SUMIF('Goods Receipt'!$J:$J,Over_all[[#This Row],[Item Description]],'Goods Receipt'!$M:$M)</f>
        <v>2</v>
      </c>
      <c r="G85" s="200">
        <f>IF(Over_all[[#This Row],[BOQ]]-Over_all[[#This Row],[Received]]&gt;=0,Over_all[[#This Row],[BOQ]]-Over_all[[#This Row],[Received]],"")</f>
        <v>0</v>
      </c>
      <c r="H85" s="201" t="str">
        <f>IF(Over_all[[#This Row],[BOQ]]-Over_all[[#This Row],[Received]]&lt;0,Over_all[[#This Row],[BOQ]]-Over_all[[#This Row],[Received]],"")</f>
        <v/>
      </c>
      <c r="I85" s="221"/>
      <c r="J85" s="200">
        <f>Over_all[[#This Row],[Received]]</f>
        <v>2</v>
      </c>
      <c r="K85" s="200">
        <f>SUMIF(ISSUE!$F:$F,Over_all[[#This Row],[Item Description]],ISSUE!$I:$I)</f>
        <v>0</v>
      </c>
      <c r="L85" s="200">
        <f>Over_all[[#This Row],[Received.]]-Over_all[[#This Row],[Issued]]</f>
        <v>2</v>
      </c>
      <c r="M85" s="212"/>
      <c r="N85" s="222"/>
    </row>
    <row r="86" spans="1:14" ht="16" customHeight="1" outlineLevel="1" x14ac:dyDescent="0.35">
      <c r="A86" s="197">
        <f>BOQ[[#This Row],[S.No]]</f>
        <v>2</v>
      </c>
      <c r="B86" s="205" t="str">
        <f>BOQ[[#This Row],[Item Description]]</f>
        <v>UPS Panel</v>
      </c>
      <c r="C86" s="199">
        <f>BOQ[[#This Row],[Make / Vendor]]</f>
        <v>0</v>
      </c>
      <c r="D86" s="199" t="str">
        <f>BOQ[[#This Row],[Unit]]</f>
        <v>Nos</v>
      </c>
      <c r="E86" s="199">
        <f>BOQ[[#This Row],[BOQ]]</f>
        <v>2</v>
      </c>
      <c r="F86" s="200">
        <f>SUMIF('Goods Receipt'!$J:$J,Over_all[[#This Row],[Item Description]],'Goods Receipt'!$M:$M)</f>
        <v>2</v>
      </c>
      <c r="G86" s="200">
        <f>IF(Over_all[[#This Row],[BOQ]]-Over_all[[#This Row],[Received]]&gt;=0,Over_all[[#This Row],[BOQ]]-Over_all[[#This Row],[Received]],"")</f>
        <v>0</v>
      </c>
      <c r="H86" s="201" t="str">
        <f>IF(Over_all[[#This Row],[BOQ]]-Over_all[[#This Row],[Received]]&lt;0,Over_all[[#This Row],[BOQ]]-Over_all[[#This Row],[Received]],"")</f>
        <v/>
      </c>
      <c r="I86" s="221"/>
      <c r="J86" s="200">
        <f>Over_all[[#This Row],[Received]]</f>
        <v>2</v>
      </c>
      <c r="K86" s="200">
        <f>SUMIF(ISSUE!$F:$F,Over_all[[#This Row],[Item Description]],ISSUE!$I:$I)</f>
        <v>0</v>
      </c>
      <c r="L86" s="200">
        <f>Over_all[[#This Row],[Received.]]-Over_all[[#This Row],[Issued]]</f>
        <v>2</v>
      </c>
      <c r="M86" s="212"/>
      <c r="N86" s="222"/>
    </row>
    <row r="87" spans="1:14" ht="16" customHeight="1" outlineLevel="1" x14ac:dyDescent="0.35">
      <c r="A87" s="206">
        <f>BOQ[[#This Row],[S.No]]</f>
        <v>0</v>
      </c>
      <c r="B87" s="198">
        <f>BOQ[[#This Row],[Item Description]]</f>
        <v>0</v>
      </c>
      <c r="C87" s="199">
        <f>BOQ[[#This Row],[Make / Vendor]]</f>
        <v>0</v>
      </c>
      <c r="D87" s="199">
        <f>BOQ[[#This Row],[Unit]]</f>
        <v>0</v>
      </c>
      <c r="E87" s="199">
        <f>BOQ[[#This Row],[BOQ]]</f>
        <v>0</v>
      </c>
      <c r="F87" s="200">
        <f>SUMIF('Goods Receipt'!$J:$J,Over_all[[#This Row],[Item Description]],'Goods Receipt'!$M:$M)</f>
        <v>0</v>
      </c>
      <c r="G87" s="200">
        <f>IF(Over_all[[#This Row],[BOQ]]-Over_all[[#This Row],[Received]]&gt;=0,Over_all[[#This Row],[BOQ]]-Over_all[[#This Row],[Received]],"")</f>
        <v>0</v>
      </c>
      <c r="H87" s="201" t="str">
        <f>IF(Over_all[[#This Row],[BOQ]]-Over_all[[#This Row],[Received]]&lt;0,Over_all[[#This Row],[BOQ]]-Over_all[[#This Row],[Received]],"")</f>
        <v/>
      </c>
      <c r="I87" s="221"/>
      <c r="J87" s="200">
        <f>Over_all[[#This Row],[Received]]</f>
        <v>0</v>
      </c>
      <c r="K87" s="200">
        <f>SUMIF(ISSUE!$F:$F,Over_all[[#This Row],[Item Description]],ISSUE!$I:$I)</f>
        <v>0</v>
      </c>
      <c r="L87" s="200">
        <f>Over_all[[#This Row],[Received.]]-Over_all[[#This Row],[Issued]]</f>
        <v>0</v>
      </c>
      <c r="M87" s="212"/>
      <c r="N87" s="222"/>
    </row>
    <row r="88" spans="1:14" ht="16" customHeight="1" outlineLevel="1" x14ac:dyDescent="0.35">
      <c r="A88" s="209" t="str">
        <f>BOQ[[#This Row],[S.No]]</f>
        <v>E-6</v>
      </c>
      <c r="B88" s="208" t="str">
        <f>BOQ[[#This Row],[Item Description]]</f>
        <v>Scada</v>
      </c>
      <c r="C88" s="199">
        <f>BOQ[[#This Row],[Make / Vendor]]</f>
        <v>0</v>
      </c>
      <c r="D88" s="199">
        <f>BOQ[[#This Row],[Unit]]</f>
        <v>0</v>
      </c>
      <c r="E88" s="199">
        <f>BOQ[[#This Row],[BOQ]]</f>
        <v>0</v>
      </c>
      <c r="F88" s="200">
        <f>SUMIF('Goods Receipt'!$J:$J,Over_all[[#This Row],[Item Description]],'Goods Receipt'!$M:$M)</f>
        <v>0</v>
      </c>
      <c r="G88" s="200">
        <f>IF(Over_all[[#This Row],[BOQ]]-Over_all[[#This Row],[Received]]&gt;=0,Over_all[[#This Row],[BOQ]]-Over_all[[#This Row],[Received]],"")</f>
        <v>0</v>
      </c>
      <c r="H88" s="201" t="str">
        <f>IF(Over_all[[#This Row],[BOQ]]-Over_all[[#This Row],[Received]]&lt;0,Over_all[[#This Row],[BOQ]]-Over_all[[#This Row],[Received]],"")</f>
        <v/>
      </c>
      <c r="I88" s="221"/>
      <c r="J88" s="200">
        <f>Over_all[[#This Row],[Received]]</f>
        <v>0</v>
      </c>
      <c r="K88" s="200">
        <f>SUMIF(ISSUE!$F:$F,Over_all[[#This Row],[Item Description]],ISSUE!$I:$I)</f>
        <v>0</v>
      </c>
      <c r="L88" s="200">
        <f>Over_all[[#This Row],[Received.]]-Over_all[[#This Row],[Issued]]</f>
        <v>0</v>
      </c>
      <c r="M88" s="212"/>
      <c r="N88" s="222"/>
    </row>
    <row r="89" spans="1:14" ht="16" customHeight="1" outlineLevel="1" x14ac:dyDescent="0.35">
      <c r="A89" s="197">
        <f>BOQ[[#This Row],[S.No]]</f>
        <v>1</v>
      </c>
      <c r="B89" s="205" t="str">
        <f>BOQ[[#This Row],[Item Description]]</f>
        <v xml:space="preserve">MCR Panel </v>
      </c>
      <c r="C89" s="199">
        <f>BOQ[[#This Row],[Make / Vendor]]</f>
        <v>0</v>
      </c>
      <c r="D89" s="199" t="str">
        <f>BOQ[[#This Row],[Unit]]</f>
        <v>Nos</v>
      </c>
      <c r="E89" s="199">
        <f>BOQ[[#This Row],[BOQ]]</f>
        <v>1</v>
      </c>
      <c r="F89" s="200">
        <f>SUMIF('Goods Receipt'!$J:$J,Over_all[[#This Row],[Item Description]],'Goods Receipt'!$M:$M)</f>
        <v>1</v>
      </c>
      <c r="G89" s="200">
        <f>IF(Over_all[[#This Row],[BOQ]]-Over_all[[#This Row],[Received]]&gt;=0,Over_all[[#This Row],[BOQ]]-Over_all[[#This Row],[Received]],"")</f>
        <v>0</v>
      </c>
      <c r="H89" s="201" t="str">
        <f>IF(Over_all[[#This Row],[BOQ]]-Over_all[[#This Row],[Received]]&lt;0,Over_all[[#This Row],[BOQ]]-Over_all[[#This Row],[Received]],"")</f>
        <v/>
      </c>
      <c r="I89" s="221"/>
      <c r="J89" s="200">
        <f>Over_all[[#This Row],[Received]]</f>
        <v>1</v>
      </c>
      <c r="K89" s="200">
        <f>SUMIF(ISSUE!$F:$F,Over_all[[#This Row],[Item Description]],ISSUE!$I:$I)</f>
        <v>0</v>
      </c>
      <c r="L89" s="200">
        <f>Over_all[[#This Row],[Received.]]-Over_all[[#This Row],[Issued]]</f>
        <v>1</v>
      </c>
      <c r="M89" s="212"/>
      <c r="N89" s="222"/>
    </row>
    <row r="90" spans="1:14" ht="16" customHeight="1" outlineLevel="1" x14ac:dyDescent="0.35">
      <c r="A90" s="197">
        <f>BOQ[[#This Row],[S.No]]</f>
        <v>2</v>
      </c>
      <c r="B90" s="205" t="str">
        <f>BOQ[[#This Row],[Item Description]]</f>
        <v xml:space="preserve">ICR Panel </v>
      </c>
      <c r="C90" s="199">
        <f>BOQ[[#This Row],[Make / Vendor]]</f>
        <v>0</v>
      </c>
      <c r="D90" s="199" t="str">
        <f>BOQ[[#This Row],[Unit]]</f>
        <v>Nos</v>
      </c>
      <c r="E90" s="199">
        <f>BOQ[[#This Row],[BOQ]]</f>
        <v>2</v>
      </c>
      <c r="F90" s="200">
        <f>SUMIF('Goods Receipt'!$J:$J,Over_all[[#This Row],[Item Description]],'Goods Receipt'!$M:$M)</f>
        <v>2</v>
      </c>
      <c r="G90" s="200">
        <f>IF(Over_all[[#This Row],[BOQ]]-Over_all[[#This Row],[Received]]&gt;=0,Over_all[[#This Row],[BOQ]]-Over_all[[#This Row],[Received]],"")</f>
        <v>0</v>
      </c>
      <c r="H90" s="201" t="str">
        <f>IF(Over_all[[#This Row],[BOQ]]-Over_all[[#This Row],[Received]]&lt;0,Over_all[[#This Row],[BOQ]]-Over_all[[#This Row],[Received]],"")</f>
        <v/>
      </c>
      <c r="I90" s="221"/>
      <c r="J90" s="200">
        <f>Over_all[[#This Row],[Received]]</f>
        <v>2</v>
      </c>
      <c r="K90" s="200">
        <f>SUMIF(ISSUE!$F:$F,Over_all[[#This Row],[Item Description]],ISSUE!$I:$I)</f>
        <v>0</v>
      </c>
      <c r="L90" s="200">
        <f>Over_all[[#This Row],[Received.]]-Over_all[[#This Row],[Issued]]</f>
        <v>2</v>
      </c>
      <c r="M90" s="212"/>
      <c r="N90" s="222"/>
    </row>
    <row r="91" spans="1:14" ht="23" outlineLevel="1" x14ac:dyDescent="0.35">
      <c r="A91" s="197">
        <f>BOQ[[#This Row],[S.No]]</f>
        <v>3</v>
      </c>
      <c r="B91" s="205" t="str">
        <f>BOQ[[#This Row],[Item Description]]</f>
        <v>Operating Work Station With Pre Installation Software and keyboard &amp;Mouse</v>
      </c>
      <c r="C91" s="199">
        <f>BOQ[[#This Row],[Make / Vendor]]</f>
        <v>0</v>
      </c>
      <c r="D91" s="199" t="str">
        <f>BOQ[[#This Row],[Unit]]</f>
        <v>Nos</v>
      </c>
      <c r="E91" s="199">
        <f>BOQ[[#This Row],[BOQ]]</f>
        <v>1</v>
      </c>
      <c r="F91" s="200">
        <f>SUMIF('Goods Receipt'!$J:$J,Over_all[[#This Row],[Item Description]],'Goods Receipt'!$M:$M)</f>
        <v>1</v>
      </c>
      <c r="G91" s="200">
        <f>IF(Over_all[[#This Row],[BOQ]]-Over_all[[#This Row],[Received]]&gt;=0,Over_all[[#This Row],[BOQ]]-Over_all[[#This Row],[Received]],"")</f>
        <v>0</v>
      </c>
      <c r="H91" s="201" t="str">
        <f>IF(Over_all[[#This Row],[BOQ]]-Over_all[[#This Row],[Received]]&lt;0,Over_all[[#This Row],[BOQ]]-Over_all[[#This Row],[Received]],"")</f>
        <v/>
      </c>
      <c r="I91" s="221"/>
      <c r="J91" s="200">
        <f>Over_all[[#This Row],[Received]]</f>
        <v>1</v>
      </c>
      <c r="K91" s="200">
        <f>SUMIF(ISSUE!$F:$F,Over_all[[#This Row],[Item Description]],ISSUE!$I:$I)</f>
        <v>0</v>
      </c>
      <c r="L91" s="200">
        <f>Over_all[[#This Row],[Received.]]-Over_all[[#This Row],[Issued]]</f>
        <v>1</v>
      </c>
      <c r="M91" s="212"/>
      <c r="N91" s="222"/>
    </row>
    <row r="92" spans="1:14" ht="16" customHeight="1" outlineLevel="1" x14ac:dyDescent="0.35">
      <c r="A92" s="197">
        <f>BOQ[[#This Row],[S.No]]</f>
        <v>4</v>
      </c>
      <c r="B92" s="205" t="str">
        <f>BOQ[[#This Row],[Item Description]]</f>
        <v xml:space="preserve">32 Inch Display </v>
      </c>
      <c r="C92" s="199">
        <f>BOQ[[#This Row],[Make / Vendor]]</f>
        <v>0</v>
      </c>
      <c r="D92" s="199" t="str">
        <f>BOQ[[#This Row],[Unit]]</f>
        <v>Nos</v>
      </c>
      <c r="E92" s="199">
        <f>BOQ[[#This Row],[BOQ]]</f>
        <v>1</v>
      </c>
      <c r="F92" s="200">
        <f>SUMIF('Goods Receipt'!$J:$J,Over_all[[#This Row],[Item Description]],'Goods Receipt'!$M:$M)</f>
        <v>1</v>
      </c>
      <c r="G92" s="200">
        <f>IF(Over_all[[#This Row],[BOQ]]-Over_all[[#This Row],[Received]]&gt;=0,Over_all[[#This Row],[BOQ]]-Over_all[[#This Row],[Received]],"")</f>
        <v>0</v>
      </c>
      <c r="H92" s="201" t="str">
        <f>IF(Over_all[[#This Row],[BOQ]]-Over_all[[#This Row],[Received]]&lt;0,Over_all[[#This Row],[BOQ]]-Over_all[[#This Row],[Received]],"")</f>
        <v/>
      </c>
      <c r="I92" s="221"/>
      <c r="J92" s="200">
        <f>Over_all[[#This Row],[Received]]</f>
        <v>1</v>
      </c>
      <c r="K92" s="200">
        <f>SUMIF(ISSUE!$F:$F,Over_all[[#This Row],[Item Description]],ISSUE!$I:$I)</f>
        <v>0</v>
      </c>
      <c r="L92" s="200">
        <f>Over_all[[#This Row],[Received.]]-Over_all[[#This Row],[Issued]]</f>
        <v>1</v>
      </c>
      <c r="M92" s="212"/>
      <c r="N92" s="222"/>
    </row>
    <row r="93" spans="1:14" ht="16" customHeight="1" outlineLevel="1" x14ac:dyDescent="0.35">
      <c r="A93" s="197">
        <f>BOQ[[#This Row],[S.No]]</f>
        <v>5</v>
      </c>
      <c r="B93" s="205" t="str">
        <f>BOQ[[#This Row],[Item Description]]</f>
        <v>A4 Printer</v>
      </c>
      <c r="C93" s="199">
        <f>BOQ[[#This Row],[Make / Vendor]]</f>
        <v>0</v>
      </c>
      <c r="D93" s="199" t="str">
        <f>BOQ[[#This Row],[Unit]]</f>
        <v>Nos</v>
      </c>
      <c r="E93" s="199">
        <f>BOQ[[#This Row],[BOQ]]</f>
        <v>1</v>
      </c>
      <c r="F93" s="200">
        <f>SUMIF('Goods Receipt'!$J:$J,Over_all[[#This Row],[Item Description]],'Goods Receipt'!$M:$M)</f>
        <v>1</v>
      </c>
      <c r="G93" s="200">
        <f>IF(Over_all[[#This Row],[BOQ]]-Over_all[[#This Row],[Received]]&gt;=0,Over_all[[#This Row],[BOQ]]-Over_all[[#This Row],[Received]],"")</f>
        <v>0</v>
      </c>
      <c r="H93" s="201" t="str">
        <f>IF(Over_all[[#This Row],[BOQ]]-Over_all[[#This Row],[Received]]&lt;0,Over_all[[#This Row],[BOQ]]-Over_all[[#This Row],[Received]],"")</f>
        <v/>
      </c>
      <c r="I93" s="221"/>
      <c r="J93" s="200">
        <f>Over_all[[#This Row],[Received]]</f>
        <v>1</v>
      </c>
      <c r="K93" s="200">
        <f>SUMIF(ISSUE!$F:$F,Over_all[[#This Row],[Item Description]],ISSUE!$I:$I)</f>
        <v>0</v>
      </c>
      <c r="L93" s="200">
        <f>Over_all[[#This Row],[Received.]]-Over_all[[#This Row],[Issued]]</f>
        <v>1</v>
      </c>
      <c r="M93" s="212"/>
      <c r="N93" s="222"/>
    </row>
    <row r="94" spans="1:14" ht="16" customHeight="1" outlineLevel="1" x14ac:dyDescent="0.35">
      <c r="A94" s="197">
        <f>BOQ[[#This Row],[S.No]]</f>
        <v>6</v>
      </c>
      <c r="B94" s="205" t="str">
        <f>BOQ[[#This Row],[Item Description]]</f>
        <v xml:space="preserve">Wooden Table </v>
      </c>
      <c r="C94" s="199">
        <f>BOQ[[#This Row],[Make / Vendor]]</f>
        <v>0</v>
      </c>
      <c r="D94" s="199" t="str">
        <f>BOQ[[#This Row],[Unit]]</f>
        <v>Nos</v>
      </c>
      <c r="E94" s="199">
        <f>BOQ[[#This Row],[BOQ]]</f>
        <v>1</v>
      </c>
      <c r="F94" s="200">
        <f>SUMIF('Goods Receipt'!$J:$J,Over_all[[#This Row],[Item Description]],'Goods Receipt'!$M:$M)</f>
        <v>1</v>
      </c>
      <c r="G94" s="200">
        <f>IF(Over_all[[#This Row],[BOQ]]-Over_all[[#This Row],[Received]]&gt;=0,Over_all[[#This Row],[BOQ]]-Over_all[[#This Row],[Received]],"")</f>
        <v>0</v>
      </c>
      <c r="H94" s="201" t="str">
        <f>IF(Over_all[[#This Row],[BOQ]]-Over_all[[#This Row],[Received]]&lt;0,Over_all[[#This Row],[BOQ]]-Over_all[[#This Row],[Received]],"")</f>
        <v/>
      </c>
      <c r="I94" s="221"/>
      <c r="J94" s="200">
        <f>Over_all[[#This Row],[Received]]</f>
        <v>1</v>
      </c>
      <c r="K94" s="200">
        <f>SUMIF(ISSUE!$F:$F,Over_all[[#This Row],[Item Description]],ISSUE!$I:$I)</f>
        <v>0</v>
      </c>
      <c r="L94" s="200">
        <f>Over_all[[#This Row],[Received.]]-Over_all[[#This Row],[Issued]]</f>
        <v>1</v>
      </c>
      <c r="M94" s="212"/>
      <c r="N94" s="222"/>
    </row>
    <row r="95" spans="1:14" ht="16" customHeight="1" outlineLevel="1" x14ac:dyDescent="0.35">
      <c r="A95" s="197">
        <f>BOQ[[#This Row],[S.No]]</f>
        <v>7</v>
      </c>
      <c r="B95" s="205" t="str">
        <f>BOQ[[#This Row],[Item Description]]</f>
        <v>Chair</v>
      </c>
      <c r="C95" s="199">
        <f>BOQ[[#This Row],[Make / Vendor]]</f>
        <v>0</v>
      </c>
      <c r="D95" s="199" t="str">
        <f>BOQ[[#This Row],[Unit]]</f>
        <v>Nos</v>
      </c>
      <c r="E95" s="199">
        <f>BOQ[[#This Row],[BOQ]]</f>
        <v>1</v>
      </c>
      <c r="F95" s="200">
        <f>SUMIF('Goods Receipt'!$J:$J,Over_all[[#This Row],[Item Description]],'Goods Receipt'!$M:$M)</f>
        <v>1</v>
      </c>
      <c r="G95" s="200">
        <f>IF(Over_all[[#This Row],[BOQ]]-Over_all[[#This Row],[Received]]&gt;=0,Over_all[[#This Row],[BOQ]]-Over_all[[#This Row],[Received]],"")</f>
        <v>0</v>
      </c>
      <c r="H95" s="201" t="str">
        <f>IF(Over_all[[#This Row],[BOQ]]-Over_all[[#This Row],[Received]]&lt;0,Over_all[[#This Row],[BOQ]]-Over_all[[#This Row],[Received]],"")</f>
        <v/>
      </c>
      <c r="I95" s="221"/>
      <c r="J95" s="200">
        <f>Over_all[[#This Row],[Received]]</f>
        <v>1</v>
      </c>
      <c r="K95" s="200">
        <f>SUMIF(ISSUE!$F:$F,Over_all[[#This Row],[Item Description]],ISSUE!$I:$I)</f>
        <v>0</v>
      </c>
      <c r="L95" s="200">
        <f>Over_all[[#This Row],[Received.]]-Over_all[[#This Row],[Issued]]</f>
        <v>1</v>
      </c>
      <c r="M95" s="212"/>
      <c r="N95" s="222"/>
    </row>
    <row r="96" spans="1:14" ht="16" customHeight="1" outlineLevel="1" x14ac:dyDescent="0.35">
      <c r="A96" s="197">
        <f>BOQ[[#This Row],[S.No]]</f>
        <v>8</v>
      </c>
      <c r="B96" s="205" t="str">
        <f>BOQ[[#This Row],[Item Description]]</f>
        <v>SC-LC Patch Cord Single Mode</v>
      </c>
      <c r="C96" s="199">
        <f>BOQ[[#This Row],[Make / Vendor]]</f>
        <v>0</v>
      </c>
      <c r="D96" s="199" t="str">
        <f>BOQ[[#This Row],[Unit]]</f>
        <v>Nos</v>
      </c>
      <c r="E96" s="199">
        <f>BOQ[[#This Row],[BOQ]]</f>
        <v>6</v>
      </c>
      <c r="F96" s="200">
        <f>SUMIF('Goods Receipt'!$J:$J,Over_all[[#This Row],[Item Description]],'Goods Receipt'!$M:$M)</f>
        <v>6</v>
      </c>
      <c r="G96" s="200">
        <f>IF(Over_all[[#This Row],[BOQ]]-Over_all[[#This Row],[Received]]&gt;=0,Over_all[[#This Row],[BOQ]]-Over_all[[#This Row],[Received]],"")</f>
        <v>0</v>
      </c>
      <c r="H96" s="201" t="str">
        <f>IF(Over_all[[#This Row],[BOQ]]-Over_all[[#This Row],[Received]]&lt;0,Over_all[[#This Row],[BOQ]]-Over_all[[#This Row],[Received]],"")</f>
        <v/>
      </c>
      <c r="I96" s="221"/>
      <c r="J96" s="200">
        <f>Over_all[[#This Row],[Received]]</f>
        <v>6</v>
      </c>
      <c r="K96" s="200">
        <f>SUMIF(ISSUE!$F:$F,Over_all[[#This Row],[Item Description]],ISSUE!$I:$I)</f>
        <v>0</v>
      </c>
      <c r="L96" s="200">
        <f>Over_all[[#This Row],[Received.]]-Over_all[[#This Row],[Issued]]</f>
        <v>6</v>
      </c>
      <c r="M96" s="212"/>
      <c r="N96" s="222"/>
    </row>
    <row r="97" spans="1:14" ht="16" customHeight="1" outlineLevel="1" x14ac:dyDescent="0.35">
      <c r="A97" s="206">
        <f>BOQ[[#This Row],[S.No]]</f>
        <v>0</v>
      </c>
      <c r="B97" s="198">
        <f>BOQ[[#This Row],[Item Description]]</f>
        <v>0</v>
      </c>
      <c r="C97" s="199">
        <f>BOQ[[#This Row],[Make / Vendor]]</f>
        <v>0</v>
      </c>
      <c r="D97" s="199">
        <f>BOQ[[#This Row],[Unit]]</f>
        <v>0</v>
      </c>
      <c r="E97" s="199">
        <f>BOQ[[#This Row],[BOQ]]</f>
        <v>0</v>
      </c>
      <c r="F97" s="200">
        <f>SUMIF('Goods Receipt'!$J:$J,Over_all[[#This Row],[Item Description]],'Goods Receipt'!$M:$M)</f>
        <v>0</v>
      </c>
      <c r="G97" s="200">
        <f>IF(Over_all[[#This Row],[BOQ]]-Over_all[[#This Row],[Received]]&gt;=0,Over_all[[#This Row],[BOQ]]-Over_all[[#This Row],[Received]],"")</f>
        <v>0</v>
      </c>
      <c r="H97" s="201" t="str">
        <f>IF(Over_all[[#This Row],[BOQ]]-Over_all[[#This Row],[Received]]&lt;0,Over_all[[#This Row],[BOQ]]-Over_all[[#This Row],[Received]],"")</f>
        <v/>
      </c>
      <c r="I97" s="221"/>
      <c r="J97" s="200">
        <f>Over_all[[#This Row],[Received]]</f>
        <v>0</v>
      </c>
      <c r="K97" s="200">
        <f>SUMIF(ISSUE!$F:$F,Over_all[[#This Row],[Item Description]],ISSUE!$I:$I)</f>
        <v>0</v>
      </c>
      <c r="L97" s="200">
        <f>Over_all[[#This Row],[Received.]]-Over_all[[#This Row],[Issued]]</f>
        <v>0</v>
      </c>
      <c r="M97" s="212"/>
      <c r="N97" s="222"/>
    </row>
    <row r="98" spans="1:14" ht="16" customHeight="1" outlineLevel="1" x14ac:dyDescent="0.35">
      <c r="A98" s="207" t="str">
        <f>BOQ[[#This Row],[S.No]]</f>
        <v>E-7</v>
      </c>
      <c r="B98" s="208" t="str">
        <f>BOQ[[#This Row],[Item Description]]</f>
        <v>Lighting_arrestor</v>
      </c>
      <c r="C98" s="199">
        <f>BOQ[[#This Row],[Make / Vendor]]</f>
        <v>0</v>
      </c>
      <c r="D98" s="199">
        <f>BOQ[[#This Row],[Unit]]</f>
        <v>0</v>
      </c>
      <c r="E98" s="199">
        <f>BOQ[[#This Row],[BOQ]]</f>
        <v>0</v>
      </c>
      <c r="F98" s="200">
        <f>SUMIF('Goods Receipt'!$J:$J,Over_all[[#This Row],[Item Description]],'Goods Receipt'!$M:$M)</f>
        <v>0</v>
      </c>
      <c r="G98" s="200">
        <f>IF(Over_all[[#This Row],[BOQ]]-Over_all[[#This Row],[Received]]&gt;=0,Over_all[[#This Row],[BOQ]]-Over_all[[#This Row],[Received]],"")</f>
        <v>0</v>
      </c>
      <c r="H98" s="201" t="str">
        <f>IF(Over_all[[#This Row],[BOQ]]-Over_all[[#This Row],[Received]]&lt;0,Over_all[[#This Row],[BOQ]]-Over_all[[#This Row],[Received]],"")</f>
        <v/>
      </c>
      <c r="I98" s="221"/>
      <c r="J98" s="200">
        <f>Over_all[[#This Row],[Received]]</f>
        <v>0</v>
      </c>
      <c r="K98" s="200">
        <f>SUMIF(ISSUE!$F:$F,Over_all[[#This Row],[Item Description]],ISSUE!$I:$I)</f>
        <v>0</v>
      </c>
      <c r="L98" s="200">
        <f>Over_all[[#This Row],[Received.]]-Over_all[[#This Row],[Issued]]</f>
        <v>0</v>
      </c>
      <c r="M98" s="212"/>
      <c r="N98" s="222"/>
    </row>
    <row r="99" spans="1:14" ht="16" customHeight="1" outlineLevel="1" x14ac:dyDescent="0.35">
      <c r="A99" s="197">
        <f>BOQ[[#This Row],[S.No]]</f>
        <v>1</v>
      </c>
      <c r="B99" s="205" t="str">
        <f>BOQ[[#This Row],[Item Description]]</f>
        <v>ESE Train</v>
      </c>
      <c r="C99" s="199">
        <f>BOQ[[#This Row],[Make / Vendor]]</f>
        <v>0</v>
      </c>
      <c r="D99" s="199" t="str">
        <f>BOQ[[#This Row],[Unit]]</f>
        <v>Nos</v>
      </c>
      <c r="E99" s="199">
        <f>BOQ[[#This Row],[BOQ]]</f>
        <v>6</v>
      </c>
      <c r="F99" s="200">
        <f>SUMIF('Goods Receipt'!$J:$J,Over_all[[#This Row],[Item Description]],'Goods Receipt'!$M:$M)</f>
        <v>6</v>
      </c>
      <c r="G99" s="200">
        <f>IF(Over_all[[#This Row],[BOQ]]-Over_all[[#This Row],[Received]]&gt;=0,Over_all[[#This Row],[BOQ]]-Over_all[[#This Row],[Received]],"")</f>
        <v>0</v>
      </c>
      <c r="H99" s="201" t="str">
        <f>IF(Over_all[[#This Row],[BOQ]]-Over_all[[#This Row],[Received]]&lt;0,Over_all[[#This Row],[BOQ]]-Over_all[[#This Row],[Received]],"")</f>
        <v/>
      </c>
      <c r="I99" s="221"/>
      <c r="J99" s="200">
        <f>Over_all[[#This Row],[Received]]</f>
        <v>6</v>
      </c>
      <c r="K99" s="200">
        <f>SUMIF(ISSUE!$F:$F,Over_all[[#This Row],[Item Description]],ISSUE!$I:$I)</f>
        <v>0</v>
      </c>
      <c r="L99" s="200">
        <f>Over_all[[#This Row],[Received.]]-Over_all[[#This Row],[Issued]]</f>
        <v>6</v>
      </c>
      <c r="M99" s="212"/>
      <c r="N99" s="222"/>
    </row>
    <row r="100" spans="1:14" ht="16" customHeight="1" outlineLevel="1" x14ac:dyDescent="0.35">
      <c r="A100" s="197">
        <f>BOQ[[#This Row],[S.No]]</f>
        <v>2</v>
      </c>
      <c r="B100" s="205" t="str">
        <f>BOQ[[#This Row],[Item Description]]</f>
        <v>6MM Guy Rope</v>
      </c>
      <c r="C100" s="199">
        <f>BOQ[[#This Row],[Make / Vendor]]</f>
        <v>0</v>
      </c>
      <c r="D100" s="199" t="str">
        <f>BOQ[[#This Row],[Unit]]</f>
        <v>Nos</v>
      </c>
      <c r="E100" s="199">
        <f>BOQ[[#This Row],[BOQ]]</f>
        <v>126</v>
      </c>
      <c r="F100" s="200">
        <f>SUMIF('Goods Receipt'!$J:$J,Over_all[[#This Row],[Item Description]],'Goods Receipt'!$M:$M)</f>
        <v>126</v>
      </c>
      <c r="G100" s="200">
        <f>IF(Over_all[[#This Row],[BOQ]]-Over_all[[#This Row],[Received]]&gt;=0,Over_all[[#This Row],[BOQ]]-Over_all[[#This Row],[Received]],"")</f>
        <v>0</v>
      </c>
      <c r="H100" s="201" t="str">
        <f>IF(Over_all[[#This Row],[BOQ]]-Over_all[[#This Row],[Received]]&lt;0,Over_all[[#This Row],[BOQ]]-Over_all[[#This Row],[Received]],"")</f>
        <v/>
      </c>
      <c r="I100" s="221"/>
      <c r="J100" s="200">
        <f>Over_all[[#This Row],[Received]]</f>
        <v>126</v>
      </c>
      <c r="K100" s="200">
        <f>SUMIF(ISSUE!$F:$F,Over_all[[#This Row],[Item Description]],ISSUE!$I:$I)</f>
        <v>0</v>
      </c>
      <c r="L100" s="200">
        <f>Over_all[[#This Row],[Received.]]-Over_all[[#This Row],[Issued]]</f>
        <v>126</v>
      </c>
      <c r="M100" s="212"/>
      <c r="N100" s="222"/>
    </row>
    <row r="101" spans="1:14" ht="16" customHeight="1" outlineLevel="1" x14ac:dyDescent="0.35">
      <c r="A101" s="204">
        <f>BOQ[[#This Row],[S.No]]</f>
        <v>3</v>
      </c>
      <c r="B101" s="198" t="str">
        <f>BOQ[[#This Row],[Item Description]]</f>
        <v>6MM U Clamp</v>
      </c>
      <c r="C101" s="199">
        <f>BOQ[[#This Row],[Make / Vendor]]</f>
        <v>0</v>
      </c>
      <c r="D101" s="199" t="str">
        <f>BOQ[[#This Row],[Unit]]</f>
        <v>Nos</v>
      </c>
      <c r="E101" s="199">
        <f>BOQ[[#This Row],[BOQ]]</f>
        <v>72</v>
      </c>
      <c r="F101" s="200">
        <f>SUMIF('Goods Receipt'!$J:$J,Over_all[[#This Row],[Item Description]],'Goods Receipt'!$M:$M)</f>
        <v>72</v>
      </c>
      <c r="G101" s="200">
        <f>IF(Over_all[[#This Row],[BOQ]]-Over_all[[#This Row],[Received]]&gt;=0,Over_all[[#This Row],[BOQ]]-Over_all[[#This Row],[Received]],"")</f>
        <v>0</v>
      </c>
      <c r="H101" s="201" t="str">
        <f>IF(Over_all[[#This Row],[BOQ]]-Over_all[[#This Row],[Received]]&lt;0,Over_all[[#This Row],[BOQ]]-Over_all[[#This Row],[Received]],"")</f>
        <v/>
      </c>
      <c r="I101" s="221"/>
      <c r="J101" s="200">
        <f>Over_all[[#This Row],[Received]]</f>
        <v>72</v>
      </c>
      <c r="K101" s="200">
        <f>SUMIF(ISSUE!$F:$F,Over_all[[#This Row],[Item Description]],ISSUE!$I:$I)</f>
        <v>0</v>
      </c>
      <c r="L101" s="200">
        <f>Over_all[[#This Row],[Received.]]-Over_all[[#This Row],[Issued]]</f>
        <v>72</v>
      </c>
      <c r="M101" s="212"/>
      <c r="N101" s="222"/>
    </row>
    <row r="102" spans="1:14" ht="16" customHeight="1" outlineLevel="1" x14ac:dyDescent="0.35">
      <c r="A102" s="197">
        <f>BOQ[[#This Row],[S.No]]</f>
        <v>4</v>
      </c>
      <c r="B102" s="205" t="str">
        <f>BOQ[[#This Row],[Item Description]]</f>
        <v>Grount Hook for fixing guy cable</v>
      </c>
      <c r="C102" s="199">
        <f>BOQ[[#This Row],[Make / Vendor]]</f>
        <v>0</v>
      </c>
      <c r="D102" s="199" t="str">
        <f>BOQ[[#This Row],[Unit]]</f>
        <v>Nos</v>
      </c>
      <c r="E102" s="199">
        <f>BOQ[[#This Row],[BOQ]]</f>
        <v>18</v>
      </c>
      <c r="F102" s="200">
        <f>SUMIF('Goods Receipt'!$J:$J,Over_all[[#This Row],[Item Description]],'Goods Receipt'!$M:$M)</f>
        <v>18</v>
      </c>
      <c r="G102" s="200">
        <f>IF(Over_all[[#This Row],[BOQ]]-Over_all[[#This Row],[Received]]&gt;=0,Over_all[[#This Row],[BOQ]]-Over_all[[#This Row],[Received]],"")</f>
        <v>0</v>
      </c>
      <c r="H102" s="201" t="str">
        <f>IF(Over_all[[#This Row],[BOQ]]-Over_all[[#This Row],[Received]]&lt;0,Over_all[[#This Row],[BOQ]]-Over_all[[#This Row],[Received]],"")</f>
        <v/>
      </c>
      <c r="I102" s="221"/>
      <c r="J102" s="200">
        <f>Over_all[[#This Row],[Received]]</f>
        <v>18</v>
      </c>
      <c r="K102" s="200">
        <f>SUMIF(ISSUE!$F:$F,Over_all[[#This Row],[Item Description]],ISSUE!$I:$I)</f>
        <v>6</v>
      </c>
      <c r="L102" s="200">
        <f>Over_all[[#This Row],[Received.]]-Over_all[[#This Row],[Issued]]</f>
        <v>12</v>
      </c>
      <c r="M102" s="212"/>
      <c r="N102" s="222"/>
    </row>
    <row r="103" spans="1:14" ht="16" customHeight="1" outlineLevel="1" x14ac:dyDescent="0.35">
      <c r="A103" s="204">
        <f>BOQ[[#This Row],[S.No]]</f>
        <v>5</v>
      </c>
      <c r="B103" s="198" t="str">
        <f>BOQ[[#This Row],[Item Description]]</f>
        <v xml:space="preserve">J bolt (dia 18x500mm) for fixing mast base plate hole </v>
      </c>
      <c r="C103" s="199">
        <f>BOQ[[#This Row],[Make / Vendor]]</f>
        <v>0</v>
      </c>
      <c r="D103" s="199" t="str">
        <f>BOQ[[#This Row],[Unit]]</f>
        <v>Nos</v>
      </c>
      <c r="E103" s="199">
        <f>BOQ[[#This Row],[BOQ]]</f>
        <v>24</v>
      </c>
      <c r="F103" s="200">
        <f>SUMIF('Goods Receipt'!$J:$J,Over_all[[#This Row],[Item Description]],'Goods Receipt'!$M:$M)</f>
        <v>24</v>
      </c>
      <c r="G103" s="200">
        <f>IF(Over_all[[#This Row],[BOQ]]-Over_all[[#This Row],[Received]]&gt;=0,Over_all[[#This Row],[BOQ]]-Over_all[[#This Row],[Received]],"")</f>
        <v>0</v>
      </c>
      <c r="H103" s="201" t="str">
        <f>IF(Over_all[[#This Row],[BOQ]]-Over_all[[#This Row],[Received]]&lt;0,Over_all[[#This Row],[BOQ]]-Over_all[[#This Row],[Received]],"")</f>
        <v/>
      </c>
      <c r="I103" s="221"/>
      <c r="J103" s="200">
        <f>Over_all[[#This Row],[Received]]</f>
        <v>24</v>
      </c>
      <c r="K103" s="200">
        <f>SUMIF(ISSUE!$F:$F,Over_all[[#This Row],[Item Description]],ISSUE!$I:$I)</f>
        <v>8</v>
      </c>
      <c r="L103" s="200">
        <f>Over_all[[#This Row],[Received.]]-Over_all[[#This Row],[Issued]]</f>
        <v>16</v>
      </c>
      <c r="M103" s="212"/>
      <c r="N103" s="222"/>
    </row>
    <row r="104" spans="1:14" ht="16" customHeight="1" outlineLevel="1" x14ac:dyDescent="0.35">
      <c r="A104" s="197">
        <f>BOQ[[#This Row],[S.No]]</f>
        <v>6</v>
      </c>
      <c r="B104" s="205" t="str">
        <f>BOQ[[#This Row],[Item Description]]</f>
        <v>Down Conductor insulator BC 525 with nut bolt</v>
      </c>
      <c r="C104" s="199">
        <f>BOQ[[#This Row],[Make / Vendor]]</f>
        <v>0</v>
      </c>
      <c r="D104" s="199" t="str">
        <f>BOQ[[#This Row],[Unit]]</f>
        <v>Nos</v>
      </c>
      <c r="E104" s="199">
        <f>BOQ[[#This Row],[BOQ]]</f>
        <v>42</v>
      </c>
      <c r="F104" s="200">
        <f>SUMIF('Goods Receipt'!$J:$J,Over_all[[#This Row],[Item Description]],'Goods Receipt'!$M:$M)</f>
        <v>42</v>
      </c>
      <c r="G104" s="200">
        <f>IF(Over_all[[#This Row],[BOQ]]-Over_all[[#This Row],[Received]]&gt;=0,Over_all[[#This Row],[BOQ]]-Over_all[[#This Row],[Received]],"")</f>
        <v>0</v>
      </c>
      <c r="H104" s="201" t="str">
        <f>IF(Over_all[[#This Row],[BOQ]]-Over_all[[#This Row],[Received]]&lt;0,Over_all[[#This Row],[BOQ]]-Over_all[[#This Row],[Received]],"")</f>
        <v/>
      </c>
      <c r="I104" s="221"/>
      <c r="J104" s="200">
        <f>Over_all[[#This Row],[Received]]</f>
        <v>42</v>
      </c>
      <c r="K104" s="200">
        <f>SUMIF(ISSUE!$F:$F,Over_all[[#This Row],[Item Description]],ISSUE!$I:$I)</f>
        <v>0</v>
      </c>
      <c r="L104" s="200">
        <f>Over_all[[#This Row],[Received.]]-Over_all[[#This Row],[Issued]]</f>
        <v>42</v>
      </c>
      <c r="M104" s="212"/>
      <c r="N104" s="222"/>
    </row>
    <row r="105" spans="1:14" ht="16" customHeight="1" outlineLevel="1" x14ac:dyDescent="0.35">
      <c r="A105" s="204">
        <f>BOQ[[#This Row],[S.No]]</f>
        <v>7</v>
      </c>
      <c r="B105" s="198" t="str">
        <f>BOQ[[#This Row],[Item Description]]</f>
        <v>OTC 25x3</v>
      </c>
      <c r="C105" s="199">
        <f>BOQ[[#This Row],[Make / Vendor]]</f>
        <v>0</v>
      </c>
      <c r="D105" s="199" t="str">
        <f>BOQ[[#This Row],[Unit]]</f>
        <v>Nos</v>
      </c>
      <c r="E105" s="199">
        <f>BOQ[[#This Row],[BOQ]]</f>
        <v>6</v>
      </c>
      <c r="F105" s="200">
        <f>SUMIF('Goods Receipt'!$J:$J,Over_all[[#This Row],[Item Description]],'Goods Receipt'!$M:$M)</f>
        <v>6</v>
      </c>
      <c r="G105" s="200">
        <f>IF(Over_all[[#This Row],[BOQ]]-Over_all[[#This Row],[Received]]&gt;=0,Over_all[[#This Row],[BOQ]]-Over_all[[#This Row],[Received]],"")</f>
        <v>0</v>
      </c>
      <c r="H105" s="201" t="str">
        <f>IF(Over_all[[#This Row],[BOQ]]-Over_all[[#This Row],[Received]]&lt;0,Over_all[[#This Row],[BOQ]]-Over_all[[#This Row],[Received]],"")</f>
        <v/>
      </c>
      <c r="I105" s="221"/>
      <c r="J105" s="200">
        <f>Over_all[[#This Row],[Received]]</f>
        <v>6</v>
      </c>
      <c r="K105" s="200">
        <f>SUMIF(ISSUE!$F:$F,Over_all[[#This Row],[Item Description]],ISSUE!$I:$I)</f>
        <v>0</v>
      </c>
      <c r="L105" s="200">
        <f>Over_all[[#This Row],[Received.]]-Over_all[[#This Row],[Issued]]</f>
        <v>6</v>
      </c>
      <c r="M105" s="212"/>
      <c r="N105" s="222"/>
    </row>
    <row r="106" spans="1:14" ht="16" customHeight="1" outlineLevel="1" x14ac:dyDescent="0.35">
      <c r="A106" s="197">
        <f>BOQ[[#This Row],[S.No]]</f>
        <v>8</v>
      </c>
      <c r="B106" s="205" t="str">
        <f>BOQ[[#This Row],[Item Description]]</f>
        <v>L shape</v>
      </c>
      <c r="C106" s="199">
        <f>BOQ[[#This Row],[Make / Vendor]]</f>
        <v>0</v>
      </c>
      <c r="D106" s="199" t="str">
        <f>BOQ[[#This Row],[Unit]]</f>
        <v>Nos</v>
      </c>
      <c r="E106" s="199">
        <f>BOQ[[#This Row],[BOQ]]</f>
        <v>6</v>
      </c>
      <c r="F106" s="200">
        <f>SUMIF('Goods Receipt'!$J:$J,Over_all[[#This Row],[Item Description]],'Goods Receipt'!$M:$M)</f>
        <v>6</v>
      </c>
      <c r="G106" s="200">
        <f>IF(Over_all[[#This Row],[BOQ]]-Over_all[[#This Row],[Received]]&gt;=0,Over_all[[#This Row],[BOQ]]-Over_all[[#This Row],[Received]],"")</f>
        <v>0</v>
      </c>
      <c r="H106" s="201" t="str">
        <f>IF(Over_all[[#This Row],[BOQ]]-Over_all[[#This Row],[Received]]&lt;0,Over_all[[#This Row],[BOQ]]-Over_all[[#This Row],[Received]],"")</f>
        <v/>
      </c>
      <c r="I106" s="221"/>
      <c r="J106" s="200">
        <f>Over_all[[#This Row],[Received]]</f>
        <v>6</v>
      </c>
      <c r="K106" s="200">
        <f>SUMIF(ISSUE!$F:$F,Over_all[[#This Row],[Item Description]],ISSUE!$I:$I)</f>
        <v>0</v>
      </c>
      <c r="L106" s="200">
        <f>Over_all[[#This Row],[Received.]]-Over_all[[#This Row],[Issued]]</f>
        <v>6</v>
      </c>
      <c r="M106" s="212"/>
      <c r="N106" s="222"/>
    </row>
    <row r="107" spans="1:14" ht="16" customHeight="1" outlineLevel="1" x14ac:dyDescent="0.35">
      <c r="A107" s="204">
        <f>BOQ[[#This Row],[S.No]]</f>
        <v>9</v>
      </c>
      <c r="B107" s="198" t="str">
        <f>BOQ[[#This Row],[Item Description]]</f>
        <v>Lightning flash counter</v>
      </c>
      <c r="C107" s="199">
        <f>BOQ[[#This Row],[Make / Vendor]]</f>
        <v>0</v>
      </c>
      <c r="D107" s="199" t="str">
        <f>BOQ[[#This Row],[Unit]]</f>
        <v>Nos</v>
      </c>
      <c r="E107" s="199">
        <f>BOQ[[#This Row],[BOQ]]</f>
        <v>6</v>
      </c>
      <c r="F107" s="200">
        <f>SUMIF('Goods Receipt'!$J:$J,Over_all[[#This Row],[Item Description]],'Goods Receipt'!$M:$M)</f>
        <v>6</v>
      </c>
      <c r="G107" s="200">
        <f>IF(Over_all[[#This Row],[BOQ]]-Over_all[[#This Row],[Received]]&gt;=0,Over_all[[#This Row],[BOQ]]-Over_all[[#This Row],[Received]],"")</f>
        <v>0</v>
      </c>
      <c r="H107" s="201" t="str">
        <f>IF(Over_all[[#This Row],[BOQ]]-Over_all[[#This Row],[Received]]&lt;0,Over_all[[#This Row],[BOQ]]-Over_all[[#This Row],[Received]],"")</f>
        <v/>
      </c>
      <c r="I107" s="221"/>
      <c r="J107" s="200">
        <f>Over_all[[#This Row],[Received]]</f>
        <v>6</v>
      </c>
      <c r="K107" s="200">
        <f>SUMIF(ISSUE!$F:$F,Over_all[[#This Row],[Item Description]],ISSUE!$I:$I)</f>
        <v>0</v>
      </c>
      <c r="L107" s="200">
        <f>Over_all[[#This Row],[Received.]]-Over_all[[#This Row],[Issued]]</f>
        <v>6</v>
      </c>
      <c r="M107" s="212"/>
      <c r="N107" s="222"/>
    </row>
    <row r="108" spans="1:14" outlineLevel="1" x14ac:dyDescent="0.35">
      <c r="A108" s="197">
        <f>BOQ[[#This Row],[S.No]]</f>
        <v>10</v>
      </c>
      <c r="B108" s="205" t="str">
        <f>BOQ[[#This Row],[Item Description]]</f>
        <v>GI supporting mast of 7 mtrs in 3 parts with base plate</v>
      </c>
      <c r="C108" s="199">
        <f>BOQ[[#This Row],[Make / Vendor]]</f>
        <v>0</v>
      </c>
      <c r="D108" s="199" t="str">
        <f>BOQ[[#This Row],[Unit]]</f>
        <v>Nos</v>
      </c>
      <c r="E108" s="199">
        <f>BOQ[[#This Row],[BOQ]]</f>
        <v>6</v>
      </c>
      <c r="F108" s="200">
        <f>SUMIF('Goods Receipt'!$J:$J,Over_all[[#This Row],[Item Description]],'Goods Receipt'!$M:$M)</f>
        <v>6</v>
      </c>
      <c r="G108" s="200">
        <f>IF(Over_all[[#This Row],[BOQ]]-Over_all[[#This Row],[Received]]&gt;=0,Over_all[[#This Row],[BOQ]]-Over_all[[#This Row],[Received]],"")</f>
        <v>0</v>
      </c>
      <c r="H108" s="201" t="str">
        <f>IF(Over_all[[#This Row],[BOQ]]-Over_all[[#This Row],[Received]]&lt;0,Over_all[[#This Row],[BOQ]]-Over_all[[#This Row],[Received]],"")</f>
        <v/>
      </c>
      <c r="I108" s="221"/>
      <c r="J108" s="200">
        <f>Over_all[[#This Row],[Received]]</f>
        <v>6</v>
      </c>
      <c r="K108" s="200">
        <f>SUMIF(ISSUE!$F:$F,Over_all[[#This Row],[Item Description]],ISSUE!$I:$I)</f>
        <v>2</v>
      </c>
      <c r="L108" s="200">
        <f>Over_all[[#This Row],[Received.]]-Over_all[[#This Row],[Issued]]</f>
        <v>4</v>
      </c>
      <c r="M108" s="212"/>
      <c r="N108" s="222"/>
    </row>
    <row r="109" spans="1:14" ht="23" outlineLevel="1" x14ac:dyDescent="0.35">
      <c r="A109" s="204">
        <f>BOQ[[#This Row],[S.No]]</f>
        <v>11</v>
      </c>
      <c r="B109" s="198" t="str">
        <f>BOQ[[#This Row],[Item Description]]</f>
        <v>17mm dia, 3mtr long copper bonded rod with clamp with nut and bolt,plain &amp; spring</v>
      </c>
      <c r="C109" s="199">
        <f>BOQ[[#This Row],[Make / Vendor]]</f>
        <v>0</v>
      </c>
      <c r="D109" s="199" t="str">
        <f>BOQ[[#This Row],[Unit]]</f>
        <v>Nos</v>
      </c>
      <c r="E109" s="199">
        <f>BOQ[[#This Row],[BOQ]]</f>
        <v>92</v>
      </c>
      <c r="F109" s="200">
        <f>SUMIF('Goods Receipt'!$J:$J,Over_all[[#This Row],[Item Description]],'Goods Receipt'!$M:$M)</f>
        <v>92</v>
      </c>
      <c r="G109" s="200">
        <f>IF(Over_all[[#This Row],[BOQ]]-Over_all[[#This Row],[Received]]&gt;=0,Over_all[[#This Row],[BOQ]]-Over_all[[#This Row],[Received]],"")</f>
        <v>0</v>
      </c>
      <c r="H109" s="201" t="str">
        <f>IF(Over_all[[#This Row],[BOQ]]-Over_all[[#This Row],[Received]]&lt;0,Over_all[[#This Row],[BOQ]]-Over_all[[#This Row],[Received]],"")</f>
        <v/>
      </c>
      <c r="I109" s="221"/>
      <c r="J109" s="200">
        <f>Over_all[[#This Row],[Received]]</f>
        <v>92</v>
      </c>
      <c r="K109" s="200">
        <f>SUMIF(ISSUE!$F:$F,Over_all[[#This Row],[Item Description]],ISSUE!$I:$I)</f>
        <v>37</v>
      </c>
      <c r="L109" s="200">
        <f>Over_all[[#This Row],[Received.]]-Over_all[[#This Row],[Issued]]</f>
        <v>55</v>
      </c>
      <c r="M109" s="212"/>
      <c r="N109" s="222"/>
    </row>
    <row r="110" spans="1:14" ht="16" customHeight="1" outlineLevel="1" x14ac:dyDescent="0.35">
      <c r="A110" s="206">
        <f>BOQ[[#This Row],[S.No]]</f>
        <v>12</v>
      </c>
      <c r="B110" s="205" t="str">
        <f>BOQ[[#This Row],[Item Description]]</f>
        <v>Earthcon</v>
      </c>
      <c r="C110" s="199">
        <f>BOQ[[#This Row],[Make / Vendor]]</f>
        <v>0</v>
      </c>
      <c r="D110" s="199" t="str">
        <f>BOQ[[#This Row],[Unit]]</f>
        <v>Nos</v>
      </c>
      <c r="E110" s="199">
        <f>BOQ[[#This Row],[BOQ]]</f>
        <v>184</v>
      </c>
      <c r="F110" s="200">
        <f>SUMIF('Goods Receipt'!$J:$J,Over_all[[#This Row],[Item Description]],'Goods Receipt'!$M:$M)</f>
        <v>184</v>
      </c>
      <c r="G110" s="200">
        <f>IF(Over_all[[#This Row],[BOQ]]-Over_all[[#This Row],[Received]]&gt;=0,Over_all[[#This Row],[BOQ]]-Over_all[[#This Row],[Received]],"")</f>
        <v>0</v>
      </c>
      <c r="H110" s="201" t="str">
        <f>IF(Over_all[[#This Row],[BOQ]]-Over_all[[#This Row],[Received]]&lt;0,Over_all[[#This Row],[BOQ]]-Over_all[[#This Row],[Received]],"")</f>
        <v/>
      </c>
      <c r="I110" s="221"/>
      <c r="J110" s="200">
        <f>Over_all[[#This Row],[Received]]</f>
        <v>184</v>
      </c>
      <c r="K110" s="200">
        <f>SUMIF(ISSUE!$F:$F,Over_all[[#This Row],[Item Description]],ISSUE!$I:$I)</f>
        <v>184</v>
      </c>
      <c r="L110" s="200">
        <f>Over_all[[#This Row],[Received.]]-Over_all[[#This Row],[Issued]]</f>
        <v>0</v>
      </c>
      <c r="M110" s="212"/>
      <c r="N110" s="222"/>
    </row>
    <row r="111" spans="1:14" ht="16" customHeight="1" outlineLevel="1" x14ac:dyDescent="0.35">
      <c r="A111" s="206">
        <f>BOQ[[#This Row],[S.No]]</f>
        <v>0</v>
      </c>
      <c r="B111" s="198">
        <f>BOQ[[#This Row],[Item Description]]</f>
        <v>0</v>
      </c>
      <c r="C111" s="199">
        <f>BOQ[[#This Row],[Make / Vendor]]</f>
        <v>0</v>
      </c>
      <c r="D111" s="199">
        <f>BOQ[[#This Row],[Unit]]</f>
        <v>0</v>
      </c>
      <c r="E111" s="199">
        <f>BOQ[[#This Row],[BOQ]]</f>
        <v>0</v>
      </c>
      <c r="F111" s="200">
        <f>SUMIF('Goods Receipt'!$J:$J,Over_all[[#This Row],[Item Description]],'Goods Receipt'!$M:$M)</f>
        <v>0</v>
      </c>
      <c r="G111" s="200">
        <f>IF(Over_all[[#This Row],[BOQ]]-Over_all[[#This Row],[Received]]&gt;=0,Over_all[[#This Row],[BOQ]]-Over_all[[#This Row],[Received]],"")</f>
        <v>0</v>
      </c>
      <c r="H111" s="201" t="str">
        <f>IF(Over_all[[#This Row],[BOQ]]-Over_all[[#This Row],[Received]]&lt;0,Over_all[[#This Row],[BOQ]]-Over_all[[#This Row],[Received]],"")</f>
        <v/>
      </c>
      <c r="I111" s="221"/>
      <c r="J111" s="200">
        <f>Over_all[[#This Row],[Received]]</f>
        <v>0</v>
      </c>
      <c r="K111" s="200">
        <f>SUMIF(ISSUE!$F:$F,Over_all[[#This Row],[Item Description]],ISSUE!$I:$I)</f>
        <v>0</v>
      </c>
      <c r="L111" s="200">
        <f>Over_all[[#This Row],[Received.]]-Over_all[[#This Row],[Issued]]</f>
        <v>0</v>
      </c>
      <c r="M111" s="212"/>
      <c r="N111" s="222"/>
    </row>
    <row r="112" spans="1:14" ht="16" customHeight="1" outlineLevel="1" x14ac:dyDescent="0.35">
      <c r="A112" s="202" t="str">
        <f>BOQ[[#This Row],[S.No]]</f>
        <v>F</v>
      </c>
      <c r="B112" s="203" t="str">
        <f>BOQ[[#This Row],[Item Description]]</f>
        <v>Street Light</v>
      </c>
      <c r="C112" s="199">
        <f>BOQ[[#This Row],[Make / Vendor]]</f>
        <v>0</v>
      </c>
      <c r="D112" s="199">
        <f>BOQ[[#This Row],[Unit]]</f>
        <v>0</v>
      </c>
      <c r="E112" s="199">
        <f>BOQ[[#This Row],[BOQ]]</f>
        <v>0</v>
      </c>
      <c r="F112" s="200">
        <f>SUMIF('Goods Receipt'!$J:$J,Over_all[[#This Row],[Item Description]],'Goods Receipt'!$M:$M)</f>
        <v>0</v>
      </c>
      <c r="G112" s="200">
        <f>IF(Over_all[[#This Row],[BOQ]]-Over_all[[#This Row],[Received]]&gt;=0,Over_all[[#This Row],[BOQ]]-Over_all[[#This Row],[Received]],"")</f>
        <v>0</v>
      </c>
      <c r="H112" s="201" t="str">
        <f>IF(Over_all[[#This Row],[BOQ]]-Over_all[[#This Row],[Received]]&lt;0,Over_all[[#This Row],[BOQ]]-Over_all[[#This Row],[Received]],"")</f>
        <v/>
      </c>
      <c r="I112" s="221"/>
      <c r="J112" s="200">
        <f>Over_all[[#This Row],[Received]]</f>
        <v>0</v>
      </c>
      <c r="K112" s="200">
        <f>SUMIF(ISSUE!$F:$F,Over_all[[#This Row],[Item Description]],ISSUE!$I:$I)</f>
        <v>0</v>
      </c>
      <c r="L112" s="200">
        <f>Over_all[[#This Row],[Received.]]-Over_all[[#This Row],[Issued]]</f>
        <v>0</v>
      </c>
      <c r="M112" s="212"/>
      <c r="N112" s="222"/>
    </row>
    <row r="113" spans="1:14" ht="16" customHeight="1" outlineLevel="1" x14ac:dyDescent="0.35">
      <c r="A113" s="197">
        <f>BOQ[[#This Row],[S.No]]</f>
        <v>1</v>
      </c>
      <c r="B113" s="205" t="str">
        <f>BOQ[[#This Row],[Item Description]]</f>
        <v>NES-SL-30</v>
      </c>
      <c r="C113" s="199">
        <f>BOQ[[#This Row],[Make / Vendor]]</f>
        <v>0</v>
      </c>
      <c r="D113" s="199" t="str">
        <f>BOQ[[#This Row],[Unit]]</f>
        <v>Nos</v>
      </c>
      <c r="E113" s="199">
        <f>BOQ[[#This Row],[BOQ]]</f>
        <v>0</v>
      </c>
      <c r="F113" s="200">
        <f>SUMIF('Goods Receipt'!$J:$J,Over_all[[#This Row],[Item Description]],'Goods Receipt'!$M:$M)</f>
        <v>105</v>
      </c>
      <c r="G113" s="200" t="str">
        <f>IF(Over_all[[#This Row],[BOQ]]-Over_all[[#This Row],[Received]]&gt;=0,Over_all[[#This Row],[BOQ]]-Over_all[[#This Row],[Received]],"")</f>
        <v/>
      </c>
      <c r="H113" s="201">
        <f>IF(Over_all[[#This Row],[BOQ]]-Over_all[[#This Row],[Received]]&lt;0,Over_all[[#This Row],[BOQ]]-Over_all[[#This Row],[Received]],"")</f>
        <v>-105</v>
      </c>
      <c r="I113" s="221"/>
      <c r="J113" s="200">
        <f>Over_all[[#This Row],[Received]]</f>
        <v>105</v>
      </c>
      <c r="K113" s="200">
        <f>SUMIF(ISSUE!$F:$F,Over_all[[#This Row],[Item Description]],ISSUE!$I:$I)</f>
        <v>0</v>
      </c>
      <c r="L113" s="200">
        <f>Over_all[[#This Row],[Received.]]-Over_all[[#This Row],[Issued]]</f>
        <v>105</v>
      </c>
      <c r="M113" s="212"/>
      <c r="N113" s="222"/>
    </row>
    <row r="114" spans="1:14" ht="16" customHeight="1" outlineLevel="1" x14ac:dyDescent="0.35">
      <c r="A114" s="204">
        <f>BOQ[[#This Row],[S.No]]</f>
        <v>2</v>
      </c>
      <c r="B114" s="198" t="str">
        <f>BOQ[[#This Row],[Item Description]]</f>
        <v>6.5 Mtr HDGI Street Light Pole</v>
      </c>
      <c r="C114" s="199">
        <f>BOQ[[#This Row],[Make / Vendor]]</f>
        <v>0</v>
      </c>
      <c r="D114" s="199" t="str">
        <f>BOQ[[#This Row],[Unit]]</f>
        <v>Nos</v>
      </c>
      <c r="E114" s="199">
        <f>BOQ[[#This Row],[BOQ]]</f>
        <v>0</v>
      </c>
      <c r="F114" s="200">
        <f>SUMIF('Goods Receipt'!$J:$J,Over_all[[#This Row],[Item Description]],'Goods Receipt'!$M:$M)</f>
        <v>105</v>
      </c>
      <c r="G114" s="200" t="str">
        <f>IF(Over_all[[#This Row],[BOQ]]-Over_all[[#This Row],[Received]]&gt;=0,Over_all[[#This Row],[BOQ]]-Over_all[[#This Row],[Received]],"")</f>
        <v/>
      </c>
      <c r="H114" s="201">
        <f>IF(Over_all[[#This Row],[BOQ]]-Over_all[[#This Row],[Received]]&lt;0,Over_all[[#This Row],[BOQ]]-Over_all[[#This Row],[Received]],"")</f>
        <v>-105</v>
      </c>
      <c r="I114" s="221"/>
      <c r="J114" s="200">
        <f>Over_all[[#This Row],[Received]]</f>
        <v>105</v>
      </c>
      <c r="K114" s="200">
        <f>SUMIF(ISSUE!$F:$F,Over_all[[#This Row],[Item Description]],ISSUE!$I:$I)</f>
        <v>0</v>
      </c>
      <c r="L114" s="200">
        <f>Over_all[[#This Row],[Received.]]-Over_all[[#This Row],[Issued]]</f>
        <v>105</v>
      </c>
      <c r="M114" s="212"/>
      <c r="N114" s="222"/>
    </row>
    <row r="115" spans="1:14" ht="16" customHeight="1" outlineLevel="1" x14ac:dyDescent="0.35">
      <c r="A115" s="197">
        <f>BOQ[[#This Row],[S.No]]</f>
        <v>3</v>
      </c>
      <c r="B115" s="205" t="str">
        <f>BOQ[[#This Row],[Item Description]]</f>
        <v>NES-SL-70</v>
      </c>
      <c r="C115" s="199">
        <f>BOQ[[#This Row],[Make / Vendor]]</f>
        <v>0</v>
      </c>
      <c r="D115" s="199" t="str">
        <f>BOQ[[#This Row],[Unit]]</f>
        <v>Nos</v>
      </c>
      <c r="E115" s="199">
        <f>BOQ[[#This Row],[BOQ]]</f>
        <v>0</v>
      </c>
      <c r="F115" s="200">
        <f>SUMIF('Goods Receipt'!$J:$J,Over_all[[#This Row],[Item Description]],'Goods Receipt'!$M:$M)</f>
        <v>15</v>
      </c>
      <c r="G115" s="200" t="str">
        <f>IF(Over_all[[#This Row],[BOQ]]-Over_all[[#This Row],[Received]]&gt;=0,Over_all[[#This Row],[BOQ]]-Over_all[[#This Row],[Received]],"")</f>
        <v/>
      </c>
      <c r="H115" s="201">
        <f>IF(Over_all[[#This Row],[BOQ]]-Over_all[[#This Row],[Received]]&lt;0,Over_all[[#This Row],[BOQ]]-Over_all[[#This Row],[Received]],"")</f>
        <v>-15</v>
      </c>
      <c r="I115" s="221"/>
      <c r="J115" s="200">
        <f>Over_all[[#This Row],[Received]]</f>
        <v>15</v>
      </c>
      <c r="K115" s="200">
        <f>SUMIF(ISSUE!$F:$F,Over_all[[#This Row],[Item Description]],ISSUE!$I:$I)</f>
        <v>0</v>
      </c>
      <c r="L115" s="200">
        <f>Over_all[[#This Row],[Received.]]-Over_all[[#This Row],[Issued]]</f>
        <v>15</v>
      </c>
      <c r="M115" s="212"/>
      <c r="N115" s="222"/>
    </row>
    <row r="116" spans="1:14" ht="16" customHeight="1" outlineLevel="1" x14ac:dyDescent="0.35">
      <c r="A116" s="204">
        <f>BOQ[[#This Row],[S.No]]</f>
        <v>4</v>
      </c>
      <c r="B116" s="198" t="str">
        <f>BOQ[[#This Row],[Item Description]]</f>
        <v>ARM Bracket</v>
      </c>
      <c r="C116" s="199">
        <f>BOQ[[#This Row],[Make / Vendor]]</f>
        <v>0</v>
      </c>
      <c r="D116" s="199" t="str">
        <f>BOQ[[#This Row],[Unit]]</f>
        <v>Nos</v>
      </c>
      <c r="E116" s="199">
        <f>BOQ[[#This Row],[BOQ]]</f>
        <v>0</v>
      </c>
      <c r="F116" s="200">
        <f>SUMIF('Goods Receipt'!$J:$J,Over_all[[#This Row],[Item Description]],'Goods Receipt'!$M:$M)</f>
        <v>15</v>
      </c>
      <c r="G116" s="200" t="str">
        <f>IF(Over_all[[#This Row],[BOQ]]-Over_all[[#This Row],[Received]]&gt;=0,Over_all[[#This Row],[BOQ]]-Over_all[[#This Row],[Received]],"")</f>
        <v/>
      </c>
      <c r="H116" s="201">
        <f>IF(Over_all[[#This Row],[BOQ]]-Over_all[[#This Row],[Received]]&lt;0,Over_all[[#This Row],[BOQ]]-Over_all[[#This Row],[Received]],"")</f>
        <v>-15</v>
      </c>
      <c r="I116" s="221"/>
      <c r="J116" s="200">
        <f>Over_all[[#This Row],[Received]]</f>
        <v>15</v>
      </c>
      <c r="K116" s="200">
        <f>SUMIF(ISSUE!$F:$F,Over_all[[#This Row],[Item Description]],ISSUE!$I:$I)</f>
        <v>0</v>
      </c>
      <c r="L116" s="200">
        <f>Over_all[[#This Row],[Received.]]-Over_all[[#This Row],[Issued]]</f>
        <v>15</v>
      </c>
      <c r="M116" s="212"/>
      <c r="N116" s="222"/>
    </row>
    <row r="117" spans="1:14" ht="16" customHeight="1" outlineLevel="1" x14ac:dyDescent="0.35">
      <c r="A117" s="197">
        <f>BOQ[[#This Row],[S.No]]</f>
        <v>5</v>
      </c>
      <c r="B117" s="205" t="str">
        <f>BOQ[[#This Row],[Item Description]]</f>
        <v>Conduict</v>
      </c>
      <c r="C117" s="199">
        <f>BOQ[[#This Row],[Make / Vendor]]</f>
        <v>0</v>
      </c>
      <c r="D117" s="199" t="str">
        <f>BOQ[[#This Row],[Unit]]</f>
        <v>Nos</v>
      </c>
      <c r="E117" s="199">
        <f>BOQ[[#This Row],[BOQ]]</f>
        <v>0</v>
      </c>
      <c r="F117" s="200">
        <f>SUMIF('Goods Receipt'!$J:$J,Over_all[[#This Row],[Item Description]],'Goods Receipt'!$M:$M)</f>
        <v>105</v>
      </c>
      <c r="G117" s="200" t="str">
        <f>IF(Over_all[[#This Row],[BOQ]]-Over_all[[#This Row],[Received]]&gt;=0,Over_all[[#This Row],[BOQ]]-Over_all[[#This Row],[Received]],"")</f>
        <v/>
      </c>
      <c r="H117" s="201">
        <f>IF(Over_all[[#This Row],[BOQ]]-Over_all[[#This Row],[Received]]&lt;0,Over_all[[#This Row],[BOQ]]-Over_all[[#This Row],[Received]],"")</f>
        <v>-105</v>
      </c>
      <c r="I117" s="221"/>
      <c r="J117" s="200">
        <f>Over_all[[#This Row],[Received]]</f>
        <v>105</v>
      </c>
      <c r="K117" s="200">
        <f>SUMIF(ISSUE!$F:$F,Over_all[[#This Row],[Item Description]],ISSUE!$I:$I)</f>
        <v>0</v>
      </c>
      <c r="L117" s="200">
        <f>Over_all[[#This Row],[Received.]]-Over_all[[#This Row],[Issued]]</f>
        <v>105</v>
      </c>
      <c r="M117" s="212"/>
      <c r="N117" s="222"/>
    </row>
    <row r="118" spans="1:14" ht="16" customHeight="1" outlineLevel="1" x14ac:dyDescent="0.35">
      <c r="A118" s="197">
        <f>BOQ[[#This Row],[S.No]]</f>
        <v>6</v>
      </c>
      <c r="B118" s="205" t="str">
        <f>BOQ[[#This Row],[Item Description]]</f>
        <v>Rod</v>
      </c>
      <c r="C118" s="199">
        <f>BOQ[[#This Row],[Make / Vendor]]</f>
        <v>0</v>
      </c>
      <c r="D118" s="199" t="str">
        <f>BOQ[[#This Row],[Unit]]</f>
        <v>Nos</v>
      </c>
      <c r="E118" s="199">
        <f>BOQ[[#This Row],[BOQ]]</f>
        <v>0</v>
      </c>
      <c r="F118" s="200">
        <f>SUMIF('Goods Receipt'!$J:$J,Over_all[[#This Row],[Item Description]],'Goods Receipt'!$M:$M)</f>
        <v>210</v>
      </c>
      <c r="G118" s="200" t="str">
        <f>IF(Over_all[[#This Row],[BOQ]]-Over_all[[#This Row],[Received]]&gt;=0,Over_all[[#This Row],[BOQ]]-Over_all[[#This Row],[Received]],"")</f>
        <v/>
      </c>
      <c r="H118" s="201">
        <f>IF(Over_all[[#This Row],[BOQ]]-Over_all[[#This Row],[Received]]&lt;0,Over_all[[#This Row],[BOQ]]-Over_all[[#This Row],[Received]],"")</f>
        <v>-210</v>
      </c>
      <c r="I118" s="221"/>
      <c r="J118" s="200">
        <f>Over_all[[#This Row],[Received]]</f>
        <v>210</v>
      </c>
      <c r="K118" s="200">
        <f>SUMIF(ISSUE!$F:$F,Over_all[[#This Row],[Item Description]],ISSUE!$I:$I)</f>
        <v>0</v>
      </c>
      <c r="L118" s="200">
        <f>Over_all[[#This Row],[Received.]]-Over_all[[#This Row],[Issued]]</f>
        <v>210</v>
      </c>
      <c r="M118" s="212"/>
      <c r="N118" s="222"/>
    </row>
    <row r="119" spans="1:14" ht="16" customHeight="1" outlineLevel="1" x14ac:dyDescent="0.35">
      <c r="A119" s="197">
        <f>BOQ[[#This Row],[S.No]]</f>
        <v>7</v>
      </c>
      <c r="B119" s="205" t="str">
        <f>BOQ[[#This Row],[Item Description]]</f>
        <v>Junction Box</v>
      </c>
      <c r="C119" s="199">
        <f>BOQ[[#This Row],[Make / Vendor]]</f>
        <v>0</v>
      </c>
      <c r="D119" s="199" t="str">
        <f>BOQ[[#This Row],[Unit]]</f>
        <v>Nos</v>
      </c>
      <c r="E119" s="199">
        <f>BOQ[[#This Row],[BOQ]]</f>
        <v>0</v>
      </c>
      <c r="F119" s="200">
        <f>SUMIF('Goods Receipt'!$J:$J,Over_all[[#This Row],[Item Description]],'Goods Receipt'!$M:$M)</f>
        <v>120</v>
      </c>
      <c r="G119" s="200" t="str">
        <f>IF(Over_all[[#This Row],[BOQ]]-Over_all[[#This Row],[Received]]&gt;=0,Over_all[[#This Row],[BOQ]]-Over_all[[#This Row],[Received]],"")</f>
        <v/>
      </c>
      <c r="H119" s="201">
        <f>IF(Over_all[[#This Row],[BOQ]]-Over_all[[#This Row],[Received]]&lt;0,Over_all[[#This Row],[BOQ]]-Over_all[[#This Row],[Received]],"")</f>
        <v>-120</v>
      </c>
      <c r="I119" s="221"/>
      <c r="J119" s="200">
        <f>Over_all[[#This Row],[Received]]</f>
        <v>120</v>
      </c>
      <c r="K119" s="200">
        <f>SUMIF(ISSUE!$F:$F,Over_all[[#This Row],[Item Description]],ISSUE!$I:$I)</f>
        <v>0</v>
      </c>
      <c r="L119" s="200">
        <f>Over_all[[#This Row],[Received.]]-Over_all[[#This Row],[Issued]]</f>
        <v>120</v>
      </c>
      <c r="M119" s="212"/>
      <c r="N119" s="222"/>
    </row>
    <row r="120" spans="1:14" ht="16" customHeight="1" outlineLevel="1" x14ac:dyDescent="0.35">
      <c r="A120" s="197">
        <f>BOQ[[#This Row],[S.No]]</f>
        <v>8</v>
      </c>
      <c r="B120" s="205" t="str">
        <f>BOQ[[#This Row],[Item Description]]</f>
        <v xml:space="preserve">3C X 1.5 Sq mm Copper Flexible Cable </v>
      </c>
      <c r="C120" s="199">
        <f>BOQ[[#This Row],[Make / Vendor]]</f>
        <v>0</v>
      </c>
      <c r="D120" s="199" t="str">
        <f>BOQ[[#This Row],[Unit]]</f>
        <v>Mtr</v>
      </c>
      <c r="E120" s="199">
        <f>BOQ[[#This Row],[BOQ]]</f>
        <v>0</v>
      </c>
      <c r="F120" s="200">
        <f>SUMIF('Goods Receipt'!$J:$J,Over_all[[#This Row],[Item Description]],'Goods Receipt'!$M:$M)</f>
        <v>500</v>
      </c>
      <c r="G120" s="200" t="str">
        <f>IF(Over_all[[#This Row],[BOQ]]-Over_all[[#This Row],[Received]]&gt;=0,Over_all[[#This Row],[BOQ]]-Over_all[[#This Row],[Received]],"")</f>
        <v/>
      </c>
      <c r="H120" s="201">
        <f>IF(Over_all[[#This Row],[BOQ]]-Over_all[[#This Row],[Received]]&lt;0,Over_all[[#This Row],[BOQ]]-Over_all[[#This Row],[Received]],"")</f>
        <v>-500</v>
      </c>
      <c r="I120" s="221"/>
      <c r="J120" s="200">
        <f>Over_all[[#This Row],[Received]]</f>
        <v>500</v>
      </c>
      <c r="K120" s="200">
        <f>SUMIF(ISSUE!$F:$F,Over_all[[#This Row],[Item Description]],ISSUE!$I:$I)</f>
        <v>0</v>
      </c>
      <c r="L120" s="200">
        <f>Over_all[[#This Row],[Received.]]-Over_all[[#This Row],[Issued]]</f>
        <v>500</v>
      </c>
      <c r="M120" s="212"/>
      <c r="N120" s="222"/>
    </row>
    <row r="121" spans="1:14" ht="16" customHeight="1" outlineLevel="1" x14ac:dyDescent="0.35">
      <c r="A121" s="197">
        <f>BOQ[[#This Row],[S.No]]</f>
        <v>9</v>
      </c>
      <c r="B121" s="205" t="str">
        <f>BOQ[[#This Row],[Item Description]]</f>
        <v>LED Arm</v>
      </c>
      <c r="C121" s="199">
        <f>BOQ[[#This Row],[Make / Vendor]]</f>
        <v>0</v>
      </c>
      <c r="D121" s="199" t="str">
        <f>BOQ[[#This Row],[Unit]]</f>
        <v>Nos</v>
      </c>
      <c r="E121" s="199">
        <f>BOQ[[#This Row],[BOQ]]</f>
        <v>0</v>
      </c>
      <c r="F121" s="200">
        <f>SUMIF('Goods Receipt'!$J:$J,Over_all[[#This Row],[Item Description]],'Goods Receipt'!$M:$M)</f>
        <v>105</v>
      </c>
      <c r="G121" s="200" t="str">
        <f>IF(Over_all[[#This Row],[BOQ]]-Over_all[[#This Row],[Received]]&gt;=0,Over_all[[#This Row],[BOQ]]-Over_all[[#This Row],[Received]],"")</f>
        <v/>
      </c>
      <c r="H121" s="201">
        <f>IF(Over_all[[#This Row],[BOQ]]-Over_all[[#This Row],[Received]]&lt;0,Over_all[[#This Row],[BOQ]]-Over_all[[#This Row],[Received]],"")</f>
        <v>-105</v>
      </c>
      <c r="I121" s="221"/>
      <c r="J121" s="200">
        <f>Over_all[[#This Row],[Received]]</f>
        <v>105</v>
      </c>
      <c r="K121" s="200">
        <f>SUMIF(ISSUE!$F:$F,Over_all[[#This Row],[Item Description]],ISSUE!$I:$I)</f>
        <v>0</v>
      </c>
      <c r="L121" s="200">
        <f>Over_all[[#This Row],[Received.]]-Over_all[[#This Row],[Issued]]</f>
        <v>105</v>
      </c>
      <c r="M121" s="212"/>
      <c r="N121" s="222"/>
    </row>
    <row r="122" spans="1:14" ht="16" customHeight="1" outlineLevel="1" x14ac:dyDescent="0.35">
      <c r="A122" s="204">
        <f>BOQ[[#This Row],[S.No]]</f>
        <v>0</v>
      </c>
      <c r="B122" s="198">
        <f>BOQ[[#This Row],[Item Description]]</f>
        <v>0</v>
      </c>
      <c r="C122" s="199">
        <f>BOQ[[#This Row],[Make / Vendor]]</f>
        <v>0</v>
      </c>
      <c r="D122" s="199">
        <f>BOQ[[#This Row],[Unit]]</f>
        <v>0</v>
      </c>
      <c r="E122" s="199">
        <f>BOQ[[#This Row],[BOQ]]</f>
        <v>0</v>
      </c>
      <c r="F122" s="200">
        <f>SUMIF('Goods Receipt'!$J:$J,Over_all[[#This Row],[Item Description]],'Goods Receipt'!$M:$M)</f>
        <v>0</v>
      </c>
      <c r="G122" s="200">
        <f>IF(Over_all[[#This Row],[BOQ]]-Over_all[[#This Row],[Received]]&gt;=0,Over_all[[#This Row],[BOQ]]-Over_all[[#This Row],[Received]],"")</f>
        <v>0</v>
      </c>
      <c r="H122" s="201" t="str">
        <f>IF(Over_all[[#This Row],[BOQ]]-Over_all[[#This Row],[Received]]&lt;0,Over_all[[#This Row],[BOQ]]-Over_all[[#This Row],[Received]],"")</f>
        <v/>
      </c>
      <c r="I122" s="221"/>
      <c r="J122" s="200">
        <f>Over_all[[#This Row],[Received]]</f>
        <v>0</v>
      </c>
      <c r="K122" s="200">
        <f>SUMIF(ISSUE!$F:$F,Over_all[[#This Row],[Item Description]],ISSUE!$I:$I)</f>
        <v>0</v>
      </c>
      <c r="L122" s="200">
        <f>Over_all[[#This Row],[Received.]]-Over_all[[#This Row],[Issued]]</f>
        <v>0</v>
      </c>
      <c r="M122" s="212"/>
      <c r="N122" s="222"/>
    </row>
    <row r="123" spans="1:14" ht="16" customHeight="1" outlineLevel="1" x14ac:dyDescent="0.35">
      <c r="A123" s="202" t="str">
        <f>BOQ[[#This Row],[S.No]]</f>
        <v>G</v>
      </c>
      <c r="B123" s="203" t="str">
        <f>BOQ[[#This Row],[Item Description]]</f>
        <v>Earthing</v>
      </c>
      <c r="C123" s="199">
        <f>BOQ[[#This Row],[Make / Vendor]]</f>
        <v>0</v>
      </c>
      <c r="D123" s="199">
        <f>BOQ[[#This Row],[Unit]]</f>
        <v>0</v>
      </c>
      <c r="E123" s="199">
        <f>BOQ[[#This Row],[BOQ]]</f>
        <v>0</v>
      </c>
      <c r="F123" s="200">
        <f>SUMIF('Goods Receipt'!$J:$J,Over_all[[#This Row],[Item Description]],'Goods Receipt'!$M:$M)</f>
        <v>0</v>
      </c>
      <c r="G123" s="200">
        <f>IF(Over_all[[#This Row],[BOQ]]-Over_all[[#This Row],[Received]]&gt;=0,Over_all[[#This Row],[BOQ]]-Over_all[[#This Row],[Received]],"")</f>
        <v>0</v>
      </c>
      <c r="H123" s="201" t="str">
        <f>IF(Over_all[[#This Row],[BOQ]]-Over_all[[#This Row],[Received]]&lt;0,Over_all[[#This Row],[BOQ]]-Over_all[[#This Row],[Received]],"")</f>
        <v/>
      </c>
      <c r="I123" s="221"/>
      <c r="J123" s="200">
        <f>Over_all[[#This Row],[Received]]</f>
        <v>0</v>
      </c>
      <c r="K123" s="200">
        <f>SUMIF(ISSUE!$F:$F,Over_all[[#This Row],[Item Description]],ISSUE!$I:$I)</f>
        <v>0</v>
      </c>
      <c r="L123" s="200">
        <f>Over_all[[#This Row],[Received.]]-Over_all[[#This Row],[Issued]]</f>
        <v>0</v>
      </c>
      <c r="M123" s="212"/>
      <c r="N123" s="222"/>
    </row>
    <row r="124" spans="1:14" ht="16" customHeight="1" outlineLevel="1" x14ac:dyDescent="0.35">
      <c r="A124" s="204">
        <f>BOQ[[#This Row],[S.No]]</f>
        <v>1</v>
      </c>
      <c r="B124" s="198" t="str">
        <f>BOQ[[#This Row],[Item Description]]</f>
        <v xml:space="preserve">25x3 MM  GI Earth Strip </v>
      </c>
      <c r="C124" s="199">
        <f>BOQ[[#This Row],[Make / Vendor]]</f>
        <v>0</v>
      </c>
      <c r="D124" s="199" t="str">
        <f>BOQ[[#This Row],[Unit]]</f>
        <v>Mtr</v>
      </c>
      <c r="E124" s="199">
        <f>BOQ[[#This Row],[BOQ]]</f>
        <v>3500</v>
      </c>
      <c r="F124" s="200">
        <f>SUMIF('Goods Receipt'!$J:$J,Over_all[[#This Row],[Item Description]],'Goods Receipt'!$M:$M)</f>
        <v>4600</v>
      </c>
      <c r="G124" s="200" t="str">
        <f>IF(Over_all[[#This Row],[BOQ]]-Over_all[[#This Row],[Received]]&gt;=0,Over_all[[#This Row],[BOQ]]-Over_all[[#This Row],[Received]],"")</f>
        <v/>
      </c>
      <c r="H124" s="201">
        <f>IF(Over_all[[#This Row],[BOQ]]-Over_all[[#This Row],[Received]]&lt;0,Over_all[[#This Row],[BOQ]]-Over_all[[#This Row],[Received]],"")</f>
        <v>-1100</v>
      </c>
      <c r="I124" s="221"/>
      <c r="J124" s="200">
        <f>Over_all[[#This Row],[Received]]</f>
        <v>4600</v>
      </c>
      <c r="K124" s="200">
        <f>SUMIF(ISSUE!$F:$F,Over_all[[#This Row],[Item Description]],ISSUE!$I:$I)</f>
        <v>0</v>
      </c>
      <c r="L124" s="200">
        <f>Over_all[[#This Row],[Received.]]-Over_all[[#This Row],[Issued]]</f>
        <v>4600</v>
      </c>
      <c r="M124" s="212"/>
      <c r="N124" s="222"/>
    </row>
    <row r="125" spans="1:14" ht="16" customHeight="1" outlineLevel="1" x14ac:dyDescent="0.35">
      <c r="A125" s="197">
        <f>BOQ[[#This Row],[S.No]]</f>
        <v>2</v>
      </c>
      <c r="B125" s="198" t="str">
        <f>BOQ[[#This Row],[Item Description]]</f>
        <v>50x6 MM GI Earth Strip</v>
      </c>
      <c r="C125" s="199">
        <f>BOQ[[#This Row],[Make / Vendor]]</f>
        <v>0</v>
      </c>
      <c r="D125" s="199" t="str">
        <f>BOQ[[#This Row],[Unit]]</f>
        <v>Mtr</v>
      </c>
      <c r="E125" s="199">
        <f>BOQ[[#This Row],[BOQ]]</f>
        <v>2500</v>
      </c>
      <c r="F125" s="200">
        <f>SUMIF('Goods Receipt'!$J:$J,Over_all[[#This Row],[Item Description]],'Goods Receipt'!$M:$M)</f>
        <v>6070</v>
      </c>
      <c r="G125" s="200" t="str">
        <f>IF(Over_all[[#This Row],[BOQ]]-Over_all[[#This Row],[Received]]&gt;=0,Over_all[[#This Row],[BOQ]]-Over_all[[#This Row],[Received]],"")</f>
        <v/>
      </c>
      <c r="H125" s="201">
        <f>IF(Over_all[[#This Row],[BOQ]]-Over_all[[#This Row],[Received]]&lt;0,Over_all[[#This Row],[BOQ]]-Over_all[[#This Row],[Received]],"")</f>
        <v>-3570</v>
      </c>
      <c r="I125" s="221"/>
      <c r="J125" s="200">
        <f>Over_all[[#This Row],[Received]]</f>
        <v>6070</v>
      </c>
      <c r="K125" s="200">
        <f>SUMIF(ISSUE!$F:$F,Over_all[[#This Row],[Item Description]],ISSUE!$I:$I)</f>
        <v>0</v>
      </c>
      <c r="L125" s="200">
        <f>Over_all[[#This Row],[Received.]]-Over_all[[#This Row],[Issued]]</f>
        <v>6070</v>
      </c>
      <c r="M125" s="212"/>
      <c r="N125" s="222"/>
    </row>
    <row r="126" spans="1:14" ht="16" customHeight="1" outlineLevel="1" x14ac:dyDescent="0.35">
      <c r="A126" s="204">
        <f>BOQ[[#This Row],[S.No]]</f>
        <v>3</v>
      </c>
      <c r="B126" s="198" t="str">
        <f>BOQ[[#This Row],[Item Description]]</f>
        <v>40x6 MM Copper Earth Strip</v>
      </c>
      <c r="C126" s="199">
        <f>BOQ[[#This Row],[Make / Vendor]]</f>
        <v>0</v>
      </c>
      <c r="D126" s="199" t="str">
        <f>BOQ[[#This Row],[Unit]]</f>
        <v>Mtr</v>
      </c>
      <c r="E126" s="199">
        <f>BOQ[[#This Row],[BOQ]]</f>
        <v>110</v>
      </c>
      <c r="F126" s="200">
        <f>SUMIF('Goods Receipt'!$J:$J,Over_all[[#This Row],[Item Description]],'Goods Receipt'!$M:$M)</f>
        <v>110</v>
      </c>
      <c r="G126" s="200">
        <f>IF(Over_all[[#This Row],[BOQ]]-Over_all[[#This Row],[Received]]&gt;=0,Over_all[[#This Row],[BOQ]]-Over_all[[#This Row],[Received]],"")</f>
        <v>0</v>
      </c>
      <c r="H126" s="201" t="str">
        <f>IF(Over_all[[#This Row],[BOQ]]-Over_all[[#This Row],[Received]]&lt;0,Over_all[[#This Row],[BOQ]]-Over_all[[#This Row],[Received]],"")</f>
        <v/>
      </c>
      <c r="I126" s="221"/>
      <c r="J126" s="200">
        <f>Over_all[[#This Row],[Received]]</f>
        <v>110</v>
      </c>
      <c r="K126" s="200">
        <f>SUMIF(ISSUE!$F:$F,Over_all[[#This Row],[Item Description]],ISSUE!$I:$I)</f>
        <v>0</v>
      </c>
      <c r="L126" s="200">
        <f>Over_all[[#This Row],[Received.]]-Over_all[[#This Row],[Issued]]</f>
        <v>110</v>
      </c>
      <c r="M126" s="212"/>
      <c r="N126" s="222"/>
    </row>
    <row r="127" spans="1:14" ht="16" customHeight="1" outlineLevel="1" x14ac:dyDescent="0.35">
      <c r="A127" s="206">
        <f>BOQ[[#This Row],[S.No]]</f>
        <v>0</v>
      </c>
      <c r="B127" s="198">
        <f>BOQ[[#This Row],[Item Description]]</f>
        <v>0</v>
      </c>
      <c r="C127" s="199">
        <f>BOQ[[#This Row],[Make / Vendor]]</f>
        <v>0</v>
      </c>
      <c r="D127" s="199">
        <f>BOQ[[#This Row],[Unit]]</f>
        <v>0</v>
      </c>
      <c r="E127" s="199">
        <f>BOQ[[#This Row],[BOQ]]</f>
        <v>0</v>
      </c>
      <c r="F127" s="200">
        <f>SUMIF('Goods Receipt'!$J:$J,Over_all[[#This Row],[Item Description]],'Goods Receipt'!$M:$M)</f>
        <v>0</v>
      </c>
      <c r="G127" s="200">
        <f>IF(Over_all[[#This Row],[BOQ]]-Over_all[[#This Row],[Received]]&gt;=0,Over_all[[#This Row],[BOQ]]-Over_all[[#This Row],[Received]],"")</f>
        <v>0</v>
      </c>
      <c r="H127" s="201" t="str">
        <f>IF(Over_all[[#This Row],[BOQ]]-Over_all[[#This Row],[Received]]&lt;0,Over_all[[#This Row],[BOQ]]-Over_all[[#This Row],[Received]],"")</f>
        <v/>
      </c>
      <c r="I127" s="221"/>
      <c r="J127" s="200">
        <f>Over_all[[#This Row],[Received]]</f>
        <v>0</v>
      </c>
      <c r="K127" s="200">
        <f>SUMIF(ISSUE!$F:$F,Over_all[[#This Row],[Item Description]],ISSUE!$I:$I)</f>
        <v>0</v>
      </c>
      <c r="L127" s="200">
        <f>Over_all[[#This Row],[Received.]]-Over_all[[#This Row],[Issued]]</f>
        <v>0</v>
      </c>
      <c r="M127" s="212"/>
      <c r="N127" s="222"/>
    </row>
    <row r="128" spans="1:14" ht="16" customHeight="1" outlineLevel="1" x14ac:dyDescent="0.35">
      <c r="A128" s="202" t="str">
        <f>BOQ[[#This Row],[S.No]]</f>
        <v>H</v>
      </c>
      <c r="B128" s="203" t="str">
        <f>BOQ[[#This Row],[Item Description]]</f>
        <v>Pipes</v>
      </c>
      <c r="C128" s="199">
        <f>BOQ[[#This Row],[Make / Vendor]]</f>
        <v>0</v>
      </c>
      <c r="D128" s="199">
        <f>BOQ[[#This Row],[Unit]]</f>
        <v>0</v>
      </c>
      <c r="E128" s="199">
        <f>BOQ[[#This Row],[BOQ]]</f>
        <v>0</v>
      </c>
      <c r="F128" s="200">
        <f>SUMIF('Goods Receipt'!$J:$J,Over_all[[#This Row],[Item Description]],'Goods Receipt'!$M:$M)</f>
        <v>0</v>
      </c>
      <c r="G128" s="200">
        <f>IF(Over_all[[#This Row],[BOQ]]-Over_all[[#This Row],[Received]]&gt;=0,Over_all[[#This Row],[BOQ]]-Over_all[[#This Row],[Received]],"")</f>
        <v>0</v>
      </c>
      <c r="H128" s="201" t="str">
        <f>IF(Over_all[[#This Row],[BOQ]]-Over_all[[#This Row],[Received]]&lt;0,Over_all[[#This Row],[BOQ]]-Over_all[[#This Row],[Received]],"")</f>
        <v/>
      </c>
      <c r="I128" s="221"/>
      <c r="J128" s="200">
        <f>Over_all[[#This Row],[Received]]</f>
        <v>0</v>
      </c>
      <c r="K128" s="200">
        <f>SUMIF(ISSUE!$F:$F,Over_all[[#This Row],[Item Description]],ISSUE!$I:$I)</f>
        <v>0</v>
      </c>
      <c r="L128" s="200">
        <f>Over_all[[#This Row],[Received.]]-Over_all[[#This Row],[Issued]]</f>
        <v>0</v>
      </c>
      <c r="M128" s="212"/>
      <c r="N128" s="222"/>
    </row>
    <row r="129" spans="1:14" ht="16" customHeight="1" outlineLevel="1" x14ac:dyDescent="0.35">
      <c r="A129" s="197">
        <f>BOQ[[#This Row],[S.No]]</f>
        <v>1</v>
      </c>
      <c r="B129" s="205" t="str">
        <f>BOQ[[#This Row],[Item Description]]</f>
        <v>38x50 OD DWC Pipe (500MTR) UV &amp; Anti Rodent)</v>
      </c>
      <c r="C129" s="199">
        <f>BOQ[[#This Row],[Make / Vendor]]</f>
        <v>0</v>
      </c>
      <c r="D129" s="199" t="str">
        <f>BOQ[[#This Row],[Unit]]</f>
        <v>Mtr</v>
      </c>
      <c r="E129" s="199">
        <f>BOQ[[#This Row],[BOQ]]</f>
        <v>8000</v>
      </c>
      <c r="F129" s="200">
        <f>SUMIF('Goods Receipt'!$J:$J,Over_all[[#This Row],[Item Description]],'Goods Receipt'!$M:$M)</f>
        <v>10000</v>
      </c>
      <c r="G129" s="200" t="str">
        <f>IF(Over_all[[#This Row],[BOQ]]-Over_all[[#This Row],[Received]]&gt;=0,Over_all[[#This Row],[BOQ]]-Over_all[[#This Row],[Received]],"")</f>
        <v/>
      </c>
      <c r="H129" s="201">
        <f>IF(Over_all[[#This Row],[BOQ]]-Over_all[[#This Row],[Received]]&lt;0,Over_all[[#This Row],[BOQ]]-Over_all[[#This Row],[Received]],"")</f>
        <v>-2000</v>
      </c>
      <c r="I129" s="221"/>
      <c r="J129" s="200">
        <f>Over_all[[#This Row],[Received]]</f>
        <v>10000</v>
      </c>
      <c r="K129" s="200">
        <f>SUMIF(ISSUE!$F:$F,Over_all[[#This Row],[Item Description]],ISSUE!$I:$I)</f>
        <v>2500</v>
      </c>
      <c r="L129" s="200">
        <f>Over_all[[#This Row],[Received.]]-Over_all[[#This Row],[Issued]]</f>
        <v>7500</v>
      </c>
      <c r="M129" s="212"/>
      <c r="N129" s="222"/>
    </row>
    <row r="130" spans="1:14" ht="16" customHeight="1" outlineLevel="1" x14ac:dyDescent="0.35">
      <c r="A130" s="197">
        <f>BOQ[[#This Row],[S.No]]</f>
        <v>2</v>
      </c>
      <c r="B130" s="205" t="str">
        <f>BOQ[[#This Row],[Item Description]]</f>
        <v>50 MM Coupler</v>
      </c>
      <c r="C130" s="199">
        <f>BOQ[[#This Row],[Make / Vendor]]</f>
        <v>0</v>
      </c>
      <c r="D130" s="199" t="str">
        <f>BOQ[[#This Row],[Unit]]</f>
        <v>Nos</v>
      </c>
      <c r="E130" s="199">
        <f>BOQ[[#This Row],[BOQ]]</f>
        <v>20</v>
      </c>
      <c r="F130" s="200">
        <f>SUMIF('Goods Receipt'!$J:$J,Over_all[[#This Row],[Item Description]],'Goods Receipt'!$M:$M)</f>
        <v>300</v>
      </c>
      <c r="G130" s="200" t="str">
        <f>IF(Over_all[[#This Row],[BOQ]]-Over_all[[#This Row],[Received]]&gt;=0,Over_all[[#This Row],[BOQ]]-Over_all[[#This Row],[Received]],"")</f>
        <v/>
      </c>
      <c r="H130" s="201">
        <f>IF(Over_all[[#This Row],[BOQ]]-Over_all[[#This Row],[Received]]&lt;0,Over_all[[#This Row],[BOQ]]-Over_all[[#This Row],[Received]],"")</f>
        <v>-280</v>
      </c>
      <c r="I130" s="221"/>
      <c r="J130" s="200">
        <f>Over_all[[#This Row],[Received]]</f>
        <v>300</v>
      </c>
      <c r="K130" s="200">
        <f>SUMIF(ISSUE!$F:$F,Over_all[[#This Row],[Item Description]],ISSUE!$I:$I)</f>
        <v>25</v>
      </c>
      <c r="L130" s="200">
        <f>Over_all[[#This Row],[Received.]]-Over_all[[#This Row],[Issued]]</f>
        <v>275</v>
      </c>
      <c r="M130" s="212"/>
      <c r="N130" s="222"/>
    </row>
    <row r="131" spans="1:14" ht="16" customHeight="1" outlineLevel="1" x14ac:dyDescent="0.35">
      <c r="A131" s="197">
        <f>BOQ[[#This Row],[S.No]]</f>
        <v>3</v>
      </c>
      <c r="B131" s="205" t="str">
        <f>BOQ[[#This Row],[Item Description]]</f>
        <v>50 MM Elbow</v>
      </c>
      <c r="C131" s="199">
        <f>BOQ[[#This Row],[Make / Vendor]]</f>
        <v>0</v>
      </c>
      <c r="D131" s="199" t="str">
        <f>BOQ[[#This Row],[Unit]]</f>
        <v>Nos</v>
      </c>
      <c r="E131" s="199">
        <f>BOQ[[#This Row],[BOQ]]</f>
        <v>20</v>
      </c>
      <c r="F131" s="200">
        <f>SUMIF('Goods Receipt'!$J:$J,Over_all[[#This Row],[Item Description]],'Goods Receipt'!$M:$M)</f>
        <v>300</v>
      </c>
      <c r="G131" s="200" t="str">
        <f>IF(Over_all[[#This Row],[BOQ]]-Over_all[[#This Row],[Received]]&gt;=0,Over_all[[#This Row],[BOQ]]-Over_all[[#This Row],[Received]],"")</f>
        <v/>
      </c>
      <c r="H131" s="201">
        <f>IF(Over_all[[#This Row],[BOQ]]-Over_all[[#This Row],[Received]]&lt;0,Over_all[[#This Row],[BOQ]]-Over_all[[#This Row],[Received]],"")</f>
        <v>-280</v>
      </c>
      <c r="I131" s="221"/>
      <c r="J131" s="200">
        <f>Over_all[[#This Row],[Received]]</f>
        <v>300</v>
      </c>
      <c r="K131" s="200">
        <f>SUMIF(ISSUE!$F:$F,Over_all[[#This Row],[Item Description]],ISSUE!$I:$I)</f>
        <v>0</v>
      </c>
      <c r="L131" s="200">
        <f>Over_all[[#This Row],[Received.]]-Over_all[[#This Row],[Issued]]</f>
        <v>300</v>
      </c>
      <c r="M131" s="212"/>
      <c r="N131" s="222"/>
    </row>
    <row r="132" spans="1:14" ht="16" customHeight="1" outlineLevel="1" x14ac:dyDescent="0.35">
      <c r="A132" s="204">
        <f>BOQ[[#This Row],[S.No]]</f>
        <v>4</v>
      </c>
      <c r="B132" s="198" t="str">
        <f>BOQ[[#This Row],[Item Description]]</f>
        <v>50 MM Tee</v>
      </c>
      <c r="C132" s="199">
        <f>BOQ[[#This Row],[Make / Vendor]]</f>
        <v>0</v>
      </c>
      <c r="D132" s="199" t="str">
        <f>BOQ[[#This Row],[Unit]]</f>
        <v>Nos</v>
      </c>
      <c r="E132" s="199">
        <f>BOQ[[#This Row],[BOQ]]</f>
        <v>20</v>
      </c>
      <c r="F132" s="200">
        <f>SUMIF('Goods Receipt'!$J:$J,Over_all[[#This Row],[Item Description]],'Goods Receipt'!$M:$M)</f>
        <v>300</v>
      </c>
      <c r="G132" s="200" t="str">
        <f>IF(Over_all[[#This Row],[BOQ]]-Over_all[[#This Row],[Received]]&gt;=0,Over_all[[#This Row],[BOQ]]-Over_all[[#This Row],[Received]],"")</f>
        <v/>
      </c>
      <c r="H132" s="201">
        <f>IF(Over_all[[#This Row],[BOQ]]-Over_all[[#This Row],[Received]]&lt;0,Over_all[[#This Row],[BOQ]]-Over_all[[#This Row],[Received]],"")</f>
        <v>-280</v>
      </c>
      <c r="I132" s="221"/>
      <c r="J132" s="200">
        <f>Over_all[[#This Row],[Received]]</f>
        <v>300</v>
      </c>
      <c r="K132" s="200">
        <f>SUMIF(ISSUE!$F:$F,Over_all[[#This Row],[Item Description]],ISSUE!$I:$I)</f>
        <v>50</v>
      </c>
      <c r="L132" s="200">
        <f>Over_all[[#This Row],[Received.]]-Over_all[[#This Row],[Issued]]</f>
        <v>250</v>
      </c>
      <c r="M132" s="212"/>
      <c r="N132" s="222"/>
    </row>
    <row r="133" spans="1:14" ht="16" customHeight="1" outlineLevel="1" x14ac:dyDescent="0.35">
      <c r="A133" s="197">
        <f>BOQ[[#This Row],[S.No]]</f>
        <v>5</v>
      </c>
      <c r="B133" s="205" t="str">
        <f>BOQ[[#This Row],[Item Description]]</f>
        <v>50 MM O Ring</v>
      </c>
      <c r="C133" s="199">
        <f>BOQ[[#This Row],[Make / Vendor]]</f>
        <v>0</v>
      </c>
      <c r="D133" s="199" t="str">
        <f>BOQ[[#This Row],[Unit]]</f>
        <v>Nos</v>
      </c>
      <c r="E133" s="199">
        <f>BOQ[[#This Row],[BOQ]]</f>
        <v>20</v>
      </c>
      <c r="F133" s="200">
        <f>SUMIF('Goods Receipt'!$J:$J,Over_all[[#This Row],[Item Description]],'Goods Receipt'!$M:$M)</f>
        <v>300</v>
      </c>
      <c r="G133" s="200" t="str">
        <f>IF(Over_all[[#This Row],[BOQ]]-Over_all[[#This Row],[Received]]&gt;=0,Over_all[[#This Row],[BOQ]]-Over_all[[#This Row],[Received]],"")</f>
        <v/>
      </c>
      <c r="H133" s="201">
        <f>IF(Over_all[[#This Row],[BOQ]]-Over_all[[#This Row],[Received]]&lt;0,Over_all[[#This Row],[BOQ]]-Over_all[[#This Row],[Received]],"")</f>
        <v>-280</v>
      </c>
      <c r="I133" s="221"/>
      <c r="J133" s="200">
        <f>Over_all[[#This Row],[Received]]</f>
        <v>300</v>
      </c>
      <c r="K133" s="200">
        <f>SUMIF(ISSUE!$F:$F,Over_all[[#This Row],[Item Description]],ISSUE!$I:$I)</f>
        <v>0</v>
      </c>
      <c r="L133" s="200">
        <f>Over_all[[#This Row],[Received.]]-Over_all[[#This Row],[Issued]]</f>
        <v>300</v>
      </c>
      <c r="M133" s="212"/>
      <c r="N133" s="222"/>
    </row>
    <row r="134" spans="1:14" ht="16" customHeight="1" outlineLevel="1" x14ac:dyDescent="0.35">
      <c r="A134" s="204">
        <f>BOQ[[#This Row],[S.No]]</f>
        <v>6</v>
      </c>
      <c r="B134" s="198" t="str">
        <f>BOQ[[#This Row],[Item Description]]</f>
        <v>Np3 600 MM S&amp;S Pipe</v>
      </c>
      <c r="C134" s="199">
        <f>BOQ[[#This Row],[Make / Vendor]]</f>
        <v>0</v>
      </c>
      <c r="D134" s="199" t="str">
        <f>BOQ[[#This Row],[Unit]]</f>
        <v>Mtr</v>
      </c>
      <c r="E134" s="199">
        <f>BOQ[[#This Row],[BOQ]]</f>
        <v>0</v>
      </c>
      <c r="F134" s="200">
        <f>SUMIF('Goods Receipt'!$J:$J,Over_all[[#This Row],[Item Description]],'Goods Receipt'!$M:$M)</f>
        <v>25</v>
      </c>
      <c r="G134" s="200" t="str">
        <f>IF(Over_all[[#This Row],[BOQ]]-Over_all[[#This Row],[Received]]&gt;=0,Over_all[[#This Row],[BOQ]]-Over_all[[#This Row],[Received]],"")</f>
        <v/>
      </c>
      <c r="H134" s="201">
        <f>IF(Over_all[[#This Row],[BOQ]]-Over_all[[#This Row],[Received]]&lt;0,Over_all[[#This Row],[BOQ]]-Over_all[[#This Row],[Received]],"")</f>
        <v>-25</v>
      </c>
      <c r="I134" s="221"/>
      <c r="J134" s="200">
        <f>Over_all[[#This Row],[Received]]</f>
        <v>25</v>
      </c>
      <c r="K134" s="200">
        <f>SUMIF(ISSUE!$F:$F,Over_all[[#This Row],[Item Description]],ISSUE!$I:$I)</f>
        <v>0</v>
      </c>
      <c r="L134" s="200">
        <f>Over_all[[#This Row],[Received.]]-Over_all[[#This Row],[Issued]]</f>
        <v>25</v>
      </c>
      <c r="M134" s="212"/>
      <c r="N134" s="222"/>
    </row>
    <row r="135" spans="1:14" ht="16" customHeight="1" outlineLevel="1" x14ac:dyDescent="0.35">
      <c r="A135" s="206">
        <f>BOQ[[#This Row],[S.No]]</f>
        <v>0</v>
      </c>
      <c r="B135" s="198">
        <f>BOQ[[#This Row],[Item Description]]</f>
        <v>0</v>
      </c>
      <c r="C135" s="199">
        <f>BOQ[[#This Row],[Make / Vendor]]</f>
        <v>0</v>
      </c>
      <c r="D135" s="199">
        <f>BOQ[[#This Row],[Unit]]</f>
        <v>0</v>
      </c>
      <c r="E135" s="199">
        <f>BOQ[[#This Row],[BOQ]]</f>
        <v>0</v>
      </c>
      <c r="F135" s="200">
        <f>SUMIF('Goods Receipt'!$J:$J,Over_all[[#This Row],[Item Description]],'Goods Receipt'!$M:$M)</f>
        <v>0</v>
      </c>
      <c r="G135" s="200">
        <f>IF(Over_all[[#This Row],[BOQ]]-Over_all[[#This Row],[Received]]&gt;=0,Over_all[[#This Row],[BOQ]]-Over_all[[#This Row],[Received]],"")</f>
        <v>0</v>
      </c>
      <c r="H135" s="201" t="str">
        <f>IF(Over_all[[#This Row],[BOQ]]-Over_all[[#This Row],[Received]]&lt;0,Over_all[[#This Row],[BOQ]]-Over_all[[#This Row],[Received]],"")</f>
        <v/>
      </c>
      <c r="I135" s="221"/>
      <c r="J135" s="200">
        <f>Over_all[[#This Row],[Received]]</f>
        <v>0</v>
      </c>
      <c r="K135" s="200">
        <f>SUMIF(ISSUE!$F:$F,Over_all[[#This Row],[Item Description]],ISSUE!$I:$I)</f>
        <v>0</v>
      </c>
      <c r="L135" s="200">
        <f>Over_all[[#This Row],[Received.]]-Over_all[[#This Row],[Issued]]</f>
        <v>0</v>
      </c>
      <c r="M135" s="212"/>
      <c r="N135" s="222"/>
    </row>
    <row r="136" spans="1:14" ht="16" customHeight="1" outlineLevel="1" x14ac:dyDescent="0.35">
      <c r="A136" s="202" t="str">
        <f>BOQ[[#This Row],[S.No]]</f>
        <v>I</v>
      </c>
      <c r="B136" s="203" t="str">
        <f>BOQ[[#This Row],[Item Description]]</f>
        <v>Inverters_Structure</v>
      </c>
      <c r="C136" s="199">
        <f>BOQ[[#This Row],[Make / Vendor]]</f>
        <v>0</v>
      </c>
      <c r="D136" s="199">
        <f>BOQ[[#This Row],[Unit]]</f>
        <v>0</v>
      </c>
      <c r="E136" s="199">
        <f>BOQ[[#This Row],[BOQ]]</f>
        <v>0</v>
      </c>
      <c r="F136" s="200">
        <f>SUMIF('Goods Receipt'!$J:$J,Over_all[[#This Row],[Item Description]],'Goods Receipt'!$M:$M)</f>
        <v>0</v>
      </c>
      <c r="G136" s="200">
        <f>IF(Over_all[[#This Row],[BOQ]]-Over_all[[#This Row],[Received]]&gt;=0,Over_all[[#This Row],[BOQ]]-Over_all[[#This Row],[Received]],"")</f>
        <v>0</v>
      </c>
      <c r="H136" s="201" t="str">
        <f>IF(Over_all[[#This Row],[BOQ]]-Over_all[[#This Row],[Received]]&lt;0,Over_all[[#This Row],[BOQ]]-Over_all[[#This Row],[Received]],"")</f>
        <v/>
      </c>
      <c r="I136" s="221"/>
      <c r="J136" s="200">
        <f>Over_all[[#This Row],[Received]]</f>
        <v>0</v>
      </c>
      <c r="K136" s="200">
        <f>SUMIF(ISSUE!$F:$F,Over_all[[#This Row],[Item Description]],ISSUE!$I:$I)</f>
        <v>0</v>
      </c>
      <c r="L136" s="200">
        <f>Over_all[[#This Row],[Received.]]-Over_all[[#This Row],[Issued]]</f>
        <v>0</v>
      </c>
      <c r="M136" s="212"/>
      <c r="N136" s="222"/>
    </row>
    <row r="137" spans="1:14" outlineLevel="1" x14ac:dyDescent="0.35">
      <c r="A137" s="206">
        <f>BOQ[[#This Row],[S.No]]</f>
        <v>1</v>
      </c>
      <c r="B137" s="198" t="str">
        <f>BOQ[[#This Row],[Item Description]]</f>
        <v>Inverter Column Post (ISMC - 100x50x5mm - 3000mmL</v>
      </c>
      <c r="C137" s="199">
        <f>BOQ[[#This Row],[Make / Vendor]]</f>
        <v>0</v>
      </c>
      <c r="D137" s="199" t="str">
        <f>BOQ[[#This Row],[Unit]]</f>
        <v>Nos</v>
      </c>
      <c r="E137" s="199">
        <f>BOQ[[#This Row],[BOQ]]</f>
        <v>88</v>
      </c>
      <c r="F137" s="200">
        <f>SUMIF('Goods Receipt'!$J:$J,Over_all[[#This Row],[Item Description]],'Goods Receipt'!$M:$M)</f>
        <v>88</v>
      </c>
      <c r="G137" s="200">
        <f>IF(Over_all[[#This Row],[BOQ]]-Over_all[[#This Row],[Received]]&gt;=0,Over_all[[#This Row],[BOQ]]-Over_all[[#This Row],[Received]],"")</f>
        <v>0</v>
      </c>
      <c r="H137" s="201" t="str">
        <f>IF(Over_all[[#This Row],[BOQ]]-Over_all[[#This Row],[Received]]&lt;0,Over_all[[#This Row],[BOQ]]-Over_all[[#This Row],[Received]],"")</f>
        <v/>
      </c>
      <c r="I137" s="221"/>
      <c r="J137" s="200">
        <f>Over_all[[#This Row],[Received]]</f>
        <v>88</v>
      </c>
      <c r="K137" s="200">
        <f>SUMIF(ISSUE!$F:$F,Over_all[[#This Row],[Item Description]],ISSUE!$I:$I)</f>
        <v>88</v>
      </c>
      <c r="L137" s="200">
        <f>Over_all[[#This Row],[Received.]]-Over_all[[#This Row],[Issued]]</f>
        <v>0</v>
      </c>
      <c r="M137" s="212"/>
      <c r="N137" s="222"/>
    </row>
    <row r="138" spans="1:14" outlineLevel="1" x14ac:dyDescent="0.35">
      <c r="A138" s="197">
        <f>BOQ[[#This Row],[S.No]]</f>
        <v>2</v>
      </c>
      <c r="B138" s="205" t="str">
        <f>BOQ[[#This Row],[Item Description]]</f>
        <v>Inverter Support Pipe (SHS-40x40x2.5mm-1550mmL</v>
      </c>
      <c r="C138" s="199">
        <f>BOQ[[#This Row],[Make / Vendor]]</f>
        <v>0</v>
      </c>
      <c r="D138" s="199" t="str">
        <f>BOQ[[#This Row],[Unit]]</f>
        <v>Nos</v>
      </c>
      <c r="E138" s="199">
        <f>BOQ[[#This Row],[BOQ]]</f>
        <v>88</v>
      </c>
      <c r="F138" s="200">
        <f>SUMIF('Goods Receipt'!$J:$J,Over_all[[#This Row],[Item Description]],'Goods Receipt'!$M:$M)</f>
        <v>88</v>
      </c>
      <c r="G138" s="200">
        <f>IF(Over_all[[#This Row],[BOQ]]-Over_all[[#This Row],[Received]]&gt;=0,Over_all[[#This Row],[BOQ]]-Over_all[[#This Row],[Received]],"")</f>
        <v>0</v>
      </c>
      <c r="H138" s="201" t="str">
        <f>IF(Over_all[[#This Row],[BOQ]]-Over_all[[#This Row],[Received]]&lt;0,Over_all[[#This Row],[BOQ]]-Over_all[[#This Row],[Received]],"")</f>
        <v/>
      </c>
      <c r="I138" s="221"/>
      <c r="J138" s="200">
        <f>Over_all[[#This Row],[Received]]</f>
        <v>88</v>
      </c>
      <c r="K138" s="200">
        <f>SUMIF(ISSUE!$F:$F,Over_all[[#This Row],[Item Description]],ISSUE!$I:$I)</f>
        <v>88</v>
      </c>
      <c r="L138" s="200">
        <f>Over_all[[#This Row],[Received.]]-Over_all[[#This Row],[Issued]]</f>
        <v>0</v>
      </c>
      <c r="M138" s="212"/>
      <c r="N138" s="222"/>
    </row>
    <row r="139" spans="1:14" ht="16" customHeight="1" outlineLevel="1" x14ac:dyDescent="0.35">
      <c r="A139" s="206">
        <f>BOQ[[#This Row],[S.No]]</f>
        <v>3</v>
      </c>
      <c r="B139" s="198" t="str">
        <f>BOQ[[#This Row],[Item Description]]</f>
        <v>Roof Support -1 (ISA 40x40x5mm - 600mm L</v>
      </c>
      <c r="C139" s="199">
        <f>BOQ[[#This Row],[Make / Vendor]]</f>
        <v>0</v>
      </c>
      <c r="D139" s="199" t="str">
        <f>BOQ[[#This Row],[Unit]]</f>
        <v>Nos</v>
      </c>
      <c r="E139" s="199">
        <f>BOQ[[#This Row],[BOQ]]</f>
        <v>88</v>
      </c>
      <c r="F139" s="200">
        <f>SUMIF('Goods Receipt'!$J:$J,Over_all[[#This Row],[Item Description]],'Goods Receipt'!$M:$M)</f>
        <v>88</v>
      </c>
      <c r="G139" s="210">
        <f>IF(Over_all[[#This Row],[BOQ]]-Over_all[[#This Row],[Received]]&gt;=0,Over_all[[#This Row],[BOQ]]-Over_all[[#This Row],[Received]],"")</f>
        <v>0</v>
      </c>
      <c r="H139" s="211" t="str">
        <f>IF(Over_all[[#This Row],[BOQ]]-Over_all[[#This Row],[Received]]&lt;0,Over_all[[#This Row],[BOQ]]-Over_all[[#This Row],[Received]],"")</f>
        <v/>
      </c>
      <c r="I139" s="221"/>
      <c r="J139" s="200">
        <f>Over_all[[#This Row],[Received]]</f>
        <v>88</v>
      </c>
      <c r="K139" s="210">
        <f>SUMIF(ISSUE!$F:$F,Over_all[[#This Row],[Item Description]],ISSUE!$I:$I)</f>
        <v>44</v>
      </c>
      <c r="L139" s="210">
        <f>Over_all[[#This Row],[Received.]]-Over_all[[#This Row],[Issued]]</f>
        <v>44</v>
      </c>
      <c r="M139" s="212"/>
      <c r="N139" s="222"/>
    </row>
    <row r="140" spans="1:14" ht="16" customHeight="1" outlineLevel="1" x14ac:dyDescent="0.35">
      <c r="A140" s="197">
        <f>BOQ[[#This Row],[S.No]]</f>
        <v>4</v>
      </c>
      <c r="B140" s="205" t="str">
        <f>BOQ[[#This Row],[Item Description]]</f>
        <v>Roof Support -2 (ISA 40x40x5mm - 700mm L</v>
      </c>
      <c r="C140" s="199">
        <f>BOQ[[#This Row],[Make / Vendor]]</f>
        <v>0</v>
      </c>
      <c r="D140" s="199" t="str">
        <f>BOQ[[#This Row],[Unit]]</f>
        <v>Nos</v>
      </c>
      <c r="E140" s="199">
        <f>BOQ[[#This Row],[BOQ]]</f>
        <v>88</v>
      </c>
      <c r="F140" s="200">
        <f>SUMIF('Goods Receipt'!$J:$J,Over_all[[#This Row],[Item Description]],'Goods Receipt'!$M:$M)</f>
        <v>88</v>
      </c>
      <c r="G140" s="210">
        <f>IF(Over_all[[#This Row],[BOQ]]-Over_all[[#This Row],[Received]]&gt;=0,Over_all[[#This Row],[BOQ]]-Over_all[[#This Row],[Received]],"")</f>
        <v>0</v>
      </c>
      <c r="H140" s="211" t="str">
        <f>IF(Over_all[[#This Row],[BOQ]]-Over_all[[#This Row],[Received]]&lt;0,Over_all[[#This Row],[BOQ]]-Over_all[[#This Row],[Received]],"")</f>
        <v/>
      </c>
      <c r="I140" s="221"/>
      <c r="J140" s="200">
        <f>Over_all[[#This Row],[Received]]</f>
        <v>88</v>
      </c>
      <c r="K140" s="210">
        <f>SUMIF(ISSUE!$F:$F,Over_all[[#This Row],[Item Description]],ISSUE!$I:$I)</f>
        <v>44</v>
      </c>
      <c r="L140" s="210">
        <f>Over_all[[#This Row],[Received.]]-Over_all[[#This Row],[Issued]]</f>
        <v>44</v>
      </c>
      <c r="M140" s="212"/>
      <c r="N140" s="222"/>
    </row>
    <row r="141" spans="1:14" ht="16" customHeight="1" outlineLevel="1" x14ac:dyDescent="0.35">
      <c r="A141" s="206">
        <f>BOQ[[#This Row],[S.No]]</f>
        <v>5</v>
      </c>
      <c r="B141" s="198" t="str">
        <f>BOQ[[#This Row],[Item Description]]</f>
        <v>Roof Support -3 (ISA 40x40x5mm - 644mm L</v>
      </c>
      <c r="C141" s="199">
        <f>BOQ[[#This Row],[Make / Vendor]]</f>
        <v>0</v>
      </c>
      <c r="D141" s="199" t="str">
        <f>BOQ[[#This Row],[Unit]]</f>
        <v>Nos</v>
      </c>
      <c r="E141" s="199">
        <f>BOQ[[#This Row],[BOQ]]</f>
        <v>88</v>
      </c>
      <c r="F141" s="200">
        <f>SUMIF('Goods Receipt'!$J:$J,Over_all[[#This Row],[Item Description]],'Goods Receipt'!$M:$M)</f>
        <v>88</v>
      </c>
      <c r="G141" s="210">
        <f>IF(Over_all[[#This Row],[BOQ]]-Over_all[[#This Row],[Received]]&gt;=0,Over_all[[#This Row],[BOQ]]-Over_all[[#This Row],[Received]],"")</f>
        <v>0</v>
      </c>
      <c r="H141" s="211" t="str">
        <f>IF(Over_all[[#This Row],[BOQ]]-Over_all[[#This Row],[Received]]&lt;0,Over_all[[#This Row],[BOQ]]-Over_all[[#This Row],[Received]],"")</f>
        <v/>
      </c>
      <c r="I141" s="221"/>
      <c r="J141" s="200">
        <f>Over_all[[#This Row],[Received]]</f>
        <v>88</v>
      </c>
      <c r="K141" s="210">
        <f>SUMIF(ISSUE!$F:$F,Over_all[[#This Row],[Item Description]],ISSUE!$I:$I)</f>
        <v>44</v>
      </c>
      <c r="L141" s="210">
        <f>Over_all[[#This Row],[Received.]]-Over_all[[#This Row],[Issued]]</f>
        <v>44</v>
      </c>
      <c r="M141" s="212"/>
      <c r="N141" s="222"/>
    </row>
    <row r="142" spans="1:14" ht="16" customHeight="1" outlineLevel="1" x14ac:dyDescent="0.35">
      <c r="A142" s="197">
        <f>BOQ[[#This Row],[S.No]]</f>
        <v>6</v>
      </c>
      <c r="B142" s="205" t="str">
        <f>BOQ[[#This Row],[Item Description]]</f>
        <v>Purlin (SHA-30x30x2.5mm - 2200mm L</v>
      </c>
      <c r="C142" s="199">
        <f>BOQ[[#This Row],[Make / Vendor]]</f>
        <v>0</v>
      </c>
      <c r="D142" s="199" t="str">
        <f>BOQ[[#This Row],[Unit]]</f>
        <v>Nos</v>
      </c>
      <c r="E142" s="199">
        <f>BOQ[[#This Row],[BOQ]]</f>
        <v>88</v>
      </c>
      <c r="F142" s="200">
        <f>SUMIF('Goods Receipt'!$J:$J,Over_all[[#This Row],[Item Description]],'Goods Receipt'!$M:$M)</f>
        <v>88</v>
      </c>
      <c r="G142" s="210">
        <f>IF(Over_all[[#This Row],[BOQ]]-Over_all[[#This Row],[Received]]&gt;=0,Over_all[[#This Row],[BOQ]]-Over_all[[#This Row],[Received]],"")</f>
        <v>0</v>
      </c>
      <c r="H142" s="211" t="str">
        <f>IF(Over_all[[#This Row],[BOQ]]-Over_all[[#This Row],[Received]]&lt;0,Over_all[[#This Row],[BOQ]]-Over_all[[#This Row],[Received]],"")</f>
        <v/>
      </c>
      <c r="I142" s="221"/>
      <c r="J142" s="200">
        <f>Over_all[[#This Row],[Received]]</f>
        <v>88</v>
      </c>
      <c r="K142" s="210">
        <f>SUMIF(ISSUE!$F:$F,Over_all[[#This Row],[Item Description]],ISSUE!$I:$I)</f>
        <v>44</v>
      </c>
      <c r="L142" s="210">
        <f>Over_all[[#This Row],[Received.]]-Over_all[[#This Row],[Issued]]</f>
        <v>44</v>
      </c>
      <c r="M142" s="212"/>
      <c r="N142" s="222"/>
    </row>
    <row r="143" spans="1:14" outlineLevel="1" x14ac:dyDescent="0.35">
      <c r="A143" s="206">
        <f>BOQ[[#This Row],[S.No]]</f>
        <v>7</v>
      </c>
      <c r="B143" s="198" t="str">
        <f>BOQ[[#This Row],[Item Description]]</f>
        <v>Conduit Support Pipe (SHS-40x40x2.5mm - 1550mm L</v>
      </c>
      <c r="C143" s="199">
        <f>BOQ[[#This Row],[Make / Vendor]]</f>
        <v>0</v>
      </c>
      <c r="D143" s="199" t="str">
        <f>BOQ[[#This Row],[Unit]]</f>
        <v>Nos</v>
      </c>
      <c r="E143" s="199">
        <f>BOQ[[#This Row],[BOQ]]</f>
        <v>44</v>
      </c>
      <c r="F143" s="200">
        <f>SUMIF('Goods Receipt'!$J:$J,Over_all[[#This Row],[Item Description]],'Goods Receipt'!$M:$M)</f>
        <v>44</v>
      </c>
      <c r="G143" s="210">
        <f>IF(Over_all[[#This Row],[BOQ]]-Over_all[[#This Row],[Received]]&gt;=0,Over_all[[#This Row],[BOQ]]-Over_all[[#This Row],[Received]],"")</f>
        <v>0</v>
      </c>
      <c r="H143" s="211" t="str">
        <f>IF(Over_all[[#This Row],[BOQ]]-Over_all[[#This Row],[Received]]&lt;0,Over_all[[#This Row],[BOQ]]-Over_all[[#This Row],[Received]],"")</f>
        <v/>
      </c>
      <c r="I143" s="221"/>
      <c r="J143" s="200">
        <f>Over_all[[#This Row],[Received]]</f>
        <v>44</v>
      </c>
      <c r="K143" s="210">
        <f>SUMIF(ISSUE!$F:$F,Over_all[[#This Row],[Item Description]],ISSUE!$I:$I)</f>
        <v>22</v>
      </c>
      <c r="L143" s="210">
        <f>Over_all[[#This Row],[Received.]]-Over_all[[#This Row],[Issued]]</f>
        <v>22</v>
      </c>
      <c r="M143" s="212"/>
      <c r="N143" s="222"/>
    </row>
    <row r="144" spans="1:14" ht="16" customHeight="1" outlineLevel="1" x14ac:dyDescent="0.35">
      <c r="A144" s="197">
        <f>BOQ[[#This Row],[S.No]]</f>
        <v>8</v>
      </c>
      <c r="B144" s="205" t="str">
        <f>BOQ[[#This Row],[Item Description]]</f>
        <v>Roof Sheet (1200x2400x0.5mm)</v>
      </c>
      <c r="C144" s="199">
        <f>BOQ[[#This Row],[Make / Vendor]]</f>
        <v>0</v>
      </c>
      <c r="D144" s="199" t="str">
        <f>BOQ[[#This Row],[Unit]]</f>
        <v>Nos</v>
      </c>
      <c r="E144" s="199">
        <f>BOQ[[#This Row],[BOQ]]</f>
        <v>44</v>
      </c>
      <c r="F144" s="200">
        <f>SUMIF('Goods Receipt'!$J:$J,Over_all[[#This Row],[Item Description]],'Goods Receipt'!$M:$M)</f>
        <v>44</v>
      </c>
      <c r="G144" s="210">
        <f>IF(Over_all[[#This Row],[BOQ]]-Over_all[[#This Row],[Received]]&gt;=0,Over_all[[#This Row],[BOQ]]-Over_all[[#This Row],[Received]],"")</f>
        <v>0</v>
      </c>
      <c r="H144" s="211" t="str">
        <f>IF(Over_all[[#This Row],[BOQ]]-Over_all[[#This Row],[Received]]&lt;0,Over_all[[#This Row],[BOQ]]-Over_all[[#This Row],[Received]],"")</f>
        <v/>
      </c>
      <c r="I144" s="221"/>
      <c r="J144" s="200">
        <f>Over_all[[#This Row],[Received]]</f>
        <v>44</v>
      </c>
      <c r="K144" s="210">
        <f>SUMIF(ISSUE!$F:$F,Over_all[[#This Row],[Item Description]],ISSUE!$I:$I)</f>
        <v>22</v>
      </c>
      <c r="L144" s="210">
        <f>Over_all[[#This Row],[Received.]]-Over_all[[#This Row],[Issued]]</f>
        <v>22</v>
      </c>
      <c r="M144" s="212"/>
      <c r="N144" s="222"/>
    </row>
    <row r="145" spans="1:14" ht="16" customHeight="1" x14ac:dyDescent="0.35">
      <c r="A145" s="197">
        <f>BOQ[[#This Row],[S.No]]</f>
        <v>9</v>
      </c>
      <c r="B145" s="205" t="str">
        <f>BOQ[[#This Row],[Item Description]]</f>
        <v>SS-304 (M12x80(SS-304-80mm L</v>
      </c>
      <c r="C145" s="199">
        <f>BOQ[[#This Row],[Make / Vendor]]</f>
        <v>0</v>
      </c>
      <c r="D145" s="199" t="str">
        <f>BOQ[[#This Row],[Unit]]</f>
        <v>Set</v>
      </c>
      <c r="E145" s="199">
        <f>BOQ[[#This Row],[BOQ]]</f>
        <v>440</v>
      </c>
      <c r="F145" s="200">
        <f>SUMIF('Goods Receipt'!$J:$J,Over_all[[#This Row],[Item Description]],'Goods Receipt'!$M:$M)</f>
        <v>440</v>
      </c>
      <c r="G145" s="210">
        <f>IF(Over_all[[#This Row],[BOQ]]-Over_all[[#This Row],[Received]]&gt;=0,Over_all[[#This Row],[BOQ]]-Over_all[[#This Row],[Received]],"")</f>
        <v>0</v>
      </c>
      <c r="H145" s="211" t="str">
        <f>IF(Over_all[[#This Row],[BOQ]]-Over_all[[#This Row],[Received]]&lt;0,Over_all[[#This Row],[BOQ]]-Over_all[[#This Row],[Received]],"")</f>
        <v/>
      </c>
      <c r="I145" s="221"/>
      <c r="J145" s="200">
        <f>Over_all[[#This Row],[Received]]</f>
        <v>440</v>
      </c>
      <c r="K145" s="210">
        <f>SUMIF(ISSUE!$F:$F,Over_all[[#This Row],[Item Description]],ISSUE!$I:$I)</f>
        <v>308</v>
      </c>
      <c r="L145" s="210">
        <f>Over_all[[#This Row],[Received.]]-Over_all[[#This Row],[Issued]]</f>
        <v>132</v>
      </c>
      <c r="M145" s="212"/>
      <c r="N145" s="222"/>
    </row>
    <row r="146" spans="1:14" ht="16" customHeight="1" x14ac:dyDescent="0.35">
      <c r="A146" s="197">
        <v>10</v>
      </c>
      <c r="B146" s="198" t="str">
        <f>BOQ[[#This Row],[Item Description]]</f>
        <v>SS-304 (M10x80(SS-304-80mm L</v>
      </c>
      <c r="C146" s="199">
        <f>BOQ[[#This Row],[Make / Vendor]]</f>
        <v>0</v>
      </c>
      <c r="D146" s="199" t="str">
        <f>BOQ[[#This Row],[Unit]]</f>
        <v>Set</v>
      </c>
      <c r="E146" s="199">
        <f>BOQ[[#This Row],[BOQ]]</f>
        <v>352</v>
      </c>
      <c r="F146" s="200">
        <f>SUMIF('Goods Receipt'!$J:$J,Over_all[[#This Row],[Item Description]],'Goods Receipt'!$M:$M)</f>
        <v>352</v>
      </c>
      <c r="G146" s="210">
        <f>IF(Over_all[[#This Row],[BOQ]]-Over_all[[#This Row],[Received]]&gt;=0,Over_all[[#This Row],[BOQ]]-Over_all[[#This Row],[Received]],"")</f>
        <v>0</v>
      </c>
      <c r="H146" s="223" t="str">
        <f>IF(Over_all[[#This Row],[BOQ]]-Over_all[[#This Row],[Received]]&lt;0,Over_all[[#This Row],[BOQ]]-Over_all[[#This Row],[Received]],"")</f>
        <v/>
      </c>
      <c r="I146" s="224"/>
      <c r="J146" s="224">
        <f>Over_all[[#This Row],[Received]]</f>
        <v>352</v>
      </c>
      <c r="K146" s="210">
        <f>SUMIF(ISSUE!$F:$F,Over_all[[#This Row],[Item Description]],ISSUE!$I:$I)</f>
        <v>176</v>
      </c>
      <c r="L146" s="210">
        <f>Over_all[[#This Row],[Received.]]-Over_all[[#This Row],[Issued]]</f>
        <v>176</v>
      </c>
      <c r="M146" s="212"/>
      <c r="N146" s="222"/>
    </row>
    <row r="147" spans="1:14" ht="16" customHeight="1" x14ac:dyDescent="0.35">
      <c r="A147" s="197">
        <v>11</v>
      </c>
      <c r="B147" s="198" t="str">
        <f>BOQ[[#This Row],[Item Description]]</f>
        <v>SDS with EPDM washer</v>
      </c>
      <c r="C147" s="199">
        <f>BOQ[[#This Row],[Make / Vendor]]</f>
        <v>0</v>
      </c>
      <c r="D147" s="199" t="str">
        <f>BOQ[[#This Row],[Unit]]</f>
        <v>Nos</v>
      </c>
      <c r="E147" s="199">
        <f>BOQ[[#This Row],[BOQ]]</f>
        <v>440</v>
      </c>
      <c r="F147" s="200">
        <f>SUMIF('Goods Receipt'!$J:$J,Over_all[[#This Row],[Item Description]],'Goods Receipt'!$M:$M)</f>
        <v>440</v>
      </c>
      <c r="G147" s="210">
        <f>IF(Over_all[[#This Row],[BOQ]]-Over_all[[#This Row],[Received]]&gt;=0,Over_all[[#This Row],[BOQ]]-Over_all[[#This Row],[Received]],"")</f>
        <v>0</v>
      </c>
      <c r="H147" s="211" t="str">
        <f>IF(Over_all[[#This Row],[BOQ]]-Over_all[[#This Row],[Received]]&lt;0,Over_all[[#This Row],[BOQ]]-Over_all[[#This Row],[Received]],"")</f>
        <v/>
      </c>
      <c r="I147" s="221"/>
      <c r="J147" s="224">
        <f>Over_all[[#This Row],[Received]]</f>
        <v>440</v>
      </c>
      <c r="K147" s="210">
        <f>SUMIF(ISSUE!$F:$F,Over_all[[#This Row],[Item Description]],ISSUE!$I:$I)</f>
        <v>220</v>
      </c>
      <c r="L147" s="210">
        <f>Over_all[[#This Row],[Received.]]-Over_all[[#This Row],[Issued]]</f>
        <v>220</v>
      </c>
      <c r="M147" s="212"/>
      <c r="N147" s="222"/>
    </row>
    <row r="148" spans="1:14" ht="16" customHeight="1" x14ac:dyDescent="0.35">
      <c r="A148" s="206">
        <f>BOQ[[#This Row],[S.No]]</f>
        <v>0</v>
      </c>
      <c r="B148" s="198">
        <f>BOQ[[#This Row],[Item Description]]</f>
        <v>0</v>
      </c>
      <c r="C148" s="199">
        <f>BOQ[[#This Row],[Make / Vendor]]</f>
        <v>0</v>
      </c>
      <c r="D148" s="199">
        <f>BOQ[[#This Row],[Unit]]</f>
        <v>0</v>
      </c>
      <c r="E148" s="199">
        <f>BOQ[[#This Row],[BOQ]]</f>
        <v>0</v>
      </c>
      <c r="F148" s="200">
        <f>SUMIF('Goods Receipt'!$J:$J,Over_all[[#This Row],[Item Description]],'Goods Receipt'!$M:$M)</f>
        <v>0</v>
      </c>
      <c r="G148" s="210">
        <f>IF(Over_all[[#This Row],[BOQ]]-Over_all[[#This Row],[Received]]&gt;=0,Over_all[[#This Row],[BOQ]]-Over_all[[#This Row],[Received]],"")</f>
        <v>0</v>
      </c>
      <c r="H148" s="211" t="str">
        <f>IF(Over_all[[#This Row],[BOQ]]-Over_all[[#This Row],[Received]]&lt;0,Over_all[[#This Row],[BOQ]]-Over_all[[#This Row],[Received]],"")</f>
        <v/>
      </c>
      <c r="I148" s="221"/>
      <c r="J148" s="224">
        <f>Over_all[[#This Row],[Received]]</f>
        <v>0</v>
      </c>
      <c r="K148" s="210">
        <f>SUMIF(ISSUE!$F:$F,Over_all[[#This Row],[Item Description]],ISSUE!$I:$I)</f>
        <v>0</v>
      </c>
      <c r="L148" s="210">
        <f>Over_all[[#This Row],[Received.]]-Over_all[[#This Row],[Issued]]</f>
        <v>0</v>
      </c>
      <c r="M148" s="212"/>
      <c r="N148" s="222"/>
    </row>
    <row r="149" spans="1:14" ht="16" customHeight="1" x14ac:dyDescent="0.35">
      <c r="A149" s="202" t="str">
        <f>BOQ[[#This Row],[S.No]]</f>
        <v>J</v>
      </c>
      <c r="B149" s="203" t="str">
        <f>BOQ[[#This Row],[Item Description]]</f>
        <v>Connectors</v>
      </c>
      <c r="C149" s="199">
        <f>BOQ[[#This Row],[Make / Vendor]]</f>
        <v>0</v>
      </c>
      <c r="D149" s="199">
        <f>BOQ[[#This Row],[Unit]]</f>
        <v>0</v>
      </c>
      <c r="E149" s="199">
        <f>BOQ[[#This Row],[BOQ]]</f>
        <v>0</v>
      </c>
      <c r="F149" s="200">
        <f>SUMIF('Goods Receipt'!$J:$J,Over_all[[#This Row],[Item Description]],'Goods Receipt'!$M:$M)</f>
        <v>0</v>
      </c>
      <c r="G149" s="210">
        <f>IF(Over_all[[#This Row],[BOQ]]-Over_all[[#This Row],[Received]]&gt;=0,Over_all[[#This Row],[BOQ]]-Over_all[[#This Row],[Received]],"")</f>
        <v>0</v>
      </c>
      <c r="H149" s="211" t="str">
        <f>IF(Over_all[[#This Row],[BOQ]]-Over_all[[#This Row],[Received]]&lt;0,Over_all[[#This Row],[BOQ]]-Over_all[[#This Row],[Received]],"")</f>
        <v/>
      </c>
      <c r="I149" s="221"/>
      <c r="J149" s="224">
        <f>Over_all[[#This Row],[Received]]</f>
        <v>0</v>
      </c>
      <c r="K149" s="210">
        <f>SUMIF(ISSUE!$F:$F,Over_all[[#This Row],[Item Description]],ISSUE!$I:$I)</f>
        <v>0</v>
      </c>
      <c r="L149" s="210">
        <f>Over_all[[#This Row],[Received.]]-Over_all[[#This Row],[Issued]]</f>
        <v>0</v>
      </c>
      <c r="M149" s="212"/>
      <c r="N149" s="222"/>
    </row>
    <row r="150" spans="1:14" ht="16" customHeight="1" x14ac:dyDescent="0.35">
      <c r="A150" s="206">
        <f>BOQ[[#This Row],[S.No]]</f>
        <v>0</v>
      </c>
      <c r="B150" s="198">
        <f>BOQ[[#This Row],[Item Description]]</f>
        <v>0</v>
      </c>
      <c r="C150" s="199">
        <f>BOQ[[#This Row],[Make / Vendor]]</f>
        <v>0</v>
      </c>
      <c r="D150" s="199">
        <f>BOQ[[#This Row],[Unit]]</f>
        <v>0</v>
      </c>
      <c r="E150" s="199">
        <f>BOQ[[#This Row],[BOQ]]</f>
        <v>0</v>
      </c>
      <c r="F150" s="200">
        <f>SUMIF('Goods Receipt'!$J:$J,Over_all[[#This Row],[Item Description]],'Goods Receipt'!$M:$M)</f>
        <v>0</v>
      </c>
      <c r="G150" s="210">
        <f>IF(Over_all[[#This Row],[BOQ]]-Over_all[[#This Row],[Received]]&gt;=0,Over_all[[#This Row],[BOQ]]-Over_all[[#This Row],[Received]],"")</f>
        <v>0</v>
      </c>
      <c r="H150" s="211" t="str">
        <f>IF(Over_all[[#This Row],[BOQ]]-Over_all[[#This Row],[Received]]&lt;0,Over_all[[#This Row],[BOQ]]-Over_all[[#This Row],[Received]],"")</f>
        <v/>
      </c>
      <c r="I150" s="221"/>
      <c r="J150" s="224">
        <f>Over_all[[#This Row],[Received]]</f>
        <v>0</v>
      </c>
      <c r="K150" s="210">
        <f>SUMIF(ISSUE!$F:$F,Over_all[[#This Row],[Item Description]],ISSUE!$I:$I)</f>
        <v>0</v>
      </c>
      <c r="L150" s="210">
        <f>Over_all[[#This Row],[Received.]]-Over_all[[#This Row],[Issued]]</f>
        <v>0</v>
      </c>
      <c r="M150" s="212"/>
      <c r="N150" s="222"/>
    </row>
    <row r="151" spans="1:14" ht="16" customHeight="1" x14ac:dyDescent="0.35">
      <c r="A151" s="202" t="str">
        <f>BOQ[[#This Row],[S.No]]</f>
        <v>K</v>
      </c>
      <c r="B151" s="203" t="str">
        <f>BOQ[[#This Row],[Item Description]]</f>
        <v>Cable_Glands</v>
      </c>
      <c r="C151" s="199">
        <f>BOQ[[#This Row],[Make / Vendor]]</f>
        <v>0</v>
      </c>
      <c r="D151" s="199">
        <f>BOQ[[#This Row],[Unit]]</f>
        <v>0</v>
      </c>
      <c r="E151" s="199">
        <f>BOQ[[#This Row],[BOQ]]</f>
        <v>0</v>
      </c>
      <c r="F151" s="200">
        <f>SUMIF('Goods Receipt'!$J:$J,Over_all[[#This Row],[Item Description]],'Goods Receipt'!$M:$M)</f>
        <v>0</v>
      </c>
      <c r="G151" s="210">
        <f>IF(Over_all[[#This Row],[BOQ]]-Over_all[[#This Row],[Received]]&gt;=0,Over_all[[#This Row],[BOQ]]-Over_all[[#This Row],[Received]],"")</f>
        <v>0</v>
      </c>
      <c r="H151" s="211" t="str">
        <f>IF(Over_all[[#This Row],[BOQ]]-Over_all[[#This Row],[Received]]&lt;0,Over_all[[#This Row],[BOQ]]-Over_all[[#This Row],[Received]],"")</f>
        <v/>
      </c>
      <c r="I151" s="221"/>
      <c r="J151" s="224">
        <f>Over_all[[#This Row],[Received]]</f>
        <v>0</v>
      </c>
      <c r="K151" s="210">
        <f>SUMIF(ISSUE!$F:$F,Over_all[[#This Row],[Item Description]],ISSUE!$I:$I)</f>
        <v>0</v>
      </c>
      <c r="L151" s="210">
        <f>Over_all[[#This Row],[Received.]]-Over_all[[#This Row],[Issued]]</f>
        <v>0</v>
      </c>
      <c r="M151" s="212"/>
      <c r="N151" s="222"/>
    </row>
    <row r="152" spans="1:14" ht="16" customHeight="1" x14ac:dyDescent="0.35">
      <c r="A152" s="197">
        <f>BOQ[[#This Row],[S.No]]</f>
        <v>1</v>
      </c>
      <c r="B152" s="198" t="str">
        <f>BOQ[[#This Row],[Item Description]]</f>
        <v>3C X 240 Sq.mm Double Compression Metal Gland</v>
      </c>
      <c r="C152" s="199">
        <f>BOQ[[#This Row],[Make / Vendor]]</f>
        <v>0</v>
      </c>
      <c r="D152" s="199" t="str">
        <f>BOQ[[#This Row],[Unit]]</f>
        <v>Nos</v>
      </c>
      <c r="E152" s="199">
        <f>BOQ[[#This Row],[BOQ]]</f>
        <v>47</v>
      </c>
      <c r="F152" s="200">
        <f>SUMIF('Goods Receipt'!$J:$J,Over_all[[#This Row],[Item Description]],'Goods Receipt'!$M:$M)</f>
        <v>47</v>
      </c>
      <c r="G152" s="210">
        <f>IF(Over_all[[#This Row],[BOQ]]-Over_all[[#This Row],[Received]]&gt;=0,Over_all[[#This Row],[BOQ]]-Over_all[[#This Row],[Received]],"")</f>
        <v>0</v>
      </c>
      <c r="H152" s="211" t="str">
        <f>IF(Over_all[[#This Row],[BOQ]]-Over_all[[#This Row],[Received]]&lt;0,Over_all[[#This Row],[BOQ]]-Over_all[[#This Row],[Received]],"")</f>
        <v/>
      </c>
      <c r="I152" s="221"/>
      <c r="J152" s="224">
        <f>Over_all[[#This Row],[Received]]</f>
        <v>47</v>
      </c>
      <c r="K152" s="210">
        <f>SUMIF(ISSUE!$F:$F,Over_all[[#This Row],[Item Description]],ISSUE!$I:$I)</f>
        <v>0</v>
      </c>
      <c r="L152" s="210">
        <f>Over_all[[#This Row],[Received.]]-Over_all[[#This Row],[Issued]]</f>
        <v>47</v>
      </c>
      <c r="M152" s="212"/>
      <c r="N152" s="222"/>
    </row>
    <row r="153" spans="1:14" ht="16" customHeight="1" x14ac:dyDescent="0.35">
      <c r="A153" s="197">
        <f>BOQ[[#This Row],[S.No]]</f>
        <v>2</v>
      </c>
      <c r="B153" s="198" t="str">
        <f>BOQ[[#This Row],[Item Description]]</f>
        <v>3C X 240 Sq.mm Double Bracing Metal Gland</v>
      </c>
      <c r="C153" s="199">
        <f>BOQ[[#This Row],[Make / Vendor]]</f>
        <v>0</v>
      </c>
      <c r="D153" s="199" t="str">
        <f>BOQ[[#This Row],[Unit]]</f>
        <v>Nos</v>
      </c>
      <c r="E153" s="199">
        <f>BOQ[[#This Row],[BOQ]]</f>
        <v>16</v>
      </c>
      <c r="F153" s="200">
        <f>SUMIF('Goods Receipt'!$J:$J,Over_all[[#This Row],[Item Description]],'Goods Receipt'!$M:$M)</f>
        <v>16</v>
      </c>
      <c r="G153" s="210">
        <f>IF(Over_all[[#This Row],[BOQ]]-Over_all[[#This Row],[Received]]&gt;=0,Over_all[[#This Row],[BOQ]]-Over_all[[#This Row],[Received]],"")</f>
        <v>0</v>
      </c>
      <c r="H153" s="211" t="str">
        <f>IF(Over_all[[#This Row],[BOQ]]-Over_all[[#This Row],[Received]]&lt;0,Over_all[[#This Row],[BOQ]]-Over_all[[#This Row],[Received]],"")</f>
        <v/>
      </c>
      <c r="I153" s="221"/>
      <c r="J153" s="224">
        <f>Over_all[[#This Row],[Received]]</f>
        <v>16</v>
      </c>
      <c r="K153" s="210">
        <f>SUMIF(ISSUE!$F:$F,Over_all[[#This Row],[Item Description]],ISSUE!$I:$I)</f>
        <v>0</v>
      </c>
      <c r="L153" s="210">
        <f>Over_all[[#This Row],[Received.]]-Over_all[[#This Row],[Issued]]</f>
        <v>16</v>
      </c>
      <c r="M153" s="212"/>
      <c r="N153" s="222"/>
    </row>
    <row r="154" spans="1:14" ht="16" customHeight="1" x14ac:dyDescent="0.35">
      <c r="A154" s="197">
        <f>BOQ[[#This Row],[S.No]]</f>
        <v>3</v>
      </c>
      <c r="B154" s="198" t="str">
        <f>BOQ[[#This Row],[Item Description]]</f>
        <v>3C X 35 Sq.mm Double Bracing Metal Gland</v>
      </c>
      <c r="C154" s="199">
        <f>BOQ[[#This Row],[Make / Vendor]]</f>
        <v>0</v>
      </c>
      <c r="D154" s="199" t="str">
        <f>BOQ[[#This Row],[Unit]]</f>
        <v>Nos</v>
      </c>
      <c r="E154" s="199">
        <f>BOQ[[#This Row],[BOQ]]</f>
        <v>6</v>
      </c>
      <c r="F154" s="200">
        <f>SUMIF('Goods Receipt'!$J:$J,Over_all[[#This Row],[Item Description]],'Goods Receipt'!$M:$M)</f>
        <v>6</v>
      </c>
      <c r="G154" s="210">
        <f>IF(Over_all[[#This Row],[BOQ]]-Over_all[[#This Row],[Received]]&gt;=0,Over_all[[#This Row],[BOQ]]-Over_all[[#This Row],[Received]],"")</f>
        <v>0</v>
      </c>
      <c r="H154" s="211" t="str">
        <f>IF(Over_all[[#This Row],[BOQ]]-Over_all[[#This Row],[Received]]&lt;0,Over_all[[#This Row],[BOQ]]-Over_all[[#This Row],[Received]],"")</f>
        <v/>
      </c>
      <c r="I154" s="221"/>
      <c r="J154" s="224">
        <f>Over_all[[#This Row],[Received]]</f>
        <v>6</v>
      </c>
      <c r="K154" s="210">
        <f>SUMIF(ISSUE!$F:$F,Over_all[[#This Row],[Item Description]],ISSUE!$I:$I)</f>
        <v>0</v>
      </c>
      <c r="L154" s="210">
        <f>Over_all[[#This Row],[Received.]]-Over_all[[#This Row],[Issued]]</f>
        <v>6</v>
      </c>
      <c r="M154" s="212"/>
      <c r="N154" s="222"/>
    </row>
    <row r="155" spans="1:14" ht="16" customHeight="1" x14ac:dyDescent="0.35">
      <c r="A155" s="197">
        <f>BOQ[[#This Row],[S.No]]</f>
        <v>4</v>
      </c>
      <c r="B155" s="198" t="str">
        <f>BOQ[[#This Row],[Item Description]]</f>
        <v>2C X 6 Sq.mm Double Bracing Metal Gland</v>
      </c>
      <c r="C155" s="199">
        <f>BOQ[[#This Row],[Make / Vendor]]</f>
        <v>0</v>
      </c>
      <c r="D155" s="199" t="str">
        <f>BOQ[[#This Row],[Unit]]</f>
        <v>Nos</v>
      </c>
      <c r="E155" s="199">
        <f>BOQ[[#This Row],[BOQ]]</f>
        <v>10</v>
      </c>
      <c r="F155" s="200">
        <f>SUMIF('Goods Receipt'!$J:$J,Over_all[[#This Row],[Item Description]],'Goods Receipt'!$M:$M)</f>
        <v>10</v>
      </c>
      <c r="G155" s="210">
        <f>IF(Over_all[[#This Row],[BOQ]]-Over_all[[#This Row],[Received]]&gt;=0,Over_all[[#This Row],[BOQ]]-Over_all[[#This Row],[Received]],"")</f>
        <v>0</v>
      </c>
      <c r="H155" s="211" t="str">
        <f>IF(Over_all[[#This Row],[BOQ]]-Over_all[[#This Row],[Received]]&lt;0,Over_all[[#This Row],[BOQ]]-Over_all[[#This Row],[Received]],"")</f>
        <v/>
      </c>
      <c r="I155" s="221"/>
      <c r="J155" s="224">
        <f>Over_all[[#This Row],[Received]]</f>
        <v>10</v>
      </c>
      <c r="K155" s="210">
        <f>SUMIF(ISSUE!$F:$F,Over_all[[#This Row],[Item Description]],ISSUE!$I:$I)</f>
        <v>0</v>
      </c>
      <c r="L155" s="210">
        <f>Over_all[[#This Row],[Received.]]-Over_all[[#This Row],[Issued]]</f>
        <v>10</v>
      </c>
      <c r="M155" s="212"/>
      <c r="N155" s="222"/>
    </row>
    <row r="156" spans="1:14" ht="16" customHeight="1" x14ac:dyDescent="0.35">
      <c r="A156" s="197">
        <f>BOQ[[#This Row],[S.No]]</f>
        <v>5</v>
      </c>
      <c r="B156" s="198" t="str">
        <f>BOQ[[#This Row],[Item Description]]</f>
        <v>4C X 6 Sq.mm Double Bracing Metal Gland</v>
      </c>
      <c r="C156" s="199">
        <f>BOQ[[#This Row],[Make / Vendor]]</f>
        <v>0</v>
      </c>
      <c r="D156" s="199" t="str">
        <f>BOQ[[#This Row],[Unit]]</f>
        <v>Nos</v>
      </c>
      <c r="E156" s="199">
        <f>BOQ[[#This Row],[BOQ]]</f>
        <v>290</v>
      </c>
      <c r="F156" s="200">
        <f>SUMIF('Goods Receipt'!$J:$J,Over_all[[#This Row],[Item Description]],'Goods Receipt'!$M:$M)</f>
        <v>290</v>
      </c>
      <c r="G156" s="210">
        <f>IF(Over_all[[#This Row],[BOQ]]-Over_all[[#This Row],[Received]]&gt;=0,Over_all[[#This Row],[BOQ]]-Over_all[[#This Row],[Received]],"")</f>
        <v>0</v>
      </c>
      <c r="H156" s="211" t="str">
        <f>IF(Over_all[[#This Row],[BOQ]]-Over_all[[#This Row],[Received]]&lt;0,Over_all[[#This Row],[BOQ]]-Over_all[[#This Row],[Received]],"")</f>
        <v/>
      </c>
      <c r="I156" s="221"/>
      <c r="J156" s="224">
        <f>Over_all[[#This Row],[Received]]</f>
        <v>290</v>
      </c>
      <c r="K156" s="210">
        <f>SUMIF(ISSUE!$F:$F,Over_all[[#This Row],[Item Description]],ISSUE!$I:$I)</f>
        <v>0</v>
      </c>
      <c r="L156" s="210">
        <f>Over_all[[#This Row],[Received.]]-Over_all[[#This Row],[Issued]]</f>
        <v>290</v>
      </c>
      <c r="M156" s="212"/>
      <c r="N156" s="222"/>
    </row>
    <row r="157" spans="1:14" ht="16" customHeight="1" x14ac:dyDescent="0.35">
      <c r="A157" s="197">
        <f>BOQ[[#This Row],[S.No]]</f>
        <v>6</v>
      </c>
      <c r="B157" s="198" t="str">
        <f>BOQ[[#This Row],[Item Description]]</f>
        <v>2C X 4.0 Sq.mm PVC Gland</v>
      </c>
      <c r="C157" s="199">
        <f>BOQ[[#This Row],[Make / Vendor]]</f>
        <v>0</v>
      </c>
      <c r="D157" s="199" t="str">
        <f>BOQ[[#This Row],[Unit]]</f>
        <v>Nos</v>
      </c>
      <c r="E157" s="199">
        <f>BOQ[[#This Row],[BOQ]]</f>
        <v>20</v>
      </c>
      <c r="F157" s="200">
        <f>SUMIF('Goods Receipt'!$J:$J,Over_all[[#This Row],[Item Description]],'Goods Receipt'!$M:$M)</f>
        <v>20</v>
      </c>
      <c r="G157" s="210">
        <f>IF(Over_all[[#This Row],[BOQ]]-Over_all[[#This Row],[Received]]&gt;=0,Over_all[[#This Row],[BOQ]]-Over_all[[#This Row],[Received]],"")</f>
        <v>0</v>
      </c>
      <c r="H157" s="211" t="str">
        <f>IF(Over_all[[#This Row],[BOQ]]-Over_all[[#This Row],[Received]]&lt;0,Over_all[[#This Row],[BOQ]]-Over_all[[#This Row],[Received]],"")</f>
        <v/>
      </c>
      <c r="I157" s="221"/>
      <c r="J157" s="224">
        <f>Over_all[[#This Row],[Received]]</f>
        <v>20</v>
      </c>
      <c r="K157" s="210">
        <f>SUMIF(ISSUE!$F:$F,Over_all[[#This Row],[Item Description]],ISSUE!$I:$I)</f>
        <v>0</v>
      </c>
      <c r="L157" s="210">
        <f>Over_all[[#This Row],[Received.]]-Over_all[[#This Row],[Issued]]</f>
        <v>20</v>
      </c>
      <c r="M157" s="212"/>
      <c r="N157" s="222"/>
    </row>
    <row r="158" spans="1:14" ht="16" customHeight="1" x14ac:dyDescent="0.35">
      <c r="A158" s="197">
        <f>BOQ[[#This Row],[S.No]]</f>
        <v>7</v>
      </c>
      <c r="B158" s="198" t="str">
        <f>BOQ[[#This Row],[Item Description]]</f>
        <v>2C X 2.5 Sq.mm PVC Gland</v>
      </c>
      <c r="C158" s="199">
        <f>BOQ[[#This Row],[Make / Vendor]]</f>
        <v>0</v>
      </c>
      <c r="D158" s="199" t="str">
        <f>BOQ[[#This Row],[Unit]]</f>
        <v>Nos</v>
      </c>
      <c r="E158" s="199">
        <f>BOQ[[#This Row],[BOQ]]</f>
        <v>30</v>
      </c>
      <c r="F158" s="200">
        <f>SUMIF('Goods Receipt'!$J:$J,Over_all[[#This Row],[Item Description]],'Goods Receipt'!$M:$M)</f>
        <v>30</v>
      </c>
      <c r="G158" s="210">
        <f>IF(Over_all[[#This Row],[BOQ]]-Over_all[[#This Row],[Received]]&gt;=0,Over_all[[#This Row],[BOQ]]-Over_all[[#This Row],[Received]],"")</f>
        <v>0</v>
      </c>
      <c r="H158" s="211" t="str">
        <f>IF(Over_all[[#This Row],[BOQ]]-Over_all[[#This Row],[Received]]&lt;0,Over_all[[#This Row],[BOQ]]-Over_all[[#This Row],[Received]],"")</f>
        <v/>
      </c>
      <c r="I158" s="221"/>
      <c r="J158" s="224">
        <f>Over_all[[#This Row],[Received]]</f>
        <v>30</v>
      </c>
      <c r="K158" s="210">
        <f>SUMIF(ISSUE!$F:$F,Over_all[[#This Row],[Item Description]],ISSUE!$I:$I)</f>
        <v>0</v>
      </c>
      <c r="L158" s="210">
        <f>Over_all[[#This Row],[Received.]]-Over_all[[#This Row],[Issued]]</f>
        <v>30</v>
      </c>
      <c r="M158" s="212"/>
      <c r="N158" s="222"/>
    </row>
    <row r="159" spans="1:14" ht="16" customHeight="1" x14ac:dyDescent="0.35">
      <c r="A159" s="197">
        <f>BOQ[[#This Row],[S.No]]</f>
        <v>8</v>
      </c>
      <c r="B159" s="198" t="str">
        <f>BOQ[[#This Row],[Item Description]]</f>
        <v>12C X 2.5 Sq.mm PVC Gland</v>
      </c>
      <c r="C159" s="199">
        <f>BOQ[[#This Row],[Make / Vendor]]</f>
        <v>0</v>
      </c>
      <c r="D159" s="199" t="str">
        <f>BOQ[[#This Row],[Unit]]</f>
        <v>Nos</v>
      </c>
      <c r="E159" s="199">
        <f>BOQ[[#This Row],[BOQ]]</f>
        <v>30</v>
      </c>
      <c r="F159" s="200">
        <f>SUMIF('Goods Receipt'!$J:$J,Over_all[[#This Row],[Item Description]],'Goods Receipt'!$M:$M)</f>
        <v>30</v>
      </c>
      <c r="G159" s="210">
        <f>IF(Over_all[[#This Row],[BOQ]]-Over_all[[#This Row],[Received]]&gt;=0,Over_all[[#This Row],[BOQ]]-Over_all[[#This Row],[Received]],"")</f>
        <v>0</v>
      </c>
      <c r="H159" s="211" t="str">
        <f>IF(Over_all[[#This Row],[BOQ]]-Over_all[[#This Row],[Received]]&lt;0,Over_all[[#This Row],[BOQ]]-Over_all[[#This Row],[Received]],"")</f>
        <v/>
      </c>
      <c r="I159" s="221"/>
      <c r="J159" s="224">
        <f>Over_all[[#This Row],[Received]]</f>
        <v>30</v>
      </c>
      <c r="K159" s="210">
        <f>SUMIF(ISSUE!$F:$F,Over_all[[#This Row],[Item Description]],ISSUE!$I:$I)</f>
        <v>0</v>
      </c>
      <c r="L159" s="210">
        <f>Over_all[[#This Row],[Received.]]-Over_all[[#This Row],[Issued]]</f>
        <v>30</v>
      </c>
      <c r="M159" s="212"/>
      <c r="N159" s="222"/>
    </row>
    <row r="160" spans="1:14" ht="16" customHeight="1" x14ac:dyDescent="0.35">
      <c r="A160" s="206">
        <f>BOQ[[#This Row],[S.No]]</f>
        <v>0</v>
      </c>
      <c r="B160" s="198">
        <f>BOQ[[#This Row],[Item Description]]</f>
        <v>0</v>
      </c>
      <c r="C160" s="199">
        <f>BOQ[[#This Row],[Make / Vendor]]</f>
        <v>0</v>
      </c>
      <c r="D160" s="199">
        <f>BOQ[[#This Row],[Unit]]</f>
        <v>0</v>
      </c>
      <c r="E160" s="199">
        <f>BOQ[[#This Row],[BOQ]]</f>
        <v>0</v>
      </c>
      <c r="F160" s="200">
        <f>SUMIF('Goods Receipt'!$J:$J,Over_all[[#This Row],[Item Description]],'Goods Receipt'!$M:$M)</f>
        <v>0</v>
      </c>
      <c r="G160" s="210">
        <f>IF(Over_all[[#This Row],[BOQ]]-Over_all[[#This Row],[Received]]&gt;=0,Over_all[[#This Row],[BOQ]]-Over_all[[#This Row],[Received]],"")</f>
        <v>0</v>
      </c>
      <c r="H160" s="211" t="str">
        <f>IF(Over_all[[#This Row],[BOQ]]-Over_all[[#This Row],[Received]]&lt;0,Over_all[[#This Row],[BOQ]]-Over_all[[#This Row],[Received]],"")</f>
        <v/>
      </c>
      <c r="I160" s="221"/>
      <c r="J160" s="224">
        <f>Over_all[[#This Row],[Received]]</f>
        <v>0</v>
      </c>
      <c r="K160" s="210">
        <f>SUMIF(ISSUE!$F:$F,Over_all[[#This Row],[Item Description]],ISSUE!$I:$I)</f>
        <v>0</v>
      </c>
      <c r="L160" s="210">
        <f>Over_all[[#This Row],[Received.]]-Over_all[[#This Row],[Issued]]</f>
        <v>0</v>
      </c>
      <c r="M160" s="212"/>
      <c r="N160" s="222"/>
    </row>
    <row r="161" spans="1:14" ht="16" customHeight="1" x14ac:dyDescent="0.35">
      <c r="A161" s="202" t="str">
        <f>BOQ[[#This Row],[S.No]]</f>
        <v>L</v>
      </c>
      <c r="B161" s="203" t="str">
        <f>BOQ[[#This Row],[Item Description]]</f>
        <v>Cable_Termination_Kit</v>
      </c>
      <c r="C161" s="199">
        <f>BOQ[[#This Row],[Make / Vendor]]</f>
        <v>0</v>
      </c>
      <c r="D161" s="199">
        <f>BOQ[[#This Row],[Unit]]</f>
        <v>0</v>
      </c>
      <c r="E161" s="199">
        <f>BOQ[[#This Row],[BOQ]]</f>
        <v>0</v>
      </c>
      <c r="F161" s="200">
        <f>SUMIF('Goods Receipt'!$J:$J,Over_all[[#This Row],[Item Description]],'Goods Receipt'!$M:$M)</f>
        <v>0</v>
      </c>
      <c r="G161" s="210">
        <f>IF(Over_all[[#This Row],[BOQ]]-Over_all[[#This Row],[Received]]&gt;=0,Over_all[[#This Row],[BOQ]]-Over_all[[#This Row],[Received]],"")</f>
        <v>0</v>
      </c>
      <c r="H161" s="211" t="str">
        <f>IF(Over_all[[#This Row],[BOQ]]-Over_all[[#This Row],[Received]]&lt;0,Over_all[[#This Row],[BOQ]]-Over_all[[#This Row],[Received]],"")</f>
        <v/>
      </c>
      <c r="I161" s="221"/>
      <c r="J161" s="224">
        <f>Over_all[[#This Row],[Received]]</f>
        <v>0</v>
      </c>
      <c r="K161" s="210">
        <f>SUMIF(ISSUE!$F:$F,Over_all[[#This Row],[Item Description]],ISSUE!$I:$I)</f>
        <v>0</v>
      </c>
      <c r="L161" s="210">
        <f>Over_all[[#This Row],[Received.]]-Over_all[[#This Row],[Issued]]</f>
        <v>0</v>
      </c>
      <c r="M161" s="212"/>
      <c r="N161" s="222"/>
    </row>
    <row r="162" spans="1:14" ht="16" customHeight="1" x14ac:dyDescent="0.35">
      <c r="A162" s="197">
        <f>BOQ[[#This Row],[S.No]]</f>
        <v>1</v>
      </c>
      <c r="B162" s="198" t="str">
        <f>BOQ[[#This Row],[Item Description]]</f>
        <v>3C X 240 Sq.mm Indoor Typr Termination Kit</v>
      </c>
      <c r="C162" s="199">
        <f>BOQ[[#This Row],[Make / Vendor]]</f>
        <v>0</v>
      </c>
      <c r="D162" s="199" t="str">
        <f>BOQ[[#This Row],[Unit]]</f>
        <v>Nos</v>
      </c>
      <c r="E162" s="199">
        <f>BOQ[[#This Row],[BOQ]]</f>
        <v>16</v>
      </c>
      <c r="F162" s="200">
        <f>SUMIF('Goods Receipt'!$J:$J,Over_all[[#This Row],[Item Description]],'Goods Receipt'!$M:$M)</f>
        <v>16</v>
      </c>
      <c r="G162" s="210">
        <f>IF(Over_all[[#This Row],[BOQ]]-Over_all[[#This Row],[Received]]&gt;=0,Over_all[[#This Row],[BOQ]]-Over_all[[#This Row],[Received]],"")</f>
        <v>0</v>
      </c>
      <c r="H162" s="211" t="str">
        <f>IF(Over_all[[#This Row],[BOQ]]-Over_all[[#This Row],[Received]]&lt;0,Over_all[[#This Row],[BOQ]]-Over_all[[#This Row],[Received]],"")</f>
        <v/>
      </c>
      <c r="I162" s="221"/>
      <c r="J162" s="224">
        <f>Over_all[[#This Row],[Received]]</f>
        <v>16</v>
      </c>
      <c r="K162" s="210">
        <f>SUMIF(ISSUE!$F:$F,Over_all[[#This Row],[Item Description]],ISSUE!$I:$I)</f>
        <v>0</v>
      </c>
      <c r="L162" s="210">
        <f>Over_all[[#This Row],[Received.]]-Over_all[[#This Row],[Issued]]</f>
        <v>16</v>
      </c>
      <c r="M162" s="212"/>
      <c r="N162" s="222"/>
    </row>
    <row r="163" spans="1:14" ht="16" customHeight="1" x14ac:dyDescent="0.35">
      <c r="A163" s="206">
        <f>BOQ[[#This Row],[S.No]]</f>
        <v>0</v>
      </c>
      <c r="B163" s="198">
        <f>BOQ[[#This Row],[Item Description]]</f>
        <v>0</v>
      </c>
      <c r="C163" s="199">
        <f>BOQ[[#This Row],[Make / Vendor]]</f>
        <v>0</v>
      </c>
      <c r="D163" s="199">
        <f>BOQ[[#This Row],[Unit]]</f>
        <v>0</v>
      </c>
      <c r="E163" s="199">
        <f>BOQ[[#This Row],[BOQ]]</f>
        <v>0</v>
      </c>
      <c r="F163" s="200">
        <f>SUMIF('Goods Receipt'!$J:$J,Over_all[[#This Row],[Item Description]],'Goods Receipt'!$M:$M)</f>
        <v>0</v>
      </c>
      <c r="G163" s="210">
        <f>IF(Over_all[[#This Row],[BOQ]]-Over_all[[#This Row],[Received]]&gt;=0,Over_all[[#This Row],[BOQ]]-Over_all[[#This Row],[Received]],"")</f>
        <v>0</v>
      </c>
      <c r="H163" s="211" t="str">
        <f>IF(Over_all[[#This Row],[BOQ]]-Over_all[[#This Row],[Received]]&lt;0,Over_all[[#This Row],[BOQ]]-Over_all[[#This Row],[Received]],"")</f>
        <v/>
      </c>
      <c r="I163" s="221"/>
      <c r="J163" s="224">
        <f>Over_all[[#This Row],[Received]]</f>
        <v>0</v>
      </c>
      <c r="K163" s="210">
        <f>SUMIF(ISSUE!$F:$F,Over_all[[#This Row],[Item Description]],ISSUE!$I:$I)</f>
        <v>0</v>
      </c>
      <c r="L163" s="210">
        <f>Over_all[[#This Row],[Received.]]-Over_all[[#This Row],[Issued]]</f>
        <v>0</v>
      </c>
      <c r="M163" s="212"/>
      <c r="N163" s="222"/>
    </row>
    <row r="164" spans="1:14" ht="16" customHeight="1" x14ac:dyDescent="0.35">
      <c r="A164" s="202" t="str">
        <f>BOQ[[#This Row],[S.No]]</f>
        <v>M</v>
      </c>
      <c r="B164" s="203" t="str">
        <f>BOQ[[#This Row],[Item Description]]</f>
        <v>Cable_Lugs</v>
      </c>
      <c r="C164" s="199">
        <f>BOQ[[#This Row],[Make / Vendor]]</f>
        <v>0</v>
      </c>
      <c r="D164" s="199">
        <f>BOQ[[#This Row],[Unit]]</f>
        <v>0</v>
      </c>
      <c r="E164" s="199">
        <f>BOQ[[#This Row],[BOQ]]</f>
        <v>0</v>
      </c>
      <c r="F164" s="200">
        <f>SUMIF('Goods Receipt'!$J:$J,Over_all[[#This Row],[Item Description]],'Goods Receipt'!$M:$M)</f>
        <v>0</v>
      </c>
      <c r="G164" s="210">
        <f>IF(Over_all[[#This Row],[BOQ]]-Over_all[[#This Row],[Received]]&gt;=0,Over_all[[#This Row],[BOQ]]-Over_all[[#This Row],[Received]],"")</f>
        <v>0</v>
      </c>
      <c r="H164" s="211" t="str">
        <f>IF(Over_all[[#This Row],[BOQ]]-Over_all[[#This Row],[Received]]&lt;0,Over_all[[#This Row],[BOQ]]-Over_all[[#This Row],[Received]],"")</f>
        <v/>
      </c>
      <c r="I164" s="221"/>
      <c r="J164" s="224">
        <f>Over_all[[#This Row],[Received]]</f>
        <v>0</v>
      </c>
      <c r="K164" s="210">
        <f>SUMIF(ISSUE!$F:$F,Over_all[[#This Row],[Item Description]],ISSUE!$I:$I)</f>
        <v>0</v>
      </c>
      <c r="L164" s="210">
        <f>Over_all[[#This Row],[Received.]]-Over_all[[#This Row],[Issued]]</f>
        <v>0</v>
      </c>
      <c r="M164" s="212"/>
      <c r="N164" s="222"/>
    </row>
    <row r="165" spans="1:14" ht="16" customHeight="1" x14ac:dyDescent="0.35">
      <c r="A165" s="197">
        <f>BOQ[[#This Row],[S.No]]</f>
        <v>1</v>
      </c>
      <c r="B165" s="198" t="str">
        <f>BOQ[[#This Row],[Item Description]]</f>
        <v>3C X 240 Sq.mm Bi Metallic Lug</v>
      </c>
      <c r="C165" s="199">
        <f>BOQ[[#This Row],[Make / Vendor]]</f>
        <v>0</v>
      </c>
      <c r="D165" s="199" t="str">
        <f>BOQ[[#This Row],[Unit]]</f>
        <v>Nos</v>
      </c>
      <c r="E165" s="199">
        <f>BOQ[[#This Row],[BOQ]]</f>
        <v>142</v>
      </c>
      <c r="F165" s="200">
        <f>SUMIF('Goods Receipt'!$J:$J,Over_all[[#This Row],[Item Description]],'Goods Receipt'!$M:$M)</f>
        <v>142</v>
      </c>
      <c r="G165" s="210">
        <f>IF(Over_all[[#This Row],[BOQ]]-Over_all[[#This Row],[Received]]&gt;=0,Over_all[[#This Row],[BOQ]]-Over_all[[#This Row],[Received]],"")</f>
        <v>0</v>
      </c>
      <c r="H165" s="211" t="str">
        <f>IF(Over_all[[#This Row],[BOQ]]-Over_all[[#This Row],[Received]]&lt;0,Over_all[[#This Row],[BOQ]]-Over_all[[#This Row],[Received]],"")</f>
        <v/>
      </c>
      <c r="I165" s="221"/>
      <c r="J165" s="224">
        <f>Over_all[[#This Row],[Received]]</f>
        <v>142</v>
      </c>
      <c r="K165" s="210">
        <f>SUMIF(ISSUE!$F:$F,Over_all[[#This Row],[Item Description]],ISSUE!$I:$I)</f>
        <v>0</v>
      </c>
      <c r="L165" s="210">
        <f>Over_all[[#This Row],[Received.]]-Over_all[[#This Row],[Issued]]</f>
        <v>142</v>
      </c>
      <c r="M165" s="212"/>
      <c r="N165" s="222"/>
    </row>
    <row r="166" spans="1:14" ht="16" customHeight="1" x14ac:dyDescent="0.35">
      <c r="A166" s="197">
        <f>BOQ[[#This Row],[S.No]]</f>
        <v>2</v>
      </c>
      <c r="B166" s="198" t="str">
        <f>BOQ[[#This Row],[Item Description]]</f>
        <v>3C X 240Sq.mm Aluminium Lug</v>
      </c>
      <c r="C166" s="199">
        <f>BOQ[[#This Row],[Make / Vendor]]</f>
        <v>0</v>
      </c>
      <c r="D166" s="199" t="str">
        <f>BOQ[[#This Row],[Unit]]</f>
        <v>Nos</v>
      </c>
      <c r="E166" s="199">
        <f>BOQ[[#This Row],[BOQ]]</f>
        <v>142</v>
      </c>
      <c r="F166" s="200">
        <f>SUMIF('Goods Receipt'!$J:$J,Over_all[[#This Row],[Item Description]],'Goods Receipt'!$M:$M)</f>
        <v>142</v>
      </c>
      <c r="G166" s="210">
        <f>IF(Over_all[[#This Row],[BOQ]]-Over_all[[#This Row],[Received]]&gt;=0,Over_all[[#This Row],[BOQ]]-Over_all[[#This Row],[Received]],"")</f>
        <v>0</v>
      </c>
      <c r="H166" s="211" t="str">
        <f>IF(Over_all[[#This Row],[BOQ]]-Over_all[[#This Row],[Received]]&lt;0,Over_all[[#This Row],[BOQ]]-Over_all[[#This Row],[Received]],"")</f>
        <v/>
      </c>
      <c r="I166" s="221"/>
      <c r="J166" s="224">
        <f>Over_all[[#This Row],[Received]]</f>
        <v>142</v>
      </c>
      <c r="K166" s="210">
        <f>SUMIF(ISSUE!$F:$F,Over_all[[#This Row],[Item Description]],ISSUE!$I:$I)</f>
        <v>0</v>
      </c>
      <c r="L166" s="210">
        <f>Over_all[[#This Row],[Received.]]-Over_all[[#This Row],[Issued]]</f>
        <v>142</v>
      </c>
      <c r="M166" s="212"/>
      <c r="N166" s="222"/>
    </row>
    <row r="167" spans="1:14" ht="16" customHeight="1" x14ac:dyDescent="0.35">
      <c r="A167" s="197">
        <f>BOQ[[#This Row],[S.No]]</f>
        <v>3</v>
      </c>
      <c r="B167" s="198" t="str">
        <f>BOQ[[#This Row],[Item Description]]</f>
        <v>1C X 50Sq.mm Copper Lug</v>
      </c>
      <c r="C167" s="199">
        <f>BOQ[[#This Row],[Make / Vendor]]</f>
        <v>0</v>
      </c>
      <c r="D167" s="199" t="str">
        <f>BOQ[[#This Row],[Unit]]</f>
        <v>Nos</v>
      </c>
      <c r="E167" s="199">
        <f>BOQ[[#This Row],[BOQ]]</f>
        <v>200</v>
      </c>
      <c r="F167" s="200">
        <f>SUMIF('Goods Receipt'!$J:$J,Over_all[[#This Row],[Item Description]],'Goods Receipt'!$M:$M)</f>
        <v>200</v>
      </c>
      <c r="G167" s="210">
        <f>IF(Over_all[[#This Row],[BOQ]]-Over_all[[#This Row],[Received]]&gt;=0,Over_all[[#This Row],[BOQ]]-Over_all[[#This Row],[Received]],"")</f>
        <v>0</v>
      </c>
      <c r="H167" s="211" t="str">
        <f>IF(Over_all[[#This Row],[BOQ]]-Over_all[[#This Row],[Received]]&lt;0,Over_all[[#This Row],[BOQ]]-Over_all[[#This Row],[Received]],"")</f>
        <v/>
      </c>
      <c r="I167" s="221"/>
      <c r="J167" s="224">
        <f>Over_all[[#This Row],[Received]]</f>
        <v>200</v>
      </c>
      <c r="K167" s="210">
        <f>SUMIF(ISSUE!$F:$F,Over_all[[#This Row],[Item Description]],ISSUE!$I:$I)</f>
        <v>0</v>
      </c>
      <c r="L167" s="210">
        <f>Over_all[[#This Row],[Received.]]-Over_all[[#This Row],[Issued]]</f>
        <v>200</v>
      </c>
      <c r="M167" s="212"/>
      <c r="N167" s="222"/>
    </row>
    <row r="168" spans="1:14" ht="16" customHeight="1" x14ac:dyDescent="0.35">
      <c r="A168" s="197">
        <f>BOQ[[#This Row],[S.No]]</f>
        <v>4</v>
      </c>
      <c r="B168" s="198" t="str">
        <f>BOQ[[#This Row],[Item Description]]</f>
        <v>4.0 Sq.mm Cu Ring Type Lug</v>
      </c>
      <c r="C168" s="199">
        <f>BOQ[[#This Row],[Make / Vendor]]</f>
        <v>0</v>
      </c>
      <c r="D168" s="199" t="str">
        <f>BOQ[[#This Row],[Unit]]</f>
        <v>Nos</v>
      </c>
      <c r="E168" s="199">
        <f>BOQ[[#This Row],[BOQ]]</f>
        <v>0</v>
      </c>
      <c r="F168" s="200">
        <f>SUMIF('Goods Receipt'!$J:$J,Over_all[[#This Row],[Item Description]],'Goods Receipt'!$M:$M)</f>
        <v>30</v>
      </c>
      <c r="G168" s="210" t="str">
        <f>IF(Over_all[[#This Row],[BOQ]]-Over_all[[#This Row],[Received]]&gt;=0,Over_all[[#This Row],[BOQ]]-Over_all[[#This Row],[Received]],"")</f>
        <v/>
      </c>
      <c r="H168" s="211">
        <f>IF(Over_all[[#This Row],[BOQ]]-Over_all[[#This Row],[Received]]&lt;0,Over_all[[#This Row],[BOQ]]-Over_all[[#This Row],[Received]],"")</f>
        <v>-30</v>
      </c>
      <c r="I168" s="221"/>
      <c r="J168" s="224">
        <f>Over_all[[#This Row],[Received]]</f>
        <v>30</v>
      </c>
      <c r="K168" s="210">
        <f>SUMIF(ISSUE!$F:$F,Over_all[[#This Row],[Item Description]],ISSUE!$I:$I)</f>
        <v>0</v>
      </c>
      <c r="L168" s="210">
        <f>Over_all[[#This Row],[Received.]]-Over_all[[#This Row],[Issued]]</f>
        <v>30</v>
      </c>
      <c r="M168" s="212"/>
      <c r="N168" s="222"/>
    </row>
    <row r="169" spans="1:14" ht="16" customHeight="1" x14ac:dyDescent="0.35">
      <c r="A169" s="197">
        <f>BOQ[[#This Row],[S.No]]</f>
        <v>5</v>
      </c>
      <c r="B169" s="198" t="str">
        <f>BOQ[[#This Row],[Item Description]]</f>
        <v>1C X 4.0 Sq.mm Cu Copper Lug</v>
      </c>
      <c r="C169" s="199">
        <f>BOQ[[#This Row],[Make / Vendor]]</f>
        <v>0</v>
      </c>
      <c r="D169" s="199" t="str">
        <f>BOQ[[#This Row],[Unit]]</f>
        <v>Nos</v>
      </c>
      <c r="E169" s="199">
        <f>BOQ[[#This Row],[BOQ]]</f>
        <v>0</v>
      </c>
      <c r="F169" s="200">
        <f>SUMIF('Goods Receipt'!$J:$J,Over_all[[#This Row],[Item Description]],'Goods Receipt'!$M:$M)</f>
        <v>15</v>
      </c>
      <c r="G169" s="210" t="str">
        <f>IF(Over_all[[#This Row],[BOQ]]-Over_all[[#This Row],[Received]]&gt;=0,Over_all[[#This Row],[BOQ]]-Over_all[[#This Row],[Received]],"")</f>
        <v/>
      </c>
      <c r="H169" s="211">
        <f>IF(Over_all[[#This Row],[BOQ]]-Over_all[[#This Row],[Received]]&lt;0,Over_all[[#This Row],[BOQ]]-Over_all[[#This Row],[Received]],"")</f>
        <v>-15</v>
      </c>
      <c r="I169" s="221"/>
      <c r="J169" s="224">
        <f>Over_all[[#This Row],[Received]]</f>
        <v>15</v>
      </c>
      <c r="K169" s="210">
        <f>SUMIF(ISSUE!$F:$F,Over_all[[#This Row],[Item Description]],ISSUE!$I:$I)</f>
        <v>0</v>
      </c>
      <c r="L169" s="210">
        <f>Over_all[[#This Row],[Received.]]-Over_all[[#This Row],[Issued]]</f>
        <v>15</v>
      </c>
      <c r="M169" s="212"/>
      <c r="N169" s="222"/>
    </row>
    <row r="170" spans="1:14" ht="16" customHeight="1" x14ac:dyDescent="0.35">
      <c r="A170" s="197">
        <f>BOQ[[#This Row],[S.No]]</f>
        <v>6</v>
      </c>
      <c r="B170" s="198" t="str">
        <f>BOQ[[#This Row],[Item Description]]</f>
        <v xml:space="preserve">35 Sq.mm Al Ring Type Lug </v>
      </c>
      <c r="C170" s="199">
        <f>BOQ[[#This Row],[Make / Vendor]]</f>
        <v>0</v>
      </c>
      <c r="D170" s="199" t="str">
        <f>BOQ[[#This Row],[Unit]]</f>
        <v>Nos</v>
      </c>
      <c r="E170" s="199">
        <f>BOQ[[#This Row],[BOQ]]</f>
        <v>15</v>
      </c>
      <c r="F170" s="200">
        <f>SUMIF('Goods Receipt'!$J:$J,Over_all[[#This Row],[Item Description]],'Goods Receipt'!$M:$M)</f>
        <v>15</v>
      </c>
      <c r="G170" s="210">
        <f>IF(Over_all[[#This Row],[BOQ]]-Over_all[[#This Row],[Received]]&gt;=0,Over_all[[#This Row],[BOQ]]-Over_all[[#This Row],[Received]],"")</f>
        <v>0</v>
      </c>
      <c r="H170" s="211" t="str">
        <f>IF(Over_all[[#This Row],[BOQ]]-Over_all[[#This Row],[Received]]&lt;0,Over_all[[#This Row],[BOQ]]-Over_all[[#This Row],[Received]],"")</f>
        <v/>
      </c>
      <c r="I170" s="221"/>
      <c r="J170" s="224">
        <f>Over_all[[#This Row],[Received]]</f>
        <v>15</v>
      </c>
      <c r="K170" s="210">
        <f>SUMIF(ISSUE!$F:$F,Over_all[[#This Row],[Item Description]],ISSUE!$I:$I)</f>
        <v>0</v>
      </c>
      <c r="L170" s="210">
        <f>Over_all[[#This Row],[Received.]]-Over_all[[#This Row],[Issued]]</f>
        <v>15</v>
      </c>
      <c r="M170" s="212"/>
      <c r="N170" s="222"/>
    </row>
    <row r="171" spans="1:14" ht="16" customHeight="1" x14ac:dyDescent="0.35">
      <c r="A171" s="197">
        <f>BOQ[[#This Row],[S.No]]</f>
        <v>7</v>
      </c>
      <c r="B171" s="198" t="str">
        <f>BOQ[[#This Row],[Item Description]]</f>
        <v xml:space="preserve">2.5 Sq.mm Cu Ring Typr Lug </v>
      </c>
      <c r="C171" s="199">
        <f>BOQ[[#This Row],[Make / Vendor]]</f>
        <v>0</v>
      </c>
      <c r="D171" s="199" t="str">
        <f>BOQ[[#This Row],[Unit]]</f>
        <v>Nos</v>
      </c>
      <c r="E171" s="199">
        <f>BOQ[[#This Row],[BOQ]]</f>
        <v>40</v>
      </c>
      <c r="F171" s="200">
        <v>40</v>
      </c>
      <c r="G171" s="210">
        <f>IF(Over_all[[#This Row],[BOQ]]-Over_all[[#This Row],[Received]]&gt;=0,Over_all[[#This Row],[BOQ]]-Over_all[[#This Row],[Received]],"")</f>
        <v>0</v>
      </c>
      <c r="H171" s="211" t="str">
        <f>IF(Over_all[[#This Row],[BOQ]]-Over_all[[#This Row],[Received]]&lt;0,Over_all[[#This Row],[BOQ]]-Over_all[[#This Row],[Received]],"")</f>
        <v/>
      </c>
      <c r="I171" s="221"/>
      <c r="J171" s="224">
        <f>Over_all[[#This Row],[Received]]</f>
        <v>40</v>
      </c>
      <c r="K171" s="210">
        <f>SUMIF(ISSUE!$F:$F,Over_all[[#This Row],[Item Description]],ISSUE!$I:$I)</f>
        <v>0</v>
      </c>
      <c r="L171" s="210">
        <f>Over_all[[#This Row],[Received.]]-Over_all[[#This Row],[Issued]]</f>
        <v>40</v>
      </c>
      <c r="M171" s="212"/>
      <c r="N171" s="222"/>
    </row>
    <row r="172" spans="1:14" ht="16" customHeight="1" x14ac:dyDescent="0.35">
      <c r="A172" s="197">
        <f>BOQ[[#This Row],[S.No]]</f>
        <v>8</v>
      </c>
      <c r="B172" s="198" t="str">
        <f>BOQ[[#This Row],[Item Description]]</f>
        <v>2.5 Sq.mm Cu Pin Type Lug</v>
      </c>
      <c r="C172" s="199">
        <f>BOQ[[#This Row],[Make / Vendor]]</f>
        <v>0</v>
      </c>
      <c r="D172" s="199" t="str">
        <f>BOQ[[#This Row],[Unit]]</f>
        <v>Nos</v>
      </c>
      <c r="E172" s="199">
        <f>BOQ[[#This Row],[BOQ]]</f>
        <v>30</v>
      </c>
      <c r="F172" s="200">
        <f>SUMIF('Goods Receipt'!$J:$J,Over_all[[#This Row],[Item Description]],'Goods Receipt'!$M:$M)</f>
        <v>60</v>
      </c>
      <c r="G172" s="210" t="str">
        <f>IF(Over_all[[#This Row],[BOQ]]-Over_all[[#This Row],[Received]]&gt;=0,Over_all[[#This Row],[BOQ]]-Over_all[[#This Row],[Received]],"")</f>
        <v/>
      </c>
      <c r="H172" s="211">
        <f>IF(Over_all[[#This Row],[BOQ]]-Over_all[[#This Row],[Received]]&lt;0,Over_all[[#This Row],[BOQ]]-Over_all[[#This Row],[Received]],"")</f>
        <v>-30</v>
      </c>
      <c r="I172" s="221"/>
      <c r="J172" s="224">
        <f>Over_all[[#This Row],[Received]]</f>
        <v>60</v>
      </c>
      <c r="K172" s="210">
        <f>SUMIF(ISSUE!$F:$F,Over_all[[#This Row],[Item Description]],ISSUE!$I:$I)</f>
        <v>0</v>
      </c>
      <c r="L172" s="210">
        <f>Over_all[[#This Row],[Received.]]-Over_all[[#This Row],[Issued]]</f>
        <v>60</v>
      </c>
      <c r="M172" s="212"/>
      <c r="N172" s="222"/>
    </row>
    <row r="173" spans="1:14" ht="16" customHeight="1" x14ac:dyDescent="0.35">
      <c r="A173" s="197">
        <f>BOQ[[#This Row],[S.No]]</f>
        <v>9</v>
      </c>
      <c r="B173" s="198" t="str">
        <f>BOQ[[#This Row],[Item Description]]</f>
        <v>2.5 Sq.mm Cu Fork Type Lug</v>
      </c>
      <c r="C173" s="199">
        <f>BOQ[[#This Row],[Make / Vendor]]</f>
        <v>0</v>
      </c>
      <c r="D173" s="199" t="str">
        <f>BOQ[[#This Row],[Unit]]</f>
        <v>Nos</v>
      </c>
      <c r="E173" s="199">
        <f>BOQ[[#This Row],[BOQ]]</f>
        <v>0</v>
      </c>
      <c r="F173" s="200">
        <f>SUMIF('Goods Receipt'!$J:$J,Over_all[[#This Row],[Item Description]],'Goods Receipt'!$M:$M)</f>
        <v>30</v>
      </c>
      <c r="G173" s="210" t="str">
        <f>IF(Over_all[[#This Row],[BOQ]]-Over_all[[#This Row],[Received]]&gt;=0,Over_all[[#This Row],[BOQ]]-Over_all[[#This Row],[Received]],"")</f>
        <v/>
      </c>
      <c r="H173" s="211">
        <f>IF(Over_all[[#This Row],[BOQ]]-Over_all[[#This Row],[Received]]&lt;0,Over_all[[#This Row],[BOQ]]-Over_all[[#This Row],[Received]],"")</f>
        <v>-30</v>
      </c>
      <c r="I173" s="221"/>
      <c r="J173" s="224">
        <f>Over_all[[#This Row],[Received]]</f>
        <v>30</v>
      </c>
      <c r="K173" s="210">
        <f>SUMIF(ISSUE!$F:$F,Over_all[[#This Row],[Item Description]],ISSUE!$I:$I)</f>
        <v>0</v>
      </c>
      <c r="L173" s="210">
        <f>Over_all[[#This Row],[Received.]]-Over_all[[#This Row],[Issued]]</f>
        <v>30</v>
      </c>
      <c r="M173" s="212"/>
      <c r="N173" s="222"/>
    </row>
    <row r="174" spans="1:14" ht="16" customHeight="1" x14ac:dyDescent="0.35">
      <c r="A174" s="197">
        <f>BOQ[[#This Row],[S.No]]</f>
        <v>10</v>
      </c>
      <c r="B174" s="198" t="str">
        <f>BOQ[[#This Row],[Item Description]]</f>
        <v>6 Sq.mm Fork Type Copper Lug</v>
      </c>
      <c r="C174" s="199">
        <f>BOQ[[#This Row],[Make / Vendor]]</f>
        <v>0</v>
      </c>
      <c r="D174" s="199" t="str">
        <f>BOQ[[#This Row],[Unit]]</f>
        <v>Nos</v>
      </c>
      <c r="E174" s="199">
        <f>BOQ[[#This Row],[BOQ]]</f>
        <v>20</v>
      </c>
      <c r="F174" s="200">
        <f>SUMIF('Goods Receipt'!$J:$J,Over_all[[#This Row],[Item Description]],'Goods Receipt'!$M:$M)</f>
        <v>20</v>
      </c>
      <c r="G174" s="210">
        <f>IF(Over_all[[#This Row],[BOQ]]-Over_all[[#This Row],[Received]]&gt;=0,Over_all[[#This Row],[BOQ]]-Over_all[[#This Row],[Received]],"")</f>
        <v>0</v>
      </c>
      <c r="H174" s="211" t="str">
        <f>IF(Over_all[[#This Row],[BOQ]]-Over_all[[#This Row],[Received]]&lt;0,Over_all[[#This Row],[BOQ]]-Over_all[[#This Row],[Received]],"")</f>
        <v/>
      </c>
      <c r="I174" s="221"/>
      <c r="J174" s="224">
        <f>Over_all[[#This Row],[Received]]</f>
        <v>20</v>
      </c>
      <c r="K174" s="210">
        <f>SUMIF(ISSUE!$F:$F,Over_all[[#This Row],[Item Description]],ISSUE!$I:$I)</f>
        <v>0</v>
      </c>
      <c r="L174" s="210">
        <f>Over_all[[#This Row],[Received.]]-Over_all[[#This Row],[Issued]]</f>
        <v>20</v>
      </c>
      <c r="M174" s="212"/>
      <c r="N174" s="222"/>
    </row>
    <row r="175" spans="1:14" ht="16" customHeight="1" x14ac:dyDescent="0.35">
      <c r="A175" s="197">
        <f>BOQ[[#This Row],[S.No]]</f>
        <v>11</v>
      </c>
      <c r="B175" s="198" t="str">
        <f>BOQ[[#This Row],[Item Description]]</f>
        <v>6 Sq.mm AL Ring Type Lug</v>
      </c>
      <c r="C175" s="199">
        <f>BOQ[[#This Row],[Make / Vendor]]</f>
        <v>0</v>
      </c>
      <c r="D175" s="199" t="str">
        <f>BOQ[[#This Row],[Unit]]</f>
        <v>Nos</v>
      </c>
      <c r="E175" s="199">
        <f>BOQ[[#This Row],[BOQ]]</f>
        <v>0</v>
      </c>
      <c r="F175" s="200">
        <f>SUMIF('Goods Receipt'!$J:$J,Over_all[[#This Row],[Item Description]],'Goods Receipt'!$M:$M)</f>
        <v>910</v>
      </c>
      <c r="G175" s="210" t="str">
        <f>IF(Over_all[[#This Row],[BOQ]]-Over_all[[#This Row],[Received]]&gt;=0,Over_all[[#This Row],[BOQ]]-Over_all[[#This Row],[Received]],"")</f>
        <v/>
      </c>
      <c r="H175" s="211">
        <f>IF(Over_all[[#This Row],[BOQ]]-Over_all[[#This Row],[Received]]&lt;0,Over_all[[#This Row],[BOQ]]-Over_all[[#This Row],[Received]],"")</f>
        <v>-910</v>
      </c>
      <c r="I175" s="221"/>
      <c r="J175" s="224">
        <f>Over_all[[#This Row],[Received]]</f>
        <v>910</v>
      </c>
      <c r="K175" s="210">
        <f>SUMIF(ISSUE!$F:$F,Over_all[[#This Row],[Item Description]],ISSUE!$I:$I)</f>
        <v>0</v>
      </c>
      <c r="L175" s="210">
        <f>Over_all[[#This Row],[Received.]]-Over_all[[#This Row],[Issued]]</f>
        <v>910</v>
      </c>
      <c r="M175" s="212"/>
      <c r="N175" s="222"/>
    </row>
    <row r="176" spans="1:14" ht="16" customHeight="1" x14ac:dyDescent="0.35">
      <c r="A176" s="197">
        <f>BOQ[[#This Row],[S.No]]</f>
        <v>12</v>
      </c>
      <c r="B176" s="198" t="str">
        <f>BOQ[[#This Row],[Item Description]]</f>
        <v>6 Sq.mm Cu Pin Type Lug</v>
      </c>
      <c r="C176" s="199">
        <f>BOQ[[#This Row],[Make / Vendor]]</f>
        <v>0</v>
      </c>
      <c r="D176" s="199" t="str">
        <f>BOQ[[#This Row],[Unit]]</f>
        <v>Nos</v>
      </c>
      <c r="E176" s="199">
        <f>BOQ[[#This Row],[BOQ]]</f>
        <v>0</v>
      </c>
      <c r="F176" s="200">
        <f>SUMIF('Goods Receipt'!$J:$J,Over_all[[#This Row],[Item Description]],'Goods Receipt'!$M:$M)</f>
        <v>15</v>
      </c>
      <c r="G176" s="210" t="str">
        <f>IF(Over_all[[#This Row],[BOQ]]-Over_all[[#This Row],[Received]]&gt;=0,Over_all[[#This Row],[BOQ]]-Over_all[[#This Row],[Received]],"")</f>
        <v/>
      </c>
      <c r="H176" s="211">
        <f>IF(Over_all[[#This Row],[BOQ]]-Over_all[[#This Row],[Received]]&lt;0,Over_all[[#This Row],[BOQ]]-Over_all[[#This Row],[Received]],"")</f>
        <v>-15</v>
      </c>
      <c r="I176" s="221"/>
      <c r="J176" s="224">
        <f>Over_all[[#This Row],[Received]]</f>
        <v>15</v>
      </c>
      <c r="K176" s="210">
        <f>SUMIF(ISSUE!$F:$F,Over_all[[#This Row],[Item Description]],ISSUE!$I:$I)</f>
        <v>0</v>
      </c>
      <c r="L176" s="210">
        <f>Over_all[[#This Row],[Received.]]-Over_all[[#This Row],[Issued]]</f>
        <v>15</v>
      </c>
      <c r="M176" s="212"/>
      <c r="N176" s="222"/>
    </row>
    <row r="177" spans="1:14" ht="16" customHeight="1" x14ac:dyDescent="0.35">
      <c r="A177" s="197">
        <f>BOQ[[#This Row],[S.No]]</f>
        <v>13</v>
      </c>
      <c r="B177" s="198" t="str">
        <f>BOQ[[#This Row],[Item Description]]</f>
        <v>16 Sq.mm Ring Type Lug</v>
      </c>
      <c r="C177" s="199">
        <f>BOQ[[#This Row],[Make / Vendor]]</f>
        <v>0</v>
      </c>
      <c r="D177" s="199" t="str">
        <f>BOQ[[#This Row],[Unit]]</f>
        <v>Nos</v>
      </c>
      <c r="E177" s="199">
        <f>BOQ[[#This Row],[BOQ]]</f>
        <v>0</v>
      </c>
      <c r="F177" s="200">
        <f>SUMIF('Goods Receipt'!$J:$J,Over_all[[#This Row],[Item Description]],'Goods Receipt'!$M:$M)</f>
        <v>15</v>
      </c>
      <c r="G177" s="210" t="str">
        <f>IF(Over_all[[#This Row],[BOQ]]-Over_all[[#This Row],[Received]]&gt;=0,Over_all[[#This Row],[BOQ]]-Over_all[[#This Row],[Received]],"")</f>
        <v/>
      </c>
      <c r="H177" s="211">
        <f>IF(Over_all[[#This Row],[BOQ]]-Over_all[[#This Row],[Received]]&lt;0,Over_all[[#This Row],[BOQ]]-Over_all[[#This Row],[Received]],"")</f>
        <v>-15</v>
      </c>
      <c r="I177" s="221"/>
      <c r="J177" s="224">
        <f>Over_all[[#This Row],[Received]]</f>
        <v>15</v>
      </c>
      <c r="K177" s="210">
        <f>SUMIF(ISSUE!$F:$F,Over_all[[#This Row],[Item Description]],ISSUE!$I:$I)</f>
        <v>0</v>
      </c>
      <c r="L177" s="210">
        <f>Over_all[[#This Row],[Received.]]-Over_all[[#This Row],[Issued]]</f>
        <v>15</v>
      </c>
      <c r="M177" s="212"/>
      <c r="N177" s="222"/>
    </row>
    <row r="178" spans="1:14" ht="16" customHeight="1" x14ac:dyDescent="0.35">
      <c r="A178" s="206">
        <f>BOQ[[#This Row],[S.No]]</f>
        <v>0</v>
      </c>
      <c r="B178" s="198">
        <f>BOQ[[#This Row],[Item Description]]</f>
        <v>0</v>
      </c>
      <c r="C178" s="199">
        <f>BOQ[[#This Row],[Make / Vendor]]</f>
        <v>0</v>
      </c>
      <c r="D178" s="199">
        <f>BOQ[[#This Row],[Unit]]</f>
        <v>0</v>
      </c>
      <c r="E178" s="199">
        <f>BOQ[[#This Row],[BOQ]]</f>
        <v>0</v>
      </c>
      <c r="F178" s="200">
        <f>SUMIF('Goods Receipt'!$J:$J,Over_all[[#This Row],[Item Description]],'Goods Receipt'!$M:$M)</f>
        <v>0</v>
      </c>
      <c r="G178" s="210">
        <f>IF(Over_all[[#This Row],[BOQ]]-Over_all[[#This Row],[Received]]&gt;=0,Over_all[[#This Row],[BOQ]]-Over_all[[#This Row],[Received]],"")</f>
        <v>0</v>
      </c>
      <c r="H178" s="211" t="str">
        <f>IF(Over_all[[#This Row],[BOQ]]-Over_all[[#This Row],[Received]]&lt;0,Over_all[[#This Row],[BOQ]]-Over_all[[#This Row],[Received]],"")</f>
        <v/>
      </c>
      <c r="I178" s="221"/>
      <c r="J178" s="224">
        <f>Over_all[[#This Row],[Received]]</f>
        <v>0</v>
      </c>
      <c r="K178" s="210">
        <f>SUMIF(ISSUE!$F:$F,Over_all[[#This Row],[Item Description]],ISSUE!$I:$I)</f>
        <v>0</v>
      </c>
      <c r="L178" s="210">
        <f>Over_all[[#This Row],[Received.]]-Over_all[[#This Row],[Issued]]</f>
        <v>0</v>
      </c>
      <c r="M178" s="212"/>
      <c r="N178" s="222"/>
    </row>
    <row r="179" spans="1:14" ht="16" customHeight="1" x14ac:dyDescent="0.35">
      <c r="A179" s="202" t="str">
        <f>BOQ[[#This Row],[S.No]]</f>
        <v>N</v>
      </c>
      <c r="B179" s="203" t="str">
        <f>BOQ[[#This Row],[Item Description]]</f>
        <v>Cable_Tie</v>
      </c>
      <c r="C179" s="199">
        <f>BOQ[[#This Row],[Make / Vendor]]</f>
        <v>0</v>
      </c>
      <c r="D179" s="199">
        <f>BOQ[[#This Row],[Unit]]</f>
        <v>0</v>
      </c>
      <c r="E179" s="199">
        <f>BOQ[[#This Row],[BOQ]]</f>
        <v>0</v>
      </c>
      <c r="F179" s="200">
        <f>SUMIF('Goods Receipt'!$J:$J,Over_all[[#This Row],[Item Description]],'Goods Receipt'!$M:$M)</f>
        <v>0</v>
      </c>
      <c r="G179" s="210">
        <f>IF(Over_all[[#This Row],[BOQ]]-Over_all[[#This Row],[Received]]&gt;=0,Over_all[[#This Row],[BOQ]]-Over_all[[#This Row],[Received]],"")</f>
        <v>0</v>
      </c>
      <c r="H179" s="211" t="str">
        <f>IF(Over_all[[#This Row],[BOQ]]-Over_all[[#This Row],[Received]]&lt;0,Over_all[[#This Row],[BOQ]]-Over_all[[#This Row],[Received]],"")</f>
        <v/>
      </c>
      <c r="I179" s="221"/>
      <c r="J179" s="224">
        <f>Over_all[[#This Row],[Received]]</f>
        <v>0</v>
      </c>
      <c r="K179" s="210">
        <f>SUMIF(ISSUE!$F:$F,Over_all[[#This Row],[Item Description]],ISSUE!$I:$I)</f>
        <v>0</v>
      </c>
      <c r="L179" s="210">
        <f>Over_all[[#This Row],[Received.]]-Over_all[[#This Row],[Issued]]</f>
        <v>0</v>
      </c>
      <c r="M179" s="212"/>
      <c r="N179" s="222"/>
    </row>
    <row r="180" spans="1:14" ht="16" customHeight="1" x14ac:dyDescent="0.35">
      <c r="A180" s="197">
        <f>BOQ[[#This Row],[S.No]]</f>
        <v>1</v>
      </c>
      <c r="B180" s="198" t="str">
        <f>BOQ[[#This Row],[Item Description]]</f>
        <v>100X2.5MM UV Cable Tie Black</v>
      </c>
      <c r="C180" s="199">
        <f>BOQ[[#This Row],[Make / Vendor]]</f>
        <v>0</v>
      </c>
      <c r="D180" s="199" t="str">
        <f>BOQ[[#This Row],[Unit]]</f>
        <v>Pkt</v>
      </c>
      <c r="E180" s="199">
        <f>BOQ[[#This Row],[BOQ]]</f>
        <v>25000</v>
      </c>
      <c r="F180" s="200">
        <f>SUMIF('Goods Receipt'!$J:$J,Over_all[[#This Row],[Item Description]],'Goods Receipt'!$M:$M)</f>
        <v>25000</v>
      </c>
      <c r="G180" s="210">
        <f>IF(Over_all[[#This Row],[BOQ]]-Over_all[[#This Row],[Received]]&gt;=0,Over_all[[#This Row],[BOQ]]-Over_all[[#This Row],[Received]],"")</f>
        <v>0</v>
      </c>
      <c r="H180" s="211" t="str">
        <f>IF(Over_all[[#This Row],[BOQ]]-Over_all[[#This Row],[Received]]&lt;0,Over_all[[#This Row],[BOQ]]-Over_all[[#This Row],[Received]],"")</f>
        <v/>
      </c>
      <c r="I180" s="221"/>
      <c r="J180" s="224">
        <f>Over_all[[#This Row],[Received]]</f>
        <v>25000</v>
      </c>
      <c r="K180" s="210">
        <f>SUMIF(ISSUE!$F:$F,Over_all[[#This Row],[Item Description]],ISSUE!$I:$I)</f>
        <v>0</v>
      </c>
      <c r="L180" s="210">
        <f>Over_all[[#This Row],[Received.]]-Over_all[[#This Row],[Issued]]</f>
        <v>25000</v>
      </c>
      <c r="M180" s="212"/>
      <c r="N180" s="222"/>
    </row>
    <row r="181" spans="1:14" ht="16" customHeight="1" x14ac:dyDescent="0.35">
      <c r="A181" s="197">
        <f>BOQ[[#This Row],[S.No]]</f>
        <v>2</v>
      </c>
      <c r="B181" s="198" t="str">
        <f>BOQ[[#This Row],[Item Description]]</f>
        <v>300X4.8MM UV Cable Tie Black</v>
      </c>
      <c r="C181" s="199">
        <f>BOQ[[#This Row],[Make / Vendor]]</f>
        <v>0</v>
      </c>
      <c r="D181" s="199" t="str">
        <f>BOQ[[#This Row],[Unit]]</f>
        <v>Pkt</v>
      </c>
      <c r="E181" s="199">
        <f>BOQ[[#This Row],[BOQ]]</f>
        <v>10000</v>
      </c>
      <c r="F181" s="200">
        <f>SUMIF('Goods Receipt'!$J:$J,Over_all[[#This Row],[Item Description]],'Goods Receipt'!$M:$M)</f>
        <v>10000</v>
      </c>
      <c r="G181" s="210">
        <f>IF(Over_all[[#This Row],[BOQ]]-Over_all[[#This Row],[Received]]&gt;=0,Over_all[[#This Row],[BOQ]]-Over_all[[#This Row],[Received]],"")</f>
        <v>0</v>
      </c>
      <c r="H181" s="211" t="str">
        <f>IF(Over_all[[#This Row],[BOQ]]-Over_all[[#This Row],[Received]]&lt;0,Over_all[[#This Row],[BOQ]]-Over_all[[#This Row],[Received]],"")</f>
        <v/>
      </c>
      <c r="I181" s="221"/>
      <c r="J181" s="224">
        <f>Over_all[[#This Row],[Received]]</f>
        <v>10000</v>
      </c>
      <c r="K181" s="210">
        <f>SUMIF(ISSUE!$F:$F,Over_all[[#This Row],[Item Description]],ISSUE!$I:$I)</f>
        <v>0</v>
      </c>
      <c r="L181" s="210">
        <f>Over_all[[#This Row],[Received.]]-Over_all[[#This Row],[Issued]]</f>
        <v>10000</v>
      </c>
      <c r="M181" s="212"/>
      <c r="N181" s="222"/>
    </row>
    <row r="182" spans="1:14" ht="16" customHeight="1" x14ac:dyDescent="0.35">
      <c r="A182" s="197">
        <f>BOQ[[#This Row],[S.No]]</f>
        <v>3</v>
      </c>
      <c r="B182" s="198" t="str">
        <f>BOQ[[#This Row],[Item Description]]</f>
        <v>300x4.6 SS Cable Tie</v>
      </c>
      <c r="C182" s="199">
        <f>BOQ[[#This Row],[Make / Vendor]]</f>
        <v>0</v>
      </c>
      <c r="D182" s="199" t="str">
        <f>BOQ[[#This Row],[Unit]]</f>
        <v>Pkt</v>
      </c>
      <c r="E182" s="199">
        <f>BOQ[[#This Row],[BOQ]]</f>
        <v>800</v>
      </c>
      <c r="F182" s="200">
        <f>SUMIF('Goods Receipt'!$J:$J,Over_all[[#This Row],[Item Description]],'Goods Receipt'!$M:$M)</f>
        <v>800</v>
      </c>
      <c r="G182" s="210">
        <f>IF(Over_all[[#This Row],[BOQ]]-Over_all[[#This Row],[Received]]&gt;=0,Over_all[[#This Row],[BOQ]]-Over_all[[#This Row],[Received]],"")</f>
        <v>0</v>
      </c>
      <c r="H182" s="211" t="str">
        <f>IF(Over_all[[#This Row],[BOQ]]-Over_all[[#This Row],[Received]]&lt;0,Over_all[[#This Row],[BOQ]]-Over_all[[#This Row],[Received]],"")</f>
        <v/>
      </c>
      <c r="I182" s="221"/>
      <c r="J182" s="224">
        <f>Over_all[[#This Row],[Received]]</f>
        <v>800</v>
      </c>
      <c r="K182" s="210">
        <f>SUMIF(ISSUE!$F:$F,Over_all[[#This Row],[Item Description]],ISSUE!$I:$I)</f>
        <v>0</v>
      </c>
      <c r="L182" s="210">
        <f>Over_all[[#This Row],[Received.]]-Over_all[[#This Row],[Issued]]</f>
        <v>800</v>
      </c>
      <c r="M182" s="212"/>
      <c r="N182" s="222"/>
    </row>
    <row r="183" spans="1:14" ht="16" customHeight="1" x14ac:dyDescent="0.35">
      <c r="A183" s="206">
        <f>BOQ[[#This Row],[S.No]]</f>
        <v>0</v>
      </c>
      <c r="B183" s="198">
        <f>BOQ[[#This Row],[Item Description]]</f>
        <v>0</v>
      </c>
      <c r="C183" s="199">
        <f>BOQ[[#This Row],[Make / Vendor]]</f>
        <v>0</v>
      </c>
      <c r="D183" s="199">
        <f>BOQ[[#This Row],[Unit]]</f>
        <v>0</v>
      </c>
      <c r="E183" s="199">
        <f>BOQ[[#This Row],[BOQ]]</f>
        <v>0</v>
      </c>
      <c r="F183" s="200">
        <f>SUMIF('Goods Receipt'!$J:$J,Over_all[[#This Row],[Item Description]],'Goods Receipt'!$M:$M)</f>
        <v>0</v>
      </c>
      <c r="G183" s="210">
        <f>IF(Over_all[[#This Row],[BOQ]]-Over_all[[#This Row],[Received]]&gt;=0,Over_all[[#This Row],[BOQ]]-Over_all[[#This Row],[Received]],"")</f>
        <v>0</v>
      </c>
      <c r="H183" s="211" t="str">
        <f>IF(Over_all[[#This Row],[BOQ]]-Over_all[[#This Row],[Received]]&lt;0,Over_all[[#This Row],[BOQ]]-Over_all[[#This Row],[Received]],"")</f>
        <v/>
      </c>
      <c r="I183" s="221"/>
      <c r="J183" s="224">
        <f>Over_all[[#This Row],[Received]]</f>
        <v>0</v>
      </c>
      <c r="K183" s="210">
        <f>SUMIF(ISSUE!$F:$F,Over_all[[#This Row],[Item Description]],ISSUE!$I:$I)</f>
        <v>0</v>
      </c>
      <c r="L183" s="210">
        <f>Over_all[[#This Row],[Received.]]-Over_all[[#This Row],[Issued]]</f>
        <v>0</v>
      </c>
      <c r="M183" s="212"/>
      <c r="N183" s="222"/>
    </row>
    <row r="184" spans="1:14" ht="16" customHeight="1" x14ac:dyDescent="0.35">
      <c r="A184" s="202" t="str">
        <f>BOQ[[#This Row],[S.No]]</f>
        <v>O</v>
      </c>
      <c r="B184" s="203" t="str">
        <f>BOQ[[#This Row],[Item Description]]</f>
        <v>Cable_Sleeve</v>
      </c>
      <c r="C184" s="199">
        <f>BOQ[[#This Row],[Make / Vendor]]</f>
        <v>0</v>
      </c>
      <c r="D184" s="199">
        <f>BOQ[[#This Row],[Unit]]</f>
        <v>0</v>
      </c>
      <c r="E184" s="199">
        <f>BOQ[[#This Row],[BOQ]]</f>
        <v>0</v>
      </c>
      <c r="F184" s="200">
        <f>SUMIF('Goods Receipt'!$J:$J,Over_all[[#This Row],[Item Description]],'Goods Receipt'!$M:$M)</f>
        <v>0</v>
      </c>
      <c r="G184" s="210">
        <f>IF(Over_all[[#This Row],[BOQ]]-Over_all[[#This Row],[Received]]&gt;=0,Over_all[[#This Row],[BOQ]]-Over_all[[#This Row],[Received]],"")</f>
        <v>0</v>
      </c>
      <c r="H184" s="211" t="str">
        <f>IF(Over_all[[#This Row],[BOQ]]-Over_all[[#This Row],[Received]]&lt;0,Over_all[[#This Row],[BOQ]]-Over_all[[#This Row],[Received]],"")</f>
        <v/>
      </c>
      <c r="I184" s="221"/>
      <c r="J184" s="224">
        <f>Over_all[[#This Row],[Received]]</f>
        <v>0</v>
      </c>
      <c r="K184" s="210">
        <f>SUMIF(ISSUE!$F:$F,Over_all[[#This Row],[Item Description]],ISSUE!$I:$I)</f>
        <v>0</v>
      </c>
      <c r="L184" s="210">
        <f>Over_all[[#This Row],[Received.]]-Over_all[[#This Row],[Issued]]</f>
        <v>0</v>
      </c>
      <c r="M184" s="212"/>
      <c r="N184" s="222"/>
    </row>
    <row r="185" spans="1:14" ht="16" customHeight="1" x14ac:dyDescent="0.35">
      <c r="A185" s="197">
        <f>BOQ[[#This Row],[S.No]]</f>
        <v>1</v>
      </c>
      <c r="B185" s="198" t="str">
        <f>BOQ[[#This Row],[Item Description]]</f>
        <v>3C X 240 Sq.mm Cable Heat Sleeve Red</v>
      </c>
      <c r="C185" s="199">
        <f>BOQ[[#This Row],[Make / Vendor]]</f>
        <v>0</v>
      </c>
      <c r="D185" s="199" t="str">
        <f>BOQ[[#This Row],[Unit]]</f>
        <v>Mtr</v>
      </c>
      <c r="E185" s="199">
        <f>BOQ[[#This Row],[BOQ]]</f>
        <v>0</v>
      </c>
      <c r="F185" s="200">
        <f>SUMIF('Goods Receipt'!$J:$J,Over_all[[#This Row],[Item Description]],'Goods Receipt'!$M:$M)</f>
        <v>34</v>
      </c>
      <c r="G185" s="210" t="str">
        <f>IF(Over_all[[#This Row],[BOQ]]-Over_all[[#This Row],[Received]]&gt;=0,Over_all[[#This Row],[BOQ]]-Over_all[[#This Row],[Received]],"")</f>
        <v/>
      </c>
      <c r="H185" s="211">
        <f>IF(Over_all[[#This Row],[BOQ]]-Over_all[[#This Row],[Received]]&lt;0,Over_all[[#This Row],[BOQ]]-Over_all[[#This Row],[Received]],"")</f>
        <v>-34</v>
      </c>
      <c r="I185" s="221"/>
      <c r="J185" s="224">
        <f>Over_all[[#This Row],[Received]]</f>
        <v>34</v>
      </c>
      <c r="K185" s="210">
        <f>SUMIF(ISSUE!$F:$F,Over_all[[#This Row],[Item Description]],ISSUE!$I:$I)</f>
        <v>0</v>
      </c>
      <c r="L185" s="210">
        <f>Over_all[[#This Row],[Received.]]-Over_all[[#This Row],[Issued]]</f>
        <v>34</v>
      </c>
      <c r="M185" s="212"/>
      <c r="N185" s="222"/>
    </row>
    <row r="186" spans="1:14" ht="16" customHeight="1" x14ac:dyDescent="0.35">
      <c r="A186" s="197">
        <f>BOQ[[#This Row],[S.No]]</f>
        <v>2</v>
      </c>
      <c r="B186" s="198" t="str">
        <f>BOQ[[#This Row],[Item Description]]</f>
        <v>3C X 240 Sq.mm Cable Heat Sleeve Yellow</v>
      </c>
      <c r="C186" s="199">
        <f>BOQ[[#This Row],[Make / Vendor]]</f>
        <v>0</v>
      </c>
      <c r="D186" s="199" t="str">
        <f>BOQ[[#This Row],[Unit]]</f>
        <v>Mtr</v>
      </c>
      <c r="E186" s="199">
        <f>BOQ[[#This Row],[BOQ]]</f>
        <v>0</v>
      </c>
      <c r="F186" s="200">
        <f>SUMIF('Goods Receipt'!$J:$J,Over_all[[#This Row],[Item Description]],'Goods Receipt'!$M:$M)</f>
        <v>34</v>
      </c>
      <c r="G186" s="210" t="str">
        <f>IF(Over_all[[#This Row],[BOQ]]-Over_all[[#This Row],[Received]]&gt;=0,Over_all[[#This Row],[BOQ]]-Over_all[[#This Row],[Received]],"")</f>
        <v/>
      </c>
      <c r="H186" s="211">
        <f>IF(Over_all[[#This Row],[BOQ]]-Over_all[[#This Row],[Received]]&lt;0,Over_all[[#This Row],[BOQ]]-Over_all[[#This Row],[Received]],"")</f>
        <v>-34</v>
      </c>
      <c r="I186" s="221"/>
      <c r="J186" s="224">
        <f>Over_all[[#This Row],[Received]]</f>
        <v>34</v>
      </c>
      <c r="K186" s="210">
        <f>SUMIF(ISSUE!$F:$F,Over_all[[#This Row],[Item Description]],ISSUE!$I:$I)</f>
        <v>0</v>
      </c>
      <c r="L186" s="210">
        <f>Over_all[[#This Row],[Received.]]-Over_all[[#This Row],[Issued]]</f>
        <v>34</v>
      </c>
      <c r="M186" s="212"/>
      <c r="N186" s="222"/>
    </row>
    <row r="187" spans="1:14" ht="16" customHeight="1" x14ac:dyDescent="0.35">
      <c r="A187" s="197">
        <f>BOQ[[#This Row],[S.No]]</f>
        <v>3</v>
      </c>
      <c r="B187" s="198" t="str">
        <f>BOQ[[#This Row],[Item Description]]</f>
        <v>3C X 240 Sq,mm Cable  Heat Sleeve Bule</v>
      </c>
      <c r="C187" s="199">
        <f>BOQ[[#This Row],[Make / Vendor]]</f>
        <v>0</v>
      </c>
      <c r="D187" s="199" t="str">
        <f>BOQ[[#This Row],[Unit]]</f>
        <v>Mtr</v>
      </c>
      <c r="E187" s="199">
        <f>BOQ[[#This Row],[BOQ]]</f>
        <v>0</v>
      </c>
      <c r="F187" s="200">
        <f>SUMIF('Goods Receipt'!$J:$J,Over_all[[#This Row],[Item Description]],'Goods Receipt'!$M:$M)</f>
        <v>34</v>
      </c>
      <c r="G187" s="210" t="str">
        <f>IF(Over_all[[#This Row],[BOQ]]-Over_all[[#This Row],[Received]]&gt;=0,Over_all[[#This Row],[BOQ]]-Over_all[[#This Row],[Received]],"")</f>
        <v/>
      </c>
      <c r="H187" s="211">
        <f>IF(Over_all[[#This Row],[BOQ]]-Over_all[[#This Row],[Received]]&lt;0,Over_all[[#This Row],[BOQ]]-Over_all[[#This Row],[Received]],"")</f>
        <v>-34</v>
      </c>
      <c r="I187" s="221"/>
      <c r="J187" s="224">
        <f>Over_all[[#This Row],[Received]]</f>
        <v>34</v>
      </c>
      <c r="K187" s="210">
        <f>SUMIF(ISSUE!$F:$F,Over_all[[#This Row],[Item Description]],ISSUE!$I:$I)</f>
        <v>0</v>
      </c>
      <c r="L187" s="210">
        <f>Over_all[[#This Row],[Received.]]-Over_all[[#This Row],[Issued]]</f>
        <v>34</v>
      </c>
      <c r="M187" s="212"/>
      <c r="N187" s="222"/>
    </row>
    <row r="188" spans="1:14" ht="16" customHeight="1" x14ac:dyDescent="0.35">
      <c r="A188" s="197">
        <f>BOQ[[#This Row],[S.No]]</f>
        <v>4</v>
      </c>
      <c r="B188" s="198" t="str">
        <f>BOQ[[#This Row],[Item Description]]</f>
        <v xml:space="preserve">50 Sq.mm Cable Heat Sleeve </v>
      </c>
      <c r="C188" s="199">
        <f>BOQ[[#This Row],[Make / Vendor]]</f>
        <v>0</v>
      </c>
      <c r="D188" s="199" t="str">
        <f>BOQ[[#This Row],[Unit]]</f>
        <v>Mtr</v>
      </c>
      <c r="E188" s="199">
        <f>BOQ[[#This Row],[BOQ]]</f>
        <v>10</v>
      </c>
      <c r="F188" s="200">
        <f>SUMIF('Goods Receipt'!$J:$J,Over_all[[#This Row],[Item Description]],'Goods Receipt'!$M:$M)</f>
        <v>10</v>
      </c>
      <c r="G188" s="210">
        <f>IF(Over_all[[#This Row],[BOQ]]-Over_all[[#This Row],[Received]]&gt;=0,Over_all[[#This Row],[BOQ]]-Over_all[[#This Row],[Received]],"")</f>
        <v>0</v>
      </c>
      <c r="H188" s="211" t="str">
        <f>IF(Over_all[[#This Row],[BOQ]]-Over_all[[#This Row],[Received]]&lt;0,Over_all[[#This Row],[BOQ]]-Over_all[[#This Row],[Received]],"")</f>
        <v/>
      </c>
      <c r="I188" s="221"/>
      <c r="J188" s="224">
        <f>Over_all[[#This Row],[Received]]</f>
        <v>10</v>
      </c>
      <c r="K188" s="210">
        <f>SUMIF(ISSUE!$F:$F,Over_all[[#This Row],[Item Description]],ISSUE!$I:$I)</f>
        <v>0</v>
      </c>
      <c r="L188" s="210">
        <f>Over_all[[#This Row],[Received.]]-Over_all[[#This Row],[Issued]]</f>
        <v>10</v>
      </c>
      <c r="M188" s="212"/>
      <c r="N188" s="222"/>
    </row>
    <row r="189" spans="1:14" ht="16" customHeight="1" x14ac:dyDescent="0.35">
      <c r="A189" s="197">
        <f>BOQ[[#This Row],[S.No]]</f>
        <v>5</v>
      </c>
      <c r="B189" s="198" t="str">
        <f>BOQ[[#This Row],[Item Description]]</f>
        <v>2C X 6 Sq.mm Cable Heat Sleeve</v>
      </c>
      <c r="C189" s="199">
        <f>BOQ[[#This Row],[Make / Vendor]]</f>
        <v>0</v>
      </c>
      <c r="D189" s="199" t="str">
        <f>BOQ[[#This Row],[Unit]]</f>
        <v>Mtr</v>
      </c>
      <c r="E189" s="199">
        <f>BOQ[[#This Row],[BOQ]]</f>
        <v>5</v>
      </c>
      <c r="F189" s="200">
        <f>SUMIF('Goods Receipt'!$J:$J,Over_all[[#This Row],[Item Description]],'Goods Receipt'!$M:$M)</f>
        <v>5</v>
      </c>
      <c r="G189" s="210">
        <f>IF(Over_all[[#This Row],[BOQ]]-Over_all[[#This Row],[Received]]&gt;=0,Over_all[[#This Row],[BOQ]]-Over_all[[#This Row],[Received]],"")</f>
        <v>0</v>
      </c>
      <c r="H189" s="211" t="str">
        <f>IF(Over_all[[#This Row],[BOQ]]-Over_all[[#This Row],[Received]]&lt;0,Over_all[[#This Row],[BOQ]]-Over_all[[#This Row],[Received]],"")</f>
        <v/>
      </c>
      <c r="I189" s="221"/>
      <c r="J189" s="224">
        <f>Over_all[[#This Row],[Received]]</f>
        <v>5</v>
      </c>
      <c r="K189" s="210">
        <f>SUMIF(ISSUE!$F:$F,Over_all[[#This Row],[Item Description]],ISSUE!$I:$I)</f>
        <v>0</v>
      </c>
      <c r="L189" s="210">
        <f>Over_all[[#This Row],[Received.]]-Over_all[[#This Row],[Issued]]</f>
        <v>5</v>
      </c>
      <c r="M189" s="212"/>
      <c r="N189" s="222"/>
    </row>
    <row r="190" spans="1:14" ht="16" customHeight="1" x14ac:dyDescent="0.35">
      <c r="A190" s="197">
        <f>BOQ[[#This Row],[S.No]]</f>
        <v>6</v>
      </c>
      <c r="B190" s="198" t="str">
        <f>BOQ[[#This Row],[Item Description]]</f>
        <v>2C X 4 Sq.mm Cable Heat Sleeve</v>
      </c>
      <c r="C190" s="199">
        <f>BOQ[[#This Row],[Make / Vendor]]</f>
        <v>0</v>
      </c>
      <c r="D190" s="199" t="str">
        <f>BOQ[[#This Row],[Unit]]</f>
        <v>Mtr</v>
      </c>
      <c r="E190" s="199">
        <f>BOQ[[#This Row],[BOQ]]</f>
        <v>5</v>
      </c>
      <c r="F190" s="200">
        <f>SUMIF('Goods Receipt'!$J:$J,Over_all[[#This Row],[Item Description]],'Goods Receipt'!$M:$M)</f>
        <v>5</v>
      </c>
      <c r="G190" s="210">
        <f>IF(Over_all[[#This Row],[BOQ]]-Over_all[[#This Row],[Received]]&gt;=0,Over_all[[#This Row],[BOQ]]-Over_all[[#This Row],[Received]],"")</f>
        <v>0</v>
      </c>
      <c r="H190" s="211" t="str">
        <f>IF(Over_all[[#This Row],[BOQ]]-Over_all[[#This Row],[Received]]&lt;0,Over_all[[#This Row],[BOQ]]-Over_all[[#This Row],[Received]],"")</f>
        <v/>
      </c>
      <c r="I190" s="221"/>
      <c r="J190" s="224">
        <f>Over_all[[#This Row],[Received]]</f>
        <v>5</v>
      </c>
      <c r="K190" s="210">
        <f>SUMIF(ISSUE!$F:$F,Over_all[[#This Row],[Item Description]],ISSUE!$I:$I)</f>
        <v>0</v>
      </c>
      <c r="L190" s="210">
        <f>Over_all[[#This Row],[Received.]]-Over_all[[#This Row],[Issued]]</f>
        <v>5</v>
      </c>
      <c r="M190" s="212"/>
      <c r="N190" s="222"/>
    </row>
    <row r="191" spans="1:14" ht="16" customHeight="1" x14ac:dyDescent="0.35">
      <c r="A191" s="197">
        <f>BOQ[[#This Row],[S.No]]</f>
        <v>7</v>
      </c>
      <c r="B191" s="198" t="str">
        <f>BOQ[[#This Row],[Item Description]]</f>
        <v>4C X 6 Sq.mm Cable Heat Sleeve</v>
      </c>
      <c r="C191" s="199">
        <f>BOQ[[#This Row],[Make / Vendor]]</f>
        <v>0</v>
      </c>
      <c r="D191" s="199" t="str">
        <f>BOQ[[#This Row],[Unit]]</f>
        <v>Mtr</v>
      </c>
      <c r="E191" s="199">
        <f>BOQ[[#This Row],[BOQ]]</f>
        <v>80</v>
      </c>
      <c r="F191" s="200">
        <f>SUMIF('Goods Receipt'!$J:$J,Over_all[[#This Row],[Item Description]],'Goods Receipt'!$M:$M)</f>
        <v>80</v>
      </c>
      <c r="G191" s="210">
        <f>IF(Over_all[[#This Row],[BOQ]]-Over_all[[#This Row],[Received]]&gt;=0,Over_all[[#This Row],[BOQ]]-Over_all[[#This Row],[Received]],"")</f>
        <v>0</v>
      </c>
      <c r="H191" s="211" t="str">
        <f>IF(Over_all[[#This Row],[BOQ]]-Over_all[[#This Row],[Received]]&lt;0,Over_all[[#This Row],[BOQ]]-Over_all[[#This Row],[Received]],"")</f>
        <v/>
      </c>
      <c r="I191" s="221"/>
      <c r="J191" s="224">
        <f>Over_all[[#This Row],[Received]]</f>
        <v>80</v>
      </c>
      <c r="K191" s="210">
        <f>SUMIF(ISSUE!$F:$F,Over_all[[#This Row],[Item Description]],ISSUE!$I:$I)</f>
        <v>0</v>
      </c>
      <c r="L191" s="210">
        <f>Over_all[[#This Row],[Received.]]-Over_all[[#This Row],[Issued]]</f>
        <v>80</v>
      </c>
      <c r="M191" s="212"/>
      <c r="N191" s="222"/>
    </row>
    <row r="192" spans="1:14" ht="16" customHeight="1" x14ac:dyDescent="0.35">
      <c r="A192" s="197">
        <f>BOQ[[#This Row],[S.No]]</f>
        <v>8</v>
      </c>
      <c r="B192" s="198" t="str">
        <f>BOQ[[#This Row],[Item Description]]</f>
        <v>2C X 2.5 Sq.mm Cable Heat Sleeve</v>
      </c>
      <c r="C192" s="199">
        <f>BOQ[[#This Row],[Make / Vendor]]</f>
        <v>0</v>
      </c>
      <c r="D192" s="199" t="str">
        <f>BOQ[[#This Row],[Unit]]</f>
        <v>Mtr</v>
      </c>
      <c r="E192" s="199">
        <f>BOQ[[#This Row],[BOQ]]</f>
        <v>5</v>
      </c>
      <c r="F192" s="200">
        <f>SUMIF('Goods Receipt'!$J:$J,Over_all[[#This Row],[Item Description]],'Goods Receipt'!$M:$M)</f>
        <v>5</v>
      </c>
      <c r="G192" s="210">
        <f>IF(Over_all[[#This Row],[BOQ]]-Over_all[[#This Row],[Received]]&gt;=0,Over_all[[#This Row],[BOQ]]-Over_all[[#This Row],[Received]],"")</f>
        <v>0</v>
      </c>
      <c r="H192" s="211" t="str">
        <f>IF(Over_all[[#This Row],[BOQ]]-Over_all[[#This Row],[Received]]&lt;0,Over_all[[#This Row],[BOQ]]-Over_all[[#This Row],[Received]],"")</f>
        <v/>
      </c>
      <c r="I192" s="221"/>
      <c r="J192" s="224">
        <f>Over_all[[#This Row],[Received]]</f>
        <v>5</v>
      </c>
      <c r="K192" s="210">
        <f>SUMIF(ISSUE!$F:$F,Over_all[[#This Row],[Item Description]],ISSUE!$I:$I)</f>
        <v>0</v>
      </c>
      <c r="L192" s="210">
        <f>Over_all[[#This Row],[Received.]]-Over_all[[#This Row],[Issued]]</f>
        <v>5</v>
      </c>
      <c r="M192" s="212"/>
      <c r="N192" s="222"/>
    </row>
    <row r="193" spans="1:14" ht="16" customHeight="1" x14ac:dyDescent="0.35">
      <c r="A193" s="197">
        <f>BOQ[[#This Row],[S.No]]</f>
        <v>9</v>
      </c>
      <c r="B193" s="198" t="str">
        <f>BOQ[[#This Row],[Item Description]]</f>
        <v>12 X 2.5 Sq.mm Cable Heat Sleeve</v>
      </c>
      <c r="C193" s="199">
        <f>BOQ[[#This Row],[Make / Vendor]]</f>
        <v>0</v>
      </c>
      <c r="D193" s="199" t="str">
        <f>BOQ[[#This Row],[Unit]]</f>
        <v>Mtr</v>
      </c>
      <c r="E193" s="199">
        <f>BOQ[[#This Row],[BOQ]]</f>
        <v>5</v>
      </c>
      <c r="F193" s="200">
        <f>SUMIF('Goods Receipt'!$J:$J,Over_all[[#This Row],[Item Description]],'Goods Receipt'!$M:$M)</f>
        <v>5</v>
      </c>
      <c r="G193" s="210">
        <f>IF(Over_all[[#This Row],[BOQ]]-Over_all[[#This Row],[Received]]&gt;=0,Over_all[[#This Row],[BOQ]]-Over_all[[#This Row],[Received]],"")</f>
        <v>0</v>
      </c>
      <c r="H193" s="211" t="str">
        <f>IF(Over_all[[#This Row],[BOQ]]-Over_all[[#This Row],[Received]]&lt;0,Over_all[[#This Row],[BOQ]]-Over_all[[#This Row],[Received]],"")</f>
        <v/>
      </c>
      <c r="I193" s="221"/>
      <c r="J193" s="224">
        <f>Over_all[[#This Row],[Received]]</f>
        <v>5</v>
      </c>
      <c r="K193" s="210">
        <f>SUMIF(ISSUE!$F:$F,Over_all[[#This Row],[Item Description]],ISSUE!$I:$I)</f>
        <v>0</v>
      </c>
      <c r="L193" s="210">
        <f>Over_all[[#This Row],[Received.]]-Over_all[[#This Row],[Issued]]</f>
        <v>5</v>
      </c>
      <c r="M193" s="212"/>
      <c r="N193" s="222"/>
    </row>
    <row r="194" spans="1:14" ht="16" customHeight="1" x14ac:dyDescent="0.35">
      <c r="A194" s="206">
        <f>BOQ[[#This Row],[S.No]]</f>
        <v>0</v>
      </c>
      <c r="B194" s="198">
        <f>BOQ[[#This Row],[Item Description]]</f>
        <v>0</v>
      </c>
      <c r="C194" s="199">
        <f>BOQ[[#This Row],[Make / Vendor]]</f>
        <v>0</v>
      </c>
      <c r="D194" s="199">
        <f>BOQ[[#This Row],[Unit]]</f>
        <v>0</v>
      </c>
      <c r="E194" s="199">
        <f>BOQ[[#This Row],[BOQ]]</f>
        <v>0</v>
      </c>
      <c r="F194" s="200">
        <f>SUMIF('Goods Receipt'!$J:$J,Over_all[[#This Row],[Item Description]],'Goods Receipt'!$M:$M)</f>
        <v>0</v>
      </c>
      <c r="G194" s="210">
        <f>IF(Over_all[[#This Row],[BOQ]]-Over_all[[#This Row],[Received]]&gt;=0,Over_all[[#This Row],[BOQ]]-Over_all[[#This Row],[Received]],"")</f>
        <v>0</v>
      </c>
      <c r="H194" s="211" t="str">
        <f>IF(Over_all[[#This Row],[BOQ]]-Over_all[[#This Row],[Received]]&lt;0,Over_all[[#This Row],[BOQ]]-Over_all[[#This Row],[Received]],"")</f>
        <v/>
      </c>
      <c r="I194" s="221"/>
      <c r="J194" s="224">
        <f>Over_all[[#This Row],[Received]]</f>
        <v>0</v>
      </c>
      <c r="K194" s="210">
        <f>SUMIF(ISSUE!$F:$F,Over_all[[#This Row],[Item Description]],ISSUE!$I:$I)</f>
        <v>0</v>
      </c>
      <c r="L194" s="210">
        <f>Over_all[[#This Row],[Received.]]-Over_all[[#This Row],[Issued]]</f>
        <v>0</v>
      </c>
      <c r="M194" s="212"/>
      <c r="N194" s="222"/>
    </row>
    <row r="195" spans="1:14" ht="16" customHeight="1" x14ac:dyDescent="0.35">
      <c r="A195" s="202" t="str">
        <f>BOQ[[#This Row],[S.No]]</f>
        <v>P</v>
      </c>
      <c r="B195" s="203" t="str">
        <f>BOQ[[#This Row],[Item Description]]</f>
        <v>Safety_Equipments</v>
      </c>
      <c r="C195" s="199">
        <f>BOQ[[#This Row],[Make / Vendor]]</f>
        <v>0</v>
      </c>
      <c r="D195" s="199">
        <f>BOQ[[#This Row],[Unit]]</f>
        <v>0</v>
      </c>
      <c r="E195" s="199">
        <f>BOQ[[#This Row],[BOQ]]</f>
        <v>0</v>
      </c>
      <c r="F195" s="200">
        <f>SUMIF('Goods Receipt'!$J:$J,Over_all[[#This Row],[Item Description]],'Goods Receipt'!$M:$M)</f>
        <v>0</v>
      </c>
      <c r="G195" s="210">
        <f>IF(Over_all[[#This Row],[BOQ]]-Over_all[[#This Row],[Received]]&gt;=0,Over_all[[#This Row],[BOQ]]-Over_all[[#This Row],[Received]],"")</f>
        <v>0</v>
      </c>
      <c r="H195" s="211" t="str">
        <f>IF(Over_all[[#This Row],[BOQ]]-Over_all[[#This Row],[Received]]&lt;0,Over_all[[#This Row],[BOQ]]-Over_all[[#This Row],[Received]],"")</f>
        <v/>
      </c>
      <c r="I195" s="221"/>
      <c r="J195" s="224">
        <f>Over_all[[#This Row],[Received]]</f>
        <v>0</v>
      </c>
      <c r="K195" s="210">
        <f>SUMIF(ISSUE!$F:$F,Over_all[[#This Row],[Item Description]],ISSUE!$I:$I)</f>
        <v>0</v>
      </c>
      <c r="L195" s="210">
        <f>Over_all[[#This Row],[Received.]]-Over_all[[#This Row],[Issued]]</f>
        <v>0</v>
      </c>
      <c r="M195" s="212"/>
      <c r="N195" s="222"/>
    </row>
    <row r="196" spans="1:14" ht="16" customHeight="1" x14ac:dyDescent="0.35">
      <c r="A196" s="197">
        <f>BOQ[[#This Row],[S.No]]</f>
        <v>1</v>
      </c>
      <c r="B196" s="198" t="str">
        <f>BOQ[[#This Row],[Item Description]]</f>
        <v>Sand Bucket With Stend  canopy</v>
      </c>
      <c r="C196" s="199">
        <f>BOQ[[#This Row],[Make / Vendor]]</f>
        <v>0</v>
      </c>
      <c r="D196" s="199" t="str">
        <f>BOQ[[#This Row],[Unit]]</f>
        <v>Set</v>
      </c>
      <c r="E196" s="199">
        <f>BOQ[[#This Row],[BOQ]]</f>
        <v>4</v>
      </c>
      <c r="F196" s="200">
        <f>SUMIF('Goods Receipt'!$J:$J,Over_all[[#This Row],[Item Description]],'Goods Receipt'!$M:$M)</f>
        <v>4</v>
      </c>
      <c r="G196" s="210">
        <f>IF(Over_all[[#This Row],[BOQ]]-Over_all[[#This Row],[Received]]&gt;=0,Over_all[[#This Row],[BOQ]]-Over_all[[#This Row],[Received]],"")</f>
        <v>0</v>
      </c>
      <c r="H196" s="211" t="str">
        <f>IF(Over_all[[#This Row],[BOQ]]-Over_all[[#This Row],[Received]]&lt;0,Over_all[[#This Row],[BOQ]]-Over_all[[#This Row],[Received]],"")</f>
        <v/>
      </c>
      <c r="I196" s="221"/>
      <c r="J196" s="224">
        <f>Over_all[[#This Row],[Received]]</f>
        <v>4</v>
      </c>
      <c r="K196" s="210">
        <f>SUMIF(ISSUE!$F:$F,Over_all[[#This Row],[Item Description]],ISSUE!$I:$I)</f>
        <v>0</v>
      </c>
      <c r="L196" s="210">
        <f>Over_all[[#This Row],[Received.]]-Over_all[[#This Row],[Issued]]</f>
        <v>4</v>
      </c>
      <c r="M196" s="212"/>
      <c r="N196" s="222"/>
    </row>
    <row r="197" spans="1:14" ht="16" customHeight="1" x14ac:dyDescent="0.35">
      <c r="A197" s="197">
        <f>BOQ[[#This Row],[S.No]]</f>
        <v>2</v>
      </c>
      <c r="B197" s="198" t="str">
        <f>BOQ[[#This Row],[Item Description]]</f>
        <v>CO2 Type Fire Extinguisher - 4.5 Kg</v>
      </c>
      <c r="C197" s="199">
        <f>BOQ[[#This Row],[Make / Vendor]]</f>
        <v>0</v>
      </c>
      <c r="D197" s="199" t="str">
        <f>BOQ[[#This Row],[Unit]]</f>
        <v>Nos</v>
      </c>
      <c r="E197" s="199">
        <f>BOQ[[#This Row],[BOQ]]</f>
        <v>44</v>
      </c>
      <c r="F197" s="200">
        <f>SUMIF('Goods Receipt'!$J:$J,Over_all[[#This Row],[Item Description]],'Goods Receipt'!$M:$M)</f>
        <v>44</v>
      </c>
      <c r="G197" s="210">
        <f>IF(Over_all[[#This Row],[BOQ]]-Over_all[[#This Row],[Received]]&gt;=0,Over_all[[#This Row],[BOQ]]-Over_all[[#This Row],[Received]],"")</f>
        <v>0</v>
      </c>
      <c r="H197" s="211" t="str">
        <f>IF(Over_all[[#This Row],[BOQ]]-Over_all[[#This Row],[Received]]&lt;0,Over_all[[#This Row],[BOQ]]-Over_all[[#This Row],[Received]],"")</f>
        <v/>
      </c>
      <c r="I197" s="221"/>
      <c r="J197" s="224">
        <f>Over_all[[#This Row],[Received]]</f>
        <v>44</v>
      </c>
      <c r="K197" s="210">
        <f>SUMIF(ISSUE!$F:$F,Over_all[[#This Row],[Item Description]],ISSUE!$I:$I)</f>
        <v>0</v>
      </c>
      <c r="L197" s="210">
        <f>Over_all[[#This Row],[Received.]]-Over_all[[#This Row],[Issued]]</f>
        <v>44</v>
      </c>
      <c r="M197" s="212"/>
      <c r="N197" s="222"/>
    </row>
    <row r="198" spans="1:14" ht="16" customHeight="1" x14ac:dyDescent="0.35">
      <c r="A198" s="197">
        <f>BOQ[[#This Row],[S.No]]</f>
        <v>3</v>
      </c>
      <c r="B198" s="198" t="str">
        <f>BOQ[[#This Row],[Item Description]]</f>
        <v>CO2 Type Fire Extinguisher -  9 Kg</v>
      </c>
      <c r="C198" s="199">
        <f>BOQ[[#This Row],[Make / Vendor]]</f>
        <v>0</v>
      </c>
      <c r="D198" s="199" t="str">
        <f>BOQ[[#This Row],[Unit]]</f>
        <v>Nos</v>
      </c>
      <c r="E198" s="199">
        <f>BOQ[[#This Row],[BOQ]]</f>
        <v>4</v>
      </c>
      <c r="F198" s="200">
        <f>SUMIF('Goods Receipt'!$J:$J,Over_all[[#This Row],[Item Description]],'Goods Receipt'!$M:$M)</f>
        <v>4</v>
      </c>
      <c r="G198" s="210">
        <f>IF(Over_all[[#This Row],[BOQ]]-Over_all[[#This Row],[Received]]&gt;=0,Over_all[[#This Row],[BOQ]]-Over_all[[#This Row],[Received]],"")</f>
        <v>0</v>
      </c>
      <c r="H198" s="211" t="str">
        <f>IF(Over_all[[#This Row],[BOQ]]-Over_all[[#This Row],[Received]]&lt;0,Over_all[[#This Row],[BOQ]]-Over_all[[#This Row],[Received]],"")</f>
        <v/>
      </c>
      <c r="I198" s="221"/>
      <c r="J198" s="224">
        <f>Over_all[[#This Row],[Received]]</f>
        <v>4</v>
      </c>
      <c r="K198" s="210">
        <f>SUMIF(ISSUE!$F:$F,Over_all[[#This Row],[Item Description]],ISSUE!$I:$I)</f>
        <v>0</v>
      </c>
      <c r="L198" s="210">
        <f>Over_all[[#This Row],[Received.]]-Over_all[[#This Row],[Issued]]</f>
        <v>4</v>
      </c>
      <c r="M198" s="212"/>
      <c r="N198" s="222"/>
    </row>
    <row r="199" spans="1:14" ht="16" customHeight="1" x14ac:dyDescent="0.35">
      <c r="A199" s="197">
        <f>BOQ[[#This Row],[S.No]]</f>
        <v>4</v>
      </c>
      <c r="B199" s="198" t="str">
        <f>BOQ[[#This Row],[Item Description]]</f>
        <v>ABC Type Fire Extinguisher - 6 Kg</v>
      </c>
      <c r="C199" s="199">
        <f>BOQ[[#This Row],[Make / Vendor]]</f>
        <v>0</v>
      </c>
      <c r="D199" s="199" t="str">
        <f>BOQ[[#This Row],[Unit]]</f>
        <v>Nos</v>
      </c>
      <c r="E199" s="199">
        <f>BOQ[[#This Row],[BOQ]]</f>
        <v>0</v>
      </c>
      <c r="F199" s="200">
        <f>SUMIF('Goods Receipt'!$J:$J,Over_all[[#This Row],[Item Description]],'Goods Receipt'!$M:$M)</f>
        <v>2</v>
      </c>
      <c r="G199" s="210" t="str">
        <f>IF(Over_all[[#This Row],[BOQ]]-Over_all[[#This Row],[Received]]&gt;=0,Over_all[[#This Row],[BOQ]]-Over_all[[#This Row],[Received]],"")</f>
        <v/>
      </c>
      <c r="H199" s="211">
        <f>IF(Over_all[[#This Row],[BOQ]]-Over_all[[#This Row],[Received]]&lt;0,Over_all[[#This Row],[BOQ]]-Over_all[[#This Row],[Received]],"")</f>
        <v>-2</v>
      </c>
      <c r="I199" s="221"/>
      <c r="J199" s="224">
        <f>Over_all[[#This Row],[Received]]</f>
        <v>2</v>
      </c>
      <c r="K199" s="210">
        <f>SUMIF(ISSUE!$F:$F,Over_all[[#This Row],[Item Description]],ISSUE!$I:$I)</f>
        <v>0</v>
      </c>
      <c r="L199" s="210">
        <f>Over_all[[#This Row],[Received.]]-Over_all[[#This Row],[Issued]]</f>
        <v>2</v>
      </c>
      <c r="M199" s="212"/>
      <c r="N199" s="222"/>
    </row>
    <row r="200" spans="1:14" ht="16" customHeight="1" x14ac:dyDescent="0.35">
      <c r="A200" s="206">
        <f>BOQ[[#This Row],[S.No]]</f>
        <v>5</v>
      </c>
      <c r="B200" s="198" t="str">
        <f>BOQ[[#This Row],[Item Description]]</f>
        <v>Safety Shoes (Allen copper-1156)</v>
      </c>
      <c r="C200" s="199">
        <f>BOQ[[#This Row],[Make / Vendor]]</f>
        <v>0</v>
      </c>
      <c r="D200" s="199" t="str">
        <f>BOQ[[#This Row],[Unit]]</f>
        <v>Nos</v>
      </c>
      <c r="E200" s="199">
        <f>BOQ[[#This Row],[BOQ]]</f>
        <v>0</v>
      </c>
      <c r="F200" s="200">
        <f>SUMIF('Goods Receipt'!$J:$J,Over_all[[#This Row],[Item Description]],'Goods Receipt'!$M:$M)</f>
        <v>6</v>
      </c>
      <c r="G200" s="210" t="str">
        <f>IF(Over_all[[#This Row],[BOQ]]-Over_all[[#This Row],[Received]]&gt;=0,Over_all[[#This Row],[BOQ]]-Over_all[[#This Row],[Received]],"")</f>
        <v/>
      </c>
      <c r="H200" s="211">
        <f>IF(Over_all[[#This Row],[BOQ]]-Over_all[[#This Row],[Received]]&lt;0,Over_all[[#This Row],[BOQ]]-Over_all[[#This Row],[Received]],"")</f>
        <v>-6</v>
      </c>
      <c r="I200" s="221"/>
      <c r="J200" s="224">
        <f>Over_all[[#This Row],[Received]]</f>
        <v>6</v>
      </c>
      <c r="K200" s="210">
        <f>SUMIF(ISSUE!$F:$F,Over_all[[#This Row],[Item Description]],ISSUE!$I:$I)</f>
        <v>3</v>
      </c>
      <c r="L200" s="210">
        <f>Over_all[[#This Row],[Received.]]-Over_all[[#This Row],[Issued]]</f>
        <v>3</v>
      </c>
      <c r="M200" s="212"/>
      <c r="N200" s="222"/>
    </row>
    <row r="201" spans="1:14" ht="16" customHeight="1" x14ac:dyDescent="0.35">
      <c r="A201" s="206">
        <f>BOQ[[#This Row],[S.No]]</f>
        <v>6</v>
      </c>
      <c r="B201" s="198" t="str">
        <f>BOQ[[#This Row],[Item Description]]</f>
        <v>Safety Shoes (Labour)</v>
      </c>
      <c r="C201" s="199">
        <f>BOQ[[#This Row],[Make / Vendor]]</f>
        <v>0</v>
      </c>
      <c r="D201" s="199" t="str">
        <f>BOQ[[#This Row],[Unit]]</f>
        <v>Nos</v>
      </c>
      <c r="E201" s="199">
        <f>BOQ[[#This Row],[BOQ]]</f>
        <v>0</v>
      </c>
      <c r="F201" s="200">
        <f>SUMIF('Goods Receipt'!$J:$J,Over_all[[#This Row],[Item Description]],'Goods Receipt'!$M:$M)</f>
        <v>15</v>
      </c>
      <c r="G201" s="210" t="str">
        <f>IF(Over_all[[#This Row],[BOQ]]-Over_all[[#This Row],[Received]]&gt;=0,Over_all[[#This Row],[BOQ]]-Over_all[[#This Row],[Received]],"")</f>
        <v/>
      </c>
      <c r="H201" s="211">
        <f>IF(Over_all[[#This Row],[BOQ]]-Over_all[[#This Row],[Received]]&lt;0,Over_all[[#This Row],[BOQ]]-Over_all[[#This Row],[Received]],"")</f>
        <v>-15</v>
      </c>
      <c r="I201" s="221"/>
      <c r="J201" s="224">
        <f>Over_all[[#This Row],[Received]]</f>
        <v>15</v>
      </c>
      <c r="K201" s="210">
        <f>SUMIF(ISSUE!$F:$F,Over_all[[#This Row],[Item Description]],ISSUE!$I:$I)</f>
        <v>4</v>
      </c>
      <c r="L201" s="210">
        <f>Over_all[[#This Row],[Received.]]-Over_all[[#This Row],[Issued]]</f>
        <v>11</v>
      </c>
      <c r="M201" s="212"/>
      <c r="N201" s="222"/>
    </row>
    <row r="202" spans="1:14" ht="16" customHeight="1" x14ac:dyDescent="0.35">
      <c r="A202" s="206">
        <f>BOQ[[#This Row],[S.No]]</f>
        <v>7</v>
      </c>
      <c r="B202" s="198" t="str">
        <f>BOQ[[#This Row],[Item Description]]</f>
        <v>Safety Gumboot</v>
      </c>
      <c r="C202" s="199">
        <f>BOQ[[#This Row],[Make / Vendor]]</f>
        <v>0</v>
      </c>
      <c r="D202" s="199" t="str">
        <f>BOQ[[#This Row],[Unit]]</f>
        <v>Nos</v>
      </c>
      <c r="E202" s="199">
        <f>BOQ[[#This Row],[BOQ]]</f>
        <v>0</v>
      </c>
      <c r="F202" s="200">
        <f>SUMIF('Goods Receipt'!$J:$J,Over_all[[#This Row],[Item Description]],'Goods Receipt'!$M:$M)</f>
        <v>3</v>
      </c>
      <c r="G202" s="210" t="str">
        <f>IF(Over_all[[#This Row],[BOQ]]-Over_all[[#This Row],[Received]]&gt;=0,Over_all[[#This Row],[BOQ]]-Over_all[[#This Row],[Received]],"")</f>
        <v/>
      </c>
      <c r="H202" s="211">
        <f>IF(Over_all[[#This Row],[BOQ]]-Over_all[[#This Row],[Received]]&lt;0,Over_all[[#This Row],[BOQ]]-Over_all[[#This Row],[Received]],"")</f>
        <v>-3</v>
      </c>
      <c r="I202" s="221"/>
      <c r="J202" s="224">
        <f>Over_all[[#This Row],[Received]]</f>
        <v>3</v>
      </c>
      <c r="K202" s="210">
        <f>SUMIF(ISSUE!$F:$F,Over_all[[#This Row],[Item Description]],ISSUE!$I:$I)</f>
        <v>3</v>
      </c>
      <c r="L202" s="210">
        <f>Over_all[[#This Row],[Received.]]-Over_all[[#This Row],[Issued]]</f>
        <v>0</v>
      </c>
      <c r="M202" s="212"/>
      <c r="N202" s="222"/>
    </row>
    <row r="203" spans="1:14" ht="16" customHeight="1" x14ac:dyDescent="0.35">
      <c r="A203" s="206">
        <f>BOQ[[#This Row],[S.No]]</f>
        <v>8</v>
      </c>
      <c r="B203" s="198" t="str">
        <f>BOQ[[#This Row],[Item Description]]</f>
        <v>Safety Relflectice Jacket Staff</v>
      </c>
      <c r="C203" s="199">
        <f>BOQ[[#This Row],[Make / Vendor]]</f>
        <v>0</v>
      </c>
      <c r="D203" s="199" t="str">
        <f>BOQ[[#This Row],[Unit]]</f>
        <v>Nos</v>
      </c>
      <c r="E203" s="199">
        <f>BOQ[[#This Row],[BOQ]]</f>
        <v>0</v>
      </c>
      <c r="F203" s="200">
        <f>SUMIF('Goods Receipt'!$J:$J,Over_all[[#This Row],[Item Description]],'Goods Receipt'!$M:$M)</f>
        <v>7</v>
      </c>
      <c r="G203" s="210" t="str">
        <f>IF(Over_all[[#This Row],[BOQ]]-Over_all[[#This Row],[Received]]&gt;=0,Over_all[[#This Row],[BOQ]]-Over_all[[#This Row],[Received]],"")</f>
        <v/>
      </c>
      <c r="H203" s="211">
        <f>IF(Over_all[[#This Row],[BOQ]]-Over_all[[#This Row],[Received]]&lt;0,Over_all[[#This Row],[BOQ]]-Over_all[[#This Row],[Received]],"")</f>
        <v>-7</v>
      </c>
      <c r="I203" s="221"/>
      <c r="J203" s="224">
        <f>Over_all[[#This Row],[Received]]</f>
        <v>7</v>
      </c>
      <c r="K203" s="210">
        <f>SUMIF(ISSUE!$F:$F,Over_all[[#This Row],[Item Description]],ISSUE!$I:$I)</f>
        <v>1</v>
      </c>
      <c r="L203" s="210">
        <f>Over_all[[#This Row],[Received.]]-Over_all[[#This Row],[Issued]]</f>
        <v>6</v>
      </c>
      <c r="M203" s="212"/>
      <c r="N203" s="222"/>
    </row>
    <row r="204" spans="1:14" ht="16" customHeight="1" x14ac:dyDescent="0.35">
      <c r="A204" s="197">
        <f>BOQ[[#This Row],[S.No]]</f>
        <v>9</v>
      </c>
      <c r="B204" s="198" t="str">
        <f>BOQ[[#This Row],[Item Description]]</f>
        <v>Safety Relflectice Jacket Orange</v>
      </c>
      <c r="C204" s="199">
        <f>BOQ[[#This Row],[Make / Vendor]]</f>
        <v>0</v>
      </c>
      <c r="D204" s="199" t="str">
        <f>BOQ[[#This Row],[Unit]]</f>
        <v>Nos</v>
      </c>
      <c r="E204" s="199">
        <f>BOQ[[#This Row],[BOQ]]</f>
        <v>0</v>
      </c>
      <c r="F204" s="200">
        <f>SUMIF('Goods Receipt'!$J:$J,Over_all[[#This Row],[Item Description]],'Goods Receipt'!$M:$M)</f>
        <v>20</v>
      </c>
      <c r="G204" s="210" t="str">
        <f>IF(Over_all[[#This Row],[BOQ]]-Over_all[[#This Row],[Received]]&gt;=0,Over_all[[#This Row],[BOQ]]-Over_all[[#This Row],[Received]],"")</f>
        <v/>
      </c>
      <c r="H204" s="211">
        <f>IF(Over_all[[#This Row],[BOQ]]-Over_all[[#This Row],[Received]]&lt;0,Over_all[[#This Row],[BOQ]]-Over_all[[#This Row],[Received]],"")</f>
        <v>-20</v>
      </c>
      <c r="I204" s="221"/>
      <c r="J204" s="224">
        <f>Over_all[[#This Row],[Received]]</f>
        <v>20</v>
      </c>
      <c r="K204" s="210">
        <f>SUMIF(ISSUE!$F:$F,Over_all[[#This Row],[Item Description]],ISSUE!$I:$I)</f>
        <v>0</v>
      </c>
      <c r="L204" s="210">
        <f>Over_all[[#This Row],[Received.]]-Over_all[[#This Row],[Issued]]</f>
        <v>20</v>
      </c>
      <c r="M204" s="212"/>
      <c r="N204" s="222"/>
    </row>
    <row r="205" spans="1:14" ht="16" customHeight="1" x14ac:dyDescent="0.35">
      <c r="A205" s="197">
        <f>BOQ[[#This Row],[S.No]]</f>
        <v>10</v>
      </c>
      <c r="B205" s="198" t="str">
        <f>BOQ[[#This Row],[Item Description]]</f>
        <v>Safety Helmet</v>
      </c>
      <c r="C205" s="199">
        <f>BOQ[[#This Row],[Make / Vendor]]</f>
        <v>0</v>
      </c>
      <c r="D205" s="199" t="str">
        <f>BOQ[[#This Row],[Unit]]</f>
        <v>Nos</v>
      </c>
      <c r="E205" s="199">
        <f>BOQ[[#This Row],[BOQ]]</f>
        <v>0</v>
      </c>
      <c r="F205" s="200">
        <f>SUMIF('Goods Receipt'!$J:$J,Over_all[[#This Row],[Item Description]],'Goods Receipt'!$M:$M)</f>
        <v>5</v>
      </c>
      <c r="G205" s="210" t="str">
        <f>IF(Over_all[[#This Row],[BOQ]]-Over_all[[#This Row],[Received]]&gt;=0,Over_all[[#This Row],[BOQ]]-Over_all[[#This Row],[Received]],"")</f>
        <v/>
      </c>
      <c r="H205" s="211">
        <f>IF(Over_all[[#This Row],[BOQ]]-Over_all[[#This Row],[Received]]&lt;0,Over_all[[#This Row],[BOQ]]-Over_all[[#This Row],[Received]],"")</f>
        <v>-5</v>
      </c>
      <c r="I205" s="221"/>
      <c r="J205" s="224">
        <f>Over_all[[#This Row],[Received]]</f>
        <v>5</v>
      </c>
      <c r="K205" s="210">
        <f>SUMIF(ISSUE!$F:$F,Over_all[[#This Row],[Item Description]],ISSUE!$I:$I)</f>
        <v>1</v>
      </c>
      <c r="L205" s="210">
        <f>Over_all[[#This Row],[Received.]]-Over_all[[#This Row],[Issued]]</f>
        <v>4</v>
      </c>
      <c r="M205" s="212"/>
      <c r="N205" s="222"/>
    </row>
    <row r="206" spans="1:14" ht="16" customHeight="1" x14ac:dyDescent="0.35">
      <c r="A206" s="197">
        <f>BOQ[[#This Row],[S.No]]</f>
        <v>11</v>
      </c>
      <c r="B206" s="198" t="str">
        <f>BOQ[[#This Row],[Item Description]]</f>
        <v>Safety Helmet Green</v>
      </c>
      <c r="C206" s="199">
        <f>BOQ[[#This Row],[Make / Vendor]]</f>
        <v>0</v>
      </c>
      <c r="D206" s="199" t="str">
        <f>BOQ[[#This Row],[Unit]]</f>
        <v>Nos</v>
      </c>
      <c r="E206" s="199">
        <f>BOQ[[#This Row],[BOQ]]</f>
        <v>0</v>
      </c>
      <c r="F206" s="200">
        <f>SUMIF('Goods Receipt'!$J:$J,Over_all[[#This Row],[Item Description]],'Goods Receipt'!$M:$M)</f>
        <v>1</v>
      </c>
      <c r="G206" s="210" t="str">
        <f>IF(Over_all[[#This Row],[BOQ]]-Over_all[[#This Row],[Received]]&gt;=0,Over_all[[#This Row],[BOQ]]-Over_all[[#This Row],[Received]],"")</f>
        <v/>
      </c>
      <c r="H206" s="211">
        <f>IF(Over_all[[#This Row],[BOQ]]-Over_all[[#This Row],[Received]]&lt;0,Over_all[[#This Row],[BOQ]]-Over_all[[#This Row],[Received]],"")</f>
        <v>-1</v>
      </c>
      <c r="I206" s="221"/>
      <c r="J206" s="224">
        <f>Over_all[[#This Row],[Received]]</f>
        <v>1</v>
      </c>
      <c r="K206" s="210">
        <f>SUMIF(ISSUE!$F:$F,Over_all[[#This Row],[Item Description]],ISSUE!$I:$I)</f>
        <v>0</v>
      </c>
      <c r="L206" s="210">
        <f>Over_all[[#This Row],[Received.]]-Over_all[[#This Row],[Issued]]</f>
        <v>1</v>
      </c>
      <c r="M206" s="212"/>
      <c r="N206" s="222"/>
    </row>
    <row r="207" spans="1:14" ht="16" customHeight="1" x14ac:dyDescent="0.35">
      <c r="A207" s="197">
        <f>BOQ[[#This Row],[S.No]]</f>
        <v>12</v>
      </c>
      <c r="B207" s="198" t="str">
        <f>BOQ[[#This Row],[Item Description]]</f>
        <v>Safety Helmet labour</v>
      </c>
      <c r="C207" s="199">
        <f>BOQ[[#This Row],[Make / Vendor]]</f>
        <v>0</v>
      </c>
      <c r="D207" s="199" t="str">
        <f>BOQ[[#This Row],[Unit]]</f>
        <v>Nos</v>
      </c>
      <c r="E207" s="199">
        <f>BOQ[[#This Row],[BOQ]]</f>
        <v>0</v>
      </c>
      <c r="F207" s="200">
        <f>SUMIF('Goods Receipt'!$J:$J,Over_all[[#This Row],[Item Description]],'Goods Receipt'!$M:$M)</f>
        <v>15</v>
      </c>
      <c r="G207" s="210" t="str">
        <f>IF(Over_all[[#This Row],[BOQ]]-Over_all[[#This Row],[Received]]&gt;=0,Over_all[[#This Row],[BOQ]]-Over_all[[#This Row],[Received]],"")</f>
        <v/>
      </c>
      <c r="H207" s="211">
        <f>IF(Over_all[[#This Row],[BOQ]]-Over_all[[#This Row],[Received]]&lt;0,Over_all[[#This Row],[BOQ]]-Over_all[[#This Row],[Received]],"")</f>
        <v>-15</v>
      </c>
      <c r="I207" s="221"/>
      <c r="J207" s="224">
        <f>Over_all[[#This Row],[Received]]</f>
        <v>15</v>
      </c>
      <c r="K207" s="210">
        <f>SUMIF(ISSUE!$F:$F,Over_all[[#This Row],[Item Description]],ISSUE!$I:$I)</f>
        <v>0</v>
      </c>
      <c r="L207" s="210">
        <f>Over_all[[#This Row],[Received.]]-Over_all[[#This Row],[Issued]]</f>
        <v>15</v>
      </c>
      <c r="M207" s="212"/>
      <c r="N207" s="222"/>
    </row>
    <row r="208" spans="1:14" ht="16" customHeight="1" x14ac:dyDescent="0.35">
      <c r="A208" s="197">
        <f>BOQ[[#This Row],[S.No]]</f>
        <v>13</v>
      </c>
      <c r="B208" s="198" t="str">
        <f>BOQ[[#This Row],[Item Description]]</f>
        <v>Safety Hand Gloves (White Grey)</v>
      </c>
      <c r="C208" s="199">
        <f>BOQ[[#This Row],[Make / Vendor]]</f>
        <v>0</v>
      </c>
      <c r="D208" s="199" t="str">
        <f>BOQ[[#This Row],[Unit]]</f>
        <v>Nos</v>
      </c>
      <c r="E208" s="199">
        <f>BOQ[[#This Row],[BOQ]]</f>
        <v>0</v>
      </c>
      <c r="F208" s="200">
        <f>SUMIF('Goods Receipt'!$J:$J,Over_all[[#This Row],[Item Description]],'Goods Receipt'!$M:$M)</f>
        <v>15</v>
      </c>
      <c r="G208" s="210" t="str">
        <f>IF(Over_all[[#This Row],[BOQ]]-Over_all[[#This Row],[Received]]&gt;=0,Over_all[[#This Row],[BOQ]]-Over_all[[#This Row],[Received]],"")</f>
        <v/>
      </c>
      <c r="H208" s="211">
        <f>IF(Over_all[[#This Row],[BOQ]]-Over_all[[#This Row],[Received]]&lt;0,Over_all[[#This Row],[BOQ]]-Over_all[[#This Row],[Received]],"")</f>
        <v>-15</v>
      </c>
      <c r="I208" s="221"/>
      <c r="J208" s="224">
        <f>Over_all[[#This Row],[Received]]</f>
        <v>15</v>
      </c>
      <c r="K208" s="210">
        <f>SUMIF(ISSUE!$F:$F,Over_all[[#This Row],[Item Description]],ISSUE!$I:$I)</f>
        <v>0</v>
      </c>
      <c r="L208" s="210">
        <f>Over_all[[#This Row],[Received.]]-Over_all[[#This Row],[Issued]]</f>
        <v>15</v>
      </c>
      <c r="M208" s="212"/>
      <c r="N208" s="222"/>
    </row>
    <row r="209" spans="1:14" ht="16" customHeight="1" x14ac:dyDescent="0.35">
      <c r="A209" s="197">
        <f>BOQ[[#This Row],[S.No]]</f>
        <v>14</v>
      </c>
      <c r="B209" s="198" t="str">
        <f>BOQ[[#This Row],[Item Description]]</f>
        <v>Safety Hand Gloves Lether For Welding</v>
      </c>
      <c r="C209" s="199">
        <f>BOQ[[#This Row],[Make / Vendor]]</f>
        <v>0</v>
      </c>
      <c r="D209" s="199" t="str">
        <f>BOQ[[#This Row],[Unit]]</f>
        <v>Nos</v>
      </c>
      <c r="E209" s="199">
        <f>BOQ[[#This Row],[BOQ]]</f>
        <v>0</v>
      </c>
      <c r="F209" s="200">
        <f>SUMIF('Goods Receipt'!$J:$J,Over_all[[#This Row],[Item Description]],'Goods Receipt'!$M:$M)</f>
        <v>18</v>
      </c>
      <c r="G209" s="210" t="str">
        <f>IF(Over_all[[#This Row],[BOQ]]-Over_all[[#This Row],[Received]]&gt;=0,Over_all[[#This Row],[BOQ]]-Over_all[[#This Row],[Received]],"")</f>
        <v/>
      </c>
      <c r="H209" s="211">
        <f>IF(Over_all[[#This Row],[BOQ]]-Over_all[[#This Row],[Received]]&lt;0,Over_all[[#This Row],[BOQ]]-Over_all[[#This Row],[Received]],"")</f>
        <v>-18</v>
      </c>
      <c r="I209" s="221"/>
      <c r="J209" s="224">
        <f>Over_all[[#This Row],[Received]]</f>
        <v>18</v>
      </c>
      <c r="K209" s="210">
        <f>SUMIF(ISSUE!$F:$F,Over_all[[#This Row],[Item Description]],ISSUE!$I:$I)</f>
        <v>0</v>
      </c>
      <c r="L209" s="210">
        <f>Over_all[[#This Row],[Received.]]-Over_all[[#This Row],[Issued]]</f>
        <v>18</v>
      </c>
      <c r="M209" s="212"/>
      <c r="N209" s="222"/>
    </row>
    <row r="210" spans="1:14" ht="16" customHeight="1" x14ac:dyDescent="0.35">
      <c r="A210" s="197">
        <f>BOQ[[#This Row],[S.No]]</f>
        <v>15</v>
      </c>
      <c r="B210" s="198" t="str">
        <f>BOQ[[#This Row],[Item Description]]</f>
        <v>Safety Goggles</v>
      </c>
      <c r="C210" s="199">
        <f>BOQ[[#This Row],[Make / Vendor]]</f>
        <v>0</v>
      </c>
      <c r="D210" s="199" t="str">
        <f>BOQ[[#This Row],[Unit]]</f>
        <v>Nos</v>
      </c>
      <c r="E210" s="199">
        <f>BOQ[[#This Row],[BOQ]]</f>
        <v>0</v>
      </c>
      <c r="F210" s="200">
        <f>SUMIF('Goods Receipt'!$J:$J,Over_all[[#This Row],[Item Description]],'Goods Receipt'!$M:$M)</f>
        <v>15</v>
      </c>
      <c r="G210" s="210" t="str">
        <f>IF(Over_all[[#This Row],[BOQ]]-Over_all[[#This Row],[Received]]&gt;=0,Over_all[[#This Row],[BOQ]]-Over_all[[#This Row],[Received]],"")</f>
        <v/>
      </c>
      <c r="H210" s="211">
        <f>IF(Over_all[[#This Row],[BOQ]]-Over_all[[#This Row],[Received]]&lt;0,Over_all[[#This Row],[BOQ]]-Over_all[[#This Row],[Received]],"")</f>
        <v>-15</v>
      </c>
      <c r="I210" s="221"/>
      <c r="J210" s="224">
        <f>Over_all[[#This Row],[Received]]</f>
        <v>15</v>
      </c>
      <c r="K210" s="210">
        <f>SUMIF(ISSUE!$F:$F,Over_all[[#This Row],[Item Description]],ISSUE!$I:$I)</f>
        <v>0</v>
      </c>
      <c r="L210" s="210">
        <f>Over_all[[#This Row],[Received.]]-Over_all[[#This Row],[Issued]]</f>
        <v>15</v>
      </c>
      <c r="M210" s="212"/>
      <c r="N210" s="222"/>
    </row>
    <row r="211" spans="1:14" ht="16" customHeight="1" x14ac:dyDescent="0.35">
      <c r="A211" s="197">
        <f>BOQ[[#This Row],[S.No]]</f>
        <v>16</v>
      </c>
      <c r="B211" s="198" t="str">
        <f>BOQ[[#This Row],[Item Description]]</f>
        <v>Safety (Barrication Tap Roll)</v>
      </c>
      <c r="C211" s="199">
        <f>BOQ[[#This Row],[Make / Vendor]]</f>
        <v>0</v>
      </c>
      <c r="D211" s="199" t="str">
        <f>BOQ[[#This Row],[Unit]]</f>
        <v>Nos</v>
      </c>
      <c r="E211" s="199">
        <f>BOQ[[#This Row],[BOQ]]</f>
        <v>0</v>
      </c>
      <c r="F211" s="200">
        <f>SUMIF('Goods Receipt'!$J:$J,Over_all[[#This Row],[Item Description]],'Goods Receipt'!$M:$M)</f>
        <v>1</v>
      </c>
      <c r="G211" s="210" t="str">
        <f>IF(Over_all[[#This Row],[BOQ]]-Over_all[[#This Row],[Received]]&gt;=0,Over_all[[#This Row],[BOQ]]-Over_all[[#This Row],[Received]],"")</f>
        <v/>
      </c>
      <c r="H211" s="211">
        <f>IF(Over_all[[#This Row],[BOQ]]-Over_all[[#This Row],[Received]]&lt;0,Over_all[[#This Row],[BOQ]]-Over_all[[#This Row],[Received]],"")</f>
        <v>-1</v>
      </c>
      <c r="I211" s="221"/>
      <c r="J211" s="224">
        <f>Over_all[[#This Row],[Received]]</f>
        <v>1</v>
      </c>
      <c r="K211" s="210">
        <f>SUMIF(ISSUE!$F:$F,Over_all[[#This Row],[Item Description]],ISSUE!$I:$I)</f>
        <v>0</v>
      </c>
      <c r="L211" s="210">
        <f>Over_all[[#This Row],[Received.]]-Over_all[[#This Row],[Issued]]</f>
        <v>1</v>
      </c>
      <c r="M211" s="212"/>
      <c r="N211" s="222"/>
    </row>
    <row r="212" spans="1:14" ht="16" customHeight="1" x14ac:dyDescent="0.35">
      <c r="A212" s="197">
        <f>BOQ[[#This Row],[S.No]]</f>
        <v>17</v>
      </c>
      <c r="B212" s="198" t="str">
        <f>BOQ[[#This Row],[Item Description]]</f>
        <v>Full Body Harness With Soak Absorber</v>
      </c>
      <c r="C212" s="199">
        <f>BOQ[[#This Row],[Make / Vendor]]</f>
        <v>0</v>
      </c>
      <c r="D212" s="199" t="str">
        <f>BOQ[[#This Row],[Unit]]</f>
        <v>Nos</v>
      </c>
      <c r="E212" s="199">
        <f>BOQ[[#This Row],[BOQ]]</f>
        <v>0</v>
      </c>
      <c r="F212" s="200">
        <f>SUMIF('Goods Receipt'!$J:$J,Over_all[[#This Row],[Item Description]],'Goods Receipt'!$M:$M)</f>
        <v>1</v>
      </c>
      <c r="G212" s="210" t="str">
        <f>IF(Over_all[[#This Row],[BOQ]]-Over_all[[#This Row],[Received]]&gt;=0,Over_all[[#This Row],[BOQ]]-Over_all[[#This Row],[Received]],"")</f>
        <v/>
      </c>
      <c r="H212" s="211">
        <f>IF(Over_all[[#This Row],[BOQ]]-Over_all[[#This Row],[Received]]&lt;0,Over_all[[#This Row],[BOQ]]-Over_all[[#This Row],[Received]],"")</f>
        <v>-1</v>
      </c>
      <c r="I212" s="221"/>
      <c r="J212" s="224">
        <f>Over_all[[#This Row],[Received]]</f>
        <v>1</v>
      </c>
      <c r="K212" s="210">
        <f>SUMIF(ISSUE!$F:$F,Over_all[[#This Row],[Item Description]],ISSUE!$I:$I)</f>
        <v>0</v>
      </c>
      <c r="L212" s="210">
        <f>Over_all[[#This Row],[Received.]]-Over_all[[#This Row],[Issued]]</f>
        <v>1</v>
      </c>
      <c r="M212" s="212"/>
      <c r="N212" s="222"/>
    </row>
    <row r="213" spans="1:14" ht="16" customHeight="1" x14ac:dyDescent="0.35">
      <c r="A213" s="197">
        <f>BOQ[[#This Row],[S.No]]</f>
        <v>18</v>
      </c>
      <c r="B213" s="198" t="str">
        <f>BOQ[[#This Row],[Item Description]]</f>
        <v xml:space="preserve">Stretcher Foldable </v>
      </c>
      <c r="C213" s="199">
        <f>BOQ[[#This Row],[Make / Vendor]]</f>
        <v>0</v>
      </c>
      <c r="D213" s="199" t="str">
        <f>BOQ[[#This Row],[Unit]]</f>
        <v>Nos</v>
      </c>
      <c r="E213" s="199">
        <f>BOQ[[#This Row],[BOQ]]</f>
        <v>0</v>
      </c>
      <c r="F213" s="200">
        <f>SUMIF('Goods Receipt'!$J:$J,Over_all[[#This Row],[Item Description]],'Goods Receipt'!$M:$M)</f>
        <v>1</v>
      </c>
      <c r="G213" s="210" t="str">
        <f>IF(Over_all[[#This Row],[BOQ]]-Over_all[[#This Row],[Received]]&gt;=0,Over_all[[#This Row],[BOQ]]-Over_all[[#This Row],[Received]],"")</f>
        <v/>
      </c>
      <c r="H213" s="211">
        <f>IF(Over_all[[#This Row],[BOQ]]-Over_all[[#This Row],[Received]]&lt;0,Over_all[[#This Row],[BOQ]]-Over_all[[#This Row],[Received]],"")</f>
        <v>-1</v>
      </c>
      <c r="I213" s="221"/>
      <c r="J213" s="224">
        <f>Over_all[[#This Row],[Received]]</f>
        <v>1</v>
      </c>
      <c r="K213" s="210">
        <f>SUMIF(ISSUE!$F:$F,Over_all[[#This Row],[Item Description]],ISSUE!$I:$I)</f>
        <v>0</v>
      </c>
      <c r="L213" s="210">
        <f>Over_all[[#This Row],[Received.]]-Over_all[[#This Row],[Issued]]</f>
        <v>1</v>
      </c>
      <c r="M213" s="212"/>
      <c r="N213" s="222"/>
    </row>
    <row r="214" spans="1:14" ht="16" customHeight="1" x14ac:dyDescent="0.35">
      <c r="A214" s="197">
        <f>BOQ[[#This Row],[S.No]]</f>
        <v>19</v>
      </c>
      <c r="B214" s="198" t="str">
        <f>BOQ[[#This Row],[Item Description]]</f>
        <v>First And Box</v>
      </c>
      <c r="C214" s="199">
        <f>BOQ[[#This Row],[Make / Vendor]]</f>
        <v>0</v>
      </c>
      <c r="D214" s="199" t="str">
        <f>BOQ[[#This Row],[Unit]]</f>
        <v>Nos</v>
      </c>
      <c r="E214" s="199">
        <f>BOQ[[#This Row],[BOQ]]</f>
        <v>0</v>
      </c>
      <c r="F214" s="200">
        <f>SUMIF('Goods Receipt'!$J:$J,Over_all[[#This Row],[Item Description]],'Goods Receipt'!$M:$M)</f>
        <v>2</v>
      </c>
      <c r="G214" s="210" t="str">
        <f>IF(Over_all[[#This Row],[BOQ]]-Over_all[[#This Row],[Received]]&gt;=0,Over_all[[#This Row],[BOQ]]-Over_all[[#This Row],[Received]],"")</f>
        <v/>
      </c>
      <c r="H214" s="211">
        <f>IF(Over_all[[#This Row],[BOQ]]-Over_all[[#This Row],[Received]]&lt;0,Over_all[[#This Row],[BOQ]]-Over_all[[#This Row],[Received]],"")</f>
        <v>-2</v>
      </c>
      <c r="I214" s="221"/>
      <c r="J214" s="224">
        <f>Over_all[[#This Row],[Received]]</f>
        <v>2</v>
      </c>
      <c r="K214" s="210">
        <f>SUMIF(ISSUE!$F:$F,Over_all[[#This Row],[Item Description]],ISSUE!$I:$I)</f>
        <v>0</v>
      </c>
      <c r="L214" s="210">
        <f>Over_all[[#This Row],[Received.]]-Over_all[[#This Row],[Issued]]</f>
        <v>2</v>
      </c>
      <c r="M214" s="212"/>
      <c r="N214" s="222"/>
    </row>
    <row r="215" spans="1:14" ht="16" customHeight="1" x14ac:dyDescent="0.35">
      <c r="A215" s="197">
        <f>BOQ[[#This Row],[S.No]]</f>
        <v>20</v>
      </c>
      <c r="B215" s="198" t="str">
        <f>BOQ[[#This Row],[Item Description]]</f>
        <v>Snack Cather Stick</v>
      </c>
      <c r="C215" s="199">
        <f>BOQ[[#This Row],[Make / Vendor]]</f>
        <v>0</v>
      </c>
      <c r="D215" s="199" t="str">
        <f>BOQ[[#This Row],[Unit]]</f>
        <v>Nos</v>
      </c>
      <c r="E215" s="199">
        <f>BOQ[[#This Row],[BOQ]]</f>
        <v>0</v>
      </c>
      <c r="F215" s="200">
        <f>SUMIF('Goods Receipt'!$J:$J,Over_all[[#This Row],[Item Description]],'Goods Receipt'!$M:$M)</f>
        <v>1</v>
      </c>
      <c r="G215" s="210" t="str">
        <f>IF(Over_all[[#This Row],[BOQ]]-Over_all[[#This Row],[Received]]&gt;=0,Over_all[[#This Row],[BOQ]]-Over_all[[#This Row],[Received]],"")</f>
        <v/>
      </c>
      <c r="H215" s="211">
        <f>IF(Over_all[[#This Row],[BOQ]]-Over_all[[#This Row],[Received]]&lt;0,Over_all[[#This Row],[BOQ]]-Over_all[[#This Row],[Received]],"")</f>
        <v>-1</v>
      </c>
      <c r="I215" s="221"/>
      <c r="J215" s="224">
        <f>Over_all[[#This Row],[Received]]</f>
        <v>1</v>
      </c>
      <c r="K215" s="210">
        <f>SUMIF(ISSUE!$F:$F,Over_all[[#This Row],[Item Description]],ISSUE!$I:$I)</f>
        <v>0</v>
      </c>
      <c r="L215" s="210">
        <f>Over_all[[#This Row],[Received.]]-Over_all[[#This Row],[Issued]]</f>
        <v>1</v>
      </c>
      <c r="M215" s="212"/>
      <c r="N215" s="222"/>
    </row>
    <row r="216" spans="1:14" ht="16" customHeight="1" x14ac:dyDescent="0.35">
      <c r="A216" s="197">
        <f>BOQ[[#This Row],[S.No]]</f>
        <v>21</v>
      </c>
      <c r="B216" s="198" t="str">
        <f>BOQ[[#This Row],[Item Description]]</f>
        <v>Safety Welding Helmat</v>
      </c>
      <c r="C216" s="199">
        <f>BOQ[[#This Row],[Make / Vendor]]</f>
        <v>0</v>
      </c>
      <c r="D216" s="199" t="str">
        <f>BOQ[[#This Row],[Unit]]</f>
        <v>Nos</v>
      </c>
      <c r="E216" s="199">
        <f>BOQ[[#This Row],[BOQ]]</f>
        <v>0</v>
      </c>
      <c r="F216" s="200">
        <f>SUMIF('Goods Receipt'!$J:$J,Over_all[[#This Row],[Item Description]],'Goods Receipt'!$M:$M)</f>
        <v>2</v>
      </c>
      <c r="G216" s="210" t="str">
        <f>IF(Over_all[[#This Row],[BOQ]]-Over_all[[#This Row],[Received]]&gt;=0,Over_all[[#This Row],[BOQ]]-Over_all[[#This Row],[Received]],"")</f>
        <v/>
      </c>
      <c r="H216" s="211">
        <f>IF(Over_all[[#This Row],[BOQ]]-Over_all[[#This Row],[Received]]&lt;0,Over_all[[#This Row],[BOQ]]-Over_all[[#This Row],[Received]],"")</f>
        <v>-2</v>
      </c>
      <c r="I216" s="221"/>
      <c r="J216" s="224">
        <f>Over_all[[#This Row],[Received]]</f>
        <v>2</v>
      </c>
      <c r="K216" s="210">
        <f>SUMIF(ISSUE!$F:$F,Over_all[[#This Row],[Item Description]],ISSUE!$I:$I)</f>
        <v>0</v>
      </c>
      <c r="L216" s="210">
        <f>Over_all[[#This Row],[Received.]]-Over_all[[#This Row],[Issued]]</f>
        <v>2</v>
      </c>
      <c r="M216" s="212"/>
      <c r="N216" s="222"/>
    </row>
    <row r="217" spans="1:14" ht="16" customHeight="1" x14ac:dyDescent="0.35">
      <c r="A217" s="197">
        <f>BOQ[[#This Row],[S.No]]</f>
        <v>22</v>
      </c>
      <c r="B217" s="198" t="str">
        <f>BOQ[[#This Row],[Item Description]]</f>
        <v>CO2 Fire Extinguisher - 4.5Kg</v>
      </c>
      <c r="C217" s="199">
        <f>BOQ[[#This Row],[Make / Vendor]]</f>
        <v>0</v>
      </c>
      <c r="D217" s="199" t="str">
        <f>BOQ[[#This Row],[Unit]]</f>
        <v>Nos</v>
      </c>
      <c r="E217" s="199">
        <f>BOQ[[#This Row],[BOQ]]</f>
        <v>0</v>
      </c>
      <c r="F217" s="200">
        <f>SUMIF('Goods Receipt'!$J:$J,Over_all[[#This Row],[Item Description]],'Goods Receipt'!$M:$M)</f>
        <v>2</v>
      </c>
      <c r="G217" s="210" t="str">
        <f>IF(Over_all[[#This Row],[BOQ]]-Over_all[[#This Row],[Received]]&gt;=0,Over_all[[#This Row],[BOQ]]-Over_all[[#This Row],[Received]],"")</f>
        <v/>
      </c>
      <c r="H217" s="211">
        <f>IF(Over_all[[#This Row],[BOQ]]-Over_all[[#This Row],[Received]]&lt;0,Over_all[[#This Row],[BOQ]]-Over_all[[#This Row],[Received]],"")</f>
        <v>-2</v>
      </c>
      <c r="I217" s="221"/>
      <c r="J217" s="224">
        <f>Over_all[[#This Row],[Received]]</f>
        <v>2</v>
      </c>
      <c r="K217" s="210">
        <f>SUMIF(ISSUE!$F:$F,Over_all[[#This Row],[Item Description]],ISSUE!$I:$I)</f>
        <v>0</v>
      </c>
      <c r="L217" s="210">
        <f>Over_all[[#This Row],[Received.]]-Over_all[[#This Row],[Issued]]</f>
        <v>2</v>
      </c>
      <c r="M217" s="212"/>
      <c r="N217" s="222"/>
    </row>
    <row r="218" spans="1:14" ht="16" customHeight="1" x14ac:dyDescent="0.35">
      <c r="A218" s="206">
        <f>BOQ[[#This Row],[S.No]]</f>
        <v>23</v>
      </c>
      <c r="B218" s="198" t="str">
        <f>BOQ[[#This Row],[Item Description]]</f>
        <v>Abc Type Fire Extinguisher - 4 Kg</v>
      </c>
      <c r="C218" s="199">
        <f>BOQ[[#This Row],[Make / Vendor]]</f>
        <v>0</v>
      </c>
      <c r="D218" s="199" t="str">
        <f>BOQ[[#This Row],[Unit]]</f>
        <v>Nos</v>
      </c>
      <c r="E218" s="199">
        <f>BOQ[[#This Row],[BOQ]]</f>
        <v>0</v>
      </c>
      <c r="F218" s="200">
        <f>SUMIF('Goods Receipt'!$J:$J,Over_all[[#This Row],[Item Description]],'Goods Receipt'!$M:$M)</f>
        <v>2</v>
      </c>
      <c r="G218" s="210" t="str">
        <f>IF(Over_all[[#This Row],[BOQ]]-Over_all[[#This Row],[Received]]&gt;=0,Over_all[[#This Row],[BOQ]]-Over_all[[#This Row],[Received]],"")</f>
        <v/>
      </c>
      <c r="H218" s="211">
        <f>IF(Over_all[[#This Row],[BOQ]]-Over_all[[#This Row],[Received]]&lt;0,Over_all[[#This Row],[BOQ]]-Over_all[[#This Row],[Received]],"")</f>
        <v>-2</v>
      </c>
      <c r="I218" s="221"/>
      <c r="J218" s="224">
        <f>Over_all[[#This Row],[Received]]</f>
        <v>2</v>
      </c>
      <c r="K218" s="210">
        <f>SUMIF(ISSUE!$F:$F,Over_all[[#This Row],[Item Description]],ISSUE!$I:$I)</f>
        <v>0</v>
      </c>
      <c r="L218" s="210">
        <f>Over_all[[#This Row],[Received.]]-Over_all[[#This Row],[Issued]]</f>
        <v>2</v>
      </c>
      <c r="M218" s="212"/>
      <c r="N218" s="222"/>
    </row>
    <row r="219" spans="1:14" ht="16" customHeight="1" x14ac:dyDescent="0.35">
      <c r="A219" s="206">
        <f>BOQ[[#This Row],[S.No]]</f>
        <v>24</v>
      </c>
      <c r="B219" s="198" t="str">
        <f>BOQ[[#This Row],[Item Description]]</f>
        <v>Safety Fire Stand With 4 Buckets</v>
      </c>
      <c r="C219" s="199">
        <f>BOQ[[#This Row],[Make / Vendor]]</f>
        <v>0</v>
      </c>
      <c r="D219" s="199" t="str">
        <f>BOQ[[#This Row],[Unit]]</f>
        <v>Nos</v>
      </c>
      <c r="E219" s="199">
        <f>BOQ[[#This Row],[BOQ]]</f>
        <v>0</v>
      </c>
      <c r="F219" s="200">
        <f>SUMIF('Goods Receipt'!$J:$J,Over_all[[#This Row],[Item Description]],'Goods Receipt'!$M:$M)</f>
        <v>1</v>
      </c>
      <c r="G219" s="210" t="str">
        <f>IF(Over_all[[#This Row],[BOQ]]-Over_all[[#This Row],[Received]]&gt;=0,Over_all[[#This Row],[BOQ]]-Over_all[[#This Row],[Received]],"")</f>
        <v/>
      </c>
      <c r="H219" s="211">
        <f>IF(Over_all[[#This Row],[BOQ]]-Over_all[[#This Row],[Received]]&lt;0,Over_all[[#This Row],[BOQ]]-Over_all[[#This Row],[Received]],"")</f>
        <v>-1</v>
      </c>
      <c r="I219" s="221"/>
      <c r="J219" s="224">
        <f>Over_all[[#This Row],[Received]]</f>
        <v>1</v>
      </c>
      <c r="K219" s="210">
        <f>SUMIF(ISSUE!$F:$F,Over_all[[#This Row],[Item Description]],ISSUE!$I:$I)</f>
        <v>0</v>
      </c>
      <c r="L219" s="210">
        <f>Over_all[[#This Row],[Received.]]-Over_all[[#This Row],[Issued]]</f>
        <v>1</v>
      </c>
      <c r="M219" s="212"/>
      <c r="N219" s="222"/>
    </row>
    <row r="220" spans="1:14" ht="16" customHeight="1" x14ac:dyDescent="0.35">
      <c r="A220" s="197">
        <f>BOQ[[#This Row],[S.No]]</f>
        <v>25</v>
      </c>
      <c r="B220" s="198" t="str">
        <f>BOQ[[#This Row],[Item Description]]</f>
        <v>Digital vernier caliper</v>
      </c>
      <c r="C220" s="199">
        <f>BOQ[[#This Row],[Make / Vendor]]</f>
        <v>0</v>
      </c>
      <c r="D220" s="199" t="str">
        <f>BOQ[[#This Row],[Unit]]</f>
        <v>Nos</v>
      </c>
      <c r="E220" s="199">
        <f>BOQ[[#This Row],[BOQ]]</f>
        <v>0</v>
      </c>
      <c r="F220" s="200">
        <f>SUMIF('Goods Receipt'!$J:$J,Over_all[[#This Row],[Item Description]],'Goods Receipt'!$M:$M)</f>
        <v>1</v>
      </c>
      <c r="G220" s="210" t="str">
        <f>IF(Over_all[[#This Row],[BOQ]]-Over_all[[#This Row],[Received]]&gt;=0,Over_all[[#This Row],[BOQ]]-Over_all[[#This Row],[Received]],"")</f>
        <v/>
      </c>
      <c r="H220" s="211">
        <f>IF(Over_all[[#This Row],[BOQ]]-Over_all[[#This Row],[Received]]&lt;0,Over_all[[#This Row],[BOQ]]-Over_all[[#This Row],[Received]],"")</f>
        <v>-1</v>
      </c>
      <c r="I220" s="221"/>
      <c r="J220" s="224">
        <f>Over_all[[#This Row],[Received]]</f>
        <v>1</v>
      </c>
      <c r="K220" s="210">
        <f>SUMIF(ISSUE!$F:$F,Over_all[[#This Row],[Item Description]],ISSUE!$I:$I)</f>
        <v>0</v>
      </c>
      <c r="L220" s="210">
        <f>Over_all[[#This Row],[Received.]]-Over_all[[#This Row],[Issued]]</f>
        <v>1</v>
      </c>
      <c r="M220" s="212"/>
      <c r="N220" s="222"/>
    </row>
    <row r="221" spans="1:14" ht="16" customHeight="1" x14ac:dyDescent="0.35">
      <c r="A221" s="197">
        <f>BOQ[[#This Row],[S.No]]</f>
        <v>26</v>
      </c>
      <c r="B221" s="198" t="str">
        <f>BOQ[[#This Row],[Item Description]]</f>
        <v>Coating Thickness Tester</v>
      </c>
      <c r="C221" s="199">
        <f>BOQ[[#This Row],[Make / Vendor]]</f>
        <v>0</v>
      </c>
      <c r="D221" s="199" t="str">
        <f>BOQ[[#This Row],[Unit]]</f>
        <v>Nos</v>
      </c>
      <c r="E221" s="199">
        <f>BOQ[[#This Row],[BOQ]]</f>
        <v>0</v>
      </c>
      <c r="F221" s="200">
        <f>SUMIF('Goods Receipt'!$J:$J,Over_all[[#This Row],[Item Description]],'Goods Receipt'!$M:$M)</f>
        <v>1</v>
      </c>
      <c r="G221" s="210" t="str">
        <f>IF(Over_all[[#This Row],[BOQ]]-Over_all[[#This Row],[Received]]&gt;=0,Over_all[[#This Row],[BOQ]]-Over_all[[#This Row],[Received]],"")</f>
        <v/>
      </c>
      <c r="H221" s="211">
        <f>IF(Over_all[[#This Row],[BOQ]]-Over_all[[#This Row],[Received]]&lt;0,Over_all[[#This Row],[BOQ]]-Over_all[[#This Row],[Received]],"")</f>
        <v>-1</v>
      </c>
      <c r="I221" s="221"/>
      <c r="J221" s="224">
        <f>Over_all[[#This Row],[Received]]</f>
        <v>1</v>
      </c>
      <c r="K221" s="210">
        <f>SUMIF(ISSUE!$F:$F,Over_all[[#This Row],[Item Description]],ISSUE!$I:$I)</f>
        <v>0</v>
      </c>
      <c r="L221" s="210">
        <f>Over_all[[#This Row],[Received.]]-Over_all[[#This Row],[Issued]]</f>
        <v>1</v>
      </c>
      <c r="M221" s="212"/>
      <c r="N221" s="222"/>
    </row>
    <row r="222" spans="1:14" ht="16" customHeight="1" x14ac:dyDescent="0.35">
      <c r="A222" s="197">
        <f>BOQ[[#This Row],[S.No]]</f>
        <v>27</v>
      </c>
      <c r="B222" s="198" t="str">
        <f>BOQ[[#This Row],[Item Description]]</f>
        <v>Earth Testing Kit</v>
      </c>
      <c r="C222" s="199">
        <f>BOQ[[#This Row],[Make / Vendor]]</f>
        <v>0</v>
      </c>
      <c r="D222" s="199" t="str">
        <f>BOQ[[#This Row],[Unit]]</f>
        <v>Nos</v>
      </c>
      <c r="E222" s="199">
        <f>BOQ[[#This Row],[BOQ]]</f>
        <v>0</v>
      </c>
      <c r="F222" s="200">
        <f>SUMIF('Goods Receipt'!$J:$J,Over_all[[#This Row],[Item Description]],'Goods Receipt'!$M:$M)</f>
        <v>1</v>
      </c>
      <c r="G222" s="210" t="str">
        <f>IF(Over_all[[#This Row],[BOQ]]-Over_all[[#This Row],[Received]]&gt;=0,Over_all[[#This Row],[BOQ]]-Over_all[[#This Row],[Received]],"")</f>
        <v/>
      </c>
      <c r="H222" s="211">
        <f>IF(Over_all[[#This Row],[BOQ]]-Over_all[[#This Row],[Received]]&lt;0,Over_all[[#This Row],[BOQ]]-Over_all[[#This Row],[Received]],"")</f>
        <v>-1</v>
      </c>
      <c r="I222" s="221"/>
      <c r="J222" s="224">
        <f>Over_all[[#This Row],[Received]]</f>
        <v>1</v>
      </c>
      <c r="K222" s="210">
        <f>SUMIF(ISSUE!$F:$F,Over_all[[#This Row],[Item Description]],ISSUE!$I:$I)</f>
        <v>0</v>
      </c>
      <c r="L222" s="210">
        <f>Over_all[[#This Row],[Received.]]-Over_all[[#This Row],[Issued]]</f>
        <v>1</v>
      </c>
      <c r="M222" s="212"/>
      <c r="N222" s="222"/>
    </row>
    <row r="223" spans="1:14" ht="16" customHeight="1" x14ac:dyDescent="0.35">
      <c r="A223" s="197">
        <f>BOQ[[#This Row],[S.No]]</f>
        <v>28</v>
      </c>
      <c r="B223" s="198" t="str">
        <f>BOQ[[#This Row],[Item Description]]</f>
        <v>LOTO Kit</v>
      </c>
      <c r="C223" s="199">
        <f>BOQ[[#This Row],[Make / Vendor]]</f>
        <v>0</v>
      </c>
      <c r="D223" s="199" t="str">
        <f>BOQ[[#This Row],[Unit]]</f>
        <v>Nos</v>
      </c>
      <c r="E223" s="199">
        <f>BOQ[[#This Row],[BOQ]]</f>
        <v>0</v>
      </c>
      <c r="F223" s="200">
        <f>SUMIF('Goods Receipt'!$J:$J,Over_all[[#This Row],[Item Description]],'Goods Receipt'!$M:$M)</f>
        <v>1</v>
      </c>
      <c r="G223" s="210" t="str">
        <f>IF(Over_all[[#This Row],[BOQ]]-Over_all[[#This Row],[Received]]&gt;=0,Over_all[[#This Row],[BOQ]]-Over_all[[#This Row],[Received]],"")</f>
        <v/>
      </c>
      <c r="H223" s="211">
        <f>IF(Over_all[[#This Row],[BOQ]]-Over_all[[#This Row],[Received]]&lt;0,Over_all[[#This Row],[BOQ]]-Over_all[[#This Row],[Received]],"")</f>
        <v>-1</v>
      </c>
      <c r="I223" s="221"/>
      <c r="J223" s="224">
        <f>Over_all[[#This Row],[Received]]</f>
        <v>1</v>
      </c>
      <c r="K223" s="210">
        <f>SUMIF(ISSUE!$F:$F,Over_all[[#This Row],[Item Description]],ISSUE!$I:$I)</f>
        <v>0</v>
      </c>
      <c r="L223" s="210">
        <f>Over_all[[#This Row],[Received.]]-Over_all[[#This Row],[Issued]]</f>
        <v>1</v>
      </c>
      <c r="M223" s="212"/>
      <c r="N223" s="222"/>
    </row>
    <row r="224" spans="1:14" ht="16" customHeight="1" x14ac:dyDescent="0.35">
      <c r="A224" s="197">
        <f>BOQ[[#This Row],[S.No]]</f>
        <v>29</v>
      </c>
      <c r="B224" s="198" t="str">
        <f>BOQ[[#This Row],[Item Description]]</f>
        <v>5Kv Meco Make Megger</v>
      </c>
      <c r="C224" s="199">
        <f>BOQ[[#This Row],[Make / Vendor]]</f>
        <v>0</v>
      </c>
      <c r="D224" s="199" t="str">
        <f>BOQ[[#This Row],[Unit]]</f>
        <v>Nos</v>
      </c>
      <c r="E224" s="199">
        <f>BOQ[[#This Row],[BOQ]]</f>
        <v>0</v>
      </c>
      <c r="F224" s="200">
        <f>SUMIF('Goods Receipt'!$J:$J,Over_all[[#This Row],[Item Description]],'Goods Receipt'!$M:$M)</f>
        <v>1</v>
      </c>
      <c r="G224" s="210" t="str">
        <f>IF(Over_all[[#This Row],[BOQ]]-Over_all[[#This Row],[Received]]&gt;=0,Over_all[[#This Row],[BOQ]]-Over_all[[#This Row],[Received]],"")</f>
        <v/>
      </c>
      <c r="H224" s="211">
        <f>IF(Over_all[[#This Row],[BOQ]]-Over_all[[#This Row],[Received]]&lt;0,Over_all[[#This Row],[BOQ]]-Over_all[[#This Row],[Received]],"")</f>
        <v>-1</v>
      </c>
      <c r="I224" s="221"/>
      <c r="J224" s="224">
        <f>Over_all[[#This Row],[Received]]</f>
        <v>1</v>
      </c>
      <c r="K224" s="210">
        <f>SUMIF(ISSUE!$F:$F,Over_all[[#This Row],[Item Description]],ISSUE!$I:$I)</f>
        <v>0</v>
      </c>
      <c r="L224" s="210">
        <f>Over_all[[#This Row],[Received.]]-Over_all[[#This Row],[Issued]]</f>
        <v>1</v>
      </c>
      <c r="M224" s="212"/>
      <c r="N224" s="222"/>
    </row>
    <row r="225" spans="1:14" ht="16" customHeight="1" x14ac:dyDescent="0.35">
      <c r="A225" s="206">
        <f>BOQ[[#This Row],[S.No]]</f>
        <v>30</v>
      </c>
      <c r="B225" s="198" t="str">
        <f>BOQ[[#This Row],[Item Description]]</f>
        <v>2000V AC/DC Clamp Meter -Meco</v>
      </c>
      <c r="C225" s="199">
        <f>BOQ[[#This Row],[Make / Vendor]]</f>
        <v>0</v>
      </c>
      <c r="D225" s="199" t="str">
        <f>BOQ[[#This Row],[Unit]]</f>
        <v>Nos</v>
      </c>
      <c r="E225" s="199">
        <f>BOQ[[#This Row],[BOQ]]</f>
        <v>0</v>
      </c>
      <c r="F225" s="200">
        <f>SUMIF('Goods Receipt'!$J:$J,Over_all[[#This Row],[Item Description]],'Goods Receipt'!$M:$M)</f>
        <v>1</v>
      </c>
      <c r="G225" s="210" t="str">
        <f>IF(Over_all[[#This Row],[BOQ]]-Over_all[[#This Row],[Received]]&gt;=0,Over_all[[#This Row],[BOQ]]-Over_all[[#This Row],[Received]],"")</f>
        <v/>
      </c>
      <c r="H225" s="211">
        <f>IF(Over_all[[#This Row],[BOQ]]-Over_all[[#This Row],[Received]]&lt;0,Over_all[[#This Row],[BOQ]]-Over_all[[#This Row],[Received]],"")</f>
        <v>-1</v>
      </c>
      <c r="I225" s="221"/>
      <c r="J225" s="224">
        <f>Over_all[[#This Row],[Received]]</f>
        <v>1</v>
      </c>
      <c r="K225" s="210">
        <f>SUMIF(ISSUE!$F:$F,Over_all[[#This Row],[Item Description]],ISSUE!$I:$I)</f>
        <v>0</v>
      </c>
      <c r="L225" s="210">
        <f>Over_all[[#This Row],[Received.]]-Over_all[[#This Row],[Issued]]</f>
        <v>1</v>
      </c>
      <c r="M225" s="212"/>
      <c r="N225" s="222"/>
    </row>
    <row r="226" spans="1:14" ht="16" customHeight="1" x14ac:dyDescent="0.35">
      <c r="A226" s="206">
        <f>BOQ[[#This Row],[S.No]]</f>
        <v>31</v>
      </c>
      <c r="B226" s="198" t="str">
        <f>BOQ[[#This Row],[Item Description]]</f>
        <v>Measuring Tap-5 MTR</v>
      </c>
      <c r="C226" s="199">
        <f>BOQ[[#This Row],[Make / Vendor]]</f>
        <v>0</v>
      </c>
      <c r="D226" s="199" t="str">
        <f>BOQ[[#This Row],[Unit]]</f>
        <v>Nos</v>
      </c>
      <c r="E226" s="199">
        <f>BOQ[[#This Row],[BOQ]]</f>
        <v>0</v>
      </c>
      <c r="F226" s="200">
        <f>SUMIF('Goods Receipt'!$J:$J,Over_all[[#This Row],[Item Description]],'Goods Receipt'!$M:$M)</f>
        <v>3</v>
      </c>
      <c r="G226" s="210" t="str">
        <f>IF(Over_all[[#This Row],[BOQ]]-Over_all[[#This Row],[Received]]&gt;=0,Over_all[[#This Row],[BOQ]]-Over_all[[#This Row],[Received]],"")</f>
        <v/>
      </c>
      <c r="H226" s="211">
        <f>IF(Over_all[[#This Row],[BOQ]]-Over_all[[#This Row],[Received]]&lt;0,Over_all[[#This Row],[BOQ]]-Over_all[[#This Row],[Received]],"")</f>
        <v>-3</v>
      </c>
      <c r="I226" s="221"/>
      <c r="J226" s="224">
        <f>Over_all[[#This Row],[Received]]</f>
        <v>3</v>
      </c>
      <c r="K226" s="210">
        <f>SUMIF(ISSUE!$F:$F,Over_all[[#This Row],[Item Description]],ISSUE!$I:$I)</f>
        <v>0</v>
      </c>
      <c r="L226" s="210">
        <f>Over_all[[#This Row],[Received.]]-Over_all[[#This Row],[Issued]]</f>
        <v>3</v>
      </c>
      <c r="M226" s="212"/>
      <c r="N226" s="222"/>
    </row>
    <row r="227" spans="1:14" ht="23" x14ac:dyDescent="0.35">
      <c r="A227" s="206">
        <f>BOQ[[#This Row],[S.No]]</f>
        <v>32</v>
      </c>
      <c r="B227" s="198" t="str">
        <f>BOQ[[#This Row],[Item Description]]</f>
        <v>Jacket &amp;Bib pant,Hood,Class E Helmet With Face Shield ,Fabric Leathergloves and storage Bag</v>
      </c>
      <c r="C227" s="199">
        <f>BOQ[[#This Row],[Make / Vendor]]</f>
        <v>0</v>
      </c>
      <c r="D227" s="199" t="str">
        <f>BOQ[[#This Row],[Unit]]</f>
        <v>Nos</v>
      </c>
      <c r="E227" s="199">
        <f>BOQ[[#This Row],[BOQ]]</f>
        <v>0</v>
      </c>
      <c r="F227" s="200">
        <f>SUMIF('Goods Receipt'!$J:$J,Over_all[[#This Row],[Item Description]],'Goods Receipt'!$M:$M)</f>
        <v>1</v>
      </c>
      <c r="G227" s="210" t="str">
        <f>IF(Over_all[[#This Row],[BOQ]]-Over_all[[#This Row],[Received]]&gt;=0,Over_all[[#This Row],[BOQ]]-Over_all[[#This Row],[Received]],"")</f>
        <v/>
      </c>
      <c r="H227" s="211">
        <f>IF(Over_all[[#This Row],[BOQ]]-Over_all[[#This Row],[Received]]&lt;0,Over_all[[#This Row],[BOQ]]-Over_all[[#This Row],[Received]],"")</f>
        <v>-1</v>
      </c>
      <c r="I227" s="221"/>
      <c r="J227" s="224">
        <f>Over_all[[#This Row],[Received]]</f>
        <v>1</v>
      </c>
      <c r="K227" s="210">
        <f>SUMIF(ISSUE!$F:$F,Over_all[[#This Row],[Item Description]],ISSUE!$I:$I)</f>
        <v>0</v>
      </c>
      <c r="L227" s="210">
        <f>Over_all[[#This Row],[Received.]]-Over_all[[#This Row],[Issued]]</f>
        <v>1</v>
      </c>
      <c r="M227" s="212"/>
      <c r="N227" s="222"/>
    </row>
    <row r="228" spans="1:14" ht="16" customHeight="1" x14ac:dyDescent="0.35">
      <c r="A228" s="206">
        <f>BOQ[[#This Row],[S.No]]</f>
        <v>33</v>
      </c>
      <c r="B228" s="198" t="str">
        <f>BOQ[[#This Row],[Item Description]]</f>
        <v>Screw Driver (Taparia)</v>
      </c>
      <c r="C228" s="199">
        <f>BOQ[[#This Row],[Make / Vendor]]</f>
        <v>0</v>
      </c>
      <c r="D228" s="199" t="str">
        <f>BOQ[[#This Row],[Unit]]</f>
        <v>Set</v>
      </c>
      <c r="E228" s="199">
        <f>BOQ[[#This Row],[BOQ]]</f>
        <v>0</v>
      </c>
      <c r="F228" s="200">
        <f>SUMIF('Goods Receipt'!$J:$J,Over_all[[#This Row],[Item Description]],'Goods Receipt'!$M:$M)</f>
        <v>2</v>
      </c>
      <c r="G228" s="210" t="str">
        <f>IF(Over_all[[#This Row],[BOQ]]-Over_all[[#This Row],[Received]]&gt;=0,Over_all[[#This Row],[BOQ]]-Over_all[[#This Row],[Received]],"")</f>
        <v/>
      </c>
      <c r="H228" s="211">
        <f>IF(Over_all[[#This Row],[BOQ]]-Over_all[[#This Row],[Received]]&lt;0,Over_all[[#This Row],[BOQ]]-Over_all[[#This Row],[Received]],"")</f>
        <v>-2</v>
      </c>
      <c r="I228" s="221"/>
      <c r="J228" s="224">
        <f>Over_all[[#This Row],[Received]]</f>
        <v>2</v>
      </c>
      <c r="K228" s="210">
        <f>SUMIF(ISSUE!$F:$F,Over_all[[#This Row],[Item Description]],ISSUE!$I:$I)</f>
        <v>0</v>
      </c>
      <c r="L228" s="210">
        <f>Over_all[[#This Row],[Received.]]-Over_all[[#This Row],[Issued]]</f>
        <v>2</v>
      </c>
      <c r="M228" s="212"/>
      <c r="N228" s="222"/>
    </row>
    <row r="229" spans="1:14" ht="16" customHeight="1" x14ac:dyDescent="0.35">
      <c r="A229" s="206">
        <f>BOQ[[#This Row],[S.No]]</f>
        <v>34</v>
      </c>
      <c r="B229" s="198" t="str">
        <f>BOQ[[#This Row],[Item Description]]</f>
        <v>Sprit Level</v>
      </c>
      <c r="C229" s="199">
        <f>BOQ[[#This Row],[Make / Vendor]]</f>
        <v>0</v>
      </c>
      <c r="D229" s="199" t="str">
        <f>BOQ[[#This Row],[Unit]]</f>
        <v>Nos</v>
      </c>
      <c r="E229" s="199">
        <f>BOQ[[#This Row],[BOQ]]</f>
        <v>0</v>
      </c>
      <c r="F229" s="200">
        <f>SUMIF('Goods Receipt'!$J:$J,Over_all[[#This Row],[Item Description]],'Goods Receipt'!$M:$M)</f>
        <v>2</v>
      </c>
      <c r="G229" s="210" t="str">
        <f>IF(Over_all[[#This Row],[BOQ]]-Over_all[[#This Row],[Received]]&gt;=0,Over_all[[#This Row],[BOQ]]-Over_all[[#This Row],[Received]],"")</f>
        <v/>
      </c>
      <c r="H229" s="211">
        <f>IF(Over_all[[#This Row],[BOQ]]-Over_all[[#This Row],[Received]]&lt;0,Over_all[[#This Row],[BOQ]]-Over_all[[#This Row],[Received]],"")</f>
        <v>-2</v>
      </c>
      <c r="I229" s="221"/>
      <c r="J229" s="224">
        <f>Over_all[[#This Row],[Received]]</f>
        <v>2</v>
      </c>
      <c r="K229" s="210">
        <f>SUMIF(ISSUE!$F:$F,Over_all[[#This Row],[Item Description]],ISSUE!$I:$I)</f>
        <v>0</v>
      </c>
      <c r="L229" s="210">
        <f>Over_all[[#This Row],[Received.]]-Over_all[[#This Row],[Issued]]</f>
        <v>2</v>
      </c>
      <c r="M229" s="212"/>
      <c r="N229" s="222"/>
    </row>
    <row r="230" spans="1:14" ht="16" customHeight="1" x14ac:dyDescent="0.35">
      <c r="A230" s="206">
        <f>BOQ[[#This Row],[S.No]]</f>
        <v>35</v>
      </c>
      <c r="B230" s="198" t="str">
        <f>BOQ[[#This Row],[Item Description]]</f>
        <v>33Kv Earthing Electrode</v>
      </c>
      <c r="C230" s="199">
        <f>BOQ[[#This Row],[Make / Vendor]]</f>
        <v>0</v>
      </c>
      <c r="D230" s="199" t="str">
        <f>BOQ[[#This Row],[Unit]]</f>
        <v>Nos</v>
      </c>
      <c r="E230" s="199">
        <f>BOQ[[#This Row],[BOQ]]</f>
        <v>0</v>
      </c>
      <c r="F230" s="200">
        <f>SUMIF('Goods Receipt'!$J:$J,Over_all[[#This Row],[Item Description]],'Goods Receipt'!$M:$M)</f>
        <v>2</v>
      </c>
      <c r="G230" s="210" t="str">
        <f>IF(Over_all[[#This Row],[BOQ]]-Over_all[[#This Row],[Received]]&gt;=0,Over_all[[#This Row],[BOQ]]-Over_all[[#This Row],[Received]],"")</f>
        <v/>
      </c>
      <c r="H230" s="211">
        <f>IF(Over_all[[#This Row],[BOQ]]-Over_all[[#This Row],[Received]]&lt;0,Over_all[[#This Row],[BOQ]]-Over_all[[#This Row],[Received]],"")</f>
        <v>-2</v>
      </c>
      <c r="I230" s="221"/>
      <c r="J230" s="224">
        <f>Over_all[[#This Row],[Received]]</f>
        <v>2</v>
      </c>
      <c r="K230" s="210">
        <f>SUMIF(ISSUE!$F:$F,Over_all[[#This Row],[Item Description]],ISSUE!$I:$I)</f>
        <v>0</v>
      </c>
      <c r="L230" s="210">
        <f>Over_all[[#This Row],[Received.]]-Over_all[[#This Row],[Issued]]</f>
        <v>2</v>
      </c>
      <c r="M230" s="212"/>
      <c r="N230" s="222"/>
    </row>
    <row r="231" spans="1:14" ht="16" customHeight="1" x14ac:dyDescent="0.35">
      <c r="A231" s="206"/>
      <c r="B231" s="198">
        <f>BOQ[[#This Row],[Item Description]]</f>
        <v>0</v>
      </c>
      <c r="C231" s="199">
        <f>BOQ[[#This Row],[Make / Vendor]]</f>
        <v>0</v>
      </c>
      <c r="D231" s="199">
        <f>BOQ[[#This Row],[Unit]]</f>
        <v>0</v>
      </c>
      <c r="E231" s="199">
        <f>BOQ[[#This Row],[BOQ]]</f>
        <v>0</v>
      </c>
      <c r="F231" s="200">
        <f>SUMIF('Goods Receipt'!$J:$J,Over_all[[#This Row],[Item Description]],'Goods Receipt'!$M:$M)</f>
        <v>0</v>
      </c>
      <c r="G231" s="210">
        <f>IF(Over_all[[#This Row],[BOQ]]-Over_all[[#This Row],[Received]]&gt;=0,Over_all[[#This Row],[BOQ]]-Over_all[[#This Row],[Received]],"")</f>
        <v>0</v>
      </c>
      <c r="H231" s="211" t="str">
        <f>IF(Over_all[[#This Row],[BOQ]]-Over_all[[#This Row],[Received]]&lt;0,Over_all[[#This Row],[BOQ]]-Over_all[[#This Row],[Received]],"")</f>
        <v/>
      </c>
      <c r="I231" s="221"/>
      <c r="J231" s="224">
        <f>Over_all[[#This Row],[Received]]</f>
        <v>0</v>
      </c>
      <c r="K231" s="210">
        <f>SUMIF(ISSUE!$F:$F,Over_all[[#This Row],[Item Description]],ISSUE!$I:$I)</f>
        <v>0</v>
      </c>
      <c r="L231" s="210">
        <f>Over_all[[#This Row],[Received.]]-Over_all[[#This Row],[Issued]]</f>
        <v>0</v>
      </c>
      <c r="M231" s="212"/>
      <c r="N231" s="222"/>
    </row>
    <row r="232" spans="1:14" ht="16" customHeight="1" x14ac:dyDescent="0.35">
      <c r="A232" s="202" t="str">
        <f>BOQ[[#This Row],[S.No]]</f>
        <v>Q</v>
      </c>
      <c r="B232" s="203" t="str">
        <f>BOQ[[#This Row],[Item Description]]</f>
        <v>CCTV</v>
      </c>
      <c r="C232" s="199">
        <f>BOQ[[#This Row],[Make / Vendor]]</f>
        <v>0</v>
      </c>
      <c r="D232" s="199">
        <f>BOQ[[#This Row],[Unit]]</f>
        <v>0</v>
      </c>
      <c r="E232" s="199">
        <f>BOQ[[#This Row],[BOQ]]</f>
        <v>0</v>
      </c>
      <c r="F232" s="200">
        <f>SUMIF('Goods Receipt'!$J:$J,Over_all[[#This Row],[Item Description]],'Goods Receipt'!$M:$M)</f>
        <v>0</v>
      </c>
      <c r="G232" s="210">
        <f>IF(Over_all[[#This Row],[BOQ]]-Over_all[[#This Row],[Received]]&gt;=0,Over_all[[#This Row],[BOQ]]-Over_all[[#This Row],[Received]],"")</f>
        <v>0</v>
      </c>
      <c r="H232" s="211" t="str">
        <f>IF(Over_all[[#This Row],[BOQ]]-Over_all[[#This Row],[Received]]&lt;0,Over_all[[#This Row],[BOQ]]-Over_all[[#This Row],[Received]],"")</f>
        <v/>
      </c>
      <c r="I232" s="221"/>
      <c r="J232" s="224">
        <f>Over_all[[#This Row],[Received]]</f>
        <v>0</v>
      </c>
      <c r="K232" s="210">
        <f>SUMIF(ISSUE!$F:$F,Over_all[[#This Row],[Item Description]],ISSUE!$I:$I)</f>
        <v>0</v>
      </c>
      <c r="L232" s="210">
        <f>Over_all[[#This Row],[Received.]]-Over_all[[#This Row],[Issued]]</f>
        <v>0</v>
      </c>
      <c r="M232" s="212"/>
      <c r="N232" s="222"/>
    </row>
    <row r="233" spans="1:14" ht="16" customHeight="1" x14ac:dyDescent="0.35">
      <c r="A233" s="206">
        <f>BOQ[[#This Row],[S.No]]</f>
        <v>0</v>
      </c>
      <c r="B233" s="198">
        <f>BOQ[[#This Row],[Item Description]]</f>
        <v>0</v>
      </c>
      <c r="C233" s="199">
        <f>BOQ[[#This Row],[Make / Vendor]]</f>
        <v>0</v>
      </c>
      <c r="D233" s="199">
        <f>BOQ[[#This Row],[Unit]]</f>
        <v>0</v>
      </c>
      <c r="E233" s="199">
        <f>BOQ[[#This Row],[BOQ]]</f>
        <v>0</v>
      </c>
      <c r="F233" s="200">
        <f>SUMIF('Goods Receipt'!$J:$J,Over_all[[#This Row],[Item Description]],'Goods Receipt'!$M:$M)</f>
        <v>0</v>
      </c>
      <c r="G233" s="210">
        <f>IF(Over_all[[#This Row],[BOQ]]-Over_all[[#This Row],[Received]]&gt;=0,Over_all[[#This Row],[BOQ]]-Over_all[[#This Row],[Received]],"")</f>
        <v>0</v>
      </c>
      <c r="H233" s="211" t="str">
        <f>IF(Over_all[[#This Row],[BOQ]]-Over_all[[#This Row],[Received]]&lt;0,Over_all[[#This Row],[BOQ]]-Over_all[[#This Row],[Received]],"")</f>
        <v/>
      </c>
      <c r="I233" s="221"/>
      <c r="J233" s="224">
        <f>Over_all[[#This Row],[Received]]</f>
        <v>0</v>
      </c>
      <c r="K233" s="210">
        <f>SUMIF(ISSUE!$F:$F,Over_all[[#This Row],[Item Description]],ISSUE!$I:$I)</f>
        <v>0</v>
      </c>
      <c r="L233" s="210">
        <f>Over_all[[#This Row],[Received.]]-Over_all[[#This Row],[Issued]]</f>
        <v>0</v>
      </c>
      <c r="M233" s="212"/>
      <c r="N233" s="222"/>
    </row>
    <row r="234" spans="1:14" ht="16" customHeight="1" x14ac:dyDescent="0.35">
      <c r="A234" s="202" t="str">
        <f>BOQ[[#This Row],[S.No]]</f>
        <v>R</v>
      </c>
      <c r="B234" s="203" t="str">
        <f>BOQ[[#This Row],[Item Description]]</f>
        <v>NIFPS</v>
      </c>
      <c r="C234" s="199">
        <f>BOQ[[#This Row],[Make / Vendor]]</f>
        <v>0</v>
      </c>
      <c r="D234" s="199">
        <f>BOQ[[#This Row],[Unit]]</f>
        <v>0</v>
      </c>
      <c r="E234" s="199">
        <f>BOQ[[#This Row],[BOQ]]</f>
        <v>0</v>
      </c>
      <c r="F234" s="200">
        <f>SUMIF('Goods Receipt'!$J:$J,Over_all[[#This Row],[Item Description]],'Goods Receipt'!$M:$M)</f>
        <v>0</v>
      </c>
      <c r="G234" s="210">
        <f>IF(Over_all[[#This Row],[BOQ]]-Over_all[[#This Row],[Received]]&gt;=0,Over_all[[#This Row],[BOQ]]-Over_all[[#This Row],[Received]],"")</f>
        <v>0</v>
      </c>
      <c r="H234" s="211" t="str">
        <f>IF(Over_all[[#This Row],[BOQ]]-Over_all[[#This Row],[Received]]&lt;0,Over_all[[#This Row],[BOQ]]-Over_all[[#This Row],[Received]],"")</f>
        <v/>
      </c>
      <c r="I234" s="221"/>
      <c r="J234" s="224">
        <f>Over_all[[#This Row],[Received]]</f>
        <v>0</v>
      </c>
      <c r="K234" s="210">
        <f>SUMIF(ISSUE!$F:$F,Over_all[[#This Row],[Item Description]],ISSUE!$I:$I)</f>
        <v>0</v>
      </c>
      <c r="L234" s="210">
        <f>Over_all[[#This Row],[Received.]]-Over_all[[#This Row],[Issued]]</f>
        <v>0</v>
      </c>
      <c r="M234" s="212"/>
      <c r="N234" s="222"/>
    </row>
    <row r="235" spans="1:14" ht="16" customHeight="1" x14ac:dyDescent="0.35">
      <c r="A235" s="206">
        <f>BOQ[[#This Row],[S.No]]</f>
        <v>1</v>
      </c>
      <c r="B235" s="198" t="str">
        <f>BOQ[[#This Row],[Item Description]]</f>
        <v>N2 Fire Production System</v>
      </c>
      <c r="C235" s="199">
        <f>BOQ[[#This Row],[Make / Vendor]]</f>
        <v>0</v>
      </c>
      <c r="D235" s="199" t="str">
        <f>BOQ[[#This Row],[Unit]]</f>
        <v>Nos</v>
      </c>
      <c r="E235" s="199">
        <f>BOQ[[#This Row],[BOQ]]</f>
        <v>0</v>
      </c>
      <c r="F235" s="200">
        <f>SUMIF('Goods Receipt'!$J:$J,Over_all[[#This Row],[Item Description]],'Goods Receipt'!$M:$M)</f>
        <v>1</v>
      </c>
      <c r="G235" s="210" t="str">
        <f>IF(Over_all[[#This Row],[BOQ]]-Over_all[[#This Row],[Received]]&gt;=0,Over_all[[#This Row],[BOQ]]-Over_all[[#This Row],[Received]],"")</f>
        <v/>
      </c>
      <c r="H235" s="211">
        <f>IF(Over_all[[#This Row],[BOQ]]-Over_all[[#This Row],[Received]]&lt;0,Over_all[[#This Row],[BOQ]]-Over_all[[#This Row],[Received]],"")</f>
        <v>-1</v>
      </c>
      <c r="I235" s="221"/>
      <c r="J235" s="224">
        <f>Over_all[[#This Row],[Received]]</f>
        <v>1</v>
      </c>
      <c r="K235" s="210">
        <f>SUMIF(ISSUE!$F:$F,Over_all[[#This Row],[Item Description]],ISSUE!$I:$I)</f>
        <v>0</v>
      </c>
      <c r="L235" s="210">
        <f>Over_all[[#This Row],[Received.]]-Over_all[[#This Row],[Issued]]</f>
        <v>1</v>
      </c>
      <c r="M235" s="212"/>
      <c r="N235" s="222"/>
    </row>
    <row r="236" spans="1:14" ht="16" customHeight="1" x14ac:dyDescent="0.35">
      <c r="A236" s="206">
        <f>BOQ[[#This Row],[S.No]]</f>
        <v>2</v>
      </c>
      <c r="B236" s="198" t="str">
        <f>BOQ[[#This Row],[Item Description]]</f>
        <v>Fire Extingushing Cubicle</v>
      </c>
      <c r="C236" s="199">
        <f>BOQ[[#This Row],[Make / Vendor]]</f>
        <v>0</v>
      </c>
      <c r="D236" s="199" t="str">
        <f>BOQ[[#This Row],[Unit]]</f>
        <v>Nos</v>
      </c>
      <c r="E236" s="199">
        <f>BOQ[[#This Row],[BOQ]]</f>
        <v>0</v>
      </c>
      <c r="F236" s="200">
        <f>SUMIF('Goods Receipt'!$J:$J,Over_all[[#This Row],[Item Description]],'Goods Receipt'!$M:$M)</f>
        <v>1</v>
      </c>
      <c r="G236" s="210" t="str">
        <f>IF(Over_all[[#This Row],[BOQ]]-Over_all[[#This Row],[Received]]&gt;=0,Over_all[[#This Row],[BOQ]]-Over_all[[#This Row],[Received]],"")</f>
        <v/>
      </c>
      <c r="H236" s="211">
        <f>IF(Over_all[[#This Row],[BOQ]]-Over_all[[#This Row],[Received]]&lt;0,Over_all[[#This Row],[BOQ]]-Over_all[[#This Row],[Received]],"")</f>
        <v>-1</v>
      </c>
      <c r="I236" s="221"/>
      <c r="J236" s="224">
        <f>Over_all[[#This Row],[Received]]</f>
        <v>1</v>
      </c>
      <c r="K236" s="210">
        <f>SUMIF(ISSUE!$F:$F,Over_all[[#This Row],[Item Description]],ISSUE!$I:$I)</f>
        <v>0</v>
      </c>
      <c r="L236" s="210">
        <f>Over_all[[#This Row],[Received.]]-Over_all[[#This Row],[Issued]]</f>
        <v>1</v>
      </c>
      <c r="M236" s="212"/>
      <c r="N236" s="222"/>
    </row>
    <row r="237" spans="1:14" ht="16" customHeight="1" x14ac:dyDescent="0.35">
      <c r="A237" s="206">
        <f>BOQ[[#This Row],[S.No]]</f>
        <v>3</v>
      </c>
      <c r="B237" s="198" t="str">
        <f>BOQ[[#This Row],[Item Description]]</f>
        <v>Control Box</v>
      </c>
      <c r="C237" s="199">
        <f>BOQ[[#This Row],[Make / Vendor]]</f>
        <v>0</v>
      </c>
      <c r="D237" s="199" t="str">
        <f>BOQ[[#This Row],[Unit]]</f>
        <v>Nos</v>
      </c>
      <c r="E237" s="199">
        <f>BOQ[[#This Row],[BOQ]]</f>
        <v>0</v>
      </c>
      <c r="F237" s="200">
        <f>SUMIF('Goods Receipt'!$J:$J,Over_all[[#This Row],[Item Description]],'Goods Receipt'!$M:$M)</f>
        <v>1</v>
      </c>
      <c r="G237" s="210" t="str">
        <f>IF(Over_all[[#This Row],[BOQ]]-Over_all[[#This Row],[Received]]&gt;=0,Over_all[[#This Row],[BOQ]]-Over_all[[#This Row],[Received]],"")</f>
        <v/>
      </c>
      <c r="H237" s="211">
        <f>IF(Over_all[[#This Row],[BOQ]]-Over_all[[#This Row],[Received]]&lt;0,Over_all[[#This Row],[BOQ]]-Over_all[[#This Row],[Received]],"")</f>
        <v>-1</v>
      </c>
      <c r="I237" s="221"/>
      <c r="J237" s="224">
        <f>Over_all[[#This Row],[Received]]</f>
        <v>1</v>
      </c>
      <c r="K237" s="210">
        <f>SUMIF(ISSUE!$F:$F,Over_all[[#This Row],[Item Description]],ISSUE!$I:$I)</f>
        <v>0</v>
      </c>
      <c r="L237" s="210">
        <f>Over_all[[#This Row],[Received.]]-Over_all[[#This Row],[Issued]]</f>
        <v>1</v>
      </c>
      <c r="M237" s="212"/>
      <c r="N237" s="222"/>
    </row>
    <row r="238" spans="1:14" ht="16" customHeight="1" x14ac:dyDescent="0.35">
      <c r="A238" s="206">
        <f>BOQ[[#This Row],[S.No]]</f>
        <v>4</v>
      </c>
      <c r="B238" s="198" t="str">
        <f>BOQ[[#This Row],[Item Description]]</f>
        <v>Fire Detectors</v>
      </c>
      <c r="C238" s="199">
        <f>BOQ[[#This Row],[Make / Vendor]]</f>
        <v>0</v>
      </c>
      <c r="D238" s="199" t="str">
        <f>BOQ[[#This Row],[Unit]]</f>
        <v>Nos</v>
      </c>
      <c r="E238" s="199">
        <f>BOQ[[#This Row],[BOQ]]</f>
        <v>0</v>
      </c>
      <c r="F238" s="200">
        <f>SUMIF('Goods Receipt'!$J:$J,Over_all[[#This Row],[Item Description]],'Goods Receipt'!$M:$M)</f>
        <v>8</v>
      </c>
      <c r="G238" s="210" t="str">
        <f>IF(Over_all[[#This Row],[BOQ]]-Over_all[[#This Row],[Received]]&gt;=0,Over_all[[#This Row],[BOQ]]-Over_all[[#This Row],[Received]],"")</f>
        <v/>
      </c>
      <c r="H238" s="211">
        <f>IF(Over_all[[#This Row],[BOQ]]-Over_all[[#This Row],[Received]]&lt;0,Over_all[[#This Row],[BOQ]]-Over_all[[#This Row],[Received]],"")</f>
        <v>-8</v>
      </c>
      <c r="I238" s="221"/>
      <c r="J238" s="224">
        <f>Over_all[[#This Row],[Received]]</f>
        <v>8</v>
      </c>
      <c r="K238" s="210">
        <f>SUMIF(ISSUE!$F:$F,Over_all[[#This Row],[Item Description]],ISSUE!$I:$I)</f>
        <v>0</v>
      </c>
      <c r="L238" s="210">
        <f>Over_all[[#This Row],[Received.]]-Over_all[[#This Row],[Issued]]</f>
        <v>8</v>
      </c>
      <c r="M238" s="212"/>
      <c r="N238" s="222"/>
    </row>
    <row r="239" spans="1:14" ht="16" customHeight="1" x14ac:dyDescent="0.35">
      <c r="A239" s="206">
        <f>BOQ[[#This Row],[S.No]]</f>
        <v>5</v>
      </c>
      <c r="B239" s="198" t="str">
        <f>BOQ[[#This Row],[Item Description]]</f>
        <v>Signal Box</v>
      </c>
      <c r="C239" s="199">
        <f>BOQ[[#This Row],[Make / Vendor]]</f>
        <v>0</v>
      </c>
      <c r="D239" s="199" t="str">
        <f>BOQ[[#This Row],[Unit]]</f>
        <v>Nos</v>
      </c>
      <c r="E239" s="199">
        <f>BOQ[[#This Row],[BOQ]]</f>
        <v>0</v>
      </c>
      <c r="F239" s="200">
        <f>SUMIF('Goods Receipt'!$J:$J,Over_all[[#This Row],[Item Description]],'Goods Receipt'!$M:$M)</f>
        <v>1</v>
      </c>
      <c r="G239" s="210" t="str">
        <f>IF(Over_all[[#This Row],[BOQ]]-Over_all[[#This Row],[Received]]&gt;=0,Over_all[[#This Row],[BOQ]]-Over_all[[#This Row],[Received]],"")</f>
        <v/>
      </c>
      <c r="H239" s="211">
        <f>IF(Over_all[[#This Row],[BOQ]]-Over_all[[#This Row],[Received]]&lt;0,Over_all[[#This Row],[BOQ]]-Over_all[[#This Row],[Received]],"")</f>
        <v>-1</v>
      </c>
      <c r="I239" s="221"/>
      <c r="J239" s="224">
        <f>Over_all[[#This Row],[Received]]</f>
        <v>1</v>
      </c>
      <c r="K239" s="210">
        <f>SUMIF(ISSUE!$F:$F,Over_all[[#This Row],[Item Description]],ISSUE!$I:$I)</f>
        <v>0</v>
      </c>
      <c r="L239" s="210">
        <f>Over_all[[#This Row],[Received.]]-Over_all[[#This Row],[Issued]]</f>
        <v>1</v>
      </c>
      <c r="M239" s="212"/>
      <c r="N239" s="222"/>
    </row>
    <row r="240" spans="1:14" ht="16" customHeight="1" x14ac:dyDescent="0.35">
      <c r="A240" s="206">
        <f>BOQ[[#This Row],[S.No]]</f>
        <v>6</v>
      </c>
      <c r="B240" s="198" t="str">
        <f>BOQ[[#This Row],[Item Description]]</f>
        <v xml:space="preserve">Transformer Conservator Isolation Valve </v>
      </c>
      <c r="C240" s="199">
        <f>BOQ[[#This Row],[Make / Vendor]]</f>
        <v>0</v>
      </c>
      <c r="D240" s="199" t="str">
        <f>BOQ[[#This Row],[Unit]]</f>
        <v>Nos</v>
      </c>
      <c r="E240" s="199">
        <f>BOQ[[#This Row],[BOQ]]</f>
        <v>0</v>
      </c>
      <c r="F240" s="200">
        <f>SUMIF('Goods Receipt'!$J:$J,Over_all[[#This Row],[Item Description]],'Goods Receipt'!$M:$M)</f>
        <v>1</v>
      </c>
      <c r="G240" s="210" t="str">
        <f>IF(Over_all[[#This Row],[BOQ]]-Over_all[[#This Row],[Received]]&gt;=0,Over_all[[#This Row],[BOQ]]-Over_all[[#This Row],[Received]],"")</f>
        <v/>
      </c>
      <c r="H240" s="211">
        <f>IF(Over_all[[#This Row],[BOQ]]-Over_all[[#This Row],[Received]]&lt;0,Over_all[[#This Row],[BOQ]]-Over_all[[#This Row],[Received]],"")</f>
        <v>-1</v>
      </c>
      <c r="I240" s="221"/>
      <c r="J240" s="224">
        <f>Over_all[[#This Row],[Received]]</f>
        <v>1</v>
      </c>
      <c r="K240" s="210">
        <f>SUMIF(ISSUE!$F:$F,Over_all[[#This Row],[Item Description]],ISSUE!$I:$I)</f>
        <v>0</v>
      </c>
      <c r="L240" s="210">
        <f>Over_all[[#This Row],[Received.]]-Over_all[[#This Row],[Issued]]</f>
        <v>1</v>
      </c>
      <c r="M240" s="212"/>
      <c r="N240" s="222"/>
    </row>
    <row r="241" spans="1:14" ht="16" customHeight="1" x14ac:dyDescent="0.35">
      <c r="A241" s="206">
        <f>BOQ[[#This Row],[S.No]]</f>
        <v>7</v>
      </c>
      <c r="B241" s="198" t="str">
        <f>BOQ[[#This Row],[Item Description]]</f>
        <v>Keys</v>
      </c>
      <c r="C241" s="199">
        <f>BOQ[[#This Row],[Make / Vendor]]</f>
        <v>0</v>
      </c>
      <c r="D241" s="199" t="str">
        <f>BOQ[[#This Row],[Unit]]</f>
        <v>Nos</v>
      </c>
      <c r="E241" s="199">
        <f>BOQ[[#This Row],[BOQ]]</f>
        <v>0</v>
      </c>
      <c r="F241" s="200">
        <f>SUMIF('Goods Receipt'!$J:$J,Over_all[[#This Row],[Item Description]],'Goods Receipt'!$M:$M)</f>
        <v>6</v>
      </c>
      <c r="G241" s="210" t="str">
        <f>IF(Over_all[[#This Row],[BOQ]]-Over_all[[#This Row],[Received]]&gt;=0,Over_all[[#This Row],[BOQ]]-Over_all[[#This Row],[Received]],"")</f>
        <v/>
      </c>
      <c r="H241" s="211">
        <f>IF(Over_all[[#This Row],[BOQ]]-Over_all[[#This Row],[Received]]&lt;0,Over_all[[#This Row],[BOQ]]-Over_all[[#This Row],[Received]],"")</f>
        <v>-6</v>
      </c>
      <c r="I241" s="221"/>
      <c r="J241" s="224">
        <f>Over_all[[#This Row],[Received]]</f>
        <v>6</v>
      </c>
      <c r="K241" s="210">
        <f>SUMIF(ISSUE!$F:$F,Over_all[[#This Row],[Item Description]],ISSUE!$I:$I)</f>
        <v>0</v>
      </c>
      <c r="L241" s="210">
        <f>Over_all[[#This Row],[Received.]]-Over_all[[#This Row],[Issued]]</f>
        <v>6</v>
      </c>
      <c r="M241" s="212"/>
      <c r="N241" s="222"/>
    </row>
    <row r="242" spans="1:14" ht="16" customHeight="1" x14ac:dyDescent="0.35">
      <c r="A242" s="206">
        <f>BOQ[[#This Row],[S.No]]</f>
        <v>8</v>
      </c>
      <c r="B242" s="198" t="str">
        <f>BOQ[[#This Row],[Item Description]]</f>
        <v>FS Cable</v>
      </c>
      <c r="C242" s="199">
        <f>BOQ[[#This Row],[Make / Vendor]]</f>
        <v>0</v>
      </c>
      <c r="D242" s="199" t="str">
        <f>BOQ[[#This Row],[Unit]]</f>
        <v>Mtr</v>
      </c>
      <c r="E242" s="199">
        <f>BOQ[[#This Row],[BOQ]]</f>
        <v>0</v>
      </c>
      <c r="F242" s="200">
        <f>SUMIF('Goods Receipt'!$J:$J,Over_all[[#This Row],[Item Description]],'Goods Receipt'!$M:$M)</f>
        <v>40</v>
      </c>
      <c r="G242" s="210" t="str">
        <f>IF(Over_all[[#This Row],[BOQ]]-Over_all[[#This Row],[Received]]&gt;=0,Over_all[[#This Row],[BOQ]]-Over_all[[#This Row],[Received]],"")</f>
        <v/>
      </c>
      <c r="H242" s="211">
        <f>IF(Over_all[[#This Row],[BOQ]]-Over_all[[#This Row],[Received]]&lt;0,Over_all[[#This Row],[BOQ]]-Over_all[[#This Row],[Received]],"")</f>
        <v>-40</v>
      </c>
      <c r="I242" s="221"/>
      <c r="J242" s="224">
        <f>Over_all[[#This Row],[Received]]</f>
        <v>40</v>
      </c>
      <c r="K242" s="210">
        <f>SUMIF(ISSUE!$F:$F,Over_all[[#This Row],[Item Description]],ISSUE!$I:$I)</f>
        <v>0</v>
      </c>
      <c r="L242" s="210">
        <f>Over_all[[#This Row],[Received.]]-Over_all[[#This Row],[Issued]]</f>
        <v>40</v>
      </c>
      <c r="M242" s="212"/>
      <c r="N242" s="222"/>
    </row>
    <row r="243" spans="1:14" ht="16" customHeight="1" x14ac:dyDescent="0.35">
      <c r="A243" s="206">
        <f>BOQ[[#This Row],[S.No]]</f>
        <v>9</v>
      </c>
      <c r="B243" s="198" t="str">
        <f>BOQ[[#This Row],[Item Description]]</f>
        <v>Fire Detectors Cover</v>
      </c>
      <c r="C243" s="199">
        <f>BOQ[[#This Row],[Make / Vendor]]</f>
        <v>0</v>
      </c>
      <c r="D243" s="199" t="str">
        <f>BOQ[[#This Row],[Unit]]</f>
        <v>Nos</v>
      </c>
      <c r="E243" s="199">
        <f>BOQ[[#This Row],[BOQ]]</f>
        <v>0</v>
      </c>
      <c r="F243" s="200">
        <f>SUMIF('Goods Receipt'!$J:$J,Over_all[[#This Row],[Item Description]],'Goods Receipt'!$M:$M)</f>
        <v>8</v>
      </c>
      <c r="G243" s="210" t="str">
        <f>IF(Over_all[[#This Row],[BOQ]]-Over_all[[#This Row],[Received]]&gt;=0,Over_all[[#This Row],[BOQ]]-Over_all[[#This Row],[Received]],"")</f>
        <v/>
      </c>
      <c r="H243" s="211">
        <f>IF(Over_all[[#This Row],[BOQ]]-Over_all[[#This Row],[Received]]&lt;0,Over_all[[#This Row],[BOQ]]-Over_all[[#This Row],[Received]],"")</f>
        <v>-8</v>
      </c>
      <c r="I243" s="221"/>
      <c r="J243" s="224">
        <f>Over_all[[#This Row],[Received]]</f>
        <v>8</v>
      </c>
      <c r="K243" s="210">
        <f>SUMIF(ISSUE!$F:$F,Over_all[[#This Row],[Item Description]],ISSUE!$I:$I)</f>
        <v>0</v>
      </c>
      <c r="L243" s="210">
        <f>Over_all[[#This Row],[Received.]]-Over_all[[#This Row],[Issued]]</f>
        <v>8</v>
      </c>
      <c r="M243" s="212"/>
      <c r="N243" s="222"/>
    </row>
    <row r="244" spans="1:14" ht="16" customHeight="1" x14ac:dyDescent="0.35">
      <c r="A244" s="206">
        <f>BOQ[[#This Row],[S.No]]</f>
        <v>10</v>
      </c>
      <c r="B244" s="198" t="str">
        <f>BOQ[[#This Row],[Item Description]]</f>
        <v>FRLS 12 Core Cable</v>
      </c>
      <c r="C244" s="199">
        <f>BOQ[[#This Row],[Make / Vendor]]</f>
        <v>0</v>
      </c>
      <c r="D244" s="199" t="str">
        <f>BOQ[[#This Row],[Unit]]</f>
        <v>Mtr</v>
      </c>
      <c r="E244" s="199">
        <f>BOQ[[#This Row],[BOQ]]</f>
        <v>0</v>
      </c>
      <c r="F244" s="200">
        <f>SUMIF('Goods Receipt'!$J:$J,Over_all[[#This Row],[Item Description]],'Goods Receipt'!$M:$M)</f>
        <v>50</v>
      </c>
      <c r="G244" s="210" t="str">
        <f>IF(Over_all[[#This Row],[BOQ]]-Over_all[[#This Row],[Received]]&gt;=0,Over_all[[#This Row],[BOQ]]-Over_all[[#This Row],[Received]],"")</f>
        <v/>
      </c>
      <c r="H244" s="211">
        <f>IF(Over_all[[#This Row],[BOQ]]-Over_all[[#This Row],[Received]]&lt;0,Over_all[[#This Row],[BOQ]]-Over_all[[#This Row],[Received]],"")</f>
        <v>-50</v>
      </c>
      <c r="I244" s="221"/>
      <c r="J244" s="224">
        <f>Over_all[[#This Row],[Received]]</f>
        <v>50</v>
      </c>
      <c r="K244" s="210">
        <f>SUMIF(ISSUE!$F:$F,Over_all[[#This Row],[Item Description]],ISSUE!$I:$I)</f>
        <v>0</v>
      </c>
      <c r="L244" s="210">
        <f>Over_all[[#This Row],[Received.]]-Over_all[[#This Row],[Issued]]</f>
        <v>50</v>
      </c>
      <c r="M244" s="212"/>
      <c r="N244" s="222"/>
    </row>
    <row r="245" spans="1:14" ht="16" customHeight="1" x14ac:dyDescent="0.35">
      <c r="A245" s="206">
        <f>BOQ[[#This Row],[S.No]]</f>
        <v>11</v>
      </c>
      <c r="B245" s="198" t="str">
        <f>BOQ[[#This Row],[Item Description]]</f>
        <v>FRLS 4 Core Cable</v>
      </c>
      <c r="C245" s="199">
        <f>BOQ[[#This Row],[Make / Vendor]]</f>
        <v>0</v>
      </c>
      <c r="D245" s="199" t="str">
        <f>BOQ[[#This Row],[Unit]]</f>
        <v>Mtr</v>
      </c>
      <c r="E245" s="199">
        <f>BOQ[[#This Row],[BOQ]]</f>
        <v>0</v>
      </c>
      <c r="F245" s="200">
        <f>SUMIF('Goods Receipt'!$J:$J,Over_all[[#This Row],[Item Description]],'Goods Receipt'!$M:$M)</f>
        <v>50</v>
      </c>
      <c r="G245" s="210" t="str">
        <f>IF(Over_all[[#This Row],[BOQ]]-Over_all[[#This Row],[Received]]&gt;=0,Over_all[[#This Row],[BOQ]]-Over_all[[#This Row],[Received]],"")</f>
        <v/>
      </c>
      <c r="H245" s="211">
        <f>IF(Over_all[[#This Row],[BOQ]]-Over_all[[#This Row],[Received]]&lt;0,Over_all[[#This Row],[BOQ]]-Over_all[[#This Row],[Received]],"")</f>
        <v>-50</v>
      </c>
      <c r="I245" s="221"/>
      <c r="J245" s="224">
        <f>Over_all[[#This Row],[Received]]</f>
        <v>50</v>
      </c>
      <c r="K245" s="210">
        <f>SUMIF(ISSUE!$F:$F,Over_all[[#This Row],[Item Description]],ISSUE!$I:$I)</f>
        <v>0</v>
      </c>
      <c r="L245" s="210">
        <f>Over_all[[#This Row],[Received.]]-Over_all[[#This Row],[Issued]]</f>
        <v>50</v>
      </c>
      <c r="M245" s="212"/>
      <c r="N245" s="222"/>
    </row>
    <row r="246" spans="1:14" ht="16" customHeight="1" x14ac:dyDescent="0.35">
      <c r="A246" s="206">
        <f>BOQ[[#This Row],[S.No]]</f>
        <v>12</v>
      </c>
      <c r="B246" s="198" t="str">
        <f>BOQ[[#This Row],[Item Description]]</f>
        <v>Supply of Pipe Fittings</v>
      </c>
      <c r="C246" s="199">
        <f>BOQ[[#This Row],[Make / Vendor]]</f>
        <v>0</v>
      </c>
      <c r="D246" s="199" t="str">
        <f>BOQ[[#This Row],[Unit]]</f>
        <v>Nos</v>
      </c>
      <c r="E246" s="199">
        <f>BOQ[[#This Row],[BOQ]]</f>
        <v>0</v>
      </c>
      <c r="F246" s="200">
        <f>SUMIF('Goods Receipt'!$J:$J,Over_all[[#This Row],[Item Description]],'Goods Receipt'!$M:$M)</f>
        <v>1</v>
      </c>
      <c r="G246" s="210" t="str">
        <f>IF(Over_all[[#This Row],[BOQ]]-Over_all[[#This Row],[Received]]&gt;=0,Over_all[[#This Row],[BOQ]]-Over_all[[#This Row],[Received]],"")</f>
        <v/>
      </c>
      <c r="H246" s="211">
        <f>IF(Over_all[[#This Row],[BOQ]]-Over_all[[#This Row],[Received]]&lt;0,Over_all[[#This Row],[BOQ]]-Over_all[[#This Row],[Received]],"")</f>
        <v>-1</v>
      </c>
      <c r="I246" s="221"/>
      <c r="J246" s="224">
        <f>Over_all[[#This Row],[Received]]</f>
        <v>1</v>
      </c>
      <c r="K246" s="210">
        <f>SUMIF(ISSUE!$F:$F,Over_all[[#This Row],[Item Description]],ISSUE!$I:$I)</f>
        <v>0</v>
      </c>
      <c r="L246" s="210">
        <f>Over_all[[#This Row],[Received.]]-Over_all[[#This Row],[Issued]]</f>
        <v>1</v>
      </c>
      <c r="M246" s="212"/>
      <c r="N246" s="222"/>
    </row>
    <row r="247" spans="1:14" ht="16" customHeight="1" x14ac:dyDescent="0.35">
      <c r="A247" s="206">
        <f>BOQ[[#This Row],[S.No]]</f>
        <v>13</v>
      </c>
      <c r="B247" s="198" t="str">
        <f>BOQ[[#This Row],[Item Description]]</f>
        <v>Pipes For connection Between</v>
      </c>
      <c r="C247" s="199">
        <f>BOQ[[#This Row],[Make / Vendor]]</f>
        <v>0</v>
      </c>
      <c r="D247" s="199" t="str">
        <f>BOQ[[#This Row],[Unit]]</f>
        <v>Nos</v>
      </c>
      <c r="E247" s="199">
        <f>BOQ[[#This Row],[BOQ]]</f>
        <v>0</v>
      </c>
      <c r="F247" s="200">
        <f>SUMIF('Goods Receipt'!$J:$J,Over_all[[#This Row],[Item Description]],'Goods Receipt'!$M:$M)</f>
        <v>9</v>
      </c>
      <c r="G247" s="210" t="str">
        <f>IF(Over_all[[#This Row],[BOQ]]-Over_all[[#This Row],[Received]]&gt;=0,Over_all[[#This Row],[BOQ]]-Over_all[[#This Row],[Received]],"")</f>
        <v/>
      </c>
      <c r="H247" s="211">
        <f>IF(Over_all[[#This Row],[BOQ]]-Over_all[[#This Row],[Received]]&lt;0,Over_all[[#This Row],[BOQ]]-Over_all[[#This Row],[Received]],"")</f>
        <v>-9</v>
      </c>
      <c r="I247" s="221"/>
      <c r="J247" s="224">
        <f>Over_all[[#This Row],[Received]]</f>
        <v>9</v>
      </c>
      <c r="K247" s="210">
        <f>SUMIF(ISSUE!$F:$F,Over_all[[#This Row],[Item Description]],ISSUE!$I:$I)</f>
        <v>0</v>
      </c>
      <c r="L247" s="210">
        <f>Over_all[[#This Row],[Received.]]-Over_all[[#This Row],[Issued]]</f>
        <v>9</v>
      </c>
      <c r="M247" s="212"/>
      <c r="N247" s="222"/>
    </row>
    <row r="248" spans="1:14" ht="16" customHeight="1" x14ac:dyDescent="0.35">
      <c r="A248" s="206">
        <f>BOQ[[#This Row],[S.No]]</f>
        <v>14</v>
      </c>
      <c r="B248" s="198" t="str">
        <f>BOQ[[#This Row],[Item Description]]</f>
        <v>6'' GI Pipe -6Mtr Iength</v>
      </c>
      <c r="C248" s="199">
        <f>BOQ[[#This Row],[Make / Vendor]]</f>
        <v>0</v>
      </c>
      <c r="D248" s="199" t="str">
        <f>BOQ[[#This Row],[Unit]]</f>
        <v>Nos</v>
      </c>
      <c r="E248" s="199">
        <f>BOQ[[#This Row],[BOQ]]</f>
        <v>0</v>
      </c>
      <c r="F248" s="200">
        <f>SUMIF('Goods Receipt'!$J:$J,Over_all[[#This Row],[Item Description]],'Goods Receipt'!$M:$M)</f>
        <v>1</v>
      </c>
      <c r="G248" s="210" t="str">
        <f>IF(Over_all[[#This Row],[BOQ]]-Over_all[[#This Row],[Received]]&gt;=0,Over_all[[#This Row],[BOQ]]-Over_all[[#This Row],[Received]],"")</f>
        <v/>
      </c>
      <c r="H248" s="211">
        <f>IF(Over_all[[#This Row],[BOQ]]-Over_all[[#This Row],[Received]]&lt;0,Over_all[[#This Row],[BOQ]]-Over_all[[#This Row],[Received]],"")</f>
        <v>-1</v>
      </c>
      <c r="I248" s="221"/>
      <c r="J248" s="224">
        <f>Over_all[[#This Row],[Received]]</f>
        <v>1</v>
      </c>
      <c r="K248" s="210">
        <f>SUMIF(ISSUE!$F:$F,Over_all[[#This Row],[Item Description]],ISSUE!$I:$I)</f>
        <v>0</v>
      </c>
      <c r="L248" s="210">
        <f>Over_all[[#This Row],[Received.]]-Over_all[[#This Row],[Issued]]</f>
        <v>1</v>
      </c>
      <c r="M248" s="212"/>
      <c r="N248" s="222"/>
    </row>
    <row r="249" spans="1:14" ht="16" customHeight="1" x14ac:dyDescent="0.35">
      <c r="A249" s="206">
        <f>BOQ[[#This Row],[S.No]]</f>
        <v>0</v>
      </c>
      <c r="B249" s="198">
        <f>BOQ[[#This Row],[Item Description]]</f>
        <v>0</v>
      </c>
      <c r="C249" s="199">
        <f>BOQ[[#This Row],[Make / Vendor]]</f>
        <v>0</v>
      </c>
      <c r="D249" s="199" t="str">
        <f>BOQ[[#This Row],[Unit]]</f>
        <v>Nos</v>
      </c>
      <c r="E249" s="199">
        <f>BOQ[[#This Row],[BOQ]]</f>
        <v>0</v>
      </c>
      <c r="F249" s="200">
        <f>SUMIF('Goods Receipt'!$J:$J,Over_all[[#This Row],[Item Description]],'Goods Receipt'!$M:$M)</f>
        <v>0</v>
      </c>
      <c r="G249" s="210">
        <f>IF(Over_all[[#This Row],[BOQ]]-Over_all[[#This Row],[Received]]&gt;=0,Over_all[[#This Row],[BOQ]]-Over_all[[#This Row],[Received]],"")</f>
        <v>0</v>
      </c>
      <c r="H249" s="211" t="str">
        <f>IF(Over_all[[#This Row],[BOQ]]-Over_all[[#This Row],[Received]]&lt;0,Over_all[[#This Row],[BOQ]]-Over_all[[#This Row],[Received]],"")</f>
        <v/>
      </c>
      <c r="I249" s="221"/>
      <c r="J249" s="224">
        <f>Over_all[[#This Row],[Received]]</f>
        <v>0</v>
      </c>
      <c r="K249" s="210">
        <f>SUMIF(ISSUE!$F:$F,Over_all[[#This Row],[Item Description]],ISSUE!$I:$I)</f>
        <v>0</v>
      </c>
      <c r="L249" s="210">
        <f>Over_all[[#This Row],[Received.]]-Over_all[[#This Row],[Issued]]</f>
        <v>0</v>
      </c>
      <c r="M249" s="212"/>
      <c r="N249" s="222"/>
    </row>
    <row r="250" spans="1:14" ht="16" customHeight="1" x14ac:dyDescent="0.35">
      <c r="A250" s="202" t="str">
        <f>BOQ[[#This Row],[S.No]]</f>
        <v>S</v>
      </c>
      <c r="B250" s="203" t="str">
        <f>BOQ[[#This Row],[Item Description]]</f>
        <v>Others</v>
      </c>
      <c r="C250" s="199">
        <f>BOQ[[#This Row],[Make / Vendor]]</f>
        <v>0</v>
      </c>
      <c r="D250" s="199">
        <f>BOQ[[#This Row],[Unit]]</f>
        <v>0</v>
      </c>
      <c r="E250" s="199">
        <f>BOQ[[#This Row],[BOQ]]</f>
        <v>0</v>
      </c>
      <c r="F250" s="200">
        <f>SUMIF('Goods Receipt'!$J:$J,Over_all[[#This Row],[Item Description]],'Goods Receipt'!$M:$M)</f>
        <v>0</v>
      </c>
      <c r="G250" s="210">
        <f>IF(Over_all[[#This Row],[BOQ]]-Over_all[[#This Row],[Received]]&gt;=0,Over_all[[#This Row],[BOQ]]-Over_all[[#This Row],[Received]],"")</f>
        <v>0</v>
      </c>
      <c r="H250" s="211" t="str">
        <f>IF(Over_all[[#This Row],[BOQ]]-Over_all[[#This Row],[Received]]&lt;0,Over_all[[#This Row],[BOQ]]-Over_all[[#This Row],[Received]],"")</f>
        <v/>
      </c>
      <c r="I250" s="221"/>
      <c r="J250" s="224">
        <f>Over_all[[#This Row],[Received]]</f>
        <v>0</v>
      </c>
      <c r="K250" s="210">
        <f>SUMIF(ISSUE!$F:$F,Over_all[[#This Row],[Item Description]],ISSUE!$I:$I)</f>
        <v>0</v>
      </c>
      <c r="L250" s="210">
        <f>Over_all[[#This Row],[Received.]]-Over_all[[#This Row],[Issued]]</f>
        <v>0</v>
      </c>
      <c r="M250" s="212"/>
      <c r="N250" s="222"/>
    </row>
    <row r="251" spans="1:14" ht="16" customHeight="1" x14ac:dyDescent="0.35">
      <c r="A251" s="206">
        <f>BOQ[[#This Row],[S.No]]</f>
        <v>1</v>
      </c>
      <c r="B251" s="198" t="str">
        <f>BOQ[[#This Row],[Item Description]]</f>
        <v>Yellow Warning Tape (LT 2500 Mtr,DC 1000 Mtr,HT 500 Mtr)</v>
      </c>
      <c r="C251" s="199">
        <f>BOQ[[#This Row],[Make / Vendor]]</f>
        <v>0</v>
      </c>
      <c r="D251" s="199" t="str">
        <f>BOQ[[#This Row],[Unit]]</f>
        <v>Mtr</v>
      </c>
      <c r="E251" s="199">
        <f>BOQ[[#This Row],[BOQ]]</f>
        <v>0</v>
      </c>
      <c r="F251" s="200">
        <f>SUMIF('Goods Receipt'!$J:$J,Over_all[[#This Row],[Item Description]],'Goods Receipt'!$M:$M)</f>
        <v>4000</v>
      </c>
      <c r="G251" s="210" t="str">
        <f>IF(Over_all[[#This Row],[BOQ]]-Over_all[[#This Row],[Received]]&gt;=0,Over_all[[#This Row],[BOQ]]-Over_all[[#This Row],[Received]],"")</f>
        <v/>
      </c>
      <c r="H251" s="211">
        <f>IF(Over_all[[#This Row],[BOQ]]-Over_all[[#This Row],[Received]]&lt;0,Over_all[[#This Row],[BOQ]]-Over_all[[#This Row],[Received]],"")</f>
        <v>-4000</v>
      </c>
      <c r="I251" s="221"/>
      <c r="J251" s="224">
        <f>Over_all[[#This Row],[Received]]</f>
        <v>4000</v>
      </c>
      <c r="K251" s="210">
        <f>SUMIF(ISSUE!$F:$F,Over_all[[#This Row],[Item Description]],ISSUE!$I:$I)</f>
        <v>500</v>
      </c>
      <c r="L251" s="210">
        <f>Over_all[[#This Row],[Received.]]-Over_all[[#This Row],[Issued]]</f>
        <v>3500</v>
      </c>
      <c r="M251" s="212"/>
      <c r="N251" s="222"/>
    </row>
    <row r="252" spans="1:14" ht="16" customHeight="1" x14ac:dyDescent="0.35">
      <c r="A252" s="206">
        <f>BOQ[[#This Row],[S.No]]</f>
        <v>2</v>
      </c>
      <c r="B252" s="198" t="str">
        <f>BOQ[[#This Row],[Item Description]]</f>
        <v>300mm AL Rail</v>
      </c>
      <c r="C252" s="199">
        <f>BOQ[[#This Row],[Make / Vendor]]</f>
        <v>0</v>
      </c>
      <c r="D252" s="199" t="str">
        <f>BOQ[[#This Row],[Unit]]</f>
        <v>Nos</v>
      </c>
      <c r="E252" s="199">
        <f>BOQ[[#This Row],[BOQ]]</f>
        <v>0</v>
      </c>
      <c r="F252" s="200">
        <f>SUMIF('Goods Receipt'!$J:$J,Over_all[[#This Row],[Item Description]],'Goods Receipt'!$M:$M)</f>
        <v>600</v>
      </c>
      <c r="G252" s="210" t="str">
        <f>IF(Over_all[[#This Row],[BOQ]]-Over_all[[#This Row],[Received]]&gt;=0,Over_all[[#This Row],[BOQ]]-Over_all[[#This Row],[Received]],"")</f>
        <v/>
      </c>
      <c r="H252" s="211">
        <f>IF(Over_all[[#This Row],[BOQ]]-Over_all[[#This Row],[Received]]&lt;0,Over_all[[#This Row],[BOQ]]-Over_all[[#This Row],[Received]],"")</f>
        <v>-600</v>
      </c>
      <c r="I252" s="221"/>
      <c r="J252" s="224">
        <f>Over_all[[#This Row],[Received]]</f>
        <v>600</v>
      </c>
      <c r="K252" s="210">
        <f>SUMIF(ISSUE!$F:$F,Over_all[[#This Row],[Item Description]],ISSUE!$I:$I)</f>
        <v>0</v>
      </c>
      <c r="L252" s="210">
        <f>Over_all[[#This Row],[Received.]]-Over_all[[#This Row],[Issued]]</f>
        <v>600</v>
      </c>
      <c r="M252" s="212"/>
      <c r="N252" s="222"/>
    </row>
    <row r="253" spans="1:14" ht="16" customHeight="1" x14ac:dyDescent="0.35">
      <c r="A253" s="206">
        <f>BOQ[[#This Row],[S.No]]</f>
        <v>3</v>
      </c>
      <c r="B253" s="198" t="str">
        <f>BOQ[[#This Row],[Item Description]]</f>
        <v>Portr.High</v>
      </c>
      <c r="C253" s="199">
        <f>BOQ[[#This Row],[Make / Vendor]]</f>
        <v>0</v>
      </c>
      <c r="D253" s="199" t="str">
        <f>BOQ[[#This Row],[Unit]]</f>
        <v>Nos</v>
      </c>
      <c r="E253" s="199">
        <f>BOQ[[#This Row],[BOQ]]</f>
        <v>0</v>
      </c>
      <c r="F253" s="200">
        <f>SUMIF('Goods Receipt'!$J:$J,Over_all[[#This Row],[Item Description]],'Goods Receipt'!$M:$M)</f>
        <v>2000</v>
      </c>
      <c r="G253" s="210" t="str">
        <f>IF(Over_all[[#This Row],[BOQ]]-Over_all[[#This Row],[Received]]&gt;=0,Over_all[[#This Row],[BOQ]]-Over_all[[#This Row],[Received]],"")</f>
        <v/>
      </c>
      <c r="H253" s="211">
        <f>IF(Over_all[[#This Row],[BOQ]]-Over_all[[#This Row],[Received]]&lt;0,Over_all[[#This Row],[BOQ]]-Over_all[[#This Row],[Received]],"")</f>
        <v>-2000</v>
      </c>
      <c r="I253" s="221"/>
      <c r="J253" s="224">
        <f>Over_all[[#This Row],[Received]]</f>
        <v>2000</v>
      </c>
      <c r="K253" s="210">
        <f>SUMIF(ISSUE!$F:$F,Over_all[[#This Row],[Item Description]],ISSUE!$I:$I)</f>
        <v>0</v>
      </c>
      <c r="L253" s="210">
        <f>Over_all[[#This Row],[Received.]]-Over_all[[#This Row],[Issued]]</f>
        <v>2000</v>
      </c>
      <c r="M253" s="212"/>
      <c r="N253" s="222"/>
    </row>
    <row r="254" spans="1:14" ht="16" customHeight="1" x14ac:dyDescent="0.35">
      <c r="A254" s="206">
        <f>BOQ[[#This Row],[S.No]]</f>
        <v>4</v>
      </c>
      <c r="B254" s="198" t="str">
        <f>BOQ[[#This Row],[Item Description]]</f>
        <v>PU Form</v>
      </c>
      <c r="C254" s="199">
        <f>BOQ[[#This Row],[Make / Vendor]]</f>
        <v>0</v>
      </c>
      <c r="D254" s="199" t="str">
        <f>BOQ[[#This Row],[Unit]]</f>
        <v>Nos</v>
      </c>
      <c r="E254" s="199">
        <f>BOQ[[#This Row],[BOQ]]</f>
        <v>20</v>
      </c>
      <c r="F254" s="200">
        <f>SUMIF('Goods Receipt'!$J:$J,Over_all[[#This Row],[Item Description]],'Goods Receipt'!$M:$M)</f>
        <v>20</v>
      </c>
      <c r="G254" s="210">
        <f>IF(Over_all[[#This Row],[BOQ]]-Over_all[[#This Row],[Received]]&gt;=0,Over_all[[#This Row],[BOQ]]-Over_all[[#This Row],[Received]],"")</f>
        <v>0</v>
      </c>
      <c r="H254" s="211" t="str">
        <f>IF(Over_all[[#This Row],[BOQ]]-Over_all[[#This Row],[Received]]&lt;0,Over_all[[#This Row],[BOQ]]-Over_all[[#This Row],[Received]],"")</f>
        <v/>
      </c>
      <c r="I254" s="221"/>
      <c r="J254" s="224">
        <f>Over_all[[#This Row],[Received]]</f>
        <v>20</v>
      </c>
      <c r="K254" s="210">
        <f>SUMIF(ISSUE!$F:$F,Over_all[[#This Row],[Item Description]],ISSUE!$I:$I)</f>
        <v>0</v>
      </c>
      <c r="L254" s="210">
        <f>Over_all[[#This Row],[Received.]]-Over_all[[#This Row],[Issued]]</f>
        <v>20</v>
      </c>
      <c r="M254" s="212"/>
      <c r="N254" s="222"/>
    </row>
    <row r="255" spans="1:14" ht="16" customHeight="1" x14ac:dyDescent="0.35">
      <c r="A255" s="206">
        <f>BOQ[[#This Row],[S.No]]</f>
        <v>5</v>
      </c>
      <c r="B255" s="198" t="str">
        <f>BOQ[[#This Row],[Item Description]]</f>
        <v>Cable Tag</v>
      </c>
      <c r="C255" s="199">
        <f>BOQ[[#This Row],[Make / Vendor]]</f>
        <v>0</v>
      </c>
      <c r="D255" s="199" t="str">
        <f>BOQ[[#This Row],[Unit]]</f>
        <v>Nos</v>
      </c>
      <c r="E255" s="199">
        <f>BOQ[[#This Row],[BOQ]]</f>
        <v>0</v>
      </c>
      <c r="F255" s="200">
        <f>SUMIF('Goods Receipt'!$J:$J,Over_all[[#This Row],[Item Description]],'Goods Receipt'!$M:$M)</f>
        <v>127</v>
      </c>
      <c r="G255" s="210" t="str">
        <f>IF(Over_all[[#This Row],[BOQ]]-Over_all[[#This Row],[Received]]&gt;=0,Over_all[[#This Row],[BOQ]]-Over_all[[#This Row],[Received]],"")</f>
        <v/>
      </c>
      <c r="H255" s="211">
        <f>IF(Over_all[[#This Row],[BOQ]]-Over_all[[#This Row],[Received]]&lt;0,Over_all[[#This Row],[BOQ]]-Over_all[[#This Row],[Received]],"")</f>
        <v>-127</v>
      </c>
      <c r="I255" s="221"/>
      <c r="J255" s="224">
        <f>Over_all[[#This Row],[Received]]</f>
        <v>127</v>
      </c>
      <c r="K255" s="210">
        <f>SUMIF(ISSUE!$F:$F,Over_all[[#This Row],[Item Description]],ISSUE!$I:$I)</f>
        <v>0</v>
      </c>
      <c r="L255" s="210">
        <f>Over_all[[#This Row],[Received.]]-Over_all[[#This Row],[Issued]]</f>
        <v>127</v>
      </c>
      <c r="M255" s="212"/>
      <c r="N255" s="222"/>
    </row>
    <row r="256" spans="1:14" ht="16" customHeight="1" x14ac:dyDescent="0.35">
      <c r="A256" s="206">
        <f>BOQ[[#This Row],[S.No]]</f>
        <v>6</v>
      </c>
      <c r="B256" s="198" t="str">
        <f>BOQ[[#This Row],[Item Description]]</f>
        <v xml:space="preserve">Scada MCR </v>
      </c>
      <c r="C256" s="199">
        <f>BOQ[[#This Row],[Make / Vendor]]</f>
        <v>0</v>
      </c>
      <c r="D256" s="199" t="str">
        <f>BOQ[[#This Row],[Unit]]</f>
        <v>Nos</v>
      </c>
      <c r="E256" s="199">
        <f>BOQ[[#This Row],[BOQ]]</f>
        <v>0</v>
      </c>
      <c r="F256" s="200">
        <f>SUMIF('Goods Receipt'!$J:$J,Over_all[[#This Row],[Item Description]],'Goods Receipt'!$M:$M)</f>
        <v>84</v>
      </c>
      <c r="G256" s="210" t="str">
        <f>IF(Over_all[[#This Row],[BOQ]]-Over_all[[#This Row],[Received]]&gt;=0,Over_all[[#This Row],[BOQ]]-Over_all[[#This Row],[Received]],"")</f>
        <v/>
      </c>
      <c r="H256" s="211">
        <f>IF(Over_all[[#This Row],[BOQ]]-Over_all[[#This Row],[Received]]&lt;0,Over_all[[#This Row],[BOQ]]-Over_all[[#This Row],[Received]],"")</f>
        <v>-84</v>
      </c>
      <c r="I256" s="221"/>
      <c r="J256" s="224">
        <f>Over_all[[#This Row],[Received]]</f>
        <v>84</v>
      </c>
      <c r="K256" s="210">
        <f>SUMIF(ISSUE!$F:$F,Over_all[[#This Row],[Item Description]],ISSUE!$I:$I)</f>
        <v>0</v>
      </c>
      <c r="L256" s="210">
        <f>Over_all[[#This Row],[Received.]]-Over_all[[#This Row],[Issued]]</f>
        <v>84</v>
      </c>
      <c r="M256" s="212"/>
      <c r="N256" s="222"/>
    </row>
    <row r="257" spans="1:14" ht="16" customHeight="1" x14ac:dyDescent="0.35">
      <c r="A257" s="206">
        <f>BOQ[[#This Row],[S.No]]</f>
        <v>7</v>
      </c>
      <c r="B257" s="198" t="str">
        <f>BOQ[[#This Row],[Item Description]]</f>
        <v>Scada ICR 1</v>
      </c>
      <c r="C257" s="199">
        <f>BOQ[[#This Row],[Make / Vendor]]</f>
        <v>0</v>
      </c>
      <c r="D257" s="199" t="str">
        <f>BOQ[[#This Row],[Unit]]</f>
        <v>Nos</v>
      </c>
      <c r="E257" s="199">
        <f>BOQ[[#This Row],[BOQ]]</f>
        <v>0</v>
      </c>
      <c r="F257" s="200">
        <f>SUMIF('Goods Receipt'!$J:$J,Over_all[[#This Row],[Item Description]],'Goods Receipt'!$M:$M)</f>
        <v>124</v>
      </c>
      <c r="G257" s="210" t="str">
        <f>IF(Over_all[[#This Row],[BOQ]]-Over_all[[#This Row],[Received]]&gt;=0,Over_all[[#This Row],[BOQ]]-Over_all[[#This Row],[Received]],"")</f>
        <v/>
      </c>
      <c r="H257" s="211">
        <f>IF(Over_all[[#This Row],[BOQ]]-Over_all[[#This Row],[Received]]&lt;0,Over_all[[#This Row],[BOQ]]-Over_all[[#This Row],[Received]],"")</f>
        <v>-124</v>
      </c>
      <c r="I257" s="221"/>
      <c r="J257" s="224">
        <f>Over_all[[#This Row],[Received]]</f>
        <v>124</v>
      </c>
      <c r="K257" s="210">
        <f>SUMIF(ISSUE!$F:$F,Over_all[[#This Row],[Item Description]],ISSUE!$I:$I)</f>
        <v>0</v>
      </c>
      <c r="L257" s="210">
        <f>Over_all[[#This Row],[Received.]]-Over_all[[#This Row],[Issued]]</f>
        <v>124</v>
      </c>
      <c r="M257" s="212"/>
      <c r="N257" s="222"/>
    </row>
    <row r="258" spans="1:14" ht="16" customHeight="1" x14ac:dyDescent="0.35">
      <c r="A258" s="206">
        <f>BOQ[[#This Row],[S.No]]</f>
        <v>8</v>
      </c>
      <c r="B258" s="198" t="str">
        <f>BOQ[[#This Row],[Item Description]]</f>
        <v>Scada ICR 2</v>
      </c>
      <c r="C258" s="199">
        <f>BOQ[[#This Row],[Make / Vendor]]</f>
        <v>0</v>
      </c>
      <c r="D258" s="199" t="str">
        <f>BOQ[[#This Row],[Unit]]</f>
        <v>Nos</v>
      </c>
      <c r="E258" s="199">
        <f>BOQ[[#This Row],[BOQ]]</f>
        <v>0</v>
      </c>
      <c r="F258" s="200">
        <f>SUMIF('Goods Receipt'!$J:$J,Over_all[[#This Row],[Item Description]],'Goods Receipt'!$M:$M)</f>
        <v>56</v>
      </c>
      <c r="G258" s="210" t="str">
        <f>IF(Over_all[[#This Row],[BOQ]]-Over_all[[#This Row],[Received]]&gt;=0,Over_all[[#This Row],[BOQ]]-Over_all[[#This Row],[Received]],"")</f>
        <v/>
      </c>
      <c r="H258" s="211">
        <f>IF(Over_all[[#This Row],[BOQ]]-Over_all[[#This Row],[Received]]&lt;0,Over_all[[#This Row],[BOQ]]-Over_all[[#This Row],[Received]],"")</f>
        <v>-56</v>
      </c>
      <c r="I258" s="221"/>
      <c r="J258" s="224">
        <f>Over_all[[#This Row],[Received]]</f>
        <v>56</v>
      </c>
      <c r="K258" s="210">
        <f>SUMIF(ISSUE!$F:$F,Over_all[[#This Row],[Item Description]],ISSUE!$I:$I)</f>
        <v>0</v>
      </c>
      <c r="L258" s="210">
        <f>Over_all[[#This Row],[Received.]]-Over_all[[#This Row],[Issued]]</f>
        <v>56</v>
      </c>
      <c r="M258" s="212"/>
      <c r="N258" s="222"/>
    </row>
    <row r="259" spans="1:14" ht="16" customHeight="1" x14ac:dyDescent="0.35">
      <c r="A259" s="206">
        <f>BOQ[[#This Row],[S.No]]</f>
        <v>9</v>
      </c>
      <c r="B259" s="198" t="str">
        <f>BOQ[[#This Row],[Item Description]]</f>
        <v>Radium Stickers 200 X 60</v>
      </c>
      <c r="C259" s="199">
        <f>BOQ[[#This Row],[Make / Vendor]]</f>
        <v>0</v>
      </c>
      <c r="D259" s="199" t="str">
        <f>BOQ[[#This Row],[Unit]]</f>
        <v>Nos</v>
      </c>
      <c r="E259" s="199">
        <f>BOQ[[#This Row],[BOQ]]</f>
        <v>0</v>
      </c>
      <c r="F259" s="200">
        <f>SUMIF('Goods Receipt'!$J:$J,Over_all[[#This Row],[Item Description]],'Goods Receipt'!$M:$M)</f>
        <v>56</v>
      </c>
      <c r="G259" s="210" t="str">
        <f>IF(Over_all[[#This Row],[BOQ]]-Over_all[[#This Row],[Received]]&gt;=0,Over_all[[#This Row],[BOQ]]-Over_all[[#This Row],[Received]],"")</f>
        <v/>
      </c>
      <c r="H259" s="211">
        <f>IF(Over_all[[#This Row],[BOQ]]-Over_all[[#This Row],[Received]]&lt;0,Over_all[[#This Row],[BOQ]]-Over_all[[#This Row],[Received]],"")</f>
        <v>-56</v>
      </c>
      <c r="I259" s="221"/>
      <c r="J259" s="224">
        <f>Over_all[[#This Row],[Received]]</f>
        <v>56</v>
      </c>
      <c r="K259" s="210">
        <f>SUMIF(ISSUE!$F:$F,Over_all[[#This Row],[Item Description]],ISSUE!$I:$I)</f>
        <v>0</v>
      </c>
      <c r="L259" s="210">
        <f>Over_all[[#This Row],[Received.]]-Over_all[[#This Row],[Issued]]</f>
        <v>56</v>
      </c>
      <c r="M259" s="212"/>
      <c r="N259" s="222"/>
    </row>
    <row r="260" spans="1:14" ht="16" customHeight="1" x14ac:dyDescent="0.35">
      <c r="A260" s="206">
        <f>BOQ[[#This Row],[S.No]]</f>
        <v>10</v>
      </c>
      <c r="B260" s="198" t="str">
        <f>BOQ[[#This Row],[Item Description]]</f>
        <v>Radium Stickers 300 X 60</v>
      </c>
      <c r="C260" s="199">
        <f>BOQ[[#This Row],[Make / Vendor]]</f>
        <v>0</v>
      </c>
      <c r="D260" s="199" t="str">
        <f>BOQ[[#This Row],[Unit]]</f>
        <v>Nos</v>
      </c>
      <c r="E260" s="199">
        <f>BOQ[[#This Row],[BOQ]]</f>
        <v>0</v>
      </c>
      <c r="F260" s="200">
        <f>SUMIF('Goods Receipt'!$J:$J,Over_all[[#This Row],[Item Description]],'Goods Receipt'!$M:$M)</f>
        <v>85</v>
      </c>
      <c r="G260" s="210" t="str">
        <f>IF(Over_all[[#This Row],[BOQ]]-Over_all[[#This Row],[Received]]&gt;=0,Over_all[[#This Row],[BOQ]]-Over_all[[#This Row],[Received]],"")</f>
        <v/>
      </c>
      <c r="H260" s="211">
        <f>IF(Over_all[[#This Row],[BOQ]]-Over_all[[#This Row],[Received]]&lt;0,Over_all[[#This Row],[BOQ]]-Over_all[[#This Row],[Received]],"")</f>
        <v>-85</v>
      </c>
      <c r="I260" s="221"/>
      <c r="J260" s="224">
        <f>Over_all[[#This Row],[Received]]</f>
        <v>85</v>
      </c>
      <c r="K260" s="210">
        <f>SUMIF(ISSUE!$F:$F,Over_all[[#This Row],[Item Description]],ISSUE!$I:$I)</f>
        <v>0</v>
      </c>
      <c r="L260" s="210">
        <f>Over_all[[#This Row],[Received.]]-Over_all[[#This Row],[Issued]]</f>
        <v>85</v>
      </c>
      <c r="M260" s="212"/>
      <c r="N260" s="222"/>
    </row>
    <row r="261" spans="1:14" ht="16" customHeight="1" x14ac:dyDescent="0.35">
      <c r="A261" s="206">
        <f>BOQ[[#This Row],[S.No]]</f>
        <v>0</v>
      </c>
      <c r="B261" s="198">
        <f>BOQ[[#This Row],[Item Description]]</f>
        <v>0</v>
      </c>
      <c r="C261" s="199">
        <f>BOQ[[#This Row],[Make / Vendor]]</f>
        <v>0</v>
      </c>
      <c r="D261" s="199">
        <f>BOQ[[#This Row],[Unit]]</f>
        <v>0</v>
      </c>
      <c r="E261" s="199">
        <f>BOQ[[#This Row],[BOQ]]</f>
        <v>0</v>
      </c>
      <c r="F261" s="200">
        <f>SUMIF('Goods Receipt'!$J:$J,Over_all[[#This Row],[Item Description]],'Goods Receipt'!$M:$M)</f>
        <v>0</v>
      </c>
      <c r="G261" s="210">
        <f>IF(Over_all[[#This Row],[BOQ]]-Over_all[[#This Row],[Received]]&gt;=0,Over_all[[#This Row],[BOQ]]-Over_all[[#This Row],[Received]],"")</f>
        <v>0</v>
      </c>
      <c r="H261" s="211" t="str">
        <f>IF(Over_all[[#This Row],[BOQ]]-Over_all[[#This Row],[Received]]&lt;0,Over_all[[#This Row],[BOQ]]-Over_all[[#This Row],[Received]],"")</f>
        <v/>
      </c>
      <c r="I261" s="221"/>
      <c r="J261" s="224">
        <f>Over_all[[#This Row],[Received]]</f>
        <v>0</v>
      </c>
      <c r="K261" s="210">
        <f>SUMIF(ISSUE!$F:$F,Over_all[[#This Row],[Item Description]],ISSUE!$I:$I)</f>
        <v>0</v>
      </c>
      <c r="L261" s="210">
        <f>Over_all[[#This Row],[Received.]]-Over_all[[#This Row],[Issued]]</f>
        <v>0</v>
      </c>
      <c r="M261" s="212"/>
      <c r="N261" s="222"/>
    </row>
    <row r="262" spans="1:14" ht="16" customHeight="1" x14ac:dyDescent="0.35">
      <c r="A262" s="202" t="str">
        <f>BOQ[[#This Row],[S.No]]</f>
        <v>T</v>
      </c>
      <c r="B262" s="203" t="str">
        <f>BOQ[[#This Row],[Item Description]]</f>
        <v>MCS</v>
      </c>
      <c r="C262" s="199">
        <f>BOQ[[#This Row],[Make / Vendor]]</f>
        <v>0</v>
      </c>
      <c r="D262" s="199">
        <f>BOQ[[#This Row],[Unit]]</f>
        <v>0</v>
      </c>
      <c r="E262" s="199">
        <f>BOQ[[#This Row],[BOQ]]</f>
        <v>0</v>
      </c>
      <c r="F262" s="200">
        <f>SUMIF('Goods Receipt'!$J:$J,Over_all[[#This Row],[Item Description]],'Goods Receipt'!$M:$M)</f>
        <v>0</v>
      </c>
      <c r="G262" s="210">
        <f>IF(Over_all[[#This Row],[BOQ]]-Over_all[[#This Row],[Received]]&gt;=0,Over_all[[#This Row],[BOQ]]-Over_all[[#This Row],[Received]],"")</f>
        <v>0</v>
      </c>
      <c r="H262" s="211" t="str">
        <f>IF(Over_all[[#This Row],[BOQ]]-Over_all[[#This Row],[Received]]&lt;0,Over_all[[#This Row],[BOQ]]-Over_all[[#This Row],[Received]],"")</f>
        <v/>
      </c>
      <c r="I262" s="221"/>
      <c r="J262" s="224">
        <f>Over_all[[#This Row],[Received]]</f>
        <v>0</v>
      </c>
      <c r="K262" s="210">
        <f>SUMIF(ISSUE!$F:$F,Over_all[[#This Row],[Item Description]],ISSUE!$I:$I)</f>
        <v>0</v>
      </c>
      <c r="L262" s="210">
        <f>Over_all[[#This Row],[Received.]]-Over_all[[#This Row],[Issued]]</f>
        <v>0</v>
      </c>
      <c r="M262" s="212"/>
      <c r="N262" s="222"/>
    </row>
    <row r="263" spans="1:14" ht="16" customHeight="1" x14ac:dyDescent="0.35">
      <c r="A263" s="206">
        <f>BOQ[[#This Row],[S.No]]</f>
        <v>1</v>
      </c>
      <c r="B263" s="198" t="str">
        <f>BOQ[[#This Row],[Item Description]]</f>
        <v>UPVC Pipe 11/2''</v>
      </c>
      <c r="C263" s="199">
        <f>BOQ[[#This Row],[Make / Vendor]]</f>
        <v>0</v>
      </c>
      <c r="D263" s="199" t="str">
        <f>BOQ[[#This Row],[Unit]]</f>
        <v>Mtr</v>
      </c>
      <c r="E263" s="199">
        <f>BOQ[[#This Row],[BOQ]]</f>
        <v>0</v>
      </c>
      <c r="F263" s="200">
        <f>SUMIF('Goods Receipt'!$J:$J,Over_all[[#This Row],[Item Description]],'Goods Receipt'!$M:$M)</f>
        <v>800</v>
      </c>
      <c r="G263" s="210" t="str">
        <f>IF(Over_all[[#This Row],[BOQ]]-Over_all[[#This Row],[Received]]&gt;=0,Over_all[[#This Row],[BOQ]]-Over_all[[#This Row],[Received]],"")</f>
        <v/>
      </c>
      <c r="H263" s="211">
        <f>IF(Over_all[[#This Row],[BOQ]]-Over_all[[#This Row],[Received]]&lt;0,Over_all[[#This Row],[BOQ]]-Over_all[[#This Row],[Received]],"")</f>
        <v>-800</v>
      </c>
      <c r="I263" s="221"/>
      <c r="J263" s="224">
        <f>Over_all[[#This Row],[Received]]</f>
        <v>800</v>
      </c>
      <c r="K263" s="210">
        <f>SUMIF(ISSUE!$F:$F,Over_all[[#This Row],[Item Description]],ISSUE!$I:$I)</f>
        <v>0</v>
      </c>
      <c r="L263" s="210">
        <f>Over_all[[#This Row],[Received.]]-Over_all[[#This Row],[Issued]]</f>
        <v>800</v>
      </c>
      <c r="M263" s="212"/>
      <c r="N263" s="222"/>
    </row>
    <row r="264" spans="1:14" ht="16" customHeight="1" x14ac:dyDescent="0.35">
      <c r="A264" s="206">
        <f>BOQ[[#This Row],[S.No]]</f>
        <v>2</v>
      </c>
      <c r="B264" s="198" t="str">
        <f>BOQ[[#This Row],[Item Description]]</f>
        <v>UPVC Pipe 1''</v>
      </c>
      <c r="C264" s="199">
        <f>BOQ[[#This Row],[Make / Vendor]]</f>
        <v>0</v>
      </c>
      <c r="D264" s="199" t="str">
        <f>BOQ[[#This Row],[Unit]]</f>
        <v>Mtr</v>
      </c>
      <c r="E264" s="199">
        <f>BOQ[[#This Row],[BOQ]]</f>
        <v>0</v>
      </c>
      <c r="F264" s="200">
        <f>SUMIF('Goods Receipt'!$J:$J,Over_all[[#This Row],[Item Description]],'Goods Receipt'!$M:$M)</f>
        <v>3000</v>
      </c>
      <c r="G264" s="210" t="str">
        <f>IF(Over_all[[#This Row],[BOQ]]-Over_all[[#This Row],[Received]]&gt;=0,Over_all[[#This Row],[BOQ]]-Over_all[[#This Row],[Received]],"")</f>
        <v/>
      </c>
      <c r="H264" s="211">
        <f>IF(Over_all[[#This Row],[BOQ]]-Over_all[[#This Row],[Received]]&lt;0,Over_all[[#This Row],[BOQ]]-Over_all[[#This Row],[Received]],"")</f>
        <v>-3000</v>
      </c>
      <c r="I264" s="221"/>
      <c r="J264" s="224">
        <f>Over_all[[#This Row],[Received]]</f>
        <v>3000</v>
      </c>
      <c r="K264" s="210">
        <f>SUMIF(ISSUE!$F:$F,Over_all[[#This Row],[Item Description]],ISSUE!$I:$I)</f>
        <v>0</v>
      </c>
      <c r="L264" s="210">
        <f>Over_all[[#This Row],[Received.]]-Over_all[[#This Row],[Issued]]</f>
        <v>3000</v>
      </c>
      <c r="M264" s="212"/>
      <c r="N264" s="222"/>
    </row>
    <row r="265" spans="1:14" ht="16" customHeight="1" x14ac:dyDescent="0.35">
      <c r="A265" s="206">
        <f>BOQ[[#This Row],[S.No]]</f>
        <v>3</v>
      </c>
      <c r="B265" s="198" t="str">
        <f>BOQ[[#This Row],[Item Description]]</f>
        <v>Gardan Pipe</v>
      </c>
      <c r="C265" s="199">
        <f>BOQ[[#This Row],[Make / Vendor]]</f>
        <v>0</v>
      </c>
      <c r="D265" s="199" t="str">
        <f>BOQ[[#This Row],[Unit]]</f>
        <v>Mtr</v>
      </c>
      <c r="E265" s="199">
        <f>BOQ[[#This Row],[BOQ]]</f>
        <v>0</v>
      </c>
      <c r="F265" s="200">
        <f>SUMIF('Goods Receipt'!$J:$J,Over_all[[#This Row],[Item Description]],'Goods Receipt'!$M:$M)</f>
        <v>80</v>
      </c>
      <c r="G265" s="210" t="str">
        <f>IF(Over_all[[#This Row],[BOQ]]-Over_all[[#This Row],[Received]]&gt;=0,Over_all[[#This Row],[BOQ]]-Over_all[[#This Row],[Received]],"")</f>
        <v/>
      </c>
      <c r="H265" s="211">
        <f>IF(Over_all[[#This Row],[BOQ]]-Over_all[[#This Row],[Received]]&lt;0,Over_all[[#This Row],[BOQ]]-Over_all[[#This Row],[Received]],"")</f>
        <v>-80</v>
      </c>
      <c r="I265" s="221"/>
      <c r="J265" s="224">
        <f>Over_all[[#This Row],[Received]]</f>
        <v>80</v>
      </c>
      <c r="K265" s="210">
        <f>SUMIF(ISSUE!$F:$F,Over_all[[#This Row],[Item Description]],ISSUE!$I:$I)</f>
        <v>0</v>
      </c>
      <c r="L265" s="210">
        <f>Over_all[[#This Row],[Received.]]-Over_all[[#This Row],[Issued]]</f>
        <v>80</v>
      </c>
      <c r="M265" s="212"/>
      <c r="N265" s="222"/>
    </row>
    <row r="266" spans="1:14" ht="16" customHeight="1" x14ac:dyDescent="0.35">
      <c r="A266" s="206">
        <f>BOQ[[#This Row],[S.No]]</f>
        <v>4</v>
      </c>
      <c r="B266" s="198" t="str">
        <f>BOQ[[#This Row],[Item Description]]</f>
        <v>UPVC Vall 1 1/2</v>
      </c>
      <c r="C266" s="199">
        <f>BOQ[[#This Row],[Make / Vendor]]</f>
        <v>0</v>
      </c>
      <c r="D266" s="199" t="str">
        <f>BOQ[[#This Row],[Unit]]</f>
        <v>Nos</v>
      </c>
      <c r="E266" s="199">
        <f>BOQ[[#This Row],[BOQ]]</f>
        <v>0</v>
      </c>
      <c r="F266" s="200">
        <f>SUMIF('Goods Receipt'!$J:$J,Over_all[[#This Row],[Item Description]],'Goods Receipt'!$M:$M)</f>
        <v>4</v>
      </c>
      <c r="G266" s="210" t="str">
        <f>IF(Over_all[[#This Row],[BOQ]]-Over_all[[#This Row],[Received]]&gt;=0,Over_all[[#This Row],[BOQ]]-Over_all[[#This Row],[Received]],"")</f>
        <v/>
      </c>
      <c r="H266" s="211">
        <f>IF(Over_all[[#This Row],[BOQ]]-Over_all[[#This Row],[Received]]&lt;0,Over_all[[#This Row],[BOQ]]-Over_all[[#This Row],[Received]],"")</f>
        <v>-4</v>
      </c>
      <c r="I266" s="221"/>
      <c r="J266" s="224">
        <f>Over_all[[#This Row],[Received]]</f>
        <v>4</v>
      </c>
      <c r="K266" s="210">
        <f>SUMIF(ISSUE!$F:$F,Over_all[[#This Row],[Item Description]],ISSUE!$I:$I)</f>
        <v>0</v>
      </c>
      <c r="L266" s="210">
        <f>Over_all[[#This Row],[Received.]]-Over_all[[#This Row],[Issued]]</f>
        <v>4</v>
      </c>
      <c r="M266" s="212"/>
      <c r="N266" s="222"/>
    </row>
    <row r="267" spans="1:14" ht="16" customHeight="1" x14ac:dyDescent="0.35">
      <c r="A267" s="206">
        <f>BOQ[[#This Row],[S.No]]</f>
        <v>5</v>
      </c>
      <c r="B267" s="198" t="str">
        <f>BOQ[[#This Row],[Item Description]]</f>
        <v xml:space="preserve">UPVC Vall 1 </v>
      </c>
      <c r="C267" s="199">
        <f>BOQ[[#This Row],[Make / Vendor]]</f>
        <v>0</v>
      </c>
      <c r="D267" s="199" t="str">
        <f>BOQ[[#This Row],[Unit]]</f>
        <v>Nos</v>
      </c>
      <c r="E267" s="199">
        <f>BOQ[[#This Row],[BOQ]]</f>
        <v>0</v>
      </c>
      <c r="F267" s="200">
        <f>SUMIF('Goods Receipt'!$J:$J,Over_all[[#This Row],[Item Description]],'Goods Receipt'!$M:$M)</f>
        <v>130</v>
      </c>
      <c r="G267" s="210" t="str">
        <f>IF(Over_all[[#This Row],[BOQ]]-Over_all[[#This Row],[Received]]&gt;=0,Over_all[[#This Row],[BOQ]]-Over_all[[#This Row],[Received]],"")</f>
        <v/>
      </c>
      <c r="H267" s="211">
        <f>IF(Over_all[[#This Row],[BOQ]]-Over_all[[#This Row],[Received]]&lt;0,Over_all[[#This Row],[BOQ]]-Over_all[[#This Row],[Received]],"")</f>
        <v>-130</v>
      </c>
      <c r="I267" s="221"/>
      <c r="J267" s="224">
        <f>Over_all[[#This Row],[Received]]</f>
        <v>130</v>
      </c>
      <c r="K267" s="210">
        <f>SUMIF(ISSUE!$F:$F,Over_all[[#This Row],[Item Description]],ISSUE!$I:$I)</f>
        <v>0</v>
      </c>
      <c r="L267" s="210">
        <f>Over_all[[#This Row],[Received.]]-Over_all[[#This Row],[Issued]]</f>
        <v>130</v>
      </c>
      <c r="M267" s="212"/>
      <c r="N267" s="222"/>
    </row>
    <row r="268" spans="1:14" ht="16" customHeight="1" x14ac:dyDescent="0.35">
      <c r="A268" s="206">
        <f>BOQ[[#This Row],[S.No]]</f>
        <v>6</v>
      </c>
      <c r="B268" s="198" t="str">
        <f>BOQ[[#This Row],[Item Description]]</f>
        <v>UPVC Elbow 1 1/2</v>
      </c>
      <c r="C268" s="199">
        <f>BOQ[[#This Row],[Make / Vendor]]</f>
        <v>0</v>
      </c>
      <c r="D268" s="199" t="str">
        <f>BOQ[[#This Row],[Unit]]</f>
        <v>Nos</v>
      </c>
      <c r="E268" s="199">
        <f>BOQ[[#This Row],[BOQ]]</f>
        <v>0</v>
      </c>
      <c r="F268" s="200">
        <f>SUMIF('Goods Receipt'!$J:$J,Over_all[[#This Row],[Item Description]],'Goods Receipt'!$M:$M)</f>
        <v>20</v>
      </c>
      <c r="G268" s="210" t="str">
        <f>IF(Over_all[[#This Row],[BOQ]]-Over_all[[#This Row],[Received]]&gt;=0,Over_all[[#This Row],[BOQ]]-Over_all[[#This Row],[Received]],"")</f>
        <v/>
      </c>
      <c r="H268" s="211">
        <f>IF(Over_all[[#This Row],[BOQ]]-Over_all[[#This Row],[Received]]&lt;0,Over_all[[#This Row],[BOQ]]-Over_all[[#This Row],[Received]],"")</f>
        <v>-20</v>
      </c>
      <c r="I268" s="221"/>
      <c r="J268" s="224">
        <f>Over_all[[#This Row],[Received]]</f>
        <v>20</v>
      </c>
      <c r="K268" s="210">
        <f>SUMIF(ISSUE!$F:$F,Over_all[[#This Row],[Item Description]],ISSUE!$I:$I)</f>
        <v>0</v>
      </c>
      <c r="L268" s="210">
        <f>Over_all[[#This Row],[Received.]]-Over_all[[#This Row],[Issued]]</f>
        <v>20</v>
      </c>
      <c r="M268" s="212"/>
      <c r="N268" s="222"/>
    </row>
    <row r="269" spans="1:14" ht="16" customHeight="1" x14ac:dyDescent="0.35">
      <c r="A269" s="197">
        <f>BOQ[[#This Row],[S.No]]</f>
        <v>7</v>
      </c>
      <c r="B269" s="198" t="str">
        <f>BOQ[[#This Row],[Item Description]]</f>
        <v xml:space="preserve">UPVC Elbow 1 </v>
      </c>
      <c r="C269" s="199">
        <f>BOQ[[#This Row],[Make / Vendor]]</f>
        <v>0</v>
      </c>
      <c r="D269" s="199" t="str">
        <f>BOQ[[#This Row],[Unit]]</f>
        <v>Nos</v>
      </c>
      <c r="E269" s="199">
        <f>BOQ[[#This Row],[BOQ]]</f>
        <v>0</v>
      </c>
      <c r="F269" s="200">
        <f>SUMIF('Goods Receipt'!$J:$J,Over_all[[#This Row],[Item Description]],'Goods Receipt'!$M:$M)</f>
        <v>170</v>
      </c>
      <c r="G269" s="210" t="str">
        <f>IF(Over_all[[#This Row],[BOQ]]-Over_all[[#This Row],[Received]]&gt;=0,Over_all[[#This Row],[BOQ]]-Over_all[[#This Row],[Received]],"")</f>
        <v/>
      </c>
      <c r="H269" s="211">
        <f>IF(Over_all[[#This Row],[BOQ]]-Over_all[[#This Row],[Received]]&lt;0,Over_all[[#This Row],[BOQ]]-Over_all[[#This Row],[Received]],"")</f>
        <v>-170</v>
      </c>
      <c r="I269" s="221"/>
      <c r="J269" s="224">
        <f>Over_all[[#This Row],[Received]]</f>
        <v>170</v>
      </c>
      <c r="K269" s="210">
        <f>SUMIF(ISSUE!$F:$F,Over_all[[#This Row],[Item Description]],ISSUE!$I:$I)</f>
        <v>0</v>
      </c>
      <c r="L269" s="210">
        <f>Over_all[[#This Row],[Received.]]-Over_all[[#This Row],[Issued]]</f>
        <v>170</v>
      </c>
      <c r="M269" s="212"/>
      <c r="N269" s="222"/>
    </row>
    <row r="270" spans="1:14" ht="16" customHeight="1" x14ac:dyDescent="0.35">
      <c r="A270" s="197">
        <f>BOQ[[#This Row],[S.No]]</f>
        <v>8</v>
      </c>
      <c r="B270" s="198" t="str">
        <f>BOQ[[#This Row],[Item Description]]</f>
        <v>UPVC Tee 1 1/2</v>
      </c>
      <c r="C270" s="199">
        <f>BOQ[[#This Row],[Make / Vendor]]</f>
        <v>0</v>
      </c>
      <c r="D270" s="199" t="str">
        <f>BOQ[[#This Row],[Unit]]</f>
        <v>Nos</v>
      </c>
      <c r="E270" s="199">
        <f>BOQ[[#This Row],[BOQ]]</f>
        <v>0</v>
      </c>
      <c r="F270" s="200">
        <f>SUMIF('Goods Receipt'!$J:$J,Over_all[[#This Row],[Item Description]],'Goods Receipt'!$M:$M)</f>
        <v>5</v>
      </c>
      <c r="G270" s="210" t="str">
        <f>IF(Over_all[[#This Row],[BOQ]]-Over_all[[#This Row],[Received]]&gt;=0,Over_all[[#This Row],[BOQ]]-Over_all[[#This Row],[Received]],"")</f>
        <v/>
      </c>
      <c r="H270" s="211">
        <f>IF(Over_all[[#This Row],[BOQ]]-Over_all[[#This Row],[Received]]&lt;0,Over_all[[#This Row],[BOQ]]-Over_all[[#This Row],[Received]],"")</f>
        <v>-5</v>
      </c>
      <c r="I270" s="221"/>
      <c r="J270" s="224">
        <f>Over_all[[#This Row],[Received]]</f>
        <v>5</v>
      </c>
      <c r="K270" s="210">
        <f>SUMIF(ISSUE!$F:$F,Over_all[[#This Row],[Item Description]],ISSUE!$I:$I)</f>
        <v>0</v>
      </c>
      <c r="L270" s="210">
        <f>Over_all[[#This Row],[Received.]]-Over_all[[#This Row],[Issued]]</f>
        <v>5</v>
      </c>
      <c r="M270" s="212"/>
      <c r="N270" s="222"/>
    </row>
    <row r="271" spans="1:14" ht="16" customHeight="1" x14ac:dyDescent="0.35">
      <c r="A271" s="197">
        <f>BOQ[[#This Row],[S.No]]</f>
        <v>9</v>
      </c>
      <c r="B271" s="198" t="str">
        <f>BOQ[[#This Row],[Item Description]]</f>
        <v xml:space="preserve">UPVC Tee 1 </v>
      </c>
      <c r="C271" s="199">
        <f>BOQ[[#This Row],[Make / Vendor]]</f>
        <v>0</v>
      </c>
      <c r="D271" s="199" t="str">
        <f>BOQ[[#This Row],[Unit]]</f>
        <v>Nos</v>
      </c>
      <c r="E271" s="199">
        <f>BOQ[[#This Row],[BOQ]]</f>
        <v>0</v>
      </c>
      <c r="F271" s="200">
        <f>SUMIF('Goods Receipt'!$J:$J,Over_all[[#This Row],[Item Description]],'Goods Receipt'!$M:$M)</f>
        <v>100</v>
      </c>
      <c r="G271" s="210" t="str">
        <f>IF(Over_all[[#This Row],[BOQ]]-Over_all[[#This Row],[Received]]&gt;=0,Over_all[[#This Row],[BOQ]]-Over_all[[#This Row],[Received]],"")</f>
        <v/>
      </c>
      <c r="H271" s="211">
        <f>IF(Over_all[[#This Row],[BOQ]]-Over_all[[#This Row],[Received]]&lt;0,Over_all[[#This Row],[BOQ]]-Over_all[[#This Row],[Received]],"")</f>
        <v>-100</v>
      </c>
      <c r="I271" s="221"/>
      <c r="J271" s="224">
        <f>Over_all[[#This Row],[Received]]</f>
        <v>100</v>
      </c>
      <c r="K271" s="210">
        <f>SUMIF(ISSUE!$F:$F,Over_all[[#This Row],[Item Description]],ISSUE!$I:$I)</f>
        <v>0</v>
      </c>
      <c r="L271" s="210">
        <f>Over_all[[#This Row],[Received.]]-Over_all[[#This Row],[Issued]]</f>
        <v>100</v>
      </c>
      <c r="M271" s="212"/>
      <c r="N271" s="222"/>
    </row>
    <row r="272" spans="1:14" ht="16" customHeight="1" x14ac:dyDescent="0.35">
      <c r="A272" s="197">
        <f>BOQ[[#This Row],[S.No]]</f>
        <v>10</v>
      </c>
      <c r="B272" s="198" t="str">
        <f>BOQ[[#This Row],[Item Description]]</f>
        <v xml:space="preserve">UPVC Redusar </v>
      </c>
      <c r="C272" s="199">
        <f>BOQ[[#This Row],[Make / Vendor]]</f>
        <v>0</v>
      </c>
      <c r="D272" s="199" t="str">
        <f>BOQ[[#This Row],[Unit]]</f>
        <v>Nos</v>
      </c>
      <c r="E272" s="199">
        <f>BOQ[[#This Row],[BOQ]]</f>
        <v>0</v>
      </c>
      <c r="F272" s="200">
        <f>SUMIF('Goods Receipt'!$J:$J,Over_all[[#This Row],[Item Description]],'Goods Receipt'!$M:$M)</f>
        <v>130</v>
      </c>
      <c r="G272" s="210" t="str">
        <f>IF(Over_all[[#This Row],[BOQ]]-Over_all[[#This Row],[Received]]&gt;=0,Over_all[[#This Row],[BOQ]]-Over_all[[#This Row],[Received]],"")</f>
        <v/>
      </c>
      <c r="H272" s="211">
        <f>IF(Over_all[[#This Row],[BOQ]]-Over_all[[#This Row],[Received]]&lt;0,Over_all[[#This Row],[BOQ]]-Over_all[[#This Row],[Received]],"")</f>
        <v>-130</v>
      </c>
      <c r="I272" s="221"/>
      <c r="J272" s="224">
        <f>Over_all[[#This Row],[Received]]</f>
        <v>130</v>
      </c>
      <c r="K272" s="210">
        <f>SUMIF(ISSUE!$F:$F,Over_all[[#This Row],[Item Description]],ISSUE!$I:$I)</f>
        <v>0</v>
      </c>
      <c r="L272" s="210">
        <f>Over_all[[#This Row],[Received.]]-Over_all[[#This Row],[Issued]]</f>
        <v>130</v>
      </c>
      <c r="M272" s="212"/>
      <c r="N272" s="222"/>
    </row>
    <row r="273" spans="1:14" ht="16" customHeight="1" x14ac:dyDescent="0.35">
      <c r="A273" s="197">
        <f>BOQ[[#This Row],[S.No]]</f>
        <v>11</v>
      </c>
      <c r="B273" s="198" t="str">
        <f>BOQ[[#This Row],[Item Description]]</f>
        <v>UPVC Redusar Tee</v>
      </c>
      <c r="C273" s="199">
        <f>BOQ[[#This Row],[Make / Vendor]]</f>
        <v>0</v>
      </c>
      <c r="D273" s="199" t="str">
        <f>BOQ[[#This Row],[Unit]]</f>
        <v>Nos</v>
      </c>
      <c r="E273" s="199">
        <f>BOQ[[#This Row],[BOQ]]</f>
        <v>0</v>
      </c>
      <c r="F273" s="200">
        <f>SUMIF('Goods Receipt'!$J:$J,Over_all[[#This Row],[Item Description]],'Goods Receipt'!$M:$M)</f>
        <v>40</v>
      </c>
      <c r="G273" s="210" t="str">
        <f>IF(Over_all[[#This Row],[BOQ]]-Over_all[[#This Row],[Received]]&gt;=0,Over_all[[#This Row],[BOQ]]-Over_all[[#This Row],[Received]],"")</f>
        <v/>
      </c>
      <c r="H273" s="211">
        <f>IF(Over_all[[#This Row],[BOQ]]-Over_all[[#This Row],[Received]]&lt;0,Over_all[[#This Row],[BOQ]]-Over_all[[#This Row],[Received]],"")</f>
        <v>-40</v>
      </c>
      <c r="I273" s="221"/>
      <c r="J273" s="224">
        <f>Over_all[[#This Row],[Received]]</f>
        <v>40</v>
      </c>
      <c r="K273" s="210">
        <f>SUMIF(ISSUE!$F:$F,Over_all[[#This Row],[Item Description]],ISSUE!$I:$I)</f>
        <v>0</v>
      </c>
      <c r="L273" s="210">
        <f>Over_all[[#This Row],[Received.]]-Over_all[[#This Row],[Issued]]</f>
        <v>40</v>
      </c>
      <c r="M273" s="212"/>
      <c r="N273" s="222"/>
    </row>
    <row r="274" spans="1:14" ht="16" customHeight="1" x14ac:dyDescent="0.35">
      <c r="A274" s="197">
        <f>BOQ[[#This Row],[S.No]]</f>
        <v>12</v>
      </c>
      <c r="B274" s="198" t="str">
        <f>BOQ[[#This Row],[Item Description]]</f>
        <v>UPVC Coplin 1 1/2</v>
      </c>
      <c r="C274" s="199">
        <f>BOQ[[#This Row],[Make / Vendor]]</f>
        <v>0</v>
      </c>
      <c r="D274" s="199" t="str">
        <f>BOQ[[#This Row],[Unit]]</f>
        <v>Nos</v>
      </c>
      <c r="E274" s="199">
        <f>BOQ[[#This Row],[BOQ]]</f>
        <v>0</v>
      </c>
      <c r="F274" s="200">
        <f>SUMIF('Goods Receipt'!$J:$J,Over_all[[#This Row],[Item Description]],'Goods Receipt'!$M:$M)</f>
        <v>300</v>
      </c>
      <c r="G274" s="210" t="str">
        <f>IF(Over_all[[#This Row],[BOQ]]-Over_all[[#This Row],[Received]]&gt;=0,Over_all[[#This Row],[BOQ]]-Over_all[[#This Row],[Received]],"")</f>
        <v/>
      </c>
      <c r="H274" s="211">
        <f>IF(Over_all[[#This Row],[BOQ]]-Over_all[[#This Row],[Received]]&lt;0,Over_all[[#This Row],[BOQ]]-Over_all[[#This Row],[Received]],"")</f>
        <v>-300</v>
      </c>
      <c r="I274" s="221"/>
      <c r="J274" s="224">
        <f>Over_all[[#This Row],[Received]]</f>
        <v>300</v>
      </c>
      <c r="K274" s="210">
        <f>SUMIF(ISSUE!$F:$F,Over_all[[#This Row],[Item Description]],ISSUE!$I:$I)</f>
        <v>0</v>
      </c>
      <c r="L274" s="210">
        <f>Over_all[[#This Row],[Received.]]-Over_all[[#This Row],[Issued]]</f>
        <v>300</v>
      </c>
      <c r="M274" s="212"/>
      <c r="N274" s="222"/>
    </row>
    <row r="275" spans="1:14" ht="16" customHeight="1" x14ac:dyDescent="0.35">
      <c r="A275" s="197">
        <f>BOQ[[#This Row],[S.No]]</f>
        <v>13</v>
      </c>
      <c r="B275" s="198" t="str">
        <f>BOQ[[#This Row],[Item Description]]</f>
        <v xml:space="preserve">UPVC Coplin 1 </v>
      </c>
      <c r="C275" s="199">
        <f>BOQ[[#This Row],[Make / Vendor]]</f>
        <v>0</v>
      </c>
      <c r="D275" s="199" t="str">
        <f>BOQ[[#This Row],[Unit]]</f>
        <v>Nos</v>
      </c>
      <c r="E275" s="199">
        <f>BOQ[[#This Row],[BOQ]]</f>
        <v>0</v>
      </c>
      <c r="F275" s="200">
        <f>SUMIF('Goods Receipt'!$J:$J,Over_all[[#This Row],[Item Description]],'Goods Receipt'!$M:$M)</f>
        <v>1050</v>
      </c>
      <c r="G275" s="210" t="str">
        <f>IF(Over_all[[#This Row],[BOQ]]-Over_all[[#This Row],[Received]]&gt;=0,Over_all[[#This Row],[BOQ]]-Over_all[[#This Row],[Received]],"")</f>
        <v/>
      </c>
      <c r="H275" s="211">
        <f>IF(Over_all[[#This Row],[BOQ]]-Over_all[[#This Row],[Received]]&lt;0,Over_all[[#This Row],[BOQ]]-Over_all[[#This Row],[Received]],"")</f>
        <v>-1050</v>
      </c>
      <c r="I275" s="221"/>
      <c r="J275" s="224">
        <f>Over_all[[#This Row],[Received]]</f>
        <v>1050</v>
      </c>
      <c r="K275" s="210">
        <f>SUMIF(ISSUE!$F:$F,Over_all[[#This Row],[Item Description]],ISSUE!$I:$I)</f>
        <v>0</v>
      </c>
      <c r="L275" s="210">
        <f>Over_all[[#This Row],[Received.]]-Over_all[[#This Row],[Issued]]</f>
        <v>1050</v>
      </c>
      <c r="M275" s="212"/>
      <c r="N275" s="222"/>
    </row>
    <row r="276" spans="1:14" ht="16" customHeight="1" x14ac:dyDescent="0.35">
      <c r="A276" s="197">
        <f>BOQ[[#This Row],[S.No]]</f>
        <v>14</v>
      </c>
      <c r="B276" s="198" t="str">
        <f>BOQ[[#This Row],[Item Description]]</f>
        <v>UPVC Handcap 1 1/2</v>
      </c>
      <c r="C276" s="199">
        <f>BOQ[[#This Row],[Make / Vendor]]</f>
        <v>0</v>
      </c>
      <c r="D276" s="199" t="str">
        <f>BOQ[[#This Row],[Unit]]</f>
        <v>Nos</v>
      </c>
      <c r="E276" s="199">
        <f>BOQ[[#This Row],[BOQ]]</f>
        <v>0</v>
      </c>
      <c r="F276" s="200">
        <f>SUMIF('Goods Receipt'!$J:$J,Over_all[[#This Row],[Item Description]],'Goods Receipt'!$M:$M)</f>
        <v>5</v>
      </c>
      <c r="G276" s="210" t="str">
        <f>IF(Over_all[[#This Row],[BOQ]]-Over_all[[#This Row],[Received]]&gt;=0,Over_all[[#This Row],[BOQ]]-Over_all[[#This Row],[Received]],"")</f>
        <v/>
      </c>
      <c r="H276" s="211">
        <f>IF(Over_all[[#This Row],[BOQ]]-Over_all[[#This Row],[Received]]&lt;0,Over_all[[#This Row],[BOQ]]-Over_all[[#This Row],[Received]],"")</f>
        <v>-5</v>
      </c>
      <c r="I276" s="221"/>
      <c r="J276" s="224">
        <f>Over_all[[#This Row],[Received]]</f>
        <v>5</v>
      </c>
      <c r="K276" s="210">
        <f>SUMIF(ISSUE!$F:$F,Over_all[[#This Row],[Item Description]],ISSUE!$I:$I)</f>
        <v>0</v>
      </c>
      <c r="L276" s="210">
        <f>Over_all[[#This Row],[Received.]]-Over_all[[#This Row],[Issued]]</f>
        <v>5</v>
      </c>
      <c r="M276" s="212"/>
      <c r="N276" s="222"/>
    </row>
    <row r="277" spans="1:14" ht="16" customHeight="1" x14ac:dyDescent="0.35">
      <c r="A277" s="197">
        <f>BOQ[[#This Row],[S.No]]</f>
        <v>15</v>
      </c>
      <c r="B277" s="198" t="str">
        <f>BOQ[[#This Row],[Item Description]]</f>
        <v xml:space="preserve">UPVC Handcap 1 </v>
      </c>
      <c r="C277" s="199">
        <f>BOQ[[#This Row],[Make / Vendor]]</f>
        <v>0</v>
      </c>
      <c r="D277" s="199" t="str">
        <f>BOQ[[#This Row],[Unit]]</f>
        <v>Nos</v>
      </c>
      <c r="E277" s="199">
        <f>BOQ[[#This Row],[BOQ]]</f>
        <v>0</v>
      </c>
      <c r="F277" s="200">
        <f>SUMIF('Goods Receipt'!$J:$J,Over_all[[#This Row],[Item Description]],'Goods Receipt'!$M:$M)</f>
        <v>5</v>
      </c>
      <c r="G277" s="210" t="str">
        <f>IF(Over_all[[#This Row],[BOQ]]-Over_all[[#This Row],[Received]]&gt;=0,Over_all[[#This Row],[BOQ]]-Over_all[[#This Row],[Received]],"")</f>
        <v/>
      </c>
      <c r="H277" s="211">
        <f>IF(Over_all[[#This Row],[BOQ]]-Over_all[[#This Row],[Received]]&lt;0,Over_all[[#This Row],[BOQ]]-Over_all[[#This Row],[Received]],"")</f>
        <v>-5</v>
      </c>
      <c r="I277" s="221"/>
      <c r="J277" s="224">
        <f>Over_all[[#This Row],[Received]]</f>
        <v>5</v>
      </c>
      <c r="K277" s="210">
        <f>SUMIF(ISSUE!$F:$F,Over_all[[#This Row],[Item Description]],ISSUE!$I:$I)</f>
        <v>0</v>
      </c>
      <c r="L277" s="210">
        <f>Over_all[[#This Row],[Received.]]-Over_all[[#This Row],[Issued]]</f>
        <v>5</v>
      </c>
      <c r="M277" s="212"/>
      <c r="N277" s="222"/>
    </row>
    <row r="278" spans="1:14" ht="16" customHeight="1" x14ac:dyDescent="0.35">
      <c r="A278" s="197">
        <f>BOQ[[#This Row],[S.No]]</f>
        <v>16</v>
      </c>
      <c r="B278" s="198" t="str">
        <f>BOQ[[#This Row],[Item Description]]</f>
        <v xml:space="preserve">Taki </v>
      </c>
      <c r="C278" s="199">
        <f>BOQ[[#This Row],[Make / Vendor]]</f>
        <v>0</v>
      </c>
      <c r="D278" s="199" t="str">
        <f>BOQ[[#This Row],[Unit]]</f>
        <v>Ltr</v>
      </c>
      <c r="E278" s="199">
        <f>BOQ[[#This Row],[BOQ]]</f>
        <v>0</v>
      </c>
      <c r="F278" s="200">
        <f>SUMIF('Goods Receipt'!$J:$J,Over_all[[#This Row],[Item Description]],'Goods Receipt'!$M:$M)</f>
        <v>20000</v>
      </c>
      <c r="G278" s="210" t="str">
        <f>IF(Over_all[[#This Row],[BOQ]]-Over_all[[#This Row],[Received]]&gt;=0,Over_all[[#This Row],[BOQ]]-Over_all[[#This Row],[Received]],"")</f>
        <v/>
      </c>
      <c r="H278" s="211">
        <f>IF(Over_all[[#This Row],[BOQ]]-Over_all[[#This Row],[Received]]&lt;0,Over_all[[#This Row],[BOQ]]-Over_all[[#This Row],[Received]],"")</f>
        <v>-20000</v>
      </c>
      <c r="I278" s="221"/>
      <c r="J278" s="224">
        <f>Over_all[[#This Row],[Received]]</f>
        <v>20000</v>
      </c>
      <c r="K278" s="210">
        <f>SUMIF(ISSUE!$F:$F,Over_all[[#This Row],[Item Description]],ISSUE!$I:$I)</f>
        <v>0</v>
      </c>
      <c r="L278" s="210">
        <f>Over_all[[#This Row],[Received.]]-Over_all[[#This Row],[Issued]]</f>
        <v>20000</v>
      </c>
      <c r="M278" s="212"/>
      <c r="N278" s="222"/>
    </row>
    <row r="279" spans="1:14" ht="16" customHeight="1" x14ac:dyDescent="0.35">
      <c r="A279" s="197">
        <f>BOQ[[#This Row],[S.No]]</f>
        <v>17</v>
      </c>
      <c r="B279" s="198" t="str">
        <f>BOQ[[#This Row],[Item Description]]</f>
        <v>Motor</v>
      </c>
      <c r="C279" s="199">
        <f>BOQ[[#This Row],[Make / Vendor]]</f>
        <v>0</v>
      </c>
      <c r="D279" s="199" t="str">
        <f>BOQ[[#This Row],[Unit]]</f>
        <v>Nos</v>
      </c>
      <c r="E279" s="199">
        <f>BOQ[[#This Row],[BOQ]]</f>
        <v>0</v>
      </c>
      <c r="F279" s="200">
        <f>SUMIF('Goods Receipt'!$J:$J,Over_all[[#This Row],[Item Description]],'Goods Receipt'!$M:$M)</f>
        <v>2</v>
      </c>
      <c r="G279" s="210" t="str">
        <f>IF(Over_all[[#This Row],[BOQ]]-Over_all[[#This Row],[Received]]&gt;=0,Over_all[[#This Row],[BOQ]]-Over_all[[#This Row],[Received]],"")</f>
        <v/>
      </c>
      <c r="H279" s="211">
        <f>IF(Over_all[[#This Row],[BOQ]]-Over_all[[#This Row],[Received]]&lt;0,Over_all[[#This Row],[BOQ]]-Over_all[[#This Row],[Received]],"")</f>
        <v>-2</v>
      </c>
      <c r="I279" s="221"/>
      <c r="J279" s="224">
        <f>Over_all[[#This Row],[Received]]</f>
        <v>2</v>
      </c>
      <c r="K279" s="210">
        <f>SUMIF(ISSUE!$F:$F,Over_all[[#This Row],[Item Description]],ISSUE!$I:$I)</f>
        <v>0</v>
      </c>
      <c r="L279" s="210">
        <f>Over_all[[#This Row],[Received.]]-Over_all[[#This Row],[Issued]]</f>
        <v>2</v>
      </c>
      <c r="M279" s="212"/>
      <c r="N279" s="222"/>
    </row>
    <row r="280" spans="1:14" ht="16" customHeight="1" x14ac:dyDescent="0.35">
      <c r="A280" s="197">
        <f>BOQ[[#This Row],[S.No]]</f>
        <v>18</v>
      </c>
      <c r="B280" s="198" t="str">
        <f>BOQ[[#This Row],[Item Description]]</f>
        <v>Soket Set</v>
      </c>
      <c r="C280" s="199">
        <f>BOQ[[#This Row],[Make / Vendor]]</f>
        <v>0</v>
      </c>
      <c r="D280" s="199" t="str">
        <f>BOQ[[#This Row],[Unit]]</f>
        <v>Set</v>
      </c>
      <c r="E280" s="199">
        <f>BOQ[[#This Row],[BOQ]]</f>
        <v>0</v>
      </c>
      <c r="F280" s="200">
        <f>SUMIF('Goods Receipt'!$J:$J,Over_all[[#This Row],[Item Description]],'Goods Receipt'!$M:$M)</f>
        <v>2</v>
      </c>
      <c r="G280" s="210" t="str">
        <f>IF(Over_all[[#This Row],[BOQ]]-Over_all[[#This Row],[Received]]&gt;=0,Over_all[[#This Row],[BOQ]]-Over_all[[#This Row],[Received]],"")</f>
        <v/>
      </c>
      <c r="H280" s="211">
        <f>IF(Over_all[[#This Row],[BOQ]]-Over_all[[#This Row],[Received]]&lt;0,Over_all[[#This Row],[BOQ]]-Over_all[[#This Row],[Received]],"")</f>
        <v>-2</v>
      </c>
      <c r="I280" s="221"/>
      <c r="J280" s="224">
        <f>Over_all[[#This Row],[Received]]</f>
        <v>2</v>
      </c>
      <c r="K280" s="210">
        <f>SUMIF(ISSUE!$F:$F,Over_all[[#This Row],[Item Description]],ISSUE!$I:$I)</f>
        <v>0</v>
      </c>
      <c r="L280" s="210">
        <f>Over_all[[#This Row],[Received.]]-Over_all[[#This Row],[Issued]]</f>
        <v>2</v>
      </c>
      <c r="M280" s="212"/>
      <c r="N280" s="222"/>
    </row>
    <row r="281" spans="1:14" ht="16" customHeight="1" x14ac:dyDescent="0.35">
      <c r="A281" s="206">
        <f>BOQ[[#This Row],[S.No]]</f>
        <v>19</v>
      </c>
      <c r="B281" s="198" t="str">
        <f>BOQ[[#This Row],[Item Description]]</f>
        <v>Preser Vall</v>
      </c>
      <c r="C281" s="199">
        <f>BOQ[[#This Row],[Make / Vendor]]</f>
        <v>0</v>
      </c>
      <c r="D281" s="199" t="str">
        <f>BOQ[[#This Row],[Unit]]</f>
        <v>Nos</v>
      </c>
      <c r="E281" s="199">
        <f>BOQ[[#This Row],[BOQ]]</f>
        <v>0</v>
      </c>
      <c r="F281" s="200">
        <f>SUMIF('Goods Receipt'!$J:$J,Over_all[[#This Row],[Item Description]],'Goods Receipt'!$M:$M)</f>
        <v>2</v>
      </c>
      <c r="G281" s="210" t="str">
        <f>IF(Over_all[[#This Row],[BOQ]]-Over_all[[#This Row],[Received]]&gt;=0,Over_all[[#This Row],[BOQ]]-Over_all[[#This Row],[Received]],"")</f>
        <v/>
      </c>
      <c r="H281" s="211">
        <f>IF(Over_all[[#This Row],[BOQ]]-Over_all[[#This Row],[Received]]&lt;0,Over_all[[#This Row],[BOQ]]-Over_all[[#This Row],[Received]],"")</f>
        <v>-2</v>
      </c>
      <c r="I281" s="221"/>
      <c r="J281" s="224">
        <f>Over_all[[#This Row],[Received]]</f>
        <v>2</v>
      </c>
      <c r="K281" s="210">
        <f>SUMIF(ISSUE!$F:$F,Over_all[[#This Row],[Item Description]],ISSUE!$I:$I)</f>
        <v>0</v>
      </c>
      <c r="L281" s="210">
        <f>Over_all[[#This Row],[Received.]]-Over_all[[#This Row],[Issued]]</f>
        <v>2</v>
      </c>
      <c r="M281" s="212"/>
      <c r="N281" s="222"/>
    </row>
    <row r="282" spans="1:14" ht="16" customHeight="1" x14ac:dyDescent="0.35">
      <c r="A282" s="197">
        <f>BOQ[[#This Row],[S.No]]</f>
        <v>20</v>
      </c>
      <c r="B282" s="198" t="str">
        <f>BOQ[[#This Row],[Item Description]]</f>
        <v>NRV Vall 1 1/2</v>
      </c>
      <c r="C282" s="199">
        <f>BOQ[[#This Row],[Make / Vendor]]</f>
        <v>0</v>
      </c>
      <c r="D282" s="199" t="str">
        <f>BOQ[[#This Row],[Unit]]</f>
        <v>Nos</v>
      </c>
      <c r="E282" s="199">
        <f>BOQ[[#This Row],[BOQ]]</f>
        <v>0</v>
      </c>
      <c r="F282" s="200">
        <f>SUMIF('Goods Receipt'!$J:$J,Over_all[[#This Row],[Item Description]],'Goods Receipt'!$M:$M)</f>
        <v>2</v>
      </c>
      <c r="G282" s="210" t="str">
        <f>IF(Over_all[[#This Row],[BOQ]]-Over_all[[#This Row],[Received]]&gt;=0,Over_all[[#This Row],[BOQ]]-Over_all[[#This Row],[Received]],"")</f>
        <v/>
      </c>
      <c r="H282" s="211">
        <f>IF(Over_all[[#This Row],[BOQ]]-Over_all[[#This Row],[Received]]&lt;0,Over_all[[#This Row],[BOQ]]-Over_all[[#This Row],[Received]],"")</f>
        <v>-2</v>
      </c>
      <c r="I282" s="221"/>
      <c r="J282" s="224">
        <f>Over_all[[#This Row],[Received]]</f>
        <v>2</v>
      </c>
      <c r="K282" s="210">
        <f>SUMIF(ISSUE!$F:$F,Over_all[[#This Row],[Item Description]],ISSUE!$I:$I)</f>
        <v>0</v>
      </c>
      <c r="L282" s="210">
        <f>Over_all[[#This Row],[Received.]]-Over_all[[#This Row],[Issued]]</f>
        <v>2</v>
      </c>
      <c r="M282" s="212"/>
      <c r="N282" s="222"/>
    </row>
    <row r="283" spans="1:14" ht="16" customHeight="1" x14ac:dyDescent="0.35">
      <c r="A283" s="206">
        <f>BOQ[[#This Row],[S.No]]</f>
        <v>21</v>
      </c>
      <c r="B283" s="198" t="str">
        <f>BOQ[[#This Row],[Item Description]]</f>
        <v>UPVC Union 1 1/2</v>
      </c>
      <c r="C283" s="199">
        <f>BOQ[[#This Row],[Make / Vendor]]</f>
        <v>0</v>
      </c>
      <c r="D283" s="199" t="str">
        <f>BOQ[[#This Row],[Unit]]</f>
        <v>Nos</v>
      </c>
      <c r="E283" s="199">
        <f>BOQ[[#This Row],[BOQ]]</f>
        <v>0</v>
      </c>
      <c r="F283" s="200">
        <f>SUMIF('Goods Receipt'!$J:$J,Over_all[[#This Row],[Item Description]],'Goods Receipt'!$M:$M)</f>
        <v>4</v>
      </c>
      <c r="G283" s="210" t="str">
        <f>IF(Over_all[[#This Row],[BOQ]]-Over_all[[#This Row],[Received]]&gt;=0,Over_all[[#This Row],[BOQ]]-Over_all[[#This Row],[Received]],"")</f>
        <v/>
      </c>
      <c r="H283" s="211">
        <f>IF(Over_all[[#This Row],[BOQ]]-Over_all[[#This Row],[Received]]&lt;0,Over_all[[#This Row],[BOQ]]-Over_all[[#This Row],[Received]],"")</f>
        <v>-4</v>
      </c>
      <c r="I283" s="221"/>
      <c r="J283" s="224">
        <f>Over_all[[#This Row],[Received]]</f>
        <v>4</v>
      </c>
      <c r="K283" s="210">
        <f>SUMIF(ISSUE!$F:$F,Over_all[[#This Row],[Item Description]],ISSUE!$I:$I)</f>
        <v>0</v>
      </c>
      <c r="L283" s="210">
        <f>Over_all[[#This Row],[Received.]]-Over_all[[#This Row],[Issued]]</f>
        <v>4</v>
      </c>
      <c r="M283" s="212"/>
      <c r="N283" s="222"/>
    </row>
    <row r="284" spans="1:14" ht="16" customHeight="1" x14ac:dyDescent="0.35">
      <c r="A284" s="206">
        <f>BOQ[[#This Row],[S.No]]</f>
        <v>0</v>
      </c>
      <c r="B284" s="198">
        <f>BOQ[[#This Row],[Item Description]]</f>
        <v>0</v>
      </c>
      <c r="C284" s="199">
        <f>BOQ[[#This Row],[Make / Vendor]]</f>
        <v>0</v>
      </c>
      <c r="D284" s="199">
        <f>BOQ[[#This Row],[Unit]]</f>
        <v>0</v>
      </c>
      <c r="E284" s="199">
        <f>BOQ[[#This Row],[BOQ]]</f>
        <v>0</v>
      </c>
      <c r="F284" s="200">
        <f>SUMIF('Goods Receipt'!$J:$J,Over_all[[#This Row],[Item Description]],'Goods Receipt'!$M:$M)</f>
        <v>0</v>
      </c>
      <c r="G284" s="210">
        <f>IF(Over_all[[#This Row],[BOQ]]-Over_all[[#This Row],[Received]]&gt;=0,Over_all[[#This Row],[BOQ]]-Over_all[[#This Row],[Received]],"")</f>
        <v>0</v>
      </c>
      <c r="H284" s="211" t="str">
        <f>IF(Over_all[[#This Row],[BOQ]]-Over_all[[#This Row],[Received]]&lt;0,Over_all[[#This Row],[BOQ]]-Over_all[[#This Row],[Received]],"")</f>
        <v/>
      </c>
      <c r="I284" s="221"/>
      <c r="J284" s="224">
        <f>Over_all[[#This Row],[Received]]</f>
        <v>0</v>
      </c>
      <c r="K284" s="210">
        <f>SUMIF(ISSUE!$F:$F,Over_all[[#This Row],[Item Description]],ISSUE!$I:$I)</f>
        <v>0</v>
      </c>
      <c r="L284" s="210">
        <f>Over_all[[#This Row],[Received.]]-Over_all[[#This Row],[Issued]]</f>
        <v>0</v>
      </c>
      <c r="M284" s="212"/>
      <c r="N284" s="222"/>
    </row>
    <row r="285" spans="1:14" ht="16" customHeight="1" x14ac:dyDescent="0.35">
      <c r="A285" s="202" t="str">
        <f>BOQ[[#This Row],[S.No]]</f>
        <v>U</v>
      </c>
      <c r="B285" s="203" t="str">
        <f>BOQ[[#This Row],[Item Description]]</f>
        <v>Assets</v>
      </c>
      <c r="C285" s="199">
        <f>BOQ[[#This Row],[Make / Vendor]]</f>
        <v>0</v>
      </c>
      <c r="D285" s="199">
        <f>BOQ[[#This Row],[Unit]]</f>
        <v>0</v>
      </c>
      <c r="E285" s="199">
        <f>BOQ[[#This Row],[BOQ]]</f>
        <v>0</v>
      </c>
      <c r="F285" s="200">
        <f>SUMIF('Goods Receipt'!$J:$J,Over_all[[#This Row],[Item Description]],'Goods Receipt'!$M:$M)</f>
        <v>0</v>
      </c>
      <c r="G285" s="210">
        <f>IF(Over_all[[#This Row],[BOQ]]-Over_all[[#This Row],[Received]]&gt;=0,Over_all[[#This Row],[BOQ]]-Over_all[[#This Row],[Received]],"")</f>
        <v>0</v>
      </c>
      <c r="H285" s="211" t="str">
        <f>IF(Over_all[[#This Row],[BOQ]]-Over_all[[#This Row],[Received]]&lt;0,Over_all[[#This Row],[BOQ]]-Over_all[[#This Row],[Received]],"")</f>
        <v/>
      </c>
      <c r="I285" s="221"/>
      <c r="J285" s="224">
        <f>Over_all[[#This Row],[Received]]</f>
        <v>0</v>
      </c>
      <c r="K285" s="210">
        <f>SUMIF(ISSUE!$F:$F,Over_all[[#This Row],[Item Description]],ISSUE!$I:$I)</f>
        <v>0</v>
      </c>
      <c r="L285" s="210">
        <f>Over_all[[#This Row],[Received.]]-Over_all[[#This Row],[Issued]]</f>
        <v>0</v>
      </c>
      <c r="M285" s="212"/>
      <c r="N285" s="222"/>
    </row>
    <row r="286" spans="1:14" ht="16" customHeight="1" x14ac:dyDescent="0.35">
      <c r="A286" s="206">
        <f>BOQ[[#This Row],[S.No]]</f>
        <v>1</v>
      </c>
      <c r="B286" s="198" t="str">
        <f>BOQ[[#This Row],[Item Description]]</f>
        <v>Store Container</v>
      </c>
      <c r="C286" s="199">
        <f>BOQ[[#This Row],[Make / Vendor]]</f>
        <v>0</v>
      </c>
      <c r="D286" s="199" t="str">
        <f>BOQ[[#This Row],[Unit]]</f>
        <v>Nos</v>
      </c>
      <c r="E286" s="199">
        <f>BOQ[[#This Row],[BOQ]]</f>
        <v>1</v>
      </c>
      <c r="F286" s="200">
        <f>SUMIF('Goods Receipt'!$J:$J,Over_all[[#This Row],[Item Description]],'Goods Receipt'!$M:$M)</f>
        <v>1</v>
      </c>
      <c r="G286" s="210">
        <f>IF(Over_all[[#This Row],[BOQ]]-Over_all[[#This Row],[Received]]&gt;=0,Over_all[[#This Row],[BOQ]]-Over_all[[#This Row],[Received]],"")</f>
        <v>0</v>
      </c>
      <c r="H286" s="211" t="str">
        <f>IF(Over_all[[#This Row],[BOQ]]-Over_all[[#This Row],[Received]]&lt;0,Over_all[[#This Row],[BOQ]]-Over_all[[#This Row],[Received]],"")</f>
        <v/>
      </c>
      <c r="I286" s="221"/>
      <c r="J286" s="224">
        <f>Over_all[[#This Row],[Received]]</f>
        <v>1</v>
      </c>
      <c r="K286" s="210">
        <f>SUMIF(ISSUE!$F:$F,Over_all[[#This Row],[Item Description]],ISSUE!$I:$I)</f>
        <v>0</v>
      </c>
      <c r="L286" s="210">
        <f>Over_all[[#This Row],[Received.]]-Over_all[[#This Row],[Issued]]</f>
        <v>1</v>
      </c>
      <c r="M286" s="212"/>
      <c r="N286" s="222"/>
    </row>
    <row r="287" spans="1:14" ht="16" customHeight="1" x14ac:dyDescent="0.35">
      <c r="A287" s="197">
        <f>BOQ[[#This Row],[S.No]]</f>
        <v>2</v>
      </c>
      <c r="B287" s="198" t="str">
        <f>BOQ[[#This Row],[Item Description]]</f>
        <v>Secucity Cabin</v>
      </c>
      <c r="C287" s="199">
        <f>BOQ[[#This Row],[Make / Vendor]]</f>
        <v>0</v>
      </c>
      <c r="D287" s="199" t="str">
        <f>BOQ[[#This Row],[Unit]]</f>
        <v>Nos</v>
      </c>
      <c r="E287" s="199">
        <f>BOQ[[#This Row],[BOQ]]</f>
        <v>2</v>
      </c>
      <c r="F287" s="200">
        <f>SUMIF('Goods Receipt'!$J:$J,Over_all[[#This Row],[Item Description]],'Goods Receipt'!$M:$M)</f>
        <v>1</v>
      </c>
      <c r="G287" s="210">
        <f>IF(Over_all[[#This Row],[BOQ]]-Over_all[[#This Row],[Received]]&gt;=0,Over_all[[#This Row],[BOQ]]-Over_all[[#This Row],[Received]],"")</f>
        <v>1</v>
      </c>
      <c r="H287" s="211" t="str">
        <f>IF(Over_all[[#This Row],[BOQ]]-Over_all[[#This Row],[Received]]&lt;0,Over_all[[#This Row],[BOQ]]-Over_all[[#This Row],[Received]],"")</f>
        <v/>
      </c>
      <c r="I287" s="221"/>
      <c r="J287" s="224">
        <f>Over_all[[#This Row],[Received]]</f>
        <v>1</v>
      </c>
      <c r="K287" s="210">
        <f>SUMIF(ISSUE!$F:$F,Over_all[[#This Row],[Item Description]],ISSUE!$I:$I)</f>
        <v>0</v>
      </c>
      <c r="L287" s="210">
        <f>Over_all[[#This Row],[Received.]]-Over_all[[#This Row],[Issued]]</f>
        <v>1</v>
      </c>
      <c r="M287" s="212"/>
      <c r="N287" s="222"/>
    </row>
    <row r="288" spans="1:14" ht="16" customHeight="1" x14ac:dyDescent="0.35">
      <c r="A288" s="197">
        <f>BOQ[[#This Row],[S.No]]</f>
        <v>0</v>
      </c>
      <c r="B288" s="198">
        <f>BOQ[[#This Row],[Item Description]]</f>
        <v>0</v>
      </c>
      <c r="C288" s="199">
        <f>BOQ[[#This Row],[Make / Vendor]]</f>
        <v>0</v>
      </c>
      <c r="D288" s="199">
        <f>BOQ[[#This Row],[Unit]]</f>
        <v>0</v>
      </c>
      <c r="E288" s="199">
        <f>BOQ[[#This Row],[BOQ]]</f>
        <v>0</v>
      </c>
      <c r="F288" s="200">
        <f>SUMIF('Goods Receipt'!$J:$J,Over_all[[#This Row],[Item Description]],'Goods Receipt'!$M:$M)</f>
        <v>0</v>
      </c>
      <c r="G288" s="210">
        <f>IF(Over_all[[#This Row],[BOQ]]-Over_all[[#This Row],[Received]]&gt;=0,Over_all[[#This Row],[BOQ]]-Over_all[[#This Row],[Received]],"")</f>
        <v>0</v>
      </c>
      <c r="H288" s="211" t="str">
        <f>IF(Over_all[[#This Row],[BOQ]]-Over_all[[#This Row],[Received]]&lt;0,Over_all[[#This Row],[BOQ]]-Over_all[[#This Row],[Received]],"")</f>
        <v/>
      </c>
      <c r="I288" s="221"/>
      <c r="J288" s="224">
        <f>Over_all[[#This Row],[Received]]</f>
        <v>0</v>
      </c>
      <c r="K288" s="210">
        <f>SUMIF(ISSUE!$F:$F,Over_all[[#This Row],[Item Description]],ISSUE!$I:$I)</f>
        <v>0</v>
      </c>
      <c r="L288" s="210">
        <f>Over_all[[#This Row],[Received.]]-Over_all[[#This Row],[Issued]]</f>
        <v>0</v>
      </c>
      <c r="M288" s="212"/>
      <c r="N288" s="222"/>
    </row>
    <row r="289" spans="1:14" ht="16" customHeight="1" x14ac:dyDescent="0.35">
      <c r="A289" s="202" t="str">
        <f>BOQ[[#This Row],[S.No]]</f>
        <v>V</v>
      </c>
      <c r="B289" s="203" t="str">
        <f>BOQ[[#This Row],[Item Description]]</f>
        <v>UPS</v>
      </c>
      <c r="C289" s="199">
        <f>BOQ[[#This Row],[Make / Vendor]]</f>
        <v>0</v>
      </c>
      <c r="D289" s="199">
        <f>BOQ[[#This Row],[Unit]]</f>
        <v>0</v>
      </c>
      <c r="E289" s="199">
        <f>BOQ[[#This Row],[BOQ]]</f>
        <v>0</v>
      </c>
      <c r="F289" s="200">
        <f>SUMIF('Goods Receipt'!$J:$J,Over_all[[#This Row],[Item Description]],'Goods Receipt'!$M:$M)</f>
        <v>0</v>
      </c>
      <c r="G289" s="210">
        <f>IF(Over_all[[#This Row],[BOQ]]-Over_all[[#This Row],[Received]]&gt;=0,Over_all[[#This Row],[BOQ]]-Over_all[[#This Row],[Received]],"")</f>
        <v>0</v>
      </c>
      <c r="H289" s="211" t="str">
        <f>IF(Over_all[[#This Row],[BOQ]]-Over_all[[#This Row],[Received]]&lt;0,Over_all[[#This Row],[BOQ]]-Over_all[[#This Row],[Received]],"")</f>
        <v/>
      </c>
      <c r="I289" s="221"/>
      <c r="J289" s="224">
        <f>Over_all[[#This Row],[Received]]</f>
        <v>0</v>
      </c>
      <c r="K289" s="210">
        <f>SUMIF(ISSUE!$F:$F,Over_all[[#This Row],[Item Description]],ISSUE!$I:$I)</f>
        <v>0</v>
      </c>
      <c r="L289" s="210">
        <f>Over_all[[#This Row],[Received.]]-Over_all[[#This Row],[Issued]]</f>
        <v>0</v>
      </c>
      <c r="M289" s="212"/>
      <c r="N289" s="222"/>
    </row>
    <row r="290" spans="1:14" ht="16" customHeight="1" x14ac:dyDescent="0.35">
      <c r="A290" s="206">
        <f>BOQ[[#This Row],[S.No]]</f>
        <v>0</v>
      </c>
      <c r="B290" s="198">
        <f>BOQ[[#This Row],[Item Description]]</f>
        <v>0</v>
      </c>
      <c r="C290" s="199">
        <f>BOQ[[#This Row],[Make / Vendor]]</f>
        <v>0</v>
      </c>
      <c r="D290" s="199">
        <f>BOQ[[#This Row],[Unit]]</f>
        <v>0</v>
      </c>
      <c r="E290" s="199">
        <f>BOQ[[#This Row],[BOQ]]</f>
        <v>0</v>
      </c>
      <c r="F290" s="200">
        <f>SUMIF('Goods Receipt'!$J:$J,Over_all[[#This Row],[Item Description]],'Goods Receipt'!$M:$M)</f>
        <v>0</v>
      </c>
      <c r="G290" s="210">
        <f>IF(Over_all[[#This Row],[BOQ]]-Over_all[[#This Row],[Received]]&gt;=0,Over_all[[#This Row],[BOQ]]-Over_all[[#This Row],[Received]],"")</f>
        <v>0</v>
      </c>
      <c r="H290" s="211" t="str">
        <f>IF(Over_all[[#This Row],[BOQ]]-Over_all[[#This Row],[Received]]&lt;0,Over_all[[#This Row],[BOQ]]-Over_all[[#This Row],[Received]],"")</f>
        <v/>
      </c>
      <c r="I290" s="221"/>
      <c r="J290" s="224">
        <f>Over_all[[#This Row],[Received]]</f>
        <v>0</v>
      </c>
      <c r="K290" s="210">
        <f>SUMIF(ISSUE!$F:$F,Over_all[[#This Row],[Item Description]],ISSUE!$I:$I)</f>
        <v>0</v>
      </c>
      <c r="L290" s="210">
        <f>Over_all[[#This Row],[Received.]]-Over_all[[#This Row],[Issued]]</f>
        <v>0</v>
      </c>
      <c r="M290" s="212"/>
      <c r="N290" s="222"/>
    </row>
    <row r="291" spans="1:14" ht="16" customHeight="1" x14ac:dyDescent="0.35">
      <c r="A291" s="202" t="str">
        <f>BOQ[[#This Row],[S.No]]</f>
        <v>W</v>
      </c>
      <c r="B291" s="203" t="str">
        <f>BOQ[[#This Row],[Item Description]]</f>
        <v>Pheriperal Boundary</v>
      </c>
      <c r="C291" s="199">
        <f>BOQ[[#This Row],[Make / Vendor]]</f>
        <v>0</v>
      </c>
      <c r="D291" s="199">
        <f>BOQ[[#This Row],[Unit]]</f>
        <v>0</v>
      </c>
      <c r="E291" s="199">
        <f>BOQ[[#This Row],[BOQ]]</f>
        <v>0</v>
      </c>
      <c r="F291" s="200">
        <f>SUMIF('Goods Receipt'!$J:$J,Over_all[[#This Row],[Item Description]],'Goods Receipt'!$M:$M)</f>
        <v>0</v>
      </c>
      <c r="G291" s="210">
        <f>IF(Over_all[[#This Row],[BOQ]]-Over_all[[#This Row],[Received]]&gt;=0,Over_all[[#This Row],[BOQ]]-Over_all[[#This Row],[Received]],"")</f>
        <v>0</v>
      </c>
      <c r="H291" s="211" t="str">
        <f>IF(Over_all[[#This Row],[BOQ]]-Over_all[[#This Row],[Received]]&lt;0,Over_all[[#This Row],[BOQ]]-Over_all[[#This Row],[Received]],"")</f>
        <v/>
      </c>
      <c r="I291" s="221"/>
      <c r="J291" s="224">
        <f>Over_all[[#This Row],[Received]]</f>
        <v>0</v>
      </c>
      <c r="K291" s="210">
        <f>SUMIF(ISSUE!$F:$F,Over_all[[#This Row],[Item Description]],ISSUE!$I:$I)</f>
        <v>0</v>
      </c>
      <c r="L291" s="210">
        <f>Over_all[[#This Row],[Received.]]-Over_all[[#This Row],[Issued]]</f>
        <v>0</v>
      </c>
      <c r="M291" s="212"/>
      <c r="N291" s="222"/>
    </row>
    <row r="292" spans="1:14" ht="16" customHeight="1" x14ac:dyDescent="0.35">
      <c r="A292" s="206">
        <f>BOQ[[#This Row],[S.No]]</f>
        <v>1</v>
      </c>
      <c r="B292" s="198" t="str">
        <f>BOQ[[#This Row],[Item Description]]</f>
        <v>Precast Panel</v>
      </c>
      <c r="C292" s="199">
        <f>BOQ[[#This Row],[Make / Vendor]]</f>
        <v>0</v>
      </c>
      <c r="D292" s="199" t="str">
        <f>BOQ[[#This Row],[Unit]]</f>
        <v>Nos</v>
      </c>
      <c r="E292" s="199">
        <f>BOQ[[#This Row],[BOQ]]</f>
        <v>0</v>
      </c>
      <c r="F292" s="200">
        <f>SUMIF('Goods Receipt'!$J:$J,Over_all[[#This Row],[Item Description]],'Goods Receipt'!$M:$M)</f>
        <v>4005</v>
      </c>
      <c r="G292" s="210" t="str">
        <f>IF(Over_all[[#This Row],[BOQ]]-Over_all[[#This Row],[Received]]&gt;=0,Over_all[[#This Row],[BOQ]]-Over_all[[#This Row],[Received]],"")</f>
        <v/>
      </c>
      <c r="H292" s="211">
        <f>IF(Over_all[[#This Row],[BOQ]]-Over_all[[#This Row],[Received]]&lt;0,Over_all[[#This Row],[BOQ]]-Over_all[[#This Row],[Received]],"")</f>
        <v>-4005</v>
      </c>
      <c r="I292" s="221"/>
      <c r="J292" s="224">
        <f>Over_all[[#This Row],[Received]]</f>
        <v>4005</v>
      </c>
      <c r="K292" s="210">
        <f>SUMIF(ISSUE!$F:$F,Over_all[[#This Row],[Item Description]],ISSUE!$I:$I)</f>
        <v>0</v>
      </c>
      <c r="L292" s="210">
        <f>Over_all[[#This Row],[Received.]]-Over_all[[#This Row],[Issued]]</f>
        <v>4005</v>
      </c>
      <c r="M292" s="212"/>
      <c r="N292" s="222"/>
    </row>
    <row r="293" spans="1:14" ht="16" customHeight="1" x14ac:dyDescent="0.35">
      <c r="A293" s="206">
        <f>BOQ[[#This Row],[S.No]]</f>
        <v>2</v>
      </c>
      <c r="B293" s="198" t="str">
        <f>BOQ[[#This Row],[Item Description]]</f>
        <v>Precast Post</v>
      </c>
      <c r="C293" s="199">
        <f>BOQ[[#This Row],[Make / Vendor]]</f>
        <v>0</v>
      </c>
      <c r="D293" s="199" t="str">
        <f>BOQ[[#This Row],[Unit]]</f>
        <v>Nos</v>
      </c>
      <c r="E293" s="199">
        <f>BOQ[[#This Row],[BOQ]]</f>
        <v>0</v>
      </c>
      <c r="F293" s="200">
        <f>SUMIF('Goods Receipt'!$J:$J,Over_all[[#This Row],[Item Description]],'Goods Receipt'!$M:$M)</f>
        <v>897</v>
      </c>
      <c r="G293" s="210" t="str">
        <f>IF(Over_all[[#This Row],[BOQ]]-Over_all[[#This Row],[Received]]&gt;=0,Over_all[[#This Row],[BOQ]]-Over_all[[#This Row],[Received]],"")</f>
        <v/>
      </c>
      <c r="H293" s="211">
        <f>IF(Over_all[[#This Row],[BOQ]]-Over_all[[#This Row],[Received]]&lt;0,Over_all[[#This Row],[BOQ]]-Over_all[[#This Row],[Received]],"")</f>
        <v>-897</v>
      </c>
      <c r="I293" s="221"/>
      <c r="J293" s="224">
        <f>Over_all[[#This Row],[Received]]</f>
        <v>897</v>
      </c>
      <c r="K293" s="210">
        <f>SUMIF(ISSUE!$F:$F,Over_all[[#This Row],[Item Description]],ISSUE!$I:$I)</f>
        <v>0</v>
      </c>
      <c r="L293" s="210">
        <f>Over_all[[#This Row],[Received.]]-Over_all[[#This Row],[Issued]]</f>
        <v>897</v>
      </c>
      <c r="M293" s="212"/>
      <c r="N293" s="222"/>
    </row>
    <row r="294" spans="1:14" ht="16" customHeight="1" x14ac:dyDescent="0.35">
      <c r="A294" s="206">
        <f>BOQ[[#This Row],[S.No]]</f>
        <v>0</v>
      </c>
      <c r="B294" s="198">
        <f>BOQ[[#This Row],[Item Description]]</f>
        <v>0</v>
      </c>
      <c r="C294" s="199">
        <f>BOQ[[#This Row],[Make / Vendor]]</f>
        <v>0</v>
      </c>
      <c r="D294" s="199">
        <f>BOQ[[#This Row],[Unit]]</f>
        <v>0</v>
      </c>
      <c r="E294" s="199">
        <f>BOQ[[#This Row],[BOQ]]</f>
        <v>0</v>
      </c>
      <c r="F294" s="200">
        <f>SUMIF('Goods Receipt'!$J:$J,Over_all[[#This Row],[Item Description]],'Goods Receipt'!$M:$M)</f>
        <v>0</v>
      </c>
      <c r="G294" s="210">
        <f>IF(Over_all[[#This Row],[BOQ]]-Over_all[[#This Row],[Received]]&gt;=0,Over_all[[#This Row],[BOQ]]-Over_all[[#This Row],[Received]],"")</f>
        <v>0</v>
      </c>
      <c r="H294" s="211" t="str">
        <f>IF(Over_all[[#This Row],[BOQ]]-Over_all[[#This Row],[Received]]&lt;0,Over_all[[#This Row],[BOQ]]-Over_all[[#This Row],[Received]],"")</f>
        <v/>
      </c>
      <c r="I294" s="221"/>
      <c r="J294" s="224">
        <f>Over_all[[#This Row],[Received]]</f>
        <v>0</v>
      </c>
      <c r="K294" s="210">
        <f>SUMIF(ISSUE!$F:$F,Over_all[[#This Row],[Item Description]],ISSUE!$I:$I)</f>
        <v>0</v>
      </c>
      <c r="L294" s="210">
        <f>Over_all[[#This Row],[Received.]]-Over_all[[#This Row],[Issued]]</f>
        <v>0</v>
      </c>
      <c r="M294" s="212"/>
      <c r="N294" s="222"/>
    </row>
    <row r="295" spans="1:14" ht="16" customHeight="1" x14ac:dyDescent="0.35">
      <c r="A295" s="255" t="str">
        <f>BOQ[[#This Row],[S.No]]</f>
        <v>X</v>
      </c>
      <c r="B295" s="254" t="str">
        <f>BOQ[[#This Row],[Item Description]]</f>
        <v>Bus_Duct</v>
      </c>
      <c r="C295" s="247">
        <f>BOQ[[#This Row],[Make / Vendor]]</f>
        <v>0</v>
      </c>
      <c r="D295" s="247">
        <f>BOQ[[#This Row],[Unit]]</f>
        <v>0</v>
      </c>
      <c r="E295" s="248"/>
      <c r="F295" s="249">
        <f>SUMIF('Goods Receipt'!J:J,Over_all[[#This Row],[Item Description]],'Goods Receipt'!M:M)</f>
        <v>0</v>
      </c>
      <c r="G295" s="249">
        <f>IF(Over_all[[#This Row],[BOQ]]-Over_all[[#This Row],[Received]]&gt;=0,Over_all[[#This Row],[BOQ]]-Over_all[[#This Row],[Received]],"")</f>
        <v>0</v>
      </c>
      <c r="H295" s="250" t="str">
        <f>IF(Over_all[[#This Row],[BOQ]]-Over_all[[#This Row],[Received]]&lt;0,Over_all[[#This Row],[BOQ]]-Over_all[[#This Row],[Received]],"")</f>
        <v/>
      </c>
      <c r="I295" s="251"/>
      <c r="J295" s="256">
        <f>Over_all[[#This Row],[Received]]</f>
        <v>0</v>
      </c>
      <c r="K295" s="249">
        <f>SUMIF(ISSUE!$F:$F,Over_all[[#This Row],[Item Description]],ISSUE!$I:$I)</f>
        <v>0</v>
      </c>
      <c r="L295" s="249">
        <f>Over_all[[#This Row],[Received.]]-Over_all[[#This Row],[Issued]]</f>
        <v>0</v>
      </c>
      <c r="M295" s="252"/>
      <c r="N295" s="253"/>
    </row>
    <row r="296" spans="1:14" ht="16" customHeight="1" x14ac:dyDescent="0.35">
      <c r="A296" s="245">
        <f>BOQ[[#This Row],[S.No]]</f>
        <v>1</v>
      </c>
      <c r="B296" s="246" t="str">
        <f>BOQ[[#This Row],[Item Description]]</f>
        <v>5000A TP Air Insulated Bus duct Stright Run</v>
      </c>
      <c r="C296" s="247">
        <f>BOQ[[#This Row],[Make / Vendor]]</f>
        <v>0</v>
      </c>
      <c r="D296" s="247" t="str">
        <f>BOQ[[#This Row],[Unit]]</f>
        <v>Mtr</v>
      </c>
      <c r="E296" s="248"/>
      <c r="F296" s="249">
        <f>SUMIF('Goods Receipt'!J:J,Over_all[[#This Row],[Item Description]],'Goods Receipt'!M:M)</f>
        <v>37</v>
      </c>
      <c r="G296" s="249" t="str">
        <f>IF(Over_all[[#This Row],[BOQ]]-Over_all[[#This Row],[Received]]&gt;=0,Over_all[[#This Row],[BOQ]]-Over_all[[#This Row],[Received]],"")</f>
        <v/>
      </c>
      <c r="H296" s="250">
        <f>IF(Over_all[[#This Row],[BOQ]]-Over_all[[#This Row],[Received]]&lt;0,Over_all[[#This Row],[BOQ]]-Over_all[[#This Row],[Received]],"")</f>
        <v>-37</v>
      </c>
      <c r="I296" s="251"/>
      <c r="J296" s="256">
        <f>Over_all[[#This Row],[Received]]</f>
        <v>37</v>
      </c>
      <c r="K296" s="249">
        <f>SUMIF(ISSUE!$F:$F,Over_all[[#This Row],[Item Description]],ISSUE!$I:$I)</f>
        <v>0</v>
      </c>
      <c r="L296" s="249">
        <f>Over_all[[#This Row],[Received.]]-Over_all[[#This Row],[Issued]]</f>
        <v>37</v>
      </c>
      <c r="M296" s="252"/>
      <c r="N296" s="253"/>
    </row>
    <row r="297" spans="1:14" ht="16" customHeight="1" x14ac:dyDescent="0.35">
      <c r="A297" s="197">
        <f>BOQ[[#This Row],[S.No]]</f>
        <v>2</v>
      </c>
      <c r="B297" s="198" t="str">
        <f>BOQ[[#This Row],[Item Description]]</f>
        <v>5000A Copper Flexible  (Traafo.End )</v>
      </c>
      <c r="C297" s="199">
        <f>BOQ[[#This Row],[Make / Vendor]]</f>
        <v>0</v>
      </c>
      <c r="D297" s="199" t="str">
        <f>BOQ[[#This Row],[Unit]]</f>
        <v>Set</v>
      </c>
      <c r="E297" s="199">
        <f>BOQ[[#This Row],[BOQ]]</f>
        <v>0</v>
      </c>
      <c r="F297" s="200">
        <f>SUMIF('Goods Receipt'!$J:$J,Over_all[[#This Row],[Item Description]],'Goods Receipt'!$M:$M)</f>
        <v>4</v>
      </c>
      <c r="G297" s="210" t="str">
        <f>IF(Over_all[[#This Row],[BOQ]]-Over_all[[#This Row],[Received]]&gt;=0,Over_all[[#This Row],[BOQ]]-Over_all[[#This Row],[Received]],"")</f>
        <v/>
      </c>
      <c r="H297" s="211">
        <f>IF(Over_all[[#This Row],[BOQ]]-Over_all[[#This Row],[Received]]&lt;0,Over_all[[#This Row],[BOQ]]-Over_all[[#This Row],[Received]],"")</f>
        <v>-4</v>
      </c>
      <c r="I297" s="221"/>
      <c r="J297" s="224">
        <f>Over_all[[#This Row],[Received]]</f>
        <v>4</v>
      </c>
      <c r="K297" s="210">
        <f>SUMIF(ISSUE!$F:$F,Over_all[[#This Row],[Item Description]],ISSUE!$I:$I)</f>
        <v>0</v>
      </c>
      <c r="L297" s="210">
        <f>Over_all[[#This Row],[Received.]]-Over_all[[#This Row],[Issued]]</f>
        <v>4</v>
      </c>
      <c r="M297" s="212"/>
      <c r="N297" s="222"/>
    </row>
    <row r="298" spans="1:14" ht="16" customHeight="1" x14ac:dyDescent="0.35">
      <c r="A298" s="197">
        <f>BOQ[[#This Row],[S.No]]</f>
        <v>3</v>
      </c>
      <c r="B298" s="198" t="str">
        <f>BOQ[[#This Row],[Item Description]]</f>
        <v>5000A Aluminium Flexible ( Panel End )</v>
      </c>
      <c r="C298" s="199">
        <f>BOQ[[#This Row],[Make / Vendor]]</f>
        <v>0</v>
      </c>
      <c r="D298" s="199" t="str">
        <f>BOQ[[#This Row],[Unit]]</f>
        <v>Set</v>
      </c>
      <c r="E298" s="199">
        <f>BOQ[[#This Row],[BOQ]]</f>
        <v>0</v>
      </c>
      <c r="F298" s="200">
        <f>SUMIF('Goods Receipt'!$J:$J,Over_all[[#This Row],[Item Description]],'Goods Receipt'!$M:$M)</f>
        <v>4</v>
      </c>
      <c r="G298" s="210" t="str">
        <f>IF(Over_all[[#This Row],[BOQ]]-Over_all[[#This Row],[Received]]&gt;=0,Over_all[[#This Row],[BOQ]]-Over_all[[#This Row],[Received]],"")</f>
        <v/>
      </c>
      <c r="H298" s="211">
        <f>IF(Over_all[[#This Row],[BOQ]]-Over_all[[#This Row],[Received]]&lt;0,Over_all[[#This Row],[BOQ]]-Over_all[[#This Row],[Received]],"")</f>
        <v>-4</v>
      </c>
      <c r="I298" s="221"/>
      <c r="J298" s="224">
        <f>Over_all[[#This Row],[Received]]</f>
        <v>4</v>
      </c>
      <c r="K298" s="210">
        <f>SUMIF(ISSUE!$F:$F,Over_all[[#This Row],[Item Description]],ISSUE!$I:$I)</f>
        <v>0</v>
      </c>
      <c r="L298" s="210">
        <f>Over_all[[#This Row],[Received.]]-Over_all[[#This Row],[Issued]]</f>
        <v>4</v>
      </c>
      <c r="M298" s="212"/>
      <c r="N298" s="222"/>
    </row>
    <row r="299" spans="1:14" ht="16" customHeight="1" x14ac:dyDescent="0.35">
      <c r="A299" s="197">
        <f>BOQ[[#This Row],[S.No]]</f>
        <v>4</v>
      </c>
      <c r="B299" s="198" t="str">
        <f>BOQ[[#This Row],[Item Description]]</f>
        <v>Bus Duct Accessories</v>
      </c>
      <c r="C299" s="199">
        <f>BOQ[[#This Row],[Make / Vendor]]</f>
        <v>0</v>
      </c>
      <c r="D299" s="199" t="str">
        <f>BOQ[[#This Row],[Unit]]</f>
        <v>Nos</v>
      </c>
      <c r="E299" s="199">
        <f>BOQ[[#This Row],[BOQ]]</f>
        <v>0</v>
      </c>
      <c r="F299" s="200">
        <f>SUMIF('Goods Receipt'!$J:$J,Over_all[[#This Row],[Item Description]],'Goods Receipt'!$M:$M)</f>
        <v>4</v>
      </c>
      <c r="G299" s="210" t="str">
        <f>IF(Over_all[[#This Row],[BOQ]]-Over_all[[#This Row],[Received]]&gt;=0,Over_all[[#This Row],[BOQ]]-Over_all[[#This Row],[Received]],"")</f>
        <v/>
      </c>
      <c r="H299" s="211">
        <f>IF(Over_all[[#This Row],[BOQ]]-Over_all[[#This Row],[Received]]&lt;0,Over_all[[#This Row],[BOQ]]-Over_all[[#This Row],[Received]],"")</f>
        <v>-4</v>
      </c>
      <c r="I299" s="221"/>
      <c r="J299" s="224">
        <f>Over_all[[#This Row],[Received]]</f>
        <v>4</v>
      </c>
      <c r="K299" s="210">
        <f>SUMIF(ISSUE!$F:$F,Over_all[[#This Row],[Item Description]],ISSUE!$I:$I)</f>
        <v>0</v>
      </c>
      <c r="L299" s="210">
        <f>Over_all[[#This Row],[Received.]]-Over_all[[#This Row],[Issued]]</f>
        <v>4</v>
      </c>
      <c r="M299" s="212"/>
      <c r="N299" s="222"/>
    </row>
    <row r="300" spans="1:14" ht="16" customHeight="1" x14ac:dyDescent="0.35">
      <c r="A300" s="197">
        <f>BOQ[[#This Row],[S.No]]</f>
        <v>0</v>
      </c>
      <c r="B300" s="198">
        <f>BOQ[[#This Row],[Item Description]]</f>
        <v>0</v>
      </c>
      <c r="C300" s="199">
        <f>BOQ[[#This Row],[Make / Vendor]]</f>
        <v>0</v>
      </c>
      <c r="D300" s="199">
        <f>BOQ[[#This Row],[Unit]]</f>
        <v>0</v>
      </c>
      <c r="E300" s="199">
        <f>BOQ[[#This Row],[BOQ]]</f>
        <v>0</v>
      </c>
      <c r="F300" s="200">
        <f>SUMIF('Goods Receipt'!$J:$J,Over_all[[#This Row],[Item Description]],'Goods Receipt'!$M:$M)</f>
        <v>0</v>
      </c>
      <c r="G300" s="210">
        <f>IF(Over_all[[#This Row],[BOQ]]-Over_all[[#This Row],[Received]]&gt;=0,Over_all[[#This Row],[BOQ]]-Over_all[[#This Row],[Received]],"")</f>
        <v>0</v>
      </c>
      <c r="H300" s="211" t="str">
        <f>IF(Over_all[[#This Row],[BOQ]]-Over_all[[#This Row],[Received]]&lt;0,Over_all[[#This Row],[BOQ]]-Over_all[[#This Row],[Received]],"")</f>
        <v/>
      </c>
      <c r="I300" s="221"/>
      <c r="J300" s="224">
        <f>Over_all[[#This Row],[Received]]</f>
        <v>0</v>
      </c>
      <c r="K300" s="210">
        <f>SUMIF(ISSUE!$F:$F,Over_all[[#This Row],[Item Description]],ISSUE!$I:$I)</f>
        <v>0</v>
      </c>
      <c r="L300" s="210">
        <f>Over_all[[#This Row],[Received.]]-Over_all[[#This Row],[Issued]]</f>
        <v>0</v>
      </c>
      <c r="M300" s="212"/>
      <c r="N300" s="222"/>
    </row>
    <row r="301" spans="1:14" ht="16" customHeight="1" x14ac:dyDescent="0.35">
      <c r="A301" s="202" t="str">
        <f>BOQ[[#This Row],[S.No]]</f>
        <v>Y</v>
      </c>
      <c r="B301" s="203" t="str">
        <f>BOQ[[#This Row],[Item Description]]</f>
        <v>Cable_Route_Marker</v>
      </c>
      <c r="C301" s="199">
        <f>BOQ[[#This Row],[Make / Vendor]]</f>
        <v>0</v>
      </c>
      <c r="D301" s="199">
        <f>BOQ[[#This Row],[Unit]]</f>
        <v>0</v>
      </c>
      <c r="E301" s="199">
        <f>BOQ[[#This Row],[BOQ]]</f>
        <v>0</v>
      </c>
      <c r="F301" s="200">
        <f>SUMIF('Goods Receipt'!$J:$J,Over_all[[#This Row],[Item Description]],'Goods Receipt'!$M:$M)</f>
        <v>0</v>
      </c>
      <c r="G301" s="210">
        <f>IF(Over_all[[#This Row],[BOQ]]-Over_all[[#This Row],[Received]]&gt;=0,Over_all[[#This Row],[BOQ]]-Over_all[[#This Row],[Received]],"")</f>
        <v>0</v>
      </c>
      <c r="H301" s="211" t="str">
        <f>IF(Over_all[[#This Row],[BOQ]]-Over_all[[#This Row],[Received]]&lt;0,Over_all[[#This Row],[BOQ]]-Over_all[[#This Row],[Received]],"")</f>
        <v/>
      </c>
      <c r="I301" s="221"/>
      <c r="J301" s="224">
        <f>Over_all[[#This Row],[Received]]</f>
        <v>0</v>
      </c>
      <c r="K301" s="210">
        <f>SUMIF(ISSUE!$F:$F,Over_all[[#This Row],[Item Description]],ISSUE!$I:$I)</f>
        <v>0</v>
      </c>
      <c r="L301" s="210">
        <f>Over_all[[#This Row],[Received.]]-Over_all[[#This Row],[Issued]]</f>
        <v>0</v>
      </c>
      <c r="M301" s="212"/>
      <c r="N301" s="222"/>
    </row>
    <row r="302" spans="1:14" ht="16" customHeight="1" x14ac:dyDescent="0.35">
      <c r="A302" s="206">
        <f>BOQ[[#This Row],[S.No]]</f>
        <v>1</v>
      </c>
      <c r="B302" s="198" t="str">
        <f>BOQ[[#This Row],[Item Description]]</f>
        <v>LT Cable Route Marker</v>
      </c>
      <c r="C302" s="199">
        <f>BOQ[[#This Row],[Make / Vendor]]</f>
        <v>0</v>
      </c>
      <c r="D302" s="199" t="str">
        <f>BOQ[[#This Row],[Unit]]</f>
        <v>Nos</v>
      </c>
      <c r="E302" s="235"/>
      <c r="F302" s="210">
        <f>SUMIF('Goods Receipt'!J:J,Over_all[[#This Row],[Item Description]],'Goods Receipt'!M:M)</f>
        <v>240</v>
      </c>
      <c r="G302" s="210" t="str">
        <f>IF(Over_all[[#This Row],[BOQ]]-Over_all[[#This Row],[Received]]&gt;=0,Over_all[[#This Row],[BOQ]]-Over_all[[#This Row],[Received]],"")</f>
        <v/>
      </c>
      <c r="H302" s="211">
        <f>IF(Over_all[[#This Row],[BOQ]]-Over_all[[#This Row],[Received]]&lt;0,Over_all[[#This Row],[BOQ]]-Over_all[[#This Row],[Received]],"")</f>
        <v>-240</v>
      </c>
      <c r="I302" s="221"/>
      <c r="J302" s="224">
        <f>Over_all[[#This Row],[Received]]</f>
        <v>240</v>
      </c>
      <c r="K302" s="210">
        <f>SUMIF(ISSUE!$F:$F,Over_all[[#This Row],[Item Description]],ISSUE!$I:$I)</f>
        <v>0</v>
      </c>
      <c r="L302" s="210">
        <f>Over_all[[#This Row],[Received.]]-Over_all[[#This Row],[Issued]]</f>
        <v>240</v>
      </c>
      <c r="M302" s="212"/>
      <c r="N302" s="222"/>
    </row>
    <row r="303" spans="1:14" ht="16" customHeight="1" x14ac:dyDescent="0.35">
      <c r="A303" s="197">
        <f>BOQ[[#This Row],[S.No]]</f>
        <v>2</v>
      </c>
      <c r="B303" s="198" t="str">
        <f>BOQ[[#This Row],[Item Description]]</f>
        <v>HT Cable Route Marker</v>
      </c>
      <c r="C303" s="199">
        <f>BOQ[[#This Row],[Make / Vendor]]</f>
        <v>0</v>
      </c>
      <c r="D303" s="199" t="str">
        <f>BOQ[[#This Row],[Unit]]</f>
        <v>Nos</v>
      </c>
      <c r="E303" s="235"/>
      <c r="F303" s="210">
        <f>SUMIF('Goods Receipt'!J:J,Over_all[[#This Row],[Item Description]],'Goods Receipt'!M:M)</f>
        <v>20</v>
      </c>
      <c r="G303" s="210" t="str">
        <f>IF(Over_all[[#This Row],[BOQ]]-Over_all[[#This Row],[Received]]&gt;=0,Over_all[[#This Row],[BOQ]]-Over_all[[#This Row],[Received]],"")</f>
        <v/>
      </c>
      <c r="H303" s="211">
        <f>IF(Over_all[[#This Row],[BOQ]]-Over_all[[#This Row],[Received]]&lt;0,Over_all[[#This Row],[BOQ]]-Over_all[[#This Row],[Received]],"")</f>
        <v>-20</v>
      </c>
      <c r="I303" s="221"/>
      <c r="J303" s="224">
        <f>Over_all[[#This Row],[Received]]</f>
        <v>20</v>
      </c>
      <c r="K303" s="210">
        <f>SUMIF(ISSUE!$F:$F,Over_all[[#This Row],[Item Description]],ISSUE!$I:$I)</f>
        <v>0</v>
      </c>
      <c r="L303" s="210">
        <f>Over_all[[#This Row],[Received.]]-Over_all[[#This Row],[Issued]]</f>
        <v>20</v>
      </c>
      <c r="M303" s="212"/>
      <c r="N303" s="222"/>
    </row>
    <row r="304" spans="1:14" ht="16" customHeight="1" x14ac:dyDescent="0.35">
      <c r="A304" s="206">
        <f>BOQ[[#This Row],[S.No]]</f>
        <v>3</v>
      </c>
      <c r="B304" s="198" t="str">
        <f>BOQ[[#This Row],[Item Description]]</f>
        <v>DC Cable Route Marker</v>
      </c>
      <c r="C304" s="199">
        <f>BOQ[[#This Row],[Make / Vendor]]</f>
        <v>0</v>
      </c>
      <c r="D304" s="199" t="str">
        <f>BOQ[[#This Row],[Unit]]</f>
        <v>Nos</v>
      </c>
      <c r="E304" s="199">
        <f>BOQ[[#This Row],[BOQ]]</f>
        <v>0</v>
      </c>
      <c r="F304" s="200">
        <f>SUMIF('Goods Receipt'!$J:$J,Over_all[[#This Row],[Item Description]],'Goods Receipt'!$M:$M)</f>
        <v>80</v>
      </c>
      <c r="G304" s="210" t="str">
        <f>IF(Over_all[[#This Row],[BOQ]]-Over_all[[#This Row],[Received]]&gt;=0,Over_all[[#This Row],[BOQ]]-Over_all[[#This Row],[Received]],"")</f>
        <v/>
      </c>
      <c r="H304" s="211">
        <f>IF(Over_all[[#This Row],[BOQ]]-Over_all[[#This Row],[Received]]&lt;0,Over_all[[#This Row],[BOQ]]-Over_all[[#This Row],[Received]],"")</f>
        <v>-80</v>
      </c>
      <c r="I304" s="221"/>
      <c r="J304" s="224">
        <f>Over_all[[#This Row],[Received]]</f>
        <v>80</v>
      </c>
      <c r="K304" s="210">
        <f>SUMIF(ISSUE!$F:$F,Over_all[[#This Row],[Item Description]],ISSUE!$I:$I)</f>
        <v>0</v>
      </c>
      <c r="L304" s="210">
        <f>Over_all[[#This Row],[Received.]]-Over_all[[#This Row],[Issued]]</f>
        <v>80</v>
      </c>
      <c r="M304" s="212"/>
      <c r="N304" s="222"/>
    </row>
    <row r="305" spans="1:14" ht="16" customHeight="1" x14ac:dyDescent="0.35">
      <c r="A305" s="206">
        <f>BOQ[[#This Row],[S.No]]</f>
        <v>0</v>
      </c>
      <c r="B305" s="198">
        <f>BOQ[[#This Row],[Item Description]]</f>
        <v>0</v>
      </c>
      <c r="C305" s="199">
        <f>BOQ[[#This Row],[Make / Vendor]]</f>
        <v>0</v>
      </c>
      <c r="D305" s="199">
        <f>BOQ[[#This Row],[Unit]]</f>
        <v>0</v>
      </c>
      <c r="E305" s="199">
        <f>BOQ[[#This Row],[BOQ]]</f>
        <v>0</v>
      </c>
      <c r="F305" s="200">
        <f>SUMIF('Goods Receipt'!$J:$J,Over_all[[#This Row],[Item Description]],'Goods Receipt'!$M:$M)</f>
        <v>0</v>
      </c>
      <c r="G305" s="210">
        <f>IF(Over_all[[#This Row],[BOQ]]-Over_all[[#This Row],[Received]]&gt;=0,Over_all[[#This Row],[BOQ]]-Over_all[[#This Row],[Received]],"")</f>
        <v>0</v>
      </c>
      <c r="H305" s="211" t="str">
        <f>IF(Over_all[[#This Row],[BOQ]]-Over_all[[#This Row],[Received]]&lt;0,Over_all[[#This Row],[BOQ]]-Over_all[[#This Row],[Received]],"")</f>
        <v/>
      </c>
      <c r="I305" s="221"/>
      <c r="J305" s="224">
        <f>Over_all[[#This Row],[Received]]</f>
        <v>0</v>
      </c>
      <c r="K305" s="210">
        <f>SUMIF(ISSUE!$F:$F,Over_all[[#This Row],[Item Description]],ISSUE!$I:$I)</f>
        <v>0</v>
      </c>
      <c r="L305" s="210">
        <f>Over_all[[#This Row],[Received.]]-Over_all[[#This Row],[Issued]]</f>
        <v>0</v>
      </c>
      <c r="M305" s="212"/>
      <c r="N305" s="222"/>
    </row>
    <row r="306" spans="1:14" ht="16" customHeight="1" x14ac:dyDescent="0.35">
      <c r="A306" s="202" t="str">
        <f>BOQ[[#This Row],[S.No]]</f>
        <v>Z</v>
      </c>
      <c r="B306" s="203" t="str">
        <f>BOQ[[#This Row],[Item Description]]</f>
        <v>Switch Yard_Equipments With Accessories</v>
      </c>
      <c r="C306" s="199">
        <f>BOQ[[#This Row],[Make / Vendor]]</f>
        <v>0</v>
      </c>
      <c r="D306" s="199">
        <f>BOQ[[#This Row],[Unit]]</f>
        <v>0</v>
      </c>
      <c r="E306" s="235"/>
      <c r="F306" s="210">
        <f>SUMIF('Goods Receipt'!J:J,Over_all[[#This Row],[Item Description]],'Goods Receipt'!M:M)</f>
        <v>0</v>
      </c>
      <c r="G306" s="210">
        <f>IF(Over_all[[#This Row],[BOQ]]-Over_all[[#This Row],[Received]]&gt;=0,Over_all[[#This Row],[BOQ]]-Over_all[[#This Row],[Received]],"")</f>
        <v>0</v>
      </c>
      <c r="H306" s="211" t="str">
        <f>IF(Over_all[[#This Row],[BOQ]]-Over_all[[#This Row],[Received]]&lt;0,Over_all[[#This Row],[BOQ]]-Over_all[[#This Row],[Received]],"")</f>
        <v/>
      </c>
      <c r="I306" s="221"/>
      <c r="J306" s="224">
        <f>Over_all[[#This Row],[Received]]</f>
        <v>0</v>
      </c>
      <c r="K306" s="210">
        <f>SUMIF(ISSUE!$F:$F,Over_all[[#This Row],[Item Description]],ISSUE!$I:$I)</f>
        <v>0</v>
      </c>
      <c r="L306" s="210">
        <f>Over_all[[#This Row],[Received.]]-Over_all[[#This Row],[Issued]]</f>
        <v>0</v>
      </c>
      <c r="M306" s="212"/>
      <c r="N306" s="222"/>
    </row>
    <row r="307" spans="1:14" ht="16" customHeight="1" x14ac:dyDescent="0.35">
      <c r="A307" s="206">
        <f>BOQ[[#This Row],[S.No]]</f>
        <v>1</v>
      </c>
      <c r="B307" s="198" t="str">
        <f>BOQ[[#This Row],[Item Description]]</f>
        <v>66Kv CT For Metering</v>
      </c>
      <c r="C307" s="199">
        <f>BOQ[[#This Row],[Make / Vendor]]</f>
        <v>0</v>
      </c>
      <c r="D307" s="199" t="str">
        <f>BOQ[[#This Row],[Unit]]</f>
        <v>Nos</v>
      </c>
      <c r="E307" s="235"/>
      <c r="F307" s="210">
        <f>SUMIF('Goods Receipt'!J:J,Over_all[[#This Row],[Item Description]],'Goods Receipt'!M:M)</f>
        <v>3</v>
      </c>
      <c r="G307" s="210" t="str">
        <f>IF(Over_all[[#This Row],[BOQ]]-Over_all[[#This Row],[Received]]&gt;=0,Over_all[[#This Row],[BOQ]]-Over_all[[#This Row],[Received]],"")</f>
        <v/>
      </c>
      <c r="H307" s="211">
        <f>IF(Over_all[[#This Row],[BOQ]]-Over_all[[#This Row],[Received]]&lt;0,Over_all[[#This Row],[BOQ]]-Over_all[[#This Row],[Received]],"")</f>
        <v>-3</v>
      </c>
      <c r="I307" s="221"/>
      <c r="J307" s="224">
        <f>Over_all[[#This Row],[Received]]</f>
        <v>3</v>
      </c>
      <c r="K307" s="210">
        <f>SUMIF(ISSUE!$F:$F,Over_all[[#This Row],[Item Description]],ISSUE!$I:$I)</f>
        <v>0</v>
      </c>
      <c r="L307" s="210">
        <f>Over_all[[#This Row],[Received.]]-Over_all[[#This Row],[Issued]]</f>
        <v>3</v>
      </c>
      <c r="M307" s="212"/>
      <c r="N307" s="222"/>
    </row>
    <row r="308" spans="1:14" ht="16" customHeight="1" x14ac:dyDescent="0.35">
      <c r="A308" s="206">
        <f>BOQ[[#This Row],[S.No]]</f>
        <v>2</v>
      </c>
      <c r="B308" s="198" t="str">
        <f>BOQ[[#This Row],[Item Description]]</f>
        <v>66Kv CT For Protection -Ratio 100-150/1-1-1A</v>
      </c>
      <c r="C308" s="199">
        <f>BOQ[[#This Row],[Make / Vendor]]</f>
        <v>0</v>
      </c>
      <c r="D308" s="199" t="str">
        <f>BOQ[[#This Row],[Unit]]</f>
        <v>Nos</v>
      </c>
      <c r="E308" s="235"/>
      <c r="F308" s="210">
        <f>SUMIF('Goods Receipt'!J:J,Over_all[[#This Row],[Item Description]],'Goods Receipt'!M:M)</f>
        <v>3</v>
      </c>
      <c r="G308" s="210" t="str">
        <f>IF(Over_all[[#This Row],[BOQ]]-Over_all[[#This Row],[Received]]&gt;=0,Over_all[[#This Row],[BOQ]]-Over_all[[#This Row],[Received]],"")</f>
        <v/>
      </c>
      <c r="H308" s="211">
        <f>IF(Over_all[[#This Row],[BOQ]]-Over_all[[#This Row],[Received]]&lt;0,Over_all[[#This Row],[BOQ]]-Over_all[[#This Row],[Received]],"")</f>
        <v>-3</v>
      </c>
      <c r="I308" s="221"/>
      <c r="J308" s="224">
        <f>Over_all[[#This Row],[Received]]</f>
        <v>3</v>
      </c>
      <c r="K308" s="210">
        <f>SUMIF(ISSUE!$F:$F,Over_all[[#This Row],[Item Description]],ISSUE!$I:$I)</f>
        <v>0</v>
      </c>
      <c r="L308" s="210">
        <f>Over_all[[#This Row],[Received.]]-Over_all[[#This Row],[Issued]]</f>
        <v>3</v>
      </c>
      <c r="M308" s="212"/>
      <c r="N308" s="222"/>
    </row>
    <row r="309" spans="1:14" ht="16" customHeight="1" x14ac:dyDescent="0.35">
      <c r="A309" s="206">
        <f>BOQ[[#This Row],[S.No]]</f>
        <v>3</v>
      </c>
      <c r="B309" s="198" t="str">
        <f>BOQ[[#This Row],[Item Description]]</f>
        <v>66Kv CT For Protection -Ratio 300-600/1-1-1-A</v>
      </c>
      <c r="C309" s="199">
        <f>BOQ[[#This Row],[Make / Vendor]]</f>
        <v>0</v>
      </c>
      <c r="D309" s="199" t="str">
        <f>BOQ[[#This Row],[Unit]]</f>
        <v>Nos</v>
      </c>
      <c r="E309" s="235"/>
      <c r="F309" s="210">
        <f>SUMIF('Goods Receipt'!J:J,Over_all[[#This Row],[Item Description]],'Goods Receipt'!M:M)</f>
        <v>3</v>
      </c>
      <c r="G309" s="210" t="str">
        <f>IF(Over_all[[#This Row],[BOQ]]-Over_all[[#This Row],[Received]]&gt;=0,Over_all[[#This Row],[BOQ]]-Over_all[[#This Row],[Received]],"")</f>
        <v/>
      </c>
      <c r="H309" s="211">
        <f>IF(Over_all[[#This Row],[BOQ]]-Over_all[[#This Row],[Received]]&lt;0,Over_all[[#This Row],[BOQ]]-Over_all[[#This Row],[Received]],"")</f>
        <v>-3</v>
      </c>
      <c r="I309" s="221"/>
      <c r="J309" s="224">
        <f>Over_all[[#This Row],[Received]]</f>
        <v>3</v>
      </c>
      <c r="K309" s="210">
        <f>SUMIF(ISSUE!$F:$F,Over_all[[#This Row],[Item Description]],ISSUE!$I:$I)</f>
        <v>0</v>
      </c>
      <c r="L309" s="210">
        <f>Over_all[[#This Row],[Received.]]-Over_all[[#This Row],[Issued]]</f>
        <v>3</v>
      </c>
      <c r="M309" s="212"/>
      <c r="N309" s="222"/>
    </row>
    <row r="310" spans="1:14" ht="16" customHeight="1" x14ac:dyDescent="0.35">
      <c r="A310" s="206">
        <f>BOQ[[#This Row],[S.No]]</f>
        <v>4</v>
      </c>
      <c r="B310" s="198" t="str">
        <f>BOQ[[#This Row],[Item Description]]</f>
        <v>66Kv CT For Metering -Ratio of 100/1A</v>
      </c>
      <c r="C310" s="199">
        <f>BOQ[[#This Row],[Make / Vendor]]</f>
        <v>0</v>
      </c>
      <c r="D310" s="199" t="str">
        <f>BOQ[[#This Row],[Unit]]</f>
        <v>Nos</v>
      </c>
      <c r="E310" s="235"/>
      <c r="F310" s="210">
        <v>3</v>
      </c>
      <c r="G310" s="210" t="str">
        <f>IF(Over_all[[#This Row],[BOQ]]-Over_all[[#This Row],[Received]]&gt;=0,Over_all[[#This Row],[BOQ]]-Over_all[[#This Row],[Received]],"")</f>
        <v/>
      </c>
      <c r="H310" s="211">
        <f>IF(Over_all[[#This Row],[BOQ]]-Over_all[[#This Row],[Received]]&lt;0,Over_all[[#This Row],[BOQ]]-Over_all[[#This Row],[Received]],"")</f>
        <v>-3</v>
      </c>
      <c r="I310" s="221"/>
      <c r="J310" s="224">
        <f>Over_all[[#This Row],[Received]]</f>
        <v>3</v>
      </c>
      <c r="K310" s="210">
        <f>SUMIF(ISSUE!$F:$F,Over_all[[#This Row],[Item Description]],ISSUE!$I:$I)</f>
        <v>0</v>
      </c>
      <c r="L310" s="210">
        <f>Over_all[[#This Row],[Received.]]-Over_all[[#This Row],[Issued]]</f>
        <v>3</v>
      </c>
      <c r="M310" s="212"/>
      <c r="N310" s="222"/>
    </row>
    <row r="311" spans="1:14" ht="16" customHeight="1" x14ac:dyDescent="0.35">
      <c r="A311" s="206">
        <f>BOQ[[#This Row],[S.No]]</f>
        <v>5</v>
      </c>
      <c r="B311" s="198" t="str">
        <f>BOQ[[#This Row],[Item Description]]</f>
        <v>66Kv PT For Metering 66kv/RT3/110V/RT3</v>
      </c>
      <c r="C311" s="199">
        <f>BOQ[[#This Row],[Make / Vendor]]</f>
        <v>0</v>
      </c>
      <c r="D311" s="199" t="str">
        <f>BOQ[[#This Row],[Unit]]</f>
        <v>Nos</v>
      </c>
      <c r="E311" s="235"/>
      <c r="F311" s="210">
        <v>3</v>
      </c>
      <c r="G311" s="210" t="str">
        <f>IF(Over_all[[#This Row],[BOQ]]-Over_all[[#This Row],[Received]]&gt;=0,Over_all[[#This Row],[BOQ]]-Over_all[[#This Row],[Received]],"")</f>
        <v/>
      </c>
      <c r="H311" s="211">
        <f>IF(Over_all[[#This Row],[BOQ]]-Over_all[[#This Row],[Received]]&lt;0,Over_all[[#This Row],[BOQ]]-Over_all[[#This Row],[Received]],"")</f>
        <v>-3</v>
      </c>
      <c r="I311" s="221"/>
      <c r="J311" s="224">
        <f>Over_all[[#This Row],[Received]]</f>
        <v>3</v>
      </c>
      <c r="K311" s="210">
        <f>SUMIF(ISSUE!$F:$F,Over_all[[#This Row],[Item Description]],ISSUE!$I:$I)</f>
        <v>0</v>
      </c>
      <c r="L311" s="210">
        <f>Over_all[[#This Row],[Received.]]-Over_all[[#This Row],[Issued]]</f>
        <v>3</v>
      </c>
      <c r="M311" s="212"/>
      <c r="N311" s="222"/>
    </row>
    <row r="312" spans="1:14" ht="16" customHeight="1" x14ac:dyDescent="0.35">
      <c r="A312" s="206">
        <f>BOQ[[#This Row],[S.No]]</f>
        <v>6</v>
      </c>
      <c r="B312" s="198" t="str">
        <f>BOQ[[#This Row],[Item Description]]</f>
        <v>66Kv CT For Metering -200/1A</v>
      </c>
      <c r="C312" s="199">
        <f>BOQ[[#This Row],[Make / Vendor]]</f>
        <v>0</v>
      </c>
      <c r="D312" s="199" t="str">
        <f>BOQ[[#This Row],[Unit]]</f>
        <v>Nos</v>
      </c>
      <c r="E312" s="235"/>
      <c r="F312" s="210">
        <f>SUMIF('Goods Receipt'!J:J,Over_all[[#This Row],[Item Description]],'Goods Receipt'!M:M)</f>
        <v>3</v>
      </c>
      <c r="G312" s="210" t="str">
        <f>IF(Over_all[[#This Row],[BOQ]]-Over_all[[#This Row],[Received]]&gt;=0,Over_all[[#This Row],[BOQ]]-Over_all[[#This Row],[Received]],"")</f>
        <v/>
      </c>
      <c r="H312" s="211">
        <f>IF(Over_all[[#This Row],[BOQ]]-Over_all[[#This Row],[Received]]&lt;0,Over_all[[#This Row],[BOQ]]-Over_all[[#This Row],[Received]],"")</f>
        <v>-3</v>
      </c>
      <c r="I312" s="221"/>
      <c r="J312" s="224">
        <f>Over_all[[#This Row],[Received]]</f>
        <v>3</v>
      </c>
      <c r="K312" s="210">
        <f>SUMIF(ISSUE!$F:$F,Over_all[[#This Row],[Item Description]],ISSUE!$I:$I)</f>
        <v>0</v>
      </c>
      <c r="L312" s="210">
        <f>Over_all[[#This Row],[Received.]]-Over_all[[#This Row],[Issued]]</f>
        <v>3</v>
      </c>
      <c r="M312" s="212"/>
      <c r="N312" s="222"/>
    </row>
    <row r="313" spans="1:14" ht="16" customHeight="1" x14ac:dyDescent="0.35">
      <c r="A313" s="206">
        <f>BOQ[[#This Row],[S.No]]</f>
        <v>7</v>
      </c>
      <c r="B313" s="198" t="str">
        <f>BOQ[[#This Row],[Item Description]]</f>
        <v>66Kv PT For Metering 66kv/RT3/110V/RT3</v>
      </c>
      <c r="C313" s="199">
        <f>BOQ[[#This Row],[Make / Vendor]]</f>
        <v>0</v>
      </c>
      <c r="D313" s="199" t="str">
        <f>BOQ[[#This Row],[Unit]]</f>
        <v>Nos</v>
      </c>
      <c r="E313" s="235"/>
      <c r="F313" s="210">
        <v>3</v>
      </c>
      <c r="G313" s="210" t="str">
        <f>IF(Over_all[[#This Row],[BOQ]]-Over_all[[#This Row],[Received]]&gt;=0,Over_all[[#This Row],[BOQ]]-Over_all[[#This Row],[Received]],"")</f>
        <v/>
      </c>
      <c r="H313" s="211">
        <f>IF(Over_all[[#This Row],[BOQ]]-Over_all[[#This Row],[Received]]&lt;0,Over_all[[#This Row],[BOQ]]-Over_all[[#This Row],[Received]],"")</f>
        <v>-3</v>
      </c>
      <c r="I313" s="221"/>
      <c r="J313" s="224">
        <f>Over_all[[#This Row],[Received]]</f>
        <v>3</v>
      </c>
      <c r="K313" s="210">
        <f>SUMIF(ISSUE!$F:$F,Over_all[[#This Row],[Item Description]],ISSUE!$I:$I)</f>
        <v>0</v>
      </c>
      <c r="L313" s="210">
        <f>Over_all[[#This Row],[Received.]]-Over_all[[#This Row],[Issued]]</f>
        <v>3</v>
      </c>
      <c r="M313" s="212"/>
      <c r="N313" s="222"/>
    </row>
    <row r="314" spans="1:14" ht="16" customHeight="1" x14ac:dyDescent="0.35">
      <c r="A314" s="206">
        <f>BOQ[[#This Row],[S.No]]</f>
        <v>8</v>
      </c>
      <c r="B314" s="198" t="str">
        <f>BOQ[[#This Row],[Item Description]]</f>
        <v>66Kv Control &amp; Relay Panel</v>
      </c>
      <c r="C314" s="199">
        <f>BOQ[[#This Row],[Make / Vendor]]</f>
        <v>0</v>
      </c>
      <c r="D314" s="199" t="str">
        <f>BOQ[[#This Row],[Unit]]</f>
        <v>Nos</v>
      </c>
      <c r="E314" s="235"/>
      <c r="F314" s="210">
        <f>SUMIF('Goods Receipt'!J:J,Over_all[[#This Row],[Item Description]],'Goods Receipt'!M:M)</f>
        <v>2</v>
      </c>
      <c r="G314" s="210" t="str">
        <f>IF(Over_all[[#This Row],[BOQ]]-Over_all[[#This Row],[Received]]&gt;=0,Over_all[[#This Row],[BOQ]]-Over_all[[#This Row],[Received]],"")</f>
        <v/>
      </c>
      <c r="H314" s="211">
        <f>IF(Over_all[[#This Row],[BOQ]]-Over_all[[#This Row],[Received]]&lt;0,Over_all[[#This Row],[BOQ]]-Over_all[[#This Row],[Received]],"")</f>
        <v>-2</v>
      </c>
      <c r="I314" s="221"/>
      <c r="J314" s="224">
        <f>Over_all[[#This Row],[Received]]</f>
        <v>2</v>
      </c>
      <c r="K314" s="210">
        <f>SUMIF(ISSUE!$F:$F,Over_all[[#This Row],[Item Description]],ISSUE!$I:$I)</f>
        <v>0</v>
      </c>
      <c r="L314" s="210">
        <f>Over_all[[#This Row],[Received.]]-Over_all[[#This Row],[Issued]]</f>
        <v>2</v>
      </c>
      <c r="M314" s="212"/>
      <c r="N314" s="222"/>
    </row>
    <row r="315" spans="1:14" ht="16" customHeight="1" x14ac:dyDescent="0.35">
      <c r="A315" s="206">
        <f>BOQ[[#This Row],[S.No]]</f>
        <v>9</v>
      </c>
      <c r="B315" s="198" t="str">
        <f>BOQ[[#This Row],[Item Description]]</f>
        <v>Switch Yard Materials &amp; Structure &amp; Structure Fasteners</v>
      </c>
      <c r="C315" s="199">
        <f>BOQ[[#This Row],[Make / Vendor]]</f>
        <v>0</v>
      </c>
      <c r="D315" s="199" t="str">
        <f>BOQ[[#This Row],[Unit]]</f>
        <v>lot</v>
      </c>
      <c r="E315" s="235"/>
      <c r="F315" s="210">
        <f>SUMIF('Goods Receipt'!J:J,Over_all[[#This Row],[Item Description]],'Goods Receipt'!M:M)</f>
        <v>1</v>
      </c>
      <c r="G315" s="210" t="str">
        <f>IF(Over_all[[#This Row],[BOQ]]-Over_all[[#This Row],[Received]]&gt;=0,Over_all[[#This Row],[BOQ]]-Over_all[[#This Row],[Received]],"")</f>
        <v/>
      </c>
      <c r="H315" s="211">
        <f>IF(Over_all[[#This Row],[BOQ]]-Over_all[[#This Row],[Received]]&lt;0,Over_all[[#This Row],[BOQ]]-Over_all[[#This Row],[Received]],"")</f>
        <v>-1</v>
      </c>
      <c r="I315" s="221"/>
      <c r="J315" s="224">
        <f>Over_all[[#This Row],[Received]]</f>
        <v>1</v>
      </c>
      <c r="K315" s="210">
        <f>SUMIF(ISSUE!$F:$F,Over_all[[#This Row],[Item Description]],ISSUE!$I:$I)</f>
        <v>0</v>
      </c>
      <c r="L315" s="210">
        <f>Over_all[[#This Row],[Received.]]-Over_all[[#This Row],[Issued]]</f>
        <v>1</v>
      </c>
      <c r="M315" s="212"/>
      <c r="N315" s="222"/>
    </row>
    <row r="316" spans="1:14" ht="16" customHeight="1" x14ac:dyDescent="0.35">
      <c r="A316" s="197">
        <f>BOQ[[#This Row],[S.No]]</f>
        <v>0</v>
      </c>
      <c r="B316" s="198">
        <f>BOQ[[#This Row],[Item Description]]</f>
        <v>0</v>
      </c>
      <c r="C316" s="199">
        <f>BOQ[[#This Row],[Make / Vendor]]</f>
        <v>0</v>
      </c>
      <c r="D316" s="199">
        <f>BOQ[[#This Row],[Unit]]</f>
        <v>0</v>
      </c>
      <c r="E316" s="199">
        <f>BOQ[[#This Row],[BOQ]]</f>
        <v>0</v>
      </c>
      <c r="F316" s="200">
        <f>SUMIF('Goods Receipt'!$J:$J,Over_all[[#This Row],[Item Description]],'Goods Receipt'!$M:$M)</f>
        <v>0</v>
      </c>
      <c r="G316" s="210">
        <f>IF(Over_all[[#This Row],[BOQ]]-Over_all[[#This Row],[Received]]&gt;=0,Over_all[[#This Row],[BOQ]]-Over_all[[#This Row],[Received]],"")</f>
        <v>0</v>
      </c>
      <c r="H316" s="211" t="str">
        <f>IF(Over_all[[#This Row],[BOQ]]-Over_all[[#This Row],[Received]]&lt;0,Over_all[[#This Row],[BOQ]]-Over_all[[#This Row],[Received]],"")</f>
        <v/>
      </c>
      <c r="I316" s="221"/>
      <c r="J316" s="224">
        <f>Over_all[[#This Row],[Received]]</f>
        <v>0</v>
      </c>
      <c r="K316" s="210">
        <f>SUMIF(ISSUE!$F:$F,Over_all[[#This Row],[Item Description]],ISSUE!$I:$I)</f>
        <v>0</v>
      </c>
      <c r="L316" s="210">
        <f>Over_all[[#This Row],[Received.]]-Over_all[[#This Row],[Issued]]</f>
        <v>0</v>
      </c>
      <c r="M316" s="212"/>
      <c r="N316" s="222"/>
    </row>
    <row r="317" spans="1:14" ht="16" customHeight="1" x14ac:dyDescent="0.35"/>
  </sheetData>
  <sheetProtection algorithmName="SHA-512" hashValue="ldDicQjHS7wSBaV/QD0t8zZk5aKwAJHK0tOG3MAsH1ShzWpHmdjk9PkDxU5hxRZxeluh/e2HsR2Qc8wKzD3kvg==" saltValue="7stkmS3WTTeSmrXMXYAv7w==" spinCount="100000" sheet="1" selectLockedCells="1" selectUnlockedCells="1"/>
  <mergeCells count="3">
    <mergeCell ref="A1:N1"/>
    <mergeCell ref="E2:H2"/>
    <mergeCell ref="J2:L2"/>
  </mergeCells>
  <phoneticPr fontId="16" type="noConversion"/>
  <dataValidations count="1">
    <dataValidation showInputMessage="1" showErrorMessage="1" sqref="H3:J3 I4:J316 M3:M1048576" xr:uid="{00000000-0002-0000-0000-000000000000}"/>
  </dataValidations>
  <pageMargins left="0.70866141732283472" right="0.70866141732283472" top="0.74803149606299213" bottom="0.74803149606299213" header="0.31496062992125984" footer="0.31496062992125984"/>
  <pageSetup paperSize="8" scale="125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50"/>
  </sheetPr>
  <dimension ref="B1:AR74"/>
  <sheetViews>
    <sheetView topLeftCell="AA1" zoomScale="85" zoomScaleNormal="85" workbookViewId="0">
      <pane ySplit="2" topLeftCell="A3" activePane="bottomLeft" state="frozen"/>
      <selection pane="bottomLeft" activeCell="D7" sqref="D7"/>
    </sheetView>
  </sheetViews>
  <sheetFormatPr defaultColWidth="9.1796875" defaultRowHeight="14" x14ac:dyDescent="0.35"/>
  <cols>
    <col min="1" max="1" width="9.1796875" style="14"/>
    <col min="2" max="2" width="19.453125" style="14" bestFit="1" customWidth="1"/>
    <col min="3" max="3" width="9.1796875" style="14"/>
    <col min="4" max="4" width="5.7265625" style="14" bestFit="1" customWidth="1"/>
    <col min="5" max="5" width="9.1796875" style="14"/>
    <col min="6" max="44" width="28.54296875" style="63" customWidth="1"/>
    <col min="45" max="16384" width="9.1796875" style="14"/>
  </cols>
  <sheetData>
    <row r="1" spans="2:44" ht="14.5" thickBot="1" x14ac:dyDescent="0.4"/>
    <row r="2" spans="2:44" ht="28.5" thickBot="1" x14ac:dyDescent="0.4">
      <c r="B2" s="57" t="s">
        <v>138</v>
      </c>
      <c r="D2" s="57" t="s">
        <v>4</v>
      </c>
      <c r="F2" s="64" t="s">
        <v>84</v>
      </c>
      <c r="G2" s="58" t="s">
        <v>120</v>
      </c>
      <c r="H2" s="58" t="s">
        <v>102</v>
      </c>
      <c r="I2" s="58" t="s">
        <v>121</v>
      </c>
      <c r="J2" s="58" t="s">
        <v>82</v>
      </c>
      <c r="K2" s="58" t="s">
        <v>78</v>
      </c>
      <c r="L2" s="58" t="s">
        <v>80</v>
      </c>
      <c r="M2" s="58" t="s">
        <v>79</v>
      </c>
      <c r="N2" s="58" t="s">
        <v>95</v>
      </c>
      <c r="O2" s="58" t="s">
        <v>96</v>
      </c>
      <c r="P2" s="65" t="s">
        <v>107</v>
      </c>
      <c r="Q2" s="65" t="s">
        <v>139</v>
      </c>
      <c r="R2" s="58" t="s">
        <v>128</v>
      </c>
      <c r="S2" s="58" t="s">
        <v>94</v>
      </c>
      <c r="T2" s="58" t="s">
        <v>92</v>
      </c>
      <c r="U2" s="58" t="s">
        <v>91</v>
      </c>
      <c r="V2" s="65" t="s">
        <v>90</v>
      </c>
      <c r="W2" s="65" t="s">
        <v>93</v>
      </c>
      <c r="X2" s="65" t="s">
        <v>86</v>
      </c>
      <c r="Y2" s="65" t="s">
        <v>87</v>
      </c>
      <c r="Z2" s="65" t="s">
        <v>106</v>
      </c>
      <c r="AA2" s="58" t="s">
        <v>99</v>
      </c>
      <c r="AB2" s="65" t="s">
        <v>105</v>
      </c>
      <c r="AC2" s="65" t="s">
        <v>88</v>
      </c>
      <c r="AD2" s="65" t="s">
        <v>89</v>
      </c>
      <c r="AE2" s="65" t="s">
        <v>77</v>
      </c>
      <c r="AF2" s="65" t="s">
        <v>581</v>
      </c>
      <c r="AG2" s="58" t="s">
        <v>118</v>
      </c>
      <c r="AH2" s="58" t="s">
        <v>76</v>
      </c>
      <c r="AI2" s="58" t="s">
        <v>98</v>
      </c>
      <c r="AJ2" s="58" t="s">
        <v>73</v>
      </c>
      <c r="AK2" s="58" t="s">
        <v>75</v>
      </c>
      <c r="AL2" s="58" t="s">
        <v>103</v>
      </c>
      <c r="AM2" s="58" t="s">
        <v>81</v>
      </c>
      <c r="AN2" s="58" t="s">
        <v>101</v>
      </c>
      <c r="AO2" s="58" t="s">
        <v>122</v>
      </c>
      <c r="AP2" s="58" t="s">
        <v>85</v>
      </c>
      <c r="AQ2" s="58" t="s">
        <v>548</v>
      </c>
      <c r="AR2" s="65" t="s">
        <v>104</v>
      </c>
    </row>
    <row r="3" spans="2:44" ht="28" x14ac:dyDescent="0.35">
      <c r="B3" s="59" t="s">
        <v>72</v>
      </c>
      <c r="D3" s="59" t="s">
        <v>11</v>
      </c>
      <c r="F3" s="66" t="s">
        <v>193</v>
      </c>
      <c r="G3" s="67"/>
      <c r="H3" s="67" t="s">
        <v>323</v>
      </c>
      <c r="I3" s="67"/>
      <c r="J3" s="5" t="s">
        <v>188</v>
      </c>
      <c r="K3" s="67" t="s">
        <v>197</v>
      </c>
      <c r="L3" s="67" t="s">
        <v>198</v>
      </c>
      <c r="M3" s="67" t="s">
        <v>432</v>
      </c>
      <c r="N3" s="67" t="s">
        <v>433</v>
      </c>
      <c r="O3" s="67" t="s">
        <v>429</v>
      </c>
      <c r="P3" s="67"/>
      <c r="Q3" s="67"/>
      <c r="R3" s="67" t="s">
        <v>489</v>
      </c>
      <c r="S3" s="67"/>
      <c r="T3" s="67" t="s">
        <v>362</v>
      </c>
      <c r="U3" s="67" t="s">
        <v>352</v>
      </c>
      <c r="V3" s="67" t="s">
        <v>448</v>
      </c>
      <c r="W3" s="67" t="s">
        <v>375</v>
      </c>
      <c r="X3" s="67" t="s">
        <v>536</v>
      </c>
      <c r="Y3" s="67" t="s">
        <v>194</v>
      </c>
      <c r="Z3" s="67" t="s">
        <v>153</v>
      </c>
      <c r="AA3" s="68" t="s">
        <v>407</v>
      </c>
      <c r="AB3" s="67" t="s">
        <v>398</v>
      </c>
      <c r="AC3" s="67" t="s">
        <v>297</v>
      </c>
      <c r="AD3" s="67" t="s">
        <v>291</v>
      </c>
      <c r="AE3" s="5" t="s">
        <v>283</v>
      </c>
      <c r="AF3" s="67" t="s">
        <v>582</v>
      </c>
      <c r="AG3" s="67" t="s">
        <v>166</v>
      </c>
      <c r="AH3" s="67" t="s">
        <v>177</v>
      </c>
      <c r="AI3" s="67" t="s">
        <v>338</v>
      </c>
      <c r="AJ3" s="67" t="s">
        <v>334</v>
      </c>
      <c r="AK3" s="67" t="s">
        <v>145</v>
      </c>
      <c r="AL3" s="67" t="s">
        <v>305</v>
      </c>
      <c r="AM3" s="67" t="s">
        <v>161</v>
      </c>
      <c r="AN3" s="67"/>
      <c r="AO3" s="67" t="s">
        <v>276</v>
      </c>
      <c r="AP3" s="67" t="s">
        <v>577</v>
      </c>
      <c r="AQ3" s="67" t="s">
        <v>541</v>
      </c>
      <c r="AR3" s="67" t="s">
        <v>386</v>
      </c>
    </row>
    <row r="4" spans="2:44" ht="28" x14ac:dyDescent="0.35">
      <c r="B4" s="60" t="s">
        <v>97</v>
      </c>
      <c r="D4" s="60" t="s">
        <v>18</v>
      </c>
      <c r="F4" s="66" t="s">
        <v>486</v>
      </c>
      <c r="G4" s="67"/>
      <c r="H4" s="67" t="s">
        <v>324</v>
      </c>
      <c r="I4" s="67"/>
      <c r="J4" s="67" t="s">
        <v>191</v>
      </c>
      <c r="K4" s="67"/>
      <c r="L4" s="67"/>
      <c r="M4" s="67"/>
      <c r="N4" s="67" t="s">
        <v>434</v>
      </c>
      <c r="O4" s="67" t="s">
        <v>430</v>
      </c>
      <c r="P4" s="67"/>
      <c r="Q4" s="67"/>
      <c r="R4" s="67" t="s">
        <v>490</v>
      </c>
      <c r="S4" s="67"/>
      <c r="T4" s="67" t="s">
        <v>361</v>
      </c>
      <c r="U4" s="67"/>
      <c r="V4" s="67" t="s">
        <v>351</v>
      </c>
      <c r="W4" s="67" t="s">
        <v>374</v>
      </c>
      <c r="X4" s="67" t="s">
        <v>535</v>
      </c>
      <c r="Y4" s="67" t="s">
        <v>195</v>
      </c>
      <c r="Z4" s="67"/>
      <c r="AA4" s="67" t="s">
        <v>408</v>
      </c>
      <c r="AB4" s="67" t="s">
        <v>399</v>
      </c>
      <c r="AC4" s="67"/>
      <c r="AD4" s="67" t="s">
        <v>292</v>
      </c>
      <c r="AE4" s="67" t="s">
        <v>284</v>
      </c>
      <c r="AF4" s="67" t="s">
        <v>583</v>
      </c>
      <c r="AG4" s="67" t="s">
        <v>167</v>
      </c>
      <c r="AH4" s="67" t="s">
        <v>178</v>
      </c>
      <c r="AI4" s="67" t="s">
        <v>339</v>
      </c>
      <c r="AJ4" s="67" t="s">
        <v>144</v>
      </c>
      <c r="AK4" s="67" t="s">
        <v>146</v>
      </c>
      <c r="AL4" s="67" t="s">
        <v>306</v>
      </c>
      <c r="AM4" s="67" t="s">
        <v>162</v>
      </c>
      <c r="AN4" s="67"/>
      <c r="AO4" s="67" t="s">
        <v>277</v>
      </c>
      <c r="AP4" s="67" t="s">
        <v>189</v>
      </c>
      <c r="AQ4" s="67" t="s">
        <v>542</v>
      </c>
      <c r="AR4" s="67" t="s">
        <v>387</v>
      </c>
    </row>
    <row r="5" spans="2:44" ht="42" x14ac:dyDescent="0.35">
      <c r="B5" s="60" t="s">
        <v>123</v>
      </c>
      <c r="D5" s="60" t="s">
        <v>74</v>
      </c>
      <c r="F5" s="66"/>
      <c r="G5" s="67"/>
      <c r="H5" s="67" t="s">
        <v>325</v>
      </c>
      <c r="I5" s="67"/>
      <c r="J5" s="67" t="s">
        <v>192</v>
      </c>
      <c r="K5" s="67"/>
      <c r="L5" s="67"/>
      <c r="M5" s="67"/>
      <c r="N5" s="67" t="s">
        <v>435</v>
      </c>
      <c r="O5" s="67" t="s">
        <v>431</v>
      </c>
      <c r="P5" s="67"/>
      <c r="Q5" s="67"/>
      <c r="R5" s="67" t="s">
        <v>491</v>
      </c>
      <c r="S5" s="67"/>
      <c r="T5" s="67" t="s">
        <v>367</v>
      </c>
      <c r="U5" s="67"/>
      <c r="V5" s="67" t="s">
        <v>353</v>
      </c>
      <c r="W5" s="67" t="s">
        <v>373</v>
      </c>
      <c r="X5" s="67" t="s">
        <v>537</v>
      </c>
      <c r="Y5" s="67" t="s">
        <v>196</v>
      </c>
      <c r="Z5" s="67"/>
      <c r="AA5" s="67" t="s">
        <v>415</v>
      </c>
      <c r="AB5" s="67"/>
      <c r="AC5" s="67"/>
      <c r="AD5" s="67"/>
      <c r="AE5" s="67" t="s">
        <v>286</v>
      </c>
      <c r="AF5" s="67" t="s">
        <v>285</v>
      </c>
      <c r="AG5" s="67" t="s">
        <v>168</v>
      </c>
      <c r="AH5" s="67" t="s">
        <v>179</v>
      </c>
      <c r="AI5" s="67" t="s">
        <v>340</v>
      </c>
      <c r="AJ5" s="67" t="s">
        <v>154</v>
      </c>
      <c r="AK5" s="67" t="s">
        <v>147</v>
      </c>
      <c r="AL5" s="67" t="s">
        <v>307</v>
      </c>
      <c r="AM5" s="67" t="s">
        <v>163</v>
      </c>
      <c r="AN5" s="67"/>
      <c r="AO5" s="67" t="s">
        <v>278</v>
      </c>
      <c r="AP5" s="67" t="s">
        <v>190</v>
      </c>
      <c r="AQ5" s="67" t="s">
        <v>543</v>
      </c>
      <c r="AR5" s="67" t="s">
        <v>388</v>
      </c>
    </row>
    <row r="6" spans="2:44" ht="28" x14ac:dyDescent="0.35">
      <c r="B6" s="60" t="s">
        <v>124</v>
      </c>
      <c r="D6" s="60" t="s">
        <v>13</v>
      </c>
      <c r="F6" s="66"/>
      <c r="G6" s="67"/>
      <c r="H6" s="67" t="s">
        <v>326</v>
      </c>
      <c r="I6" s="67"/>
      <c r="J6" s="67"/>
      <c r="K6" s="67"/>
      <c r="L6" s="67"/>
      <c r="M6" s="67"/>
      <c r="N6" s="67" t="s">
        <v>436</v>
      </c>
      <c r="O6" s="69"/>
      <c r="P6" s="67"/>
      <c r="Q6" s="67"/>
      <c r="R6" s="67" t="s">
        <v>492</v>
      </c>
      <c r="S6" s="67"/>
      <c r="T6" s="67" t="s">
        <v>366</v>
      </c>
      <c r="U6" s="67"/>
      <c r="V6" s="67" t="s">
        <v>354</v>
      </c>
      <c r="W6" s="67" t="s">
        <v>372</v>
      </c>
      <c r="X6" s="67"/>
      <c r="Y6" s="67"/>
      <c r="Z6" s="67"/>
      <c r="AA6" s="67" t="s">
        <v>416</v>
      </c>
      <c r="AB6" s="67"/>
      <c r="AC6" s="67"/>
      <c r="AD6" s="67"/>
      <c r="AE6" s="67"/>
      <c r="AF6" s="67"/>
      <c r="AG6" s="67" t="s">
        <v>169</v>
      </c>
      <c r="AH6" s="67" t="s">
        <v>180</v>
      </c>
      <c r="AI6" s="67" t="s">
        <v>341</v>
      </c>
      <c r="AJ6" s="67" t="s">
        <v>155</v>
      </c>
      <c r="AK6" s="67" t="s">
        <v>446</v>
      </c>
      <c r="AL6" s="67" t="s">
        <v>308</v>
      </c>
      <c r="AM6" s="67" t="s">
        <v>164</v>
      </c>
      <c r="AN6" s="67"/>
      <c r="AO6" s="67" t="s">
        <v>279</v>
      </c>
      <c r="AP6" s="67" t="s">
        <v>377</v>
      </c>
      <c r="AQ6" s="67" t="s">
        <v>544</v>
      </c>
      <c r="AR6" s="67" t="s">
        <v>389</v>
      </c>
    </row>
    <row r="7" spans="2:44" ht="28" x14ac:dyDescent="0.35">
      <c r="B7" s="60" t="s">
        <v>125</v>
      </c>
      <c r="D7" s="60" t="s">
        <v>126</v>
      </c>
      <c r="F7" s="66"/>
      <c r="G7" s="67"/>
      <c r="H7" s="67"/>
      <c r="I7" s="67"/>
      <c r="J7" s="67"/>
      <c r="K7" s="67"/>
      <c r="L7" s="67"/>
      <c r="M7" s="67"/>
      <c r="N7" s="67" t="s">
        <v>437</v>
      </c>
      <c r="O7" s="69"/>
      <c r="P7" s="67"/>
      <c r="Q7" s="67"/>
      <c r="R7" s="67" t="s">
        <v>493</v>
      </c>
      <c r="S7" s="67"/>
      <c r="T7" s="143" t="s">
        <v>365</v>
      </c>
      <c r="U7" s="67"/>
      <c r="V7" s="67" t="s">
        <v>355</v>
      </c>
      <c r="W7" s="67" t="s">
        <v>371</v>
      </c>
      <c r="X7" s="67"/>
      <c r="Y7" s="67"/>
      <c r="Z7" s="67"/>
      <c r="AA7" s="67" t="s">
        <v>419</v>
      </c>
      <c r="AB7" s="67"/>
      <c r="AC7" s="67"/>
      <c r="AD7" s="67"/>
      <c r="AE7" s="67"/>
      <c r="AF7" s="67"/>
      <c r="AG7" s="67" t="s">
        <v>170</v>
      </c>
      <c r="AH7" s="67" t="s">
        <v>181</v>
      </c>
      <c r="AI7" s="67" t="s">
        <v>342</v>
      </c>
      <c r="AJ7" s="67" t="s">
        <v>156</v>
      </c>
      <c r="AK7" s="67" t="s">
        <v>148</v>
      </c>
      <c r="AL7" s="67" t="s">
        <v>309</v>
      </c>
      <c r="AM7" s="67" t="s">
        <v>165</v>
      </c>
      <c r="AN7" s="67"/>
      <c r="AO7" s="67" t="s">
        <v>451</v>
      </c>
      <c r="AP7" s="67" t="s">
        <v>517</v>
      </c>
      <c r="AQ7" s="67" t="s">
        <v>545</v>
      </c>
      <c r="AR7" s="67" t="s">
        <v>390</v>
      </c>
    </row>
    <row r="8" spans="2:44" ht="28" x14ac:dyDescent="0.35">
      <c r="B8" s="60" t="s">
        <v>83</v>
      </c>
      <c r="D8" s="60" t="s">
        <v>100</v>
      </c>
      <c r="F8" s="66"/>
      <c r="G8" s="67"/>
      <c r="H8" s="67"/>
      <c r="I8" s="67"/>
      <c r="J8" s="67"/>
      <c r="K8" s="67"/>
      <c r="L8" s="67"/>
      <c r="M8" s="67"/>
      <c r="N8" s="67" t="s">
        <v>438</v>
      </c>
      <c r="O8" s="69"/>
      <c r="P8" s="67"/>
      <c r="Q8" s="67"/>
      <c r="R8" s="67" t="s">
        <v>494</v>
      </c>
      <c r="S8" s="67"/>
      <c r="T8" s="67" t="s">
        <v>363</v>
      </c>
      <c r="U8" s="67"/>
      <c r="V8" s="67" t="s">
        <v>356</v>
      </c>
      <c r="W8" s="67" t="s">
        <v>369</v>
      </c>
      <c r="X8" s="67"/>
      <c r="Y8" s="67"/>
      <c r="Z8" s="67"/>
      <c r="AA8" s="171" t="s">
        <v>411</v>
      </c>
      <c r="AB8" s="67"/>
      <c r="AC8" s="67"/>
      <c r="AD8" s="67"/>
      <c r="AE8" s="67"/>
      <c r="AF8" s="67"/>
      <c r="AG8" s="67" t="s">
        <v>171</v>
      </c>
      <c r="AH8" s="67" t="s">
        <v>182</v>
      </c>
      <c r="AI8" s="67" t="s">
        <v>343</v>
      </c>
      <c r="AJ8" s="67" t="s">
        <v>157</v>
      </c>
      <c r="AK8" s="67" t="s">
        <v>149</v>
      </c>
      <c r="AL8" s="67" t="s">
        <v>310</v>
      </c>
      <c r="AM8" s="67" t="s">
        <v>421</v>
      </c>
      <c r="AN8" s="67"/>
      <c r="AO8" s="67" t="s">
        <v>452</v>
      </c>
      <c r="AP8" s="67" t="s">
        <v>518</v>
      </c>
      <c r="AQ8" s="67" t="s">
        <v>546</v>
      </c>
      <c r="AR8" s="67" t="s">
        <v>391</v>
      </c>
    </row>
    <row r="9" spans="2:44" ht="28" x14ac:dyDescent="0.35">
      <c r="B9" s="60" t="s">
        <v>85</v>
      </c>
      <c r="D9" s="60" t="s">
        <v>444</v>
      </c>
      <c r="F9" s="66"/>
      <c r="G9" s="67"/>
      <c r="H9" s="67"/>
      <c r="I9" s="67"/>
      <c r="J9" s="67"/>
      <c r="K9" s="67"/>
      <c r="L9" s="67"/>
      <c r="M9" s="67"/>
      <c r="N9" s="67" t="s">
        <v>439</v>
      </c>
      <c r="O9" s="67"/>
      <c r="P9" s="67"/>
      <c r="Q9" s="67"/>
      <c r="R9" s="67" t="s">
        <v>495</v>
      </c>
      <c r="S9" s="67"/>
      <c r="T9" s="143" t="s">
        <v>364</v>
      </c>
      <c r="U9" s="67"/>
      <c r="V9" s="67" t="s">
        <v>383</v>
      </c>
      <c r="W9" s="67" t="s">
        <v>370</v>
      </c>
      <c r="X9" s="67"/>
      <c r="Y9" s="67"/>
      <c r="Z9" s="67"/>
      <c r="AA9" s="171" t="s">
        <v>417</v>
      </c>
      <c r="AB9" s="67"/>
      <c r="AC9" s="67"/>
      <c r="AD9" s="67"/>
      <c r="AE9" s="67"/>
      <c r="AF9" s="67"/>
      <c r="AG9" s="67" t="s">
        <v>172</v>
      </c>
      <c r="AH9" s="67" t="s">
        <v>183</v>
      </c>
      <c r="AI9" s="67" t="s">
        <v>344</v>
      </c>
      <c r="AJ9" s="67" t="s">
        <v>158</v>
      </c>
      <c r="AK9" s="67" t="s">
        <v>150</v>
      </c>
      <c r="AL9" s="67" t="s">
        <v>311</v>
      </c>
      <c r="AM9" s="67"/>
      <c r="AN9" s="67"/>
      <c r="AO9" s="67" t="s">
        <v>453</v>
      </c>
      <c r="AP9" s="67" t="s">
        <v>519</v>
      </c>
      <c r="AQ9" s="67" t="s">
        <v>545</v>
      </c>
      <c r="AR9" s="67" t="s">
        <v>392</v>
      </c>
    </row>
    <row r="10" spans="2:44" ht="28.5" thickBot="1" x14ac:dyDescent="0.4">
      <c r="B10" s="61"/>
      <c r="D10" s="61" t="s">
        <v>484</v>
      </c>
      <c r="F10" s="66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 t="s">
        <v>496</v>
      </c>
      <c r="S10" s="67"/>
      <c r="T10" s="143" t="s">
        <v>368</v>
      </c>
      <c r="U10" s="67"/>
      <c r="V10" s="67" t="s">
        <v>358</v>
      </c>
      <c r="W10" s="67" t="s">
        <v>376</v>
      </c>
      <c r="X10" s="67"/>
      <c r="Y10" s="67"/>
      <c r="Z10" s="67"/>
      <c r="AA10" s="171" t="s">
        <v>418</v>
      </c>
      <c r="AB10" s="67"/>
      <c r="AC10" s="67"/>
      <c r="AD10" s="67"/>
      <c r="AE10" s="67"/>
      <c r="AF10" s="67"/>
      <c r="AG10" s="67" t="s">
        <v>173</v>
      </c>
      <c r="AH10" s="67" t="s">
        <v>184</v>
      </c>
      <c r="AI10" s="67" t="s">
        <v>345</v>
      </c>
      <c r="AJ10" s="171" t="s">
        <v>159</v>
      </c>
      <c r="AK10" s="67" t="s">
        <v>151</v>
      </c>
      <c r="AL10" s="143" t="s">
        <v>312</v>
      </c>
      <c r="AM10" s="67"/>
      <c r="AN10" s="67"/>
      <c r="AO10" s="67" t="s">
        <v>454</v>
      </c>
      <c r="AP10" s="67" t="s">
        <v>520</v>
      </c>
      <c r="AQ10" s="72" t="s">
        <v>547</v>
      </c>
      <c r="AR10" s="67" t="s">
        <v>393</v>
      </c>
    </row>
    <row r="11" spans="2:44" ht="28" x14ac:dyDescent="0.35">
      <c r="F11" s="66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 t="s">
        <v>497</v>
      </c>
      <c r="S11" s="67"/>
      <c r="T11" s="67"/>
      <c r="U11" s="67"/>
      <c r="V11" s="67" t="s">
        <v>359</v>
      </c>
      <c r="W11" s="67" t="s">
        <v>406</v>
      </c>
      <c r="X11" s="67"/>
      <c r="Y11" s="67"/>
      <c r="Z11" s="67"/>
      <c r="AA11" s="171" t="s">
        <v>420</v>
      </c>
      <c r="AB11" s="67"/>
      <c r="AC11" s="67"/>
      <c r="AD11" s="67"/>
      <c r="AE11" s="67"/>
      <c r="AF11" s="67"/>
      <c r="AG11" s="67" t="s">
        <v>174</v>
      </c>
      <c r="AH11" s="67" t="s">
        <v>185</v>
      </c>
      <c r="AI11" s="67" t="s">
        <v>346</v>
      </c>
      <c r="AJ11" s="171" t="s">
        <v>160</v>
      </c>
      <c r="AK11" s="67" t="s">
        <v>152</v>
      </c>
      <c r="AL11" s="143" t="s">
        <v>313</v>
      </c>
      <c r="AM11" s="67"/>
      <c r="AN11" s="67"/>
      <c r="AO11" s="67" t="s">
        <v>456</v>
      </c>
      <c r="AP11" s="67" t="s">
        <v>521</v>
      </c>
      <c r="AQ11" s="67" t="s">
        <v>549</v>
      </c>
      <c r="AR11" s="67"/>
    </row>
    <row r="12" spans="2:44" ht="28" x14ac:dyDescent="0.35">
      <c r="F12" s="6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 t="s">
        <v>498</v>
      </c>
      <c r="S12" s="67"/>
      <c r="T12" s="67"/>
      <c r="U12" s="67"/>
      <c r="V12" s="67" t="s">
        <v>360</v>
      </c>
      <c r="W12" s="67"/>
      <c r="X12" s="67"/>
      <c r="Y12" s="67"/>
      <c r="Z12" s="67"/>
      <c r="AA12" s="171" t="s">
        <v>414</v>
      </c>
      <c r="AB12" s="67"/>
      <c r="AC12" s="67"/>
      <c r="AD12" s="67"/>
      <c r="AE12" s="67"/>
      <c r="AF12" s="67"/>
      <c r="AG12" s="67" t="s">
        <v>175</v>
      </c>
      <c r="AH12" s="67" t="s">
        <v>186</v>
      </c>
      <c r="AI12" s="67"/>
      <c r="AJ12" s="171"/>
      <c r="AK12" s="67" t="s">
        <v>515</v>
      </c>
      <c r="AL12" s="143" t="s">
        <v>314</v>
      </c>
      <c r="AM12" s="67"/>
      <c r="AN12" s="67"/>
      <c r="AO12" s="67" t="s">
        <v>455</v>
      </c>
      <c r="AP12" s="67" t="s">
        <v>522</v>
      </c>
      <c r="AQ12" s="67"/>
      <c r="AR12" s="67"/>
    </row>
    <row r="13" spans="2:44" ht="42.5" thickBot="1" x14ac:dyDescent="0.4">
      <c r="F13" s="66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 t="s">
        <v>499</v>
      </c>
      <c r="S13" s="67"/>
      <c r="T13" s="67"/>
      <c r="U13" s="67"/>
      <c r="V13" s="67" t="s">
        <v>378</v>
      </c>
      <c r="W13" s="67"/>
      <c r="X13" s="67"/>
      <c r="Y13" s="67"/>
      <c r="Z13" s="67"/>
      <c r="AA13" s="171" t="s">
        <v>410</v>
      </c>
      <c r="AB13" s="67"/>
      <c r="AC13" s="67"/>
      <c r="AD13" s="67"/>
      <c r="AE13" s="67"/>
      <c r="AF13" s="67"/>
      <c r="AG13" s="67" t="s">
        <v>176</v>
      </c>
      <c r="AH13" s="67" t="s">
        <v>187</v>
      </c>
      <c r="AI13" s="67"/>
      <c r="AJ13" s="171"/>
      <c r="AK13" s="67"/>
      <c r="AL13" s="143" t="s">
        <v>315</v>
      </c>
      <c r="AM13" s="67"/>
      <c r="AN13" s="67"/>
      <c r="AO13" s="67" t="s">
        <v>457</v>
      </c>
      <c r="AP13" s="67"/>
      <c r="AQ13" s="67"/>
      <c r="AR13" s="67"/>
    </row>
    <row r="14" spans="2:44" ht="28" x14ac:dyDescent="0.35">
      <c r="B14" s="62" t="s">
        <v>112</v>
      </c>
      <c r="D14" s="62" t="s">
        <v>70</v>
      </c>
      <c r="F14" s="66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 t="s">
        <v>500</v>
      </c>
      <c r="S14" s="67"/>
      <c r="T14" s="67"/>
      <c r="U14" s="67"/>
      <c r="V14" s="143" t="s">
        <v>380</v>
      </c>
      <c r="W14" s="67"/>
      <c r="X14" s="67"/>
      <c r="Y14" s="67"/>
      <c r="Z14" s="67"/>
      <c r="AA14" s="171" t="s">
        <v>413</v>
      </c>
      <c r="AB14" s="67"/>
      <c r="AC14" s="67"/>
      <c r="AD14" s="67"/>
      <c r="AE14" s="67"/>
      <c r="AF14" s="67"/>
      <c r="AG14" s="67"/>
      <c r="AH14" s="67" t="s">
        <v>274</v>
      </c>
      <c r="AI14" s="67"/>
      <c r="AJ14" s="67"/>
      <c r="AK14" s="67"/>
      <c r="AL14" s="143" t="s">
        <v>316</v>
      </c>
      <c r="AM14" s="67"/>
      <c r="AN14" s="67"/>
      <c r="AO14" s="67" t="s">
        <v>458</v>
      </c>
      <c r="AP14" s="67"/>
      <c r="AQ14" s="67"/>
      <c r="AR14" s="67"/>
    </row>
    <row r="15" spans="2:44" ht="28" x14ac:dyDescent="0.35">
      <c r="B15" s="60" t="s">
        <v>302</v>
      </c>
      <c r="D15" s="60" t="s">
        <v>71</v>
      </c>
      <c r="F15" s="66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 t="s">
        <v>501</v>
      </c>
      <c r="S15" s="67"/>
      <c r="T15" s="67"/>
      <c r="U15" s="67"/>
      <c r="V15" s="67" t="s">
        <v>379</v>
      </c>
      <c r="W15" s="67"/>
      <c r="X15" s="67"/>
      <c r="Y15" s="67"/>
      <c r="Z15" s="67"/>
      <c r="AA15" s="171" t="s">
        <v>412</v>
      </c>
      <c r="AB15" s="67"/>
      <c r="AC15" s="67"/>
      <c r="AD15" s="67"/>
      <c r="AE15" s="67"/>
      <c r="AF15" s="67"/>
      <c r="AG15" s="67"/>
      <c r="AH15" s="67"/>
      <c r="AI15" s="67"/>
      <c r="AJ15" s="70"/>
      <c r="AK15" s="67"/>
      <c r="AL15" s="143" t="s">
        <v>317</v>
      </c>
      <c r="AM15" s="67"/>
      <c r="AN15" s="67"/>
      <c r="AO15" s="67" t="s">
        <v>459</v>
      </c>
      <c r="AP15" s="67"/>
      <c r="AQ15" s="67"/>
      <c r="AR15" s="67"/>
    </row>
    <row r="16" spans="2:44" ht="28.5" thickBot="1" x14ac:dyDescent="0.4">
      <c r="B16" s="60" t="s">
        <v>304</v>
      </c>
      <c r="D16" s="61" t="s">
        <v>127</v>
      </c>
      <c r="F16" s="66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 t="s">
        <v>502</v>
      </c>
      <c r="S16" s="67"/>
      <c r="T16" s="67"/>
      <c r="U16" s="67"/>
      <c r="V16" s="69"/>
      <c r="W16" s="67"/>
      <c r="X16" s="67"/>
      <c r="Y16" s="67"/>
      <c r="Z16" s="67"/>
      <c r="AA16" s="171" t="s">
        <v>409</v>
      </c>
      <c r="AB16" s="67"/>
      <c r="AC16" s="67"/>
      <c r="AD16" s="67"/>
      <c r="AE16" s="67"/>
      <c r="AF16" s="67"/>
      <c r="AG16" s="67"/>
      <c r="AH16" s="67"/>
      <c r="AI16" s="67"/>
      <c r="AJ16" s="70"/>
      <c r="AK16" s="67"/>
      <c r="AL16" s="143" t="s">
        <v>318</v>
      </c>
      <c r="AM16" s="67"/>
      <c r="AN16" s="67"/>
      <c r="AO16" s="67" t="s">
        <v>460</v>
      </c>
      <c r="AP16" s="67"/>
      <c r="AQ16" s="67"/>
      <c r="AR16" s="67"/>
    </row>
    <row r="17" spans="2:44" ht="14.5" x14ac:dyDescent="0.35">
      <c r="B17" s="60"/>
      <c r="F17" s="66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 t="s">
        <v>503</v>
      </c>
      <c r="S17" s="67"/>
      <c r="T17" s="67"/>
      <c r="U17" s="67"/>
      <c r="V17" s="69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70"/>
      <c r="AK17" s="67"/>
      <c r="AL17" s="143"/>
      <c r="AM17" s="67"/>
      <c r="AN17" s="67"/>
      <c r="AO17" s="67" t="s">
        <v>461</v>
      </c>
      <c r="AP17" s="67"/>
      <c r="AQ17" s="67"/>
      <c r="AR17" s="67"/>
    </row>
    <row r="18" spans="2:44" ht="14.5" x14ac:dyDescent="0.35">
      <c r="B18" s="60"/>
      <c r="F18" s="66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 t="s">
        <v>504</v>
      </c>
      <c r="S18" s="67"/>
      <c r="T18" s="67"/>
      <c r="U18" s="67"/>
      <c r="V18" s="69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70"/>
      <c r="AK18" s="67"/>
      <c r="AL18" s="143"/>
      <c r="AM18" s="67"/>
      <c r="AN18" s="67"/>
      <c r="AO18" s="67" t="s">
        <v>462</v>
      </c>
      <c r="AP18" s="67"/>
      <c r="AQ18" s="67"/>
      <c r="AR18" s="67"/>
    </row>
    <row r="19" spans="2:44" ht="28" x14ac:dyDescent="0.35">
      <c r="B19" s="60"/>
      <c r="F19" s="66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 t="s">
        <v>505</v>
      </c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70"/>
      <c r="AK19" s="67"/>
      <c r="AL19" s="143"/>
      <c r="AM19" s="67"/>
      <c r="AN19" s="67"/>
      <c r="AO19" s="67" t="s">
        <v>463</v>
      </c>
      <c r="AP19" s="67"/>
      <c r="AQ19" s="67"/>
      <c r="AR19" s="67"/>
    </row>
    <row r="20" spans="2:44" x14ac:dyDescent="0.35">
      <c r="B20" s="60"/>
      <c r="F20" s="66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 t="s">
        <v>506</v>
      </c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70"/>
      <c r="AK20" s="67"/>
      <c r="AL20" s="143"/>
      <c r="AM20" s="67"/>
      <c r="AN20" s="67"/>
      <c r="AO20" s="67" t="s">
        <v>464</v>
      </c>
      <c r="AP20" s="67"/>
      <c r="AQ20" s="67"/>
      <c r="AR20" s="67"/>
    </row>
    <row r="21" spans="2:44" x14ac:dyDescent="0.35">
      <c r="B21" s="60"/>
      <c r="F21" s="66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 t="s">
        <v>507</v>
      </c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143"/>
      <c r="AM21" s="67"/>
      <c r="AN21" s="67"/>
      <c r="AO21" s="67" t="s">
        <v>465</v>
      </c>
      <c r="AP21" s="67"/>
      <c r="AQ21" s="67"/>
      <c r="AR21" s="67"/>
    </row>
    <row r="22" spans="2:44" x14ac:dyDescent="0.35">
      <c r="B22" s="60"/>
      <c r="F22" s="66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 t="s">
        <v>508</v>
      </c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143"/>
      <c r="AM22" s="67"/>
      <c r="AN22" s="67"/>
      <c r="AO22" s="67" t="s">
        <v>466</v>
      </c>
      <c r="AP22" s="67"/>
      <c r="AQ22" s="67"/>
      <c r="AR22" s="67"/>
    </row>
    <row r="23" spans="2:44" x14ac:dyDescent="0.35">
      <c r="B23" s="60"/>
      <c r="F23" s="66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 t="s">
        <v>509</v>
      </c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143"/>
      <c r="AM23" s="67"/>
      <c r="AN23" s="67"/>
      <c r="AO23" s="67" t="s">
        <v>467</v>
      </c>
      <c r="AP23" s="67"/>
      <c r="AQ23" s="67"/>
      <c r="AR23" s="67"/>
    </row>
    <row r="24" spans="2:44" x14ac:dyDescent="0.35">
      <c r="B24" s="60"/>
      <c r="F24" s="66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 t="s">
        <v>468</v>
      </c>
      <c r="AP24" s="67"/>
      <c r="AQ24" s="67"/>
      <c r="AR24" s="67"/>
    </row>
    <row r="25" spans="2:44" ht="28" x14ac:dyDescent="0.35">
      <c r="B25" s="60"/>
      <c r="F25" s="66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 t="s">
        <v>469</v>
      </c>
      <c r="AP25" s="67"/>
      <c r="AQ25" s="67"/>
      <c r="AR25" s="67"/>
    </row>
    <row r="26" spans="2:44" x14ac:dyDescent="0.35">
      <c r="B26" s="60"/>
      <c r="F26" s="66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 t="s">
        <v>470</v>
      </c>
      <c r="AP26" s="67"/>
      <c r="AQ26" s="67"/>
      <c r="AR26" s="67"/>
    </row>
    <row r="27" spans="2:44" x14ac:dyDescent="0.35">
      <c r="B27" s="60"/>
      <c r="F27" s="66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 t="s">
        <v>471</v>
      </c>
      <c r="AP27" s="67"/>
      <c r="AQ27" s="67"/>
      <c r="AR27" s="67"/>
    </row>
    <row r="28" spans="2:44" x14ac:dyDescent="0.35">
      <c r="B28" s="60"/>
      <c r="F28" s="66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 t="s">
        <v>472</v>
      </c>
      <c r="AP28" s="67"/>
      <c r="AQ28" s="67"/>
      <c r="AR28" s="67"/>
    </row>
    <row r="29" spans="2:44" ht="14.5" thickBot="1" x14ac:dyDescent="0.4">
      <c r="B29" s="61"/>
      <c r="F29" s="66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 t="s">
        <v>473</v>
      </c>
      <c r="AP29" s="67"/>
      <c r="AQ29" s="67"/>
      <c r="AR29" s="67"/>
    </row>
    <row r="30" spans="2:44" ht="14.5" thickBot="1" x14ac:dyDescent="0.4">
      <c r="F30" s="66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 t="s">
        <v>474</v>
      </c>
      <c r="AP30" s="67"/>
      <c r="AQ30" s="67"/>
      <c r="AR30" s="67"/>
    </row>
    <row r="31" spans="2:44" x14ac:dyDescent="0.35">
      <c r="B31" s="62" t="s">
        <v>114</v>
      </c>
      <c r="F31" s="66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 t="s">
        <v>475</v>
      </c>
      <c r="AP31" s="67"/>
      <c r="AQ31" s="67"/>
      <c r="AR31" s="67"/>
    </row>
    <row r="32" spans="2:44" ht="28" x14ac:dyDescent="0.35">
      <c r="B32" s="60" t="s">
        <v>117</v>
      </c>
      <c r="F32" s="66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 t="s">
        <v>476</v>
      </c>
      <c r="AP32" s="67"/>
      <c r="AQ32" s="67"/>
      <c r="AR32" s="67"/>
    </row>
    <row r="33" spans="2:44" x14ac:dyDescent="0.35">
      <c r="B33" s="60" t="s">
        <v>119</v>
      </c>
      <c r="F33" s="66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 t="s">
        <v>477</v>
      </c>
      <c r="AP33" s="67"/>
      <c r="AQ33" s="67"/>
      <c r="AR33" s="67"/>
    </row>
    <row r="34" spans="2:44" ht="42" x14ac:dyDescent="0.35">
      <c r="B34" s="60"/>
      <c r="F34" s="66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 t="s">
        <v>478</v>
      </c>
      <c r="AP34" s="67"/>
      <c r="AQ34" s="67"/>
      <c r="AR34" s="67"/>
    </row>
    <row r="35" spans="2:44" x14ac:dyDescent="0.35">
      <c r="B35" s="60"/>
      <c r="F35" s="66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 t="s">
        <v>479</v>
      </c>
      <c r="AP35" s="67"/>
      <c r="AQ35" s="67"/>
      <c r="AR35" s="67"/>
    </row>
    <row r="36" spans="2:44" x14ac:dyDescent="0.35">
      <c r="B36" s="60"/>
      <c r="F36" s="66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 t="s">
        <v>480</v>
      </c>
      <c r="AP36" s="67"/>
      <c r="AQ36" s="67"/>
      <c r="AR36" s="67"/>
    </row>
    <row r="37" spans="2:44" x14ac:dyDescent="0.35">
      <c r="B37" s="60"/>
      <c r="F37" s="66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 t="s">
        <v>481</v>
      </c>
      <c r="AP37" s="67"/>
      <c r="AQ37" s="67"/>
      <c r="AR37" s="67"/>
    </row>
    <row r="38" spans="2:44" ht="14.5" thickBot="1" x14ac:dyDescent="0.4">
      <c r="B38" s="61"/>
      <c r="F38" s="66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</row>
    <row r="39" spans="2:44" x14ac:dyDescent="0.35">
      <c r="F39" s="66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</row>
    <row r="40" spans="2:44" x14ac:dyDescent="0.35">
      <c r="F40" s="66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</row>
    <row r="41" spans="2:44" x14ac:dyDescent="0.35">
      <c r="F41" s="66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</row>
    <row r="42" spans="2:44" x14ac:dyDescent="0.35">
      <c r="F42" s="66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</row>
    <row r="43" spans="2:44" x14ac:dyDescent="0.35">
      <c r="F43" s="66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</row>
    <row r="44" spans="2:44" x14ac:dyDescent="0.35">
      <c r="F44" s="66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</row>
    <row r="45" spans="2:44" x14ac:dyDescent="0.35">
      <c r="F45" s="66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</row>
    <row r="46" spans="2:44" x14ac:dyDescent="0.35">
      <c r="F46" s="66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</row>
    <row r="47" spans="2:44" x14ac:dyDescent="0.35">
      <c r="F47" s="66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</row>
    <row r="48" spans="2:44" x14ac:dyDescent="0.35">
      <c r="F48" s="66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</row>
    <row r="49" spans="6:44" x14ac:dyDescent="0.35">
      <c r="F49" s="66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</row>
    <row r="50" spans="6:44" x14ac:dyDescent="0.35">
      <c r="F50" s="66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</row>
    <row r="51" spans="6:44" x14ac:dyDescent="0.35">
      <c r="F51" s="66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</row>
    <row r="52" spans="6:44" x14ac:dyDescent="0.35">
      <c r="F52" s="66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</row>
    <row r="53" spans="6:44" x14ac:dyDescent="0.35">
      <c r="F53" s="66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</row>
    <row r="54" spans="6:44" x14ac:dyDescent="0.35">
      <c r="F54" s="66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</row>
    <row r="55" spans="6:44" x14ac:dyDescent="0.35">
      <c r="F55" s="66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</row>
    <row r="56" spans="6:44" x14ac:dyDescent="0.35">
      <c r="F56" s="66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</row>
    <row r="57" spans="6:44" x14ac:dyDescent="0.35">
      <c r="F57" s="66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</row>
    <row r="58" spans="6:44" x14ac:dyDescent="0.35">
      <c r="F58" s="66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</row>
    <row r="59" spans="6:44" x14ac:dyDescent="0.35">
      <c r="F59" s="66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</row>
    <row r="60" spans="6:44" x14ac:dyDescent="0.35">
      <c r="F60" s="71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</row>
    <row r="61" spans="6:44" x14ac:dyDescent="0.35">
      <c r="F61" s="71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</row>
    <row r="62" spans="6:44" x14ac:dyDescent="0.35">
      <c r="F62" s="71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</row>
    <row r="63" spans="6:44" x14ac:dyDescent="0.35">
      <c r="F63" s="71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</row>
    <row r="64" spans="6:44" x14ac:dyDescent="0.35">
      <c r="F64" s="71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</row>
    <row r="65" spans="6:44" x14ac:dyDescent="0.35">
      <c r="F65" s="71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</row>
    <row r="66" spans="6:44" x14ac:dyDescent="0.35">
      <c r="F66" s="71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</row>
    <row r="67" spans="6:44" x14ac:dyDescent="0.35">
      <c r="F67" s="71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</row>
    <row r="68" spans="6:44" x14ac:dyDescent="0.35">
      <c r="F68" s="71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</row>
    <row r="69" spans="6:44" x14ac:dyDescent="0.35">
      <c r="F69" s="71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</row>
    <row r="70" spans="6:44" x14ac:dyDescent="0.35">
      <c r="F70" s="71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</row>
    <row r="71" spans="6:44" x14ac:dyDescent="0.35">
      <c r="F71" s="71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</row>
    <row r="72" spans="6:44" x14ac:dyDescent="0.35">
      <c r="F72" s="66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</row>
    <row r="73" spans="6:44" x14ac:dyDescent="0.35">
      <c r="F73" s="71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</row>
    <row r="74" spans="6:44" x14ac:dyDescent="0.35">
      <c r="F74" s="66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</row>
  </sheetData>
  <sortState xmlns:xlrd2="http://schemas.microsoft.com/office/spreadsheetml/2017/richdata2" columnSort="1" ref="F2:AR2">
    <sortCondition ref="F2:AR2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rgb="FF00B050"/>
  </sheetPr>
  <dimension ref="A1:O5012"/>
  <sheetViews>
    <sheetView zoomScale="85" zoomScaleNormal="85" workbookViewId="0">
      <pane ySplit="2" topLeftCell="A79" activePane="bottomLeft" state="frozen"/>
      <selection pane="bottomLeft" activeCell="A85" sqref="A85"/>
    </sheetView>
  </sheetViews>
  <sheetFormatPr defaultColWidth="9.1796875" defaultRowHeight="14" x14ac:dyDescent="0.35"/>
  <cols>
    <col min="1" max="1" width="7.7265625" style="14" customWidth="1"/>
    <col min="2" max="2" width="12.7265625" style="14" customWidth="1"/>
    <col min="3" max="3" width="17.453125" style="14" bestFit="1" customWidth="1"/>
    <col min="4" max="4" width="14.1796875" style="14" customWidth="1"/>
    <col min="5" max="5" width="25.7265625" style="14" bestFit="1" customWidth="1"/>
    <col min="6" max="6" width="57.81640625" style="46" customWidth="1"/>
    <col min="7" max="7" width="6.453125" style="14" customWidth="1"/>
    <col min="8" max="8" width="10" style="14" customWidth="1"/>
    <col min="9" max="9" width="8.26953125" style="14" bestFit="1" customWidth="1"/>
    <col min="10" max="10" width="19.7265625" style="14" customWidth="1"/>
    <col min="11" max="11" width="15.7265625" style="14" bestFit="1" customWidth="1"/>
    <col min="12" max="12" width="11.453125" style="14" bestFit="1" customWidth="1"/>
    <col min="13" max="13" width="14.26953125" style="14" bestFit="1" customWidth="1"/>
    <col min="14" max="14" width="14" style="14" bestFit="1" customWidth="1"/>
    <col min="15" max="15" width="23.453125" style="14" customWidth="1"/>
    <col min="16" max="16384" width="9.1796875" style="14"/>
  </cols>
  <sheetData>
    <row r="1" spans="1:15" s="26" customFormat="1" ht="87" customHeight="1" x14ac:dyDescent="0.35">
      <c r="A1" s="264"/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</row>
    <row r="2" spans="1:15" ht="37.5" customHeight="1" x14ac:dyDescent="0.35">
      <c r="A2" s="3" t="s">
        <v>47</v>
      </c>
      <c r="B2" s="2" t="s">
        <v>108</v>
      </c>
      <c r="C2" s="2" t="s">
        <v>0</v>
      </c>
      <c r="D2" s="2" t="s">
        <v>54</v>
      </c>
      <c r="E2" s="2" t="s">
        <v>109</v>
      </c>
      <c r="F2" s="13" t="s">
        <v>2</v>
      </c>
      <c r="G2" s="2" t="s">
        <v>4</v>
      </c>
      <c r="H2" s="18" t="s">
        <v>110</v>
      </c>
      <c r="I2" s="18" t="s">
        <v>111</v>
      </c>
      <c r="J2" s="2" t="s">
        <v>112</v>
      </c>
      <c r="K2" s="13" t="s">
        <v>113</v>
      </c>
      <c r="L2" s="2" t="s">
        <v>114</v>
      </c>
      <c r="M2" s="13" t="s">
        <v>115</v>
      </c>
      <c r="N2" s="2" t="s">
        <v>116</v>
      </c>
      <c r="O2" s="4" t="s">
        <v>9</v>
      </c>
    </row>
    <row r="3" spans="1:15" ht="14.5" x14ac:dyDescent="0.35">
      <c r="A3" s="15">
        <v>1</v>
      </c>
      <c r="B3" s="16">
        <v>5251</v>
      </c>
      <c r="C3" s="19">
        <v>45569</v>
      </c>
      <c r="D3" s="10" t="s">
        <v>72</v>
      </c>
      <c r="E3" s="10" t="s">
        <v>75</v>
      </c>
      <c r="F3" s="47" t="s">
        <v>146</v>
      </c>
      <c r="G3" s="108" t="s">
        <v>13</v>
      </c>
      <c r="H3" s="156">
        <v>0</v>
      </c>
      <c r="I3" s="157">
        <v>0</v>
      </c>
      <c r="J3" s="108" t="s">
        <v>266</v>
      </c>
      <c r="K3" s="108" t="s">
        <v>267</v>
      </c>
      <c r="L3" s="108" t="s">
        <v>268</v>
      </c>
      <c r="M3" s="108" t="s">
        <v>269</v>
      </c>
      <c r="N3" s="108" t="s">
        <v>270</v>
      </c>
      <c r="O3" s="21" t="s">
        <v>447</v>
      </c>
    </row>
    <row r="4" spans="1:15" x14ac:dyDescent="0.35">
      <c r="A4" s="15">
        <f>+A3+1</f>
        <v>2</v>
      </c>
      <c r="B4" s="16">
        <v>5253</v>
      </c>
      <c r="C4" s="19">
        <v>45585</v>
      </c>
      <c r="D4" s="10" t="s">
        <v>72</v>
      </c>
      <c r="E4" s="10" t="s">
        <v>73</v>
      </c>
      <c r="F4" s="47" t="s">
        <v>334</v>
      </c>
      <c r="G4" s="10" t="s">
        <v>11</v>
      </c>
      <c r="H4" s="139">
        <v>519</v>
      </c>
      <c r="I4" s="139">
        <v>519</v>
      </c>
      <c r="J4" s="10" t="s">
        <v>302</v>
      </c>
      <c r="K4" s="10" t="s">
        <v>303</v>
      </c>
      <c r="L4" s="10" t="s">
        <v>268</v>
      </c>
      <c r="M4" s="10" t="s">
        <v>269</v>
      </c>
      <c r="N4" s="10" t="s">
        <v>270</v>
      </c>
      <c r="O4" s="21"/>
    </row>
    <row r="5" spans="1:15" x14ac:dyDescent="0.35">
      <c r="A5" s="15">
        <f t="shared" ref="A5:A74" si="0">+A4+1</f>
        <v>3</v>
      </c>
      <c r="B5" s="16">
        <v>5253</v>
      </c>
      <c r="C5" s="19">
        <v>45585</v>
      </c>
      <c r="D5" s="10" t="s">
        <v>72</v>
      </c>
      <c r="E5" s="10" t="s">
        <v>73</v>
      </c>
      <c r="F5" s="47" t="s">
        <v>144</v>
      </c>
      <c r="G5" s="10" t="s">
        <v>11</v>
      </c>
      <c r="H5" s="157">
        <v>498</v>
      </c>
      <c r="I5" s="157">
        <v>498</v>
      </c>
      <c r="J5" s="10" t="s">
        <v>302</v>
      </c>
      <c r="K5" s="10" t="s">
        <v>303</v>
      </c>
      <c r="L5" s="10" t="s">
        <v>268</v>
      </c>
      <c r="M5" s="10" t="s">
        <v>269</v>
      </c>
      <c r="N5" s="10" t="s">
        <v>270</v>
      </c>
      <c r="O5" s="21"/>
    </row>
    <row r="6" spans="1:15" x14ac:dyDescent="0.35">
      <c r="A6" s="15">
        <v>4</v>
      </c>
      <c r="B6" s="16">
        <v>5253</v>
      </c>
      <c r="C6" s="19">
        <v>45585</v>
      </c>
      <c r="D6" s="10" t="s">
        <v>72</v>
      </c>
      <c r="E6" s="10" t="s">
        <v>75</v>
      </c>
      <c r="F6" s="47" t="s">
        <v>146</v>
      </c>
      <c r="G6" s="10" t="s">
        <v>13</v>
      </c>
      <c r="H6" s="157">
        <v>2370</v>
      </c>
      <c r="I6" s="157">
        <v>2370</v>
      </c>
      <c r="J6" s="10" t="s">
        <v>302</v>
      </c>
      <c r="K6" s="10" t="s">
        <v>303</v>
      </c>
      <c r="L6" s="10" t="s">
        <v>268</v>
      </c>
      <c r="M6" s="10" t="s">
        <v>269</v>
      </c>
      <c r="N6" s="10" t="s">
        <v>270</v>
      </c>
      <c r="O6" s="21"/>
    </row>
    <row r="7" spans="1:15" x14ac:dyDescent="0.35">
      <c r="A7" s="15">
        <f t="shared" si="0"/>
        <v>5</v>
      </c>
      <c r="B7" s="16">
        <v>5254</v>
      </c>
      <c r="C7" s="19">
        <v>45589</v>
      </c>
      <c r="D7" s="10" t="s">
        <v>72</v>
      </c>
      <c r="E7" s="10" t="s">
        <v>75</v>
      </c>
      <c r="F7" s="47" t="s">
        <v>146</v>
      </c>
      <c r="G7" s="10" t="s">
        <v>13</v>
      </c>
      <c r="H7" s="157">
        <v>1600</v>
      </c>
      <c r="I7" s="157">
        <v>1600</v>
      </c>
      <c r="J7" s="10" t="s">
        <v>302</v>
      </c>
      <c r="K7" s="10" t="s">
        <v>303</v>
      </c>
      <c r="L7" s="10" t="s">
        <v>268</v>
      </c>
      <c r="M7" s="10" t="s">
        <v>269</v>
      </c>
      <c r="N7" s="10" t="s">
        <v>270</v>
      </c>
      <c r="O7" s="21"/>
    </row>
    <row r="8" spans="1:15" x14ac:dyDescent="0.35">
      <c r="A8" s="15">
        <v>6</v>
      </c>
      <c r="B8" s="16">
        <v>5255</v>
      </c>
      <c r="C8" s="19">
        <v>45590</v>
      </c>
      <c r="D8" s="10" t="s">
        <v>72</v>
      </c>
      <c r="E8" s="10" t="s">
        <v>75</v>
      </c>
      <c r="F8" s="47" t="s">
        <v>146</v>
      </c>
      <c r="G8" s="10" t="s">
        <v>13</v>
      </c>
      <c r="H8" s="157">
        <v>1050</v>
      </c>
      <c r="I8" s="157">
        <v>1050</v>
      </c>
      <c r="J8" s="10" t="s">
        <v>304</v>
      </c>
      <c r="K8" s="10" t="s">
        <v>405</v>
      </c>
      <c r="L8" s="10" t="s">
        <v>268</v>
      </c>
      <c r="M8" s="10" t="s">
        <v>269</v>
      </c>
      <c r="N8" s="10" t="s">
        <v>270</v>
      </c>
      <c r="O8" s="21"/>
    </row>
    <row r="9" spans="1:15" x14ac:dyDescent="0.35">
      <c r="A9" s="228">
        <v>7</v>
      </c>
      <c r="B9" s="229">
        <v>5256</v>
      </c>
      <c r="C9" s="230">
        <v>45590</v>
      </c>
      <c r="D9" s="231" t="s">
        <v>72</v>
      </c>
      <c r="E9" s="231" t="s">
        <v>122</v>
      </c>
      <c r="F9" s="232" t="s">
        <v>452</v>
      </c>
      <c r="G9" s="231" t="s">
        <v>13</v>
      </c>
      <c r="H9" s="233">
        <v>4</v>
      </c>
      <c r="I9" s="233">
        <v>4</v>
      </c>
      <c r="J9" s="231" t="s">
        <v>304</v>
      </c>
      <c r="K9" s="231" t="s">
        <v>405</v>
      </c>
      <c r="L9" s="231" t="s">
        <v>268</v>
      </c>
      <c r="M9" s="231" t="s">
        <v>269</v>
      </c>
      <c r="N9" s="231" t="s">
        <v>270</v>
      </c>
      <c r="O9" s="234"/>
    </row>
    <row r="10" spans="1:15" x14ac:dyDescent="0.35">
      <c r="A10" s="15">
        <v>8</v>
      </c>
      <c r="B10" s="16">
        <v>5257</v>
      </c>
      <c r="C10" s="19">
        <v>45590</v>
      </c>
      <c r="D10" s="10" t="s">
        <v>72</v>
      </c>
      <c r="E10" s="10" t="s">
        <v>118</v>
      </c>
      <c r="F10" s="47" t="s">
        <v>166</v>
      </c>
      <c r="G10" s="10" t="s">
        <v>11</v>
      </c>
      <c r="H10" s="157">
        <v>22</v>
      </c>
      <c r="I10" s="157">
        <v>22</v>
      </c>
      <c r="J10" s="10" t="s">
        <v>302</v>
      </c>
      <c r="K10" s="10" t="s">
        <v>303</v>
      </c>
      <c r="L10" s="10" t="s">
        <v>268</v>
      </c>
      <c r="M10" s="10" t="s">
        <v>269</v>
      </c>
      <c r="N10" s="10" t="s">
        <v>270</v>
      </c>
      <c r="O10" s="21"/>
    </row>
    <row r="11" spans="1:15" x14ac:dyDescent="0.35">
      <c r="A11" s="15">
        <v>9</v>
      </c>
      <c r="B11" s="16">
        <v>5257</v>
      </c>
      <c r="C11" s="19">
        <v>45590</v>
      </c>
      <c r="D11" s="10" t="s">
        <v>72</v>
      </c>
      <c r="E11" s="10" t="s">
        <v>118</v>
      </c>
      <c r="F11" s="47" t="s">
        <v>174</v>
      </c>
      <c r="G11" s="10" t="s">
        <v>13</v>
      </c>
      <c r="H11" s="157">
        <v>88</v>
      </c>
      <c r="I11" s="157">
        <v>88</v>
      </c>
      <c r="J11" s="10" t="s">
        <v>302</v>
      </c>
      <c r="K11" s="10" t="s">
        <v>303</v>
      </c>
      <c r="L11" s="10" t="s">
        <v>268</v>
      </c>
      <c r="M11" s="10" t="s">
        <v>269</v>
      </c>
      <c r="N11" s="10" t="s">
        <v>270</v>
      </c>
      <c r="O11" s="21"/>
    </row>
    <row r="12" spans="1:15" x14ac:dyDescent="0.35">
      <c r="A12" s="15">
        <v>10</v>
      </c>
      <c r="B12" s="16">
        <v>5258</v>
      </c>
      <c r="C12" s="19">
        <v>45605</v>
      </c>
      <c r="D12" s="10" t="s">
        <v>72</v>
      </c>
      <c r="E12" s="10" t="s">
        <v>73</v>
      </c>
      <c r="F12" s="47" t="s">
        <v>334</v>
      </c>
      <c r="G12" s="10" t="s">
        <v>11</v>
      </c>
      <c r="H12" s="157">
        <v>1000</v>
      </c>
      <c r="I12" s="157">
        <v>1000</v>
      </c>
      <c r="J12" s="10" t="s">
        <v>304</v>
      </c>
      <c r="K12" s="10" t="s">
        <v>405</v>
      </c>
      <c r="L12" s="10" t="s">
        <v>268</v>
      </c>
      <c r="M12" s="10" t="s">
        <v>269</v>
      </c>
      <c r="N12" s="10" t="s">
        <v>270</v>
      </c>
      <c r="O12" s="21"/>
    </row>
    <row r="13" spans="1:15" x14ac:dyDescent="0.35">
      <c r="A13" s="15">
        <v>11</v>
      </c>
      <c r="B13" s="16">
        <v>5258</v>
      </c>
      <c r="C13" s="19">
        <v>45605</v>
      </c>
      <c r="D13" s="10" t="s">
        <v>72</v>
      </c>
      <c r="E13" s="10" t="s">
        <v>73</v>
      </c>
      <c r="F13" s="47" t="s">
        <v>144</v>
      </c>
      <c r="G13" s="10" t="s">
        <v>11</v>
      </c>
      <c r="H13" s="157">
        <v>1000</v>
      </c>
      <c r="I13" s="157">
        <v>1000</v>
      </c>
      <c r="J13" s="10" t="s">
        <v>304</v>
      </c>
      <c r="K13" s="10" t="s">
        <v>405</v>
      </c>
      <c r="L13" s="10" t="s">
        <v>268</v>
      </c>
      <c r="M13" s="10" t="s">
        <v>269</v>
      </c>
      <c r="N13" s="10" t="s">
        <v>270</v>
      </c>
      <c r="O13" s="21"/>
    </row>
    <row r="14" spans="1:15" x14ac:dyDescent="0.35">
      <c r="A14" s="15">
        <v>12</v>
      </c>
      <c r="B14" s="16">
        <v>5259</v>
      </c>
      <c r="C14" s="19">
        <v>45605</v>
      </c>
      <c r="D14" s="10" t="s">
        <v>72</v>
      </c>
      <c r="E14" s="10" t="s">
        <v>73</v>
      </c>
      <c r="F14" s="47" t="s">
        <v>334</v>
      </c>
      <c r="G14" s="10" t="s">
        <v>11</v>
      </c>
      <c r="H14" s="157">
        <v>1030</v>
      </c>
      <c r="I14" s="157">
        <v>1030</v>
      </c>
      <c r="J14" s="10" t="s">
        <v>302</v>
      </c>
      <c r="K14" s="10" t="s">
        <v>303</v>
      </c>
      <c r="L14" s="10" t="s">
        <v>268</v>
      </c>
      <c r="M14" s="10" t="s">
        <v>269</v>
      </c>
      <c r="N14" s="10" t="s">
        <v>270</v>
      </c>
      <c r="O14" s="21"/>
    </row>
    <row r="15" spans="1:15" x14ac:dyDescent="0.35">
      <c r="A15" s="15">
        <v>13</v>
      </c>
      <c r="B15" s="16">
        <v>5259</v>
      </c>
      <c r="C15" s="19">
        <v>45605</v>
      </c>
      <c r="D15" s="10" t="s">
        <v>72</v>
      </c>
      <c r="E15" s="10" t="s">
        <v>73</v>
      </c>
      <c r="F15" s="47" t="s">
        <v>144</v>
      </c>
      <c r="G15" s="10" t="s">
        <v>11</v>
      </c>
      <c r="H15" s="157">
        <v>1030</v>
      </c>
      <c r="I15" s="157">
        <v>1030</v>
      </c>
      <c r="J15" s="10" t="s">
        <v>302</v>
      </c>
      <c r="K15" s="10" t="s">
        <v>303</v>
      </c>
      <c r="L15" s="10" t="s">
        <v>268</v>
      </c>
      <c r="M15" s="10" t="s">
        <v>269</v>
      </c>
      <c r="N15" s="10" t="s">
        <v>270</v>
      </c>
      <c r="O15" s="21"/>
    </row>
    <row r="16" spans="1:15" x14ac:dyDescent="0.35">
      <c r="A16" s="15">
        <v>14</v>
      </c>
      <c r="B16" s="16">
        <v>5259</v>
      </c>
      <c r="C16" s="19">
        <v>45605</v>
      </c>
      <c r="D16" s="10" t="s">
        <v>72</v>
      </c>
      <c r="E16" s="10" t="s">
        <v>75</v>
      </c>
      <c r="F16" s="47" t="s">
        <v>146</v>
      </c>
      <c r="G16" s="10" t="s">
        <v>13</v>
      </c>
      <c r="H16" s="157">
        <v>2150</v>
      </c>
      <c r="I16" s="157">
        <v>2150</v>
      </c>
      <c r="J16" s="10" t="s">
        <v>302</v>
      </c>
      <c r="K16" s="10" t="s">
        <v>303</v>
      </c>
      <c r="L16" s="10" t="s">
        <v>268</v>
      </c>
      <c r="M16" s="10" t="s">
        <v>269</v>
      </c>
      <c r="N16" s="10" t="s">
        <v>270</v>
      </c>
      <c r="O16" s="21"/>
    </row>
    <row r="17" spans="1:15" x14ac:dyDescent="0.35">
      <c r="A17" s="228">
        <v>15</v>
      </c>
      <c r="B17" s="229">
        <v>5260</v>
      </c>
      <c r="C17" s="230">
        <v>45605</v>
      </c>
      <c r="D17" s="231" t="s">
        <v>72</v>
      </c>
      <c r="E17" s="231" t="s">
        <v>122</v>
      </c>
      <c r="F17" s="232" t="s">
        <v>451</v>
      </c>
      <c r="G17" s="231" t="s">
        <v>13</v>
      </c>
      <c r="H17" s="233">
        <v>1</v>
      </c>
      <c r="I17" s="233">
        <v>1</v>
      </c>
      <c r="J17" s="231"/>
      <c r="K17" s="231" t="s">
        <v>525</v>
      </c>
      <c r="L17" s="231" t="s">
        <v>268</v>
      </c>
      <c r="M17" s="231" t="s">
        <v>269</v>
      </c>
      <c r="N17" s="231" t="s">
        <v>270</v>
      </c>
      <c r="O17" s="234" t="s">
        <v>528</v>
      </c>
    </row>
    <row r="18" spans="1:15" x14ac:dyDescent="0.35">
      <c r="A18" s="228">
        <v>16</v>
      </c>
      <c r="B18" s="229">
        <v>5261</v>
      </c>
      <c r="C18" s="230">
        <v>45605</v>
      </c>
      <c r="D18" s="231" t="s">
        <v>72</v>
      </c>
      <c r="E18" s="231" t="s">
        <v>122</v>
      </c>
      <c r="F18" s="232" t="s">
        <v>451</v>
      </c>
      <c r="G18" s="231" t="s">
        <v>13</v>
      </c>
      <c r="H18" s="233">
        <v>1</v>
      </c>
      <c r="I18" s="233">
        <v>1</v>
      </c>
      <c r="J18" s="231"/>
      <c r="K18" s="231" t="s">
        <v>526</v>
      </c>
      <c r="L18" s="231" t="s">
        <v>268</v>
      </c>
      <c r="M18" s="231" t="s">
        <v>269</v>
      </c>
      <c r="N18" s="231" t="s">
        <v>270</v>
      </c>
      <c r="O18" s="234" t="s">
        <v>527</v>
      </c>
    </row>
    <row r="19" spans="1:15" x14ac:dyDescent="0.35">
      <c r="A19" s="228">
        <v>17</v>
      </c>
      <c r="B19" s="229">
        <v>5262</v>
      </c>
      <c r="C19" s="230">
        <v>45605</v>
      </c>
      <c r="D19" s="231" t="s">
        <v>72</v>
      </c>
      <c r="E19" s="231" t="s">
        <v>122</v>
      </c>
      <c r="F19" s="232" t="s">
        <v>451</v>
      </c>
      <c r="G19" s="231" t="s">
        <v>13</v>
      </c>
      <c r="H19" s="233">
        <v>1</v>
      </c>
      <c r="I19" s="233">
        <v>1</v>
      </c>
      <c r="J19" s="231"/>
      <c r="K19" s="231" t="s">
        <v>529</v>
      </c>
      <c r="L19" s="231" t="s">
        <v>268</v>
      </c>
      <c r="M19" s="231" t="s">
        <v>269</v>
      </c>
      <c r="N19" s="231" t="s">
        <v>270</v>
      </c>
      <c r="O19" s="234" t="s">
        <v>530</v>
      </c>
    </row>
    <row r="20" spans="1:15" x14ac:dyDescent="0.35">
      <c r="A20" s="228">
        <v>18</v>
      </c>
      <c r="B20" s="229">
        <v>5262</v>
      </c>
      <c r="C20" s="230">
        <v>45605</v>
      </c>
      <c r="D20" s="231" t="s">
        <v>72</v>
      </c>
      <c r="E20" s="231" t="s">
        <v>122</v>
      </c>
      <c r="F20" s="232" t="s">
        <v>454</v>
      </c>
      <c r="G20" s="231" t="s">
        <v>11</v>
      </c>
      <c r="H20" s="233">
        <v>1</v>
      </c>
      <c r="I20" s="233">
        <v>1</v>
      </c>
      <c r="J20" s="231"/>
      <c r="K20" s="231" t="s">
        <v>529</v>
      </c>
      <c r="L20" s="231" t="s">
        <v>268</v>
      </c>
      <c r="M20" s="231" t="s">
        <v>269</v>
      </c>
      <c r="N20" s="231" t="s">
        <v>270</v>
      </c>
      <c r="O20" s="234" t="s">
        <v>530</v>
      </c>
    </row>
    <row r="21" spans="1:15" x14ac:dyDescent="0.35">
      <c r="A21" s="228">
        <v>19</v>
      </c>
      <c r="B21" s="229">
        <v>5262</v>
      </c>
      <c r="C21" s="230">
        <v>45605</v>
      </c>
      <c r="D21" s="231" t="s">
        <v>72</v>
      </c>
      <c r="E21" s="231" t="s">
        <v>122</v>
      </c>
      <c r="F21" s="232" t="s">
        <v>455</v>
      </c>
      <c r="G21" s="231" t="s">
        <v>11</v>
      </c>
      <c r="H21" s="233">
        <v>1</v>
      </c>
      <c r="I21" s="233">
        <v>1</v>
      </c>
      <c r="J21" s="231"/>
      <c r="K21" s="231" t="s">
        <v>529</v>
      </c>
      <c r="L21" s="231" t="s">
        <v>268</v>
      </c>
      <c r="M21" s="231" t="s">
        <v>269</v>
      </c>
      <c r="N21" s="231" t="s">
        <v>270</v>
      </c>
      <c r="O21" s="234" t="s">
        <v>530</v>
      </c>
    </row>
    <row r="22" spans="1:15" x14ac:dyDescent="0.35">
      <c r="A22" s="15">
        <v>20</v>
      </c>
      <c r="B22" s="16">
        <v>5263</v>
      </c>
      <c r="C22" s="19">
        <v>45609</v>
      </c>
      <c r="D22" s="10" t="s">
        <v>72</v>
      </c>
      <c r="E22" s="10" t="s">
        <v>75</v>
      </c>
      <c r="F22" s="47" t="s">
        <v>146</v>
      </c>
      <c r="G22" s="10" t="s">
        <v>13</v>
      </c>
      <c r="H22" s="20">
        <v>2100</v>
      </c>
      <c r="I22" s="20">
        <v>2100</v>
      </c>
      <c r="J22" s="10" t="s">
        <v>304</v>
      </c>
      <c r="K22" s="10" t="s">
        <v>405</v>
      </c>
      <c r="L22" s="10" t="s">
        <v>268</v>
      </c>
      <c r="M22" s="10" t="s">
        <v>269</v>
      </c>
      <c r="N22" s="10" t="s">
        <v>270</v>
      </c>
      <c r="O22" s="21"/>
    </row>
    <row r="23" spans="1:15" x14ac:dyDescent="0.35">
      <c r="A23" s="15">
        <v>21</v>
      </c>
      <c r="B23" s="16">
        <v>5264</v>
      </c>
      <c r="C23" s="19">
        <v>45609</v>
      </c>
      <c r="D23" s="10" t="s">
        <v>72</v>
      </c>
      <c r="E23" s="10" t="s">
        <v>73</v>
      </c>
      <c r="F23" s="47" t="s">
        <v>155</v>
      </c>
      <c r="G23" s="10" t="s">
        <v>11</v>
      </c>
      <c r="H23" s="20">
        <v>1090</v>
      </c>
      <c r="I23" s="20">
        <v>1090</v>
      </c>
      <c r="J23" s="10" t="s">
        <v>302</v>
      </c>
      <c r="K23" s="10" t="s">
        <v>303</v>
      </c>
      <c r="L23" s="10" t="s">
        <v>268</v>
      </c>
      <c r="M23" s="10" t="s">
        <v>269</v>
      </c>
      <c r="N23" s="10" t="s">
        <v>270</v>
      </c>
      <c r="O23" s="21"/>
    </row>
    <row r="24" spans="1:15" x14ac:dyDescent="0.35">
      <c r="A24" s="15">
        <f t="shared" si="0"/>
        <v>22</v>
      </c>
      <c r="B24" s="16">
        <v>5264</v>
      </c>
      <c r="C24" s="19">
        <v>45609</v>
      </c>
      <c r="D24" s="10" t="s">
        <v>72</v>
      </c>
      <c r="E24" s="10" t="s">
        <v>73</v>
      </c>
      <c r="F24" s="47" t="s">
        <v>159</v>
      </c>
      <c r="G24" s="10" t="s">
        <v>11</v>
      </c>
      <c r="H24" s="20">
        <v>1090</v>
      </c>
      <c r="I24" s="20">
        <v>1090</v>
      </c>
      <c r="J24" s="10" t="s">
        <v>302</v>
      </c>
      <c r="K24" s="10" t="s">
        <v>303</v>
      </c>
      <c r="L24" s="10" t="s">
        <v>268</v>
      </c>
      <c r="M24" s="10" t="s">
        <v>269</v>
      </c>
      <c r="N24" s="10" t="s">
        <v>270</v>
      </c>
      <c r="O24" s="21"/>
    </row>
    <row r="25" spans="1:15" x14ac:dyDescent="0.35">
      <c r="A25" s="15">
        <f t="shared" si="0"/>
        <v>23</v>
      </c>
      <c r="B25" s="16">
        <v>5264</v>
      </c>
      <c r="C25" s="19">
        <v>45609</v>
      </c>
      <c r="D25" s="10" t="s">
        <v>72</v>
      </c>
      <c r="E25" s="10" t="s">
        <v>73</v>
      </c>
      <c r="F25" s="47" t="s">
        <v>156</v>
      </c>
      <c r="G25" s="10" t="s">
        <v>11</v>
      </c>
      <c r="H25" s="20">
        <v>1090</v>
      </c>
      <c r="I25" s="20">
        <v>1090</v>
      </c>
      <c r="J25" s="10" t="s">
        <v>302</v>
      </c>
      <c r="K25" s="10" t="s">
        <v>303</v>
      </c>
      <c r="L25" s="10" t="s">
        <v>268</v>
      </c>
      <c r="M25" s="10" t="s">
        <v>269</v>
      </c>
      <c r="N25" s="10" t="s">
        <v>270</v>
      </c>
      <c r="O25" s="21"/>
    </row>
    <row r="26" spans="1:15" x14ac:dyDescent="0.35">
      <c r="A26" s="15">
        <f t="shared" si="0"/>
        <v>24</v>
      </c>
      <c r="B26" s="16">
        <v>5264</v>
      </c>
      <c r="C26" s="19">
        <v>45609</v>
      </c>
      <c r="D26" s="10" t="s">
        <v>72</v>
      </c>
      <c r="E26" s="10" t="s">
        <v>75</v>
      </c>
      <c r="F26" s="47" t="s">
        <v>149</v>
      </c>
      <c r="G26" s="10" t="s">
        <v>11</v>
      </c>
      <c r="H26" s="20">
        <v>1510</v>
      </c>
      <c r="I26" s="20">
        <v>1510</v>
      </c>
      <c r="J26" s="10" t="s">
        <v>302</v>
      </c>
      <c r="K26" s="10" t="s">
        <v>303</v>
      </c>
      <c r="L26" s="10" t="s">
        <v>268</v>
      </c>
      <c r="M26" s="10" t="s">
        <v>269</v>
      </c>
      <c r="N26" s="10" t="s">
        <v>270</v>
      </c>
      <c r="O26" s="21"/>
    </row>
    <row r="27" spans="1:15" x14ac:dyDescent="0.35">
      <c r="A27" s="15">
        <f t="shared" si="0"/>
        <v>25</v>
      </c>
      <c r="B27" s="16">
        <v>5264</v>
      </c>
      <c r="C27" s="19">
        <v>45609</v>
      </c>
      <c r="D27" s="10" t="s">
        <v>72</v>
      </c>
      <c r="E27" s="10" t="s">
        <v>75</v>
      </c>
      <c r="F27" s="47" t="s">
        <v>150</v>
      </c>
      <c r="G27" s="10" t="s">
        <v>11</v>
      </c>
      <c r="H27" s="20">
        <v>1510</v>
      </c>
      <c r="I27" s="20">
        <v>1510</v>
      </c>
      <c r="J27" s="10" t="s">
        <v>302</v>
      </c>
      <c r="K27" s="10" t="s">
        <v>303</v>
      </c>
      <c r="L27" s="10" t="s">
        <v>268</v>
      </c>
      <c r="M27" s="10" t="s">
        <v>269</v>
      </c>
      <c r="N27" s="10" t="s">
        <v>270</v>
      </c>
      <c r="O27" s="21"/>
    </row>
    <row r="28" spans="1:15" x14ac:dyDescent="0.35">
      <c r="A28" s="15">
        <f t="shared" si="0"/>
        <v>26</v>
      </c>
      <c r="B28" s="16">
        <v>5264</v>
      </c>
      <c r="C28" s="19">
        <v>45609</v>
      </c>
      <c r="D28" s="10" t="s">
        <v>72</v>
      </c>
      <c r="E28" s="10" t="s">
        <v>75</v>
      </c>
      <c r="F28" s="47" t="s">
        <v>151</v>
      </c>
      <c r="G28" s="10" t="s">
        <v>11</v>
      </c>
      <c r="H28" s="20">
        <v>16302</v>
      </c>
      <c r="I28" s="20">
        <v>16302</v>
      </c>
      <c r="J28" s="10" t="s">
        <v>302</v>
      </c>
      <c r="K28" s="10" t="s">
        <v>303</v>
      </c>
      <c r="L28" s="10" t="s">
        <v>268</v>
      </c>
      <c r="M28" s="10" t="s">
        <v>269</v>
      </c>
      <c r="N28" s="10" t="s">
        <v>270</v>
      </c>
      <c r="O28" s="21"/>
    </row>
    <row r="29" spans="1:15" x14ac:dyDescent="0.35">
      <c r="A29" s="15">
        <f t="shared" si="0"/>
        <v>27</v>
      </c>
      <c r="B29" s="16">
        <v>5264</v>
      </c>
      <c r="C29" s="19">
        <v>45609</v>
      </c>
      <c r="D29" s="10" t="s">
        <v>72</v>
      </c>
      <c r="E29" s="10" t="s">
        <v>75</v>
      </c>
      <c r="F29" s="47" t="s">
        <v>152</v>
      </c>
      <c r="G29" s="10" t="s">
        <v>11</v>
      </c>
      <c r="H29" s="20">
        <v>21510</v>
      </c>
      <c r="I29" s="20">
        <v>21510</v>
      </c>
      <c r="J29" s="10" t="s">
        <v>302</v>
      </c>
      <c r="K29" s="10" t="s">
        <v>303</v>
      </c>
      <c r="L29" s="10" t="s">
        <v>268</v>
      </c>
      <c r="M29" s="10" t="s">
        <v>269</v>
      </c>
      <c r="N29" s="10" t="s">
        <v>270</v>
      </c>
      <c r="O29" s="21"/>
    </row>
    <row r="30" spans="1:15" x14ac:dyDescent="0.35">
      <c r="A30" s="15">
        <f t="shared" si="0"/>
        <v>28</v>
      </c>
      <c r="B30" s="16">
        <v>5265</v>
      </c>
      <c r="C30" s="19">
        <v>45611</v>
      </c>
      <c r="D30" s="10" t="s">
        <v>72</v>
      </c>
      <c r="E30" s="10" t="s">
        <v>75</v>
      </c>
      <c r="F30" s="47" t="s">
        <v>146</v>
      </c>
      <c r="G30" s="10" t="s">
        <v>13</v>
      </c>
      <c r="H30" s="20">
        <v>3500</v>
      </c>
      <c r="I30" s="20">
        <v>3500</v>
      </c>
      <c r="J30" s="10" t="s">
        <v>304</v>
      </c>
      <c r="K30" s="10" t="s">
        <v>405</v>
      </c>
      <c r="L30" s="10" t="s">
        <v>268</v>
      </c>
      <c r="M30" s="10" t="s">
        <v>269</v>
      </c>
      <c r="N30" s="10" t="s">
        <v>270</v>
      </c>
      <c r="O30" s="21"/>
    </row>
    <row r="31" spans="1:15" x14ac:dyDescent="0.35">
      <c r="A31" s="15">
        <f t="shared" si="0"/>
        <v>29</v>
      </c>
      <c r="B31" s="16">
        <v>5265</v>
      </c>
      <c r="C31" s="19">
        <v>45611</v>
      </c>
      <c r="D31" s="10" t="s">
        <v>72</v>
      </c>
      <c r="E31" s="10" t="s">
        <v>75</v>
      </c>
      <c r="F31" s="47" t="s">
        <v>147</v>
      </c>
      <c r="G31" s="10" t="s">
        <v>13</v>
      </c>
      <c r="H31" s="20">
        <v>3750</v>
      </c>
      <c r="I31" s="20">
        <v>3750</v>
      </c>
      <c r="J31" s="10" t="s">
        <v>304</v>
      </c>
      <c r="K31" s="10" t="s">
        <v>405</v>
      </c>
      <c r="L31" s="10" t="s">
        <v>268</v>
      </c>
      <c r="M31" s="10" t="s">
        <v>269</v>
      </c>
      <c r="N31" s="10" t="s">
        <v>270</v>
      </c>
      <c r="O31" s="21"/>
    </row>
    <row r="32" spans="1:15" x14ac:dyDescent="0.35">
      <c r="A32" s="15">
        <f t="shared" si="0"/>
        <v>30</v>
      </c>
      <c r="B32" s="16">
        <v>5265</v>
      </c>
      <c r="C32" s="19">
        <v>45611</v>
      </c>
      <c r="D32" s="10" t="s">
        <v>72</v>
      </c>
      <c r="E32" s="10" t="s">
        <v>75</v>
      </c>
      <c r="F32" s="47" t="s">
        <v>145</v>
      </c>
      <c r="G32" s="10" t="s">
        <v>13</v>
      </c>
      <c r="H32" s="20">
        <v>1000</v>
      </c>
      <c r="I32" s="20">
        <v>1000</v>
      </c>
      <c r="J32" s="10" t="s">
        <v>304</v>
      </c>
      <c r="K32" s="10" t="s">
        <v>405</v>
      </c>
      <c r="L32" s="10" t="s">
        <v>268</v>
      </c>
      <c r="M32" s="10" t="s">
        <v>269</v>
      </c>
      <c r="N32" s="10" t="s">
        <v>270</v>
      </c>
      <c r="O32" s="21"/>
    </row>
    <row r="33" spans="1:15" x14ac:dyDescent="0.35">
      <c r="A33" s="15">
        <f t="shared" si="0"/>
        <v>31</v>
      </c>
      <c r="B33" s="16">
        <v>5265</v>
      </c>
      <c r="C33" s="19">
        <v>45611</v>
      </c>
      <c r="D33" s="10" t="s">
        <v>72</v>
      </c>
      <c r="E33" s="10" t="s">
        <v>75</v>
      </c>
      <c r="F33" s="47" t="s">
        <v>446</v>
      </c>
      <c r="G33" s="10" t="s">
        <v>13</v>
      </c>
      <c r="H33" s="20">
        <v>5000</v>
      </c>
      <c r="I33" s="20">
        <v>5000</v>
      </c>
      <c r="J33" s="10" t="s">
        <v>304</v>
      </c>
      <c r="K33" s="10" t="s">
        <v>405</v>
      </c>
      <c r="L33" s="10" t="s">
        <v>268</v>
      </c>
      <c r="M33" s="10" t="s">
        <v>269</v>
      </c>
      <c r="N33" s="10" t="s">
        <v>270</v>
      </c>
      <c r="O33" s="21"/>
    </row>
    <row r="34" spans="1:15" x14ac:dyDescent="0.35">
      <c r="A34" s="15">
        <f t="shared" si="0"/>
        <v>32</v>
      </c>
      <c r="B34" s="16">
        <v>5265</v>
      </c>
      <c r="C34" s="19">
        <v>45611</v>
      </c>
      <c r="D34" s="10" t="s">
        <v>72</v>
      </c>
      <c r="E34" s="10" t="s">
        <v>118</v>
      </c>
      <c r="F34" s="47" t="s">
        <v>166</v>
      </c>
      <c r="G34" s="10" t="s">
        <v>11</v>
      </c>
      <c r="H34" s="20">
        <v>44</v>
      </c>
      <c r="I34" s="20">
        <v>44</v>
      </c>
      <c r="J34" s="10" t="s">
        <v>304</v>
      </c>
      <c r="K34" s="10" t="s">
        <v>405</v>
      </c>
      <c r="L34" s="10" t="s">
        <v>268</v>
      </c>
      <c r="M34" s="10" t="s">
        <v>269</v>
      </c>
      <c r="N34" s="10" t="s">
        <v>270</v>
      </c>
      <c r="O34" s="21"/>
    </row>
    <row r="35" spans="1:15" x14ac:dyDescent="0.35">
      <c r="A35" s="15">
        <f t="shared" si="0"/>
        <v>33</v>
      </c>
      <c r="B35" s="16">
        <v>5265</v>
      </c>
      <c r="C35" s="19">
        <v>45611</v>
      </c>
      <c r="D35" s="10" t="s">
        <v>72</v>
      </c>
      <c r="E35" s="10" t="s">
        <v>118</v>
      </c>
      <c r="F35" s="47" t="s">
        <v>167</v>
      </c>
      <c r="G35" s="10" t="s">
        <v>11</v>
      </c>
      <c r="H35" s="20">
        <v>44</v>
      </c>
      <c r="I35" s="20">
        <v>44</v>
      </c>
      <c r="J35" s="10" t="s">
        <v>304</v>
      </c>
      <c r="K35" s="10" t="s">
        <v>405</v>
      </c>
      <c r="L35" s="10" t="s">
        <v>268</v>
      </c>
      <c r="M35" s="10" t="s">
        <v>269</v>
      </c>
      <c r="N35" s="10" t="s">
        <v>270</v>
      </c>
      <c r="O35" s="21"/>
    </row>
    <row r="36" spans="1:15" x14ac:dyDescent="0.35">
      <c r="A36" s="15">
        <f t="shared" si="0"/>
        <v>34</v>
      </c>
      <c r="B36" s="16">
        <v>5265</v>
      </c>
      <c r="C36" s="19">
        <v>45611</v>
      </c>
      <c r="D36" s="10" t="s">
        <v>72</v>
      </c>
      <c r="E36" s="10" t="s">
        <v>118</v>
      </c>
      <c r="F36" s="47" t="s">
        <v>174</v>
      </c>
      <c r="G36" s="10" t="s">
        <v>13</v>
      </c>
      <c r="H36" s="20">
        <v>88</v>
      </c>
      <c r="I36" s="20">
        <v>88</v>
      </c>
      <c r="J36" s="10" t="s">
        <v>304</v>
      </c>
      <c r="K36" s="10" t="s">
        <v>405</v>
      </c>
      <c r="L36" s="10" t="s">
        <v>268</v>
      </c>
      <c r="M36" s="10" t="s">
        <v>269</v>
      </c>
      <c r="N36" s="10" t="s">
        <v>270</v>
      </c>
      <c r="O36" s="21"/>
    </row>
    <row r="37" spans="1:15" x14ac:dyDescent="0.35">
      <c r="A37" s="15">
        <f t="shared" si="0"/>
        <v>35</v>
      </c>
      <c r="B37" s="16">
        <v>5266</v>
      </c>
      <c r="C37" s="19">
        <v>45612</v>
      </c>
      <c r="D37" s="10" t="s">
        <v>72</v>
      </c>
      <c r="E37" s="10" t="s">
        <v>118</v>
      </c>
      <c r="F37" s="47" t="s">
        <v>166</v>
      </c>
      <c r="G37" s="10" t="s">
        <v>11</v>
      </c>
      <c r="H37" s="20">
        <v>22</v>
      </c>
      <c r="I37" s="20">
        <v>22</v>
      </c>
      <c r="J37" s="10" t="s">
        <v>302</v>
      </c>
      <c r="K37" s="10" t="s">
        <v>303</v>
      </c>
      <c r="L37" s="10" t="s">
        <v>268</v>
      </c>
      <c r="M37" s="10" t="s">
        <v>269</v>
      </c>
      <c r="N37" s="10" t="s">
        <v>270</v>
      </c>
      <c r="O37" s="21"/>
    </row>
    <row r="38" spans="1:15" x14ac:dyDescent="0.35">
      <c r="A38" s="15">
        <f t="shared" si="0"/>
        <v>36</v>
      </c>
      <c r="B38" s="16">
        <v>5266</v>
      </c>
      <c r="C38" s="19">
        <v>45612</v>
      </c>
      <c r="D38" s="10" t="s">
        <v>72</v>
      </c>
      <c r="E38" s="10" t="s">
        <v>118</v>
      </c>
      <c r="F38" s="47" t="s">
        <v>167</v>
      </c>
      <c r="G38" s="10" t="s">
        <v>11</v>
      </c>
      <c r="H38" s="20">
        <v>44</v>
      </c>
      <c r="I38" s="20">
        <v>44</v>
      </c>
      <c r="J38" s="10" t="s">
        <v>302</v>
      </c>
      <c r="K38" s="10" t="s">
        <v>303</v>
      </c>
      <c r="L38" s="10" t="s">
        <v>268</v>
      </c>
      <c r="M38" s="10" t="s">
        <v>269</v>
      </c>
      <c r="N38" s="10" t="s">
        <v>270</v>
      </c>
      <c r="O38" s="21"/>
    </row>
    <row r="39" spans="1:15" x14ac:dyDescent="0.35">
      <c r="A39" s="15">
        <f t="shared" si="0"/>
        <v>37</v>
      </c>
      <c r="B39" s="16">
        <v>5266</v>
      </c>
      <c r="C39" s="19">
        <v>45612</v>
      </c>
      <c r="D39" s="10" t="s">
        <v>72</v>
      </c>
      <c r="E39" s="10" t="s">
        <v>75</v>
      </c>
      <c r="F39" s="47" t="s">
        <v>446</v>
      </c>
      <c r="G39" s="10" t="s">
        <v>13</v>
      </c>
      <c r="H39" s="20">
        <v>5000</v>
      </c>
      <c r="I39" s="20">
        <v>5000</v>
      </c>
      <c r="J39" s="10" t="s">
        <v>302</v>
      </c>
      <c r="K39" s="10" t="s">
        <v>303</v>
      </c>
      <c r="L39" s="10" t="s">
        <v>268</v>
      </c>
      <c r="M39" s="10" t="s">
        <v>269</v>
      </c>
      <c r="N39" s="10" t="s">
        <v>270</v>
      </c>
      <c r="O39" s="21"/>
    </row>
    <row r="40" spans="1:15" x14ac:dyDescent="0.35">
      <c r="A40" s="15">
        <f t="shared" si="0"/>
        <v>38</v>
      </c>
      <c r="B40" s="16">
        <v>5266</v>
      </c>
      <c r="C40" s="19">
        <v>45612</v>
      </c>
      <c r="D40" s="10" t="s">
        <v>72</v>
      </c>
      <c r="E40" s="10" t="s">
        <v>75</v>
      </c>
      <c r="F40" s="47" t="s">
        <v>147</v>
      </c>
      <c r="G40" s="10" t="s">
        <v>13</v>
      </c>
      <c r="H40" s="20">
        <v>3750</v>
      </c>
      <c r="I40" s="20">
        <v>3750</v>
      </c>
      <c r="J40" s="10" t="s">
        <v>302</v>
      </c>
      <c r="K40" s="10" t="s">
        <v>303</v>
      </c>
      <c r="L40" s="10" t="s">
        <v>268</v>
      </c>
      <c r="M40" s="10" t="s">
        <v>269</v>
      </c>
      <c r="N40" s="10" t="s">
        <v>270</v>
      </c>
      <c r="O40" s="21"/>
    </row>
    <row r="41" spans="1:15" x14ac:dyDescent="0.35">
      <c r="A41" s="15">
        <f t="shared" si="0"/>
        <v>39</v>
      </c>
      <c r="B41" s="16">
        <v>5266</v>
      </c>
      <c r="C41" s="19">
        <v>45612</v>
      </c>
      <c r="D41" s="10" t="s">
        <v>72</v>
      </c>
      <c r="E41" s="10" t="s">
        <v>75</v>
      </c>
      <c r="F41" s="47" t="s">
        <v>145</v>
      </c>
      <c r="G41" s="10" t="s">
        <v>13</v>
      </c>
      <c r="H41" s="20">
        <v>1000</v>
      </c>
      <c r="I41" s="20">
        <v>1000</v>
      </c>
      <c r="J41" s="10" t="s">
        <v>302</v>
      </c>
      <c r="K41" s="10" t="s">
        <v>303</v>
      </c>
      <c r="L41" s="10" t="s">
        <v>268</v>
      </c>
      <c r="M41" s="10" t="s">
        <v>269</v>
      </c>
      <c r="N41" s="10" t="s">
        <v>270</v>
      </c>
      <c r="O41" s="21"/>
    </row>
    <row r="42" spans="1:15" x14ac:dyDescent="0.35">
      <c r="A42" s="15">
        <f t="shared" si="0"/>
        <v>40</v>
      </c>
      <c r="B42" s="16">
        <v>5267</v>
      </c>
      <c r="C42" s="19">
        <v>45616</v>
      </c>
      <c r="D42" s="10" t="s">
        <v>72</v>
      </c>
      <c r="E42" s="10" t="s">
        <v>76</v>
      </c>
      <c r="F42" s="47" t="s">
        <v>186</v>
      </c>
      <c r="G42" s="10" t="s">
        <v>11</v>
      </c>
      <c r="H42" s="20">
        <v>2</v>
      </c>
      <c r="I42" s="20">
        <v>2</v>
      </c>
      <c r="J42" s="10" t="s">
        <v>302</v>
      </c>
      <c r="K42" s="10" t="s">
        <v>303</v>
      </c>
      <c r="L42" s="10" t="s">
        <v>268</v>
      </c>
      <c r="M42" s="10" t="s">
        <v>269</v>
      </c>
      <c r="N42" s="10" t="s">
        <v>270</v>
      </c>
      <c r="O42" s="21"/>
    </row>
    <row r="43" spans="1:15" x14ac:dyDescent="0.35">
      <c r="A43" s="15">
        <f t="shared" si="0"/>
        <v>41</v>
      </c>
      <c r="B43" s="16">
        <v>5267</v>
      </c>
      <c r="C43" s="19">
        <v>45616</v>
      </c>
      <c r="D43" s="10" t="s">
        <v>72</v>
      </c>
      <c r="E43" s="10" t="s">
        <v>76</v>
      </c>
      <c r="F43" s="47" t="s">
        <v>181</v>
      </c>
      <c r="G43" s="10" t="s">
        <v>11</v>
      </c>
      <c r="H43" s="20">
        <v>8</v>
      </c>
      <c r="I43" s="20">
        <v>8</v>
      </c>
      <c r="J43" s="10" t="s">
        <v>302</v>
      </c>
      <c r="K43" s="10" t="s">
        <v>303</v>
      </c>
      <c r="L43" s="10" t="s">
        <v>268</v>
      </c>
      <c r="M43" s="10" t="s">
        <v>269</v>
      </c>
      <c r="N43" s="10" t="s">
        <v>270</v>
      </c>
      <c r="O43" s="21"/>
    </row>
    <row r="44" spans="1:15" x14ac:dyDescent="0.35">
      <c r="A44" s="15">
        <f t="shared" si="0"/>
        <v>42</v>
      </c>
      <c r="B44" s="16">
        <v>5267</v>
      </c>
      <c r="C44" s="19">
        <v>45616</v>
      </c>
      <c r="D44" s="10" t="s">
        <v>72</v>
      </c>
      <c r="E44" s="10" t="s">
        <v>76</v>
      </c>
      <c r="F44" s="47" t="s">
        <v>180</v>
      </c>
      <c r="G44" s="10" t="s">
        <v>11</v>
      </c>
      <c r="H44" s="20">
        <v>6</v>
      </c>
      <c r="I44" s="20">
        <v>6</v>
      </c>
      <c r="J44" s="10" t="s">
        <v>302</v>
      </c>
      <c r="K44" s="10" t="s">
        <v>303</v>
      </c>
      <c r="L44" s="10" t="s">
        <v>268</v>
      </c>
      <c r="M44" s="10" t="s">
        <v>269</v>
      </c>
      <c r="N44" s="10" t="s">
        <v>270</v>
      </c>
      <c r="O44" s="21"/>
    </row>
    <row r="45" spans="1:15" x14ac:dyDescent="0.35">
      <c r="A45" s="15">
        <f t="shared" si="0"/>
        <v>43</v>
      </c>
      <c r="B45" s="16">
        <v>5267</v>
      </c>
      <c r="C45" s="19">
        <v>45616</v>
      </c>
      <c r="D45" s="10" t="s">
        <v>72</v>
      </c>
      <c r="E45" s="10" t="s">
        <v>76</v>
      </c>
      <c r="F45" s="47" t="s">
        <v>274</v>
      </c>
      <c r="G45" s="10" t="s">
        <v>11</v>
      </c>
      <c r="H45" s="20">
        <v>92</v>
      </c>
      <c r="I45" s="20">
        <v>92</v>
      </c>
      <c r="J45" s="10" t="s">
        <v>302</v>
      </c>
      <c r="K45" s="10" t="s">
        <v>303</v>
      </c>
      <c r="L45" s="10" t="s">
        <v>268</v>
      </c>
      <c r="M45" s="10" t="s">
        <v>269</v>
      </c>
      <c r="N45" s="10" t="s">
        <v>270</v>
      </c>
      <c r="O45" s="21"/>
    </row>
    <row r="46" spans="1:15" x14ac:dyDescent="0.35">
      <c r="A46" s="15">
        <f t="shared" si="0"/>
        <v>44</v>
      </c>
      <c r="B46" s="16">
        <v>5268</v>
      </c>
      <c r="C46" s="19">
        <v>45621</v>
      </c>
      <c r="D46" s="10" t="s">
        <v>72</v>
      </c>
      <c r="E46" s="10" t="s">
        <v>118</v>
      </c>
      <c r="F46" s="47" t="s">
        <v>168</v>
      </c>
      <c r="G46" s="10" t="s">
        <v>11</v>
      </c>
      <c r="H46" s="20">
        <v>44</v>
      </c>
      <c r="I46" s="20">
        <v>44</v>
      </c>
      <c r="J46" s="10" t="s">
        <v>304</v>
      </c>
      <c r="K46" s="10" t="s">
        <v>405</v>
      </c>
      <c r="L46" s="10" t="s">
        <v>268</v>
      </c>
      <c r="M46" s="10" t="s">
        <v>269</v>
      </c>
      <c r="N46" s="10" t="s">
        <v>270</v>
      </c>
      <c r="O46" s="21"/>
    </row>
    <row r="47" spans="1:15" x14ac:dyDescent="0.35">
      <c r="A47" s="15">
        <f t="shared" si="0"/>
        <v>45</v>
      </c>
      <c r="B47" s="16">
        <v>5268</v>
      </c>
      <c r="C47" s="19">
        <v>45621</v>
      </c>
      <c r="D47" s="10" t="s">
        <v>72</v>
      </c>
      <c r="E47" s="10" t="s">
        <v>118</v>
      </c>
      <c r="F47" s="47" t="s">
        <v>169</v>
      </c>
      <c r="G47" s="10" t="s">
        <v>11</v>
      </c>
      <c r="H47" s="20">
        <v>44</v>
      </c>
      <c r="I47" s="20">
        <v>44</v>
      </c>
      <c r="J47" s="10" t="s">
        <v>304</v>
      </c>
      <c r="K47" s="10" t="s">
        <v>405</v>
      </c>
      <c r="L47" s="10" t="s">
        <v>268</v>
      </c>
      <c r="M47" s="10" t="s">
        <v>269</v>
      </c>
      <c r="N47" s="10" t="s">
        <v>270</v>
      </c>
      <c r="O47" s="21"/>
    </row>
    <row r="48" spans="1:15" x14ac:dyDescent="0.35">
      <c r="A48" s="15">
        <f t="shared" si="0"/>
        <v>46</v>
      </c>
      <c r="B48" s="16">
        <v>5268</v>
      </c>
      <c r="C48" s="19">
        <v>45621</v>
      </c>
      <c r="D48" s="10" t="s">
        <v>72</v>
      </c>
      <c r="E48" s="10" t="s">
        <v>118</v>
      </c>
      <c r="F48" s="47" t="s">
        <v>170</v>
      </c>
      <c r="G48" s="10" t="s">
        <v>11</v>
      </c>
      <c r="H48" s="20">
        <v>44</v>
      </c>
      <c r="I48" s="20">
        <v>44</v>
      </c>
      <c r="J48" s="10" t="s">
        <v>304</v>
      </c>
      <c r="K48" s="10" t="s">
        <v>405</v>
      </c>
      <c r="L48" s="10" t="s">
        <v>268</v>
      </c>
      <c r="M48" s="10" t="s">
        <v>269</v>
      </c>
      <c r="N48" s="10" t="s">
        <v>270</v>
      </c>
      <c r="O48" s="21"/>
    </row>
    <row r="49" spans="1:15" x14ac:dyDescent="0.35">
      <c r="A49" s="15">
        <f t="shared" si="0"/>
        <v>47</v>
      </c>
      <c r="B49" s="16">
        <v>5268</v>
      </c>
      <c r="C49" s="19">
        <v>45621</v>
      </c>
      <c r="D49" s="10" t="s">
        <v>72</v>
      </c>
      <c r="E49" s="10" t="s">
        <v>118</v>
      </c>
      <c r="F49" s="47" t="s">
        <v>171</v>
      </c>
      <c r="G49" s="10" t="s">
        <v>11</v>
      </c>
      <c r="H49" s="20">
        <v>44</v>
      </c>
      <c r="I49" s="20">
        <v>44</v>
      </c>
      <c r="J49" s="10" t="s">
        <v>304</v>
      </c>
      <c r="K49" s="10" t="s">
        <v>405</v>
      </c>
      <c r="L49" s="10" t="s">
        <v>268</v>
      </c>
      <c r="M49" s="10" t="s">
        <v>269</v>
      </c>
      <c r="N49" s="10" t="s">
        <v>270</v>
      </c>
      <c r="O49" s="21"/>
    </row>
    <row r="50" spans="1:15" x14ac:dyDescent="0.35">
      <c r="A50" s="15">
        <f t="shared" si="0"/>
        <v>48</v>
      </c>
      <c r="B50" s="16">
        <v>5268</v>
      </c>
      <c r="C50" s="19">
        <v>45621</v>
      </c>
      <c r="D50" s="10" t="s">
        <v>72</v>
      </c>
      <c r="E50" s="10" t="s">
        <v>118</v>
      </c>
      <c r="F50" s="47" t="s">
        <v>172</v>
      </c>
      <c r="G50" s="10" t="s">
        <v>11</v>
      </c>
      <c r="H50" s="20">
        <v>22</v>
      </c>
      <c r="I50" s="20">
        <v>22</v>
      </c>
      <c r="J50" s="10" t="s">
        <v>304</v>
      </c>
      <c r="K50" s="10" t="s">
        <v>405</v>
      </c>
      <c r="L50" s="10" t="s">
        <v>268</v>
      </c>
      <c r="M50" s="10" t="s">
        <v>269</v>
      </c>
      <c r="N50" s="10" t="s">
        <v>270</v>
      </c>
      <c r="O50" s="21"/>
    </row>
    <row r="51" spans="1:15" x14ac:dyDescent="0.35">
      <c r="A51" s="15">
        <f t="shared" si="0"/>
        <v>49</v>
      </c>
      <c r="B51" s="16">
        <v>5268</v>
      </c>
      <c r="C51" s="19">
        <v>45621</v>
      </c>
      <c r="D51" s="10" t="s">
        <v>72</v>
      </c>
      <c r="E51" s="10" t="s">
        <v>118</v>
      </c>
      <c r="F51" s="47" t="s">
        <v>173</v>
      </c>
      <c r="G51" s="10" t="s">
        <v>11</v>
      </c>
      <c r="H51" s="20">
        <v>22</v>
      </c>
      <c r="I51" s="20">
        <v>22</v>
      </c>
      <c r="J51" s="10" t="s">
        <v>304</v>
      </c>
      <c r="K51" s="10" t="s">
        <v>405</v>
      </c>
      <c r="L51" s="10" t="s">
        <v>268</v>
      </c>
      <c r="M51" s="10" t="s">
        <v>269</v>
      </c>
      <c r="N51" s="10" t="s">
        <v>270</v>
      </c>
      <c r="O51" s="21"/>
    </row>
    <row r="52" spans="1:15" x14ac:dyDescent="0.35">
      <c r="A52" s="15">
        <f t="shared" si="0"/>
        <v>50</v>
      </c>
      <c r="B52" s="16">
        <v>5268</v>
      </c>
      <c r="C52" s="19">
        <v>45621</v>
      </c>
      <c r="D52" s="10" t="s">
        <v>72</v>
      </c>
      <c r="E52" s="10" t="s">
        <v>118</v>
      </c>
      <c r="F52" s="47" t="s">
        <v>174</v>
      </c>
      <c r="G52" s="10" t="s">
        <v>13</v>
      </c>
      <c r="H52" s="20">
        <v>132</v>
      </c>
      <c r="I52" s="20">
        <v>132</v>
      </c>
      <c r="J52" s="10" t="s">
        <v>304</v>
      </c>
      <c r="K52" s="10" t="s">
        <v>405</v>
      </c>
      <c r="L52" s="10" t="s">
        <v>268</v>
      </c>
      <c r="M52" s="10" t="s">
        <v>269</v>
      </c>
      <c r="N52" s="10" t="s">
        <v>270</v>
      </c>
      <c r="O52" s="21"/>
    </row>
    <row r="53" spans="1:15" x14ac:dyDescent="0.35">
      <c r="A53" s="15">
        <f t="shared" si="0"/>
        <v>51</v>
      </c>
      <c r="B53" s="16">
        <v>5268</v>
      </c>
      <c r="C53" s="19">
        <v>45621</v>
      </c>
      <c r="D53" s="10" t="s">
        <v>72</v>
      </c>
      <c r="E53" s="10" t="s">
        <v>118</v>
      </c>
      <c r="F53" s="47" t="s">
        <v>175</v>
      </c>
      <c r="G53" s="10" t="s">
        <v>13</v>
      </c>
      <c r="H53" s="20">
        <v>176</v>
      </c>
      <c r="I53" s="20">
        <v>176</v>
      </c>
      <c r="J53" s="10" t="s">
        <v>304</v>
      </c>
      <c r="K53" s="10" t="s">
        <v>405</v>
      </c>
      <c r="L53" s="10" t="s">
        <v>268</v>
      </c>
      <c r="M53" s="10" t="s">
        <v>269</v>
      </c>
      <c r="N53" s="10" t="s">
        <v>270</v>
      </c>
      <c r="O53" s="21"/>
    </row>
    <row r="54" spans="1:15" x14ac:dyDescent="0.35">
      <c r="A54" s="15">
        <f t="shared" si="0"/>
        <v>52</v>
      </c>
      <c r="B54" s="16">
        <v>5268</v>
      </c>
      <c r="C54" s="19">
        <v>45621</v>
      </c>
      <c r="D54" s="10" t="s">
        <v>72</v>
      </c>
      <c r="E54" s="10" t="s">
        <v>118</v>
      </c>
      <c r="F54" s="47" t="s">
        <v>176</v>
      </c>
      <c r="G54" s="10" t="s">
        <v>11</v>
      </c>
      <c r="H54" s="20">
        <v>220</v>
      </c>
      <c r="I54" s="20">
        <v>220</v>
      </c>
      <c r="J54" s="10" t="s">
        <v>304</v>
      </c>
      <c r="K54" s="10" t="s">
        <v>405</v>
      </c>
      <c r="L54" s="10" t="s">
        <v>268</v>
      </c>
      <c r="M54" s="10" t="s">
        <v>269</v>
      </c>
      <c r="N54" s="10" t="s">
        <v>270</v>
      </c>
      <c r="O54" s="21"/>
    </row>
    <row r="55" spans="1:15" x14ac:dyDescent="0.35">
      <c r="A55" s="15">
        <f t="shared" si="0"/>
        <v>53</v>
      </c>
      <c r="B55" s="16">
        <v>5269</v>
      </c>
      <c r="C55" s="19">
        <v>45621</v>
      </c>
      <c r="D55" s="10" t="s">
        <v>72</v>
      </c>
      <c r="E55" s="10" t="s">
        <v>82</v>
      </c>
      <c r="F55" s="47" t="s">
        <v>191</v>
      </c>
      <c r="G55" s="10" t="s">
        <v>18</v>
      </c>
      <c r="H55" s="20">
        <v>6038</v>
      </c>
      <c r="I55" s="20">
        <v>6038</v>
      </c>
      <c r="J55" s="10" t="s">
        <v>304</v>
      </c>
      <c r="K55" s="10" t="s">
        <v>405</v>
      </c>
      <c r="L55" s="10" t="s">
        <v>268</v>
      </c>
      <c r="M55" s="10" t="s">
        <v>269</v>
      </c>
      <c r="N55" s="10" t="s">
        <v>270</v>
      </c>
      <c r="O55" s="21"/>
    </row>
    <row r="56" spans="1:15" x14ac:dyDescent="0.35">
      <c r="A56" s="15">
        <f t="shared" si="0"/>
        <v>54</v>
      </c>
      <c r="B56" s="16">
        <v>5269</v>
      </c>
      <c r="C56" s="19">
        <v>45621</v>
      </c>
      <c r="D56" s="10" t="s">
        <v>72</v>
      </c>
      <c r="E56" s="10" t="s">
        <v>82</v>
      </c>
      <c r="F56" s="47" t="s">
        <v>192</v>
      </c>
      <c r="G56" s="10" t="s">
        <v>18</v>
      </c>
      <c r="H56" s="20">
        <v>6040</v>
      </c>
      <c r="I56" s="20">
        <v>6040</v>
      </c>
      <c r="J56" s="10" t="s">
        <v>304</v>
      </c>
      <c r="K56" s="10" t="s">
        <v>405</v>
      </c>
      <c r="L56" s="10" t="s">
        <v>268</v>
      </c>
      <c r="M56" s="10" t="s">
        <v>269</v>
      </c>
      <c r="N56" s="10" t="s">
        <v>270</v>
      </c>
      <c r="O56" s="21"/>
    </row>
    <row r="57" spans="1:15" x14ac:dyDescent="0.35">
      <c r="A57" s="15">
        <f t="shared" si="0"/>
        <v>55</v>
      </c>
      <c r="B57" s="16">
        <v>5269</v>
      </c>
      <c r="C57" s="19">
        <v>45621</v>
      </c>
      <c r="D57" s="10" t="s">
        <v>72</v>
      </c>
      <c r="E57" s="10" t="s">
        <v>81</v>
      </c>
      <c r="F57" s="47" t="s">
        <v>161</v>
      </c>
      <c r="G57" s="10" t="s">
        <v>18</v>
      </c>
      <c r="H57" s="20">
        <v>1000</v>
      </c>
      <c r="I57" s="20">
        <v>1000</v>
      </c>
      <c r="J57" s="10" t="s">
        <v>304</v>
      </c>
      <c r="K57" s="10" t="s">
        <v>405</v>
      </c>
      <c r="L57" s="10" t="s">
        <v>268</v>
      </c>
      <c r="M57" s="10" t="s">
        <v>269</v>
      </c>
      <c r="N57" s="10" t="s">
        <v>270</v>
      </c>
      <c r="O57" s="21"/>
    </row>
    <row r="58" spans="1:15" x14ac:dyDescent="0.35">
      <c r="A58" s="15">
        <f t="shared" si="0"/>
        <v>56</v>
      </c>
      <c r="B58" s="16">
        <v>5270</v>
      </c>
      <c r="C58" s="19">
        <v>45622</v>
      </c>
      <c r="D58" s="10" t="s">
        <v>72</v>
      </c>
      <c r="E58" s="10" t="s">
        <v>75</v>
      </c>
      <c r="F58" s="47" t="s">
        <v>149</v>
      </c>
      <c r="G58" s="10" t="s">
        <v>11</v>
      </c>
      <c r="H58" s="20">
        <v>2000</v>
      </c>
      <c r="I58" s="20">
        <v>2000</v>
      </c>
      <c r="J58" s="10" t="s">
        <v>304</v>
      </c>
      <c r="K58" s="10" t="s">
        <v>405</v>
      </c>
      <c r="L58" s="10" t="s">
        <v>268</v>
      </c>
      <c r="M58" s="10" t="s">
        <v>269</v>
      </c>
      <c r="N58" s="10" t="s">
        <v>270</v>
      </c>
      <c r="O58" s="21"/>
    </row>
    <row r="59" spans="1:15" x14ac:dyDescent="0.35">
      <c r="A59" s="15">
        <f t="shared" si="0"/>
        <v>57</v>
      </c>
      <c r="B59" s="16">
        <v>5270</v>
      </c>
      <c r="C59" s="19">
        <v>45622</v>
      </c>
      <c r="D59" s="10" t="s">
        <v>72</v>
      </c>
      <c r="E59" s="10" t="s">
        <v>75</v>
      </c>
      <c r="F59" s="47" t="s">
        <v>150</v>
      </c>
      <c r="G59" s="10" t="s">
        <v>11</v>
      </c>
      <c r="H59" s="20">
        <v>5000</v>
      </c>
      <c r="I59" s="20">
        <v>5000</v>
      </c>
      <c r="J59" s="10" t="s">
        <v>304</v>
      </c>
      <c r="K59" s="10" t="s">
        <v>405</v>
      </c>
      <c r="L59" s="10" t="s">
        <v>268</v>
      </c>
      <c r="M59" s="10" t="s">
        <v>269</v>
      </c>
      <c r="N59" s="10" t="s">
        <v>270</v>
      </c>
      <c r="O59" s="21"/>
    </row>
    <row r="60" spans="1:15" x14ac:dyDescent="0.35">
      <c r="A60" s="15">
        <f t="shared" si="0"/>
        <v>58</v>
      </c>
      <c r="B60" s="16">
        <v>5270</v>
      </c>
      <c r="C60" s="19">
        <v>45622</v>
      </c>
      <c r="D60" s="10" t="s">
        <v>72</v>
      </c>
      <c r="E60" s="10" t="s">
        <v>75</v>
      </c>
      <c r="F60" s="47" t="s">
        <v>151</v>
      </c>
      <c r="G60" s="10" t="s">
        <v>11</v>
      </c>
      <c r="H60" s="20">
        <v>16302</v>
      </c>
      <c r="I60" s="20">
        <v>16302</v>
      </c>
      <c r="J60" s="10" t="s">
        <v>304</v>
      </c>
      <c r="K60" s="10" t="s">
        <v>405</v>
      </c>
      <c r="L60" s="10" t="s">
        <v>268</v>
      </c>
      <c r="M60" s="10" t="s">
        <v>269</v>
      </c>
      <c r="N60" s="10" t="s">
        <v>270</v>
      </c>
      <c r="O60" s="21"/>
    </row>
    <row r="61" spans="1:15" x14ac:dyDescent="0.35">
      <c r="A61" s="15">
        <f t="shared" si="0"/>
        <v>59</v>
      </c>
      <c r="B61" s="16">
        <v>5270</v>
      </c>
      <c r="C61" s="19">
        <v>45622</v>
      </c>
      <c r="D61" s="10" t="s">
        <v>72</v>
      </c>
      <c r="E61" s="10" t="s">
        <v>75</v>
      </c>
      <c r="F61" s="47" t="s">
        <v>152</v>
      </c>
      <c r="G61" s="10" t="s">
        <v>11</v>
      </c>
      <c r="H61" s="20">
        <v>20000</v>
      </c>
      <c r="I61" s="20">
        <v>20000</v>
      </c>
      <c r="J61" s="10" t="s">
        <v>304</v>
      </c>
      <c r="K61" s="10" t="s">
        <v>405</v>
      </c>
      <c r="L61" s="10" t="s">
        <v>268</v>
      </c>
      <c r="M61" s="10" t="s">
        <v>269</v>
      </c>
      <c r="N61" s="10" t="s">
        <v>270</v>
      </c>
      <c r="O61" s="21"/>
    </row>
    <row r="62" spans="1:15" ht="28" x14ac:dyDescent="0.35">
      <c r="A62" s="15">
        <f t="shared" si="0"/>
        <v>60</v>
      </c>
      <c r="B62" s="16">
        <v>5271</v>
      </c>
      <c r="C62" s="19">
        <v>45623</v>
      </c>
      <c r="D62" s="10" t="s">
        <v>72</v>
      </c>
      <c r="E62" s="10" t="s">
        <v>76</v>
      </c>
      <c r="F62" s="47" t="s">
        <v>187</v>
      </c>
      <c r="G62" s="10" t="s">
        <v>11</v>
      </c>
      <c r="H62" s="20">
        <v>37</v>
      </c>
      <c r="I62" s="20">
        <v>37</v>
      </c>
      <c r="J62" s="10" t="s">
        <v>304</v>
      </c>
      <c r="K62" s="10" t="s">
        <v>405</v>
      </c>
      <c r="L62" s="10" t="s">
        <v>268</v>
      </c>
      <c r="M62" s="10" t="s">
        <v>269</v>
      </c>
      <c r="N62" s="10" t="s">
        <v>270</v>
      </c>
      <c r="O62" s="21"/>
    </row>
    <row r="63" spans="1:15" x14ac:dyDescent="0.35">
      <c r="A63" s="15">
        <f t="shared" si="0"/>
        <v>61</v>
      </c>
      <c r="B63" s="16">
        <v>5271</v>
      </c>
      <c r="C63" s="19">
        <v>45623</v>
      </c>
      <c r="D63" s="10" t="s">
        <v>72</v>
      </c>
      <c r="E63" s="10" t="s">
        <v>76</v>
      </c>
      <c r="F63" s="47" t="s">
        <v>274</v>
      </c>
      <c r="G63" s="10" t="s">
        <v>11</v>
      </c>
      <c r="H63" s="20">
        <v>92</v>
      </c>
      <c r="I63" s="20">
        <v>92</v>
      </c>
      <c r="J63" s="10" t="s">
        <v>304</v>
      </c>
      <c r="K63" s="10" t="s">
        <v>405</v>
      </c>
      <c r="L63" s="10" t="s">
        <v>268</v>
      </c>
      <c r="M63" s="10" t="s">
        <v>269</v>
      </c>
      <c r="N63" s="10" t="s">
        <v>270</v>
      </c>
      <c r="O63" s="21"/>
    </row>
    <row r="64" spans="1:15" x14ac:dyDescent="0.35">
      <c r="A64" s="15">
        <f t="shared" si="0"/>
        <v>62</v>
      </c>
      <c r="B64" s="16">
        <v>5271</v>
      </c>
      <c r="C64" s="19">
        <v>45623</v>
      </c>
      <c r="D64" s="10" t="s">
        <v>72</v>
      </c>
      <c r="E64" s="10" t="s">
        <v>75</v>
      </c>
      <c r="F64" s="47" t="s">
        <v>446</v>
      </c>
      <c r="G64" s="10" t="s">
        <v>13</v>
      </c>
      <c r="H64" s="20">
        <v>23240</v>
      </c>
      <c r="I64" s="20">
        <v>23240</v>
      </c>
      <c r="J64" s="10" t="s">
        <v>304</v>
      </c>
      <c r="K64" s="10" t="s">
        <v>405</v>
      </c>
      <c r="L64" s="10" t="s">
        <v>268</v>
      </c>
      <c r="M64" s="10" t="s">
        <v>269</v>
      </c>
      <c r="N64" s="10" t="s">
        <v>270</v>
      </c>
      <c r="O64" s="21"/>
    </row>
    <row r="65" spans="1:15" x14ac:dyDescent="0.35">
      <c r="A65" s="15">
        <f t="shared" si="0"/>
        <v>63</v>
      </c>
      <c r="B65" s="16">
        <v>5272</v>
      </c>
      <c r="C65" s="19">
        <v>45624</v>
      </c>
      <c r="D65" s="10" t="s">
        <v>72</v>
      </c>
      <c r="E65" s="10" t="s">
        <v>81</v>
      </c>
      <c r="F65" s="47" t="s">
        <v>161</v>
      </c>
      <c r="G65" s="10" t="s">
        <v>18</v>
      </c>
      <c r="H65" s="20">
        <v>1000</v>
      </c>
      <c r="I65" s="20">
        <v>1000</v>
      </c>
      <c r="J65" s="10" t="s">
        <v>302</v>
      </c>
      <c r="K65" s="10" t="s">
        <v>303</v>
      </c>
      <c r="L65" s="10" t="s">
        <v>268</v>
      </c>
      <c r="M65" s="10" t="s">
        <v>269</v>
      </c>
      <c r="N65" s="10" t="s">
        <v>270</v>
      </c>
      <c r="O65" s="21"/>
    </row>
    <row r="66" spans="1:15" x14ac:dyDescent="0.35">
      <c r="A66" s="15">
        <f t="shared" si="0"/>
        <v>64</v>
      </c>
      <c r="B66" s="16">
        <v>5272</v>
      </c>
      <c r="C66" s="19">
        <v>45624</v>
      </c>
      <c r="D66" s="10" t="s">
        <v>72</v>
      </c>
      <c r="E66" s="10" t="s">
        <v>78</v>
      </c>
      <c r="F66" s="47" t="s">
        <v>197</v>
      </c>
      <c r="G66" s="10" t="s">
        <v>18</v>
      </c>
      <c r="H66" s="20">
        <v>1008</v>
      </c>
      <c r="I66" s="20">
        <v>1008</v>
      </c>
      <c r="J66" s="10" t="s">
        <v>302</v>
      </c>
      <c r="K66" s="10" t="s">
        <v>303</v>
      </c>
      <c r="L66" s="10" t="s">
        <v>268</v>
      </c>
      <c r="M66" s="10" t="s">
        <v>269</v>
      </c>
      <c r="N66" s="10" t="s">
        <v>270</v>
      </c>
      <c r="O66" s="21" t="s">
        <v>532</v>
      </c>
    </row>
    <row r="67" spans="1:15" x14ac:dyDescent="0.35">
      <c r="A67" s="15">
        <f t="shared" si="0"/>
        <v>65</v>
      </c>
      <c r="B67" s="16">
        <v>5272</v>
      </c>
      <c r="C67" s="19">
        <v>45624</v>
      </c>
      <c r="D67" s="10" t="s">
        <v>72</v>
      </c>
      <c r="E67" s="10" t="s">
        <v>78</v>
      </c>
      <c r="F67" s="47" t="s">
        <v>197</v>
      </c>
      <c r="G67" s="10" t="s">
        <v>18</v>
      </c>
      <c r="H67" s="20">
        <v>987</v>
      </c>
      <c r="I67" s="20">
        <v>987</v>
      </c>
      <c r="J67" s="10" t="s">
        <v>302</v>
      </c>
      <c r="K67" s="10" t="s">
        <v>303</v>
      </c>
      <c r="L67" s="10" t="s">
        <v>268</v>
      </c>
      <c r="M67" s="10" t="s">
        <v>269</v>
      </c>
      <c r="N67" s="10" t="s">
        <v>270</v>
      </c>
      <c r="O67" s="21" t="s">
        <v>533</v>
      </c>
    </row>
    <row r="68" spans="1:15" x14ac:dyDescent="0.35">
      <c r="A68" s="15">
        <f t="shared" si="0"/>
        <v>66</v>
      </c>
      <c r="B68" s="16">
        <v>5272</v>
      </c>
      <c r="C68" s="19">
        <v>45624</v>
      </c>
      <c r="D68" s="10" t="s">
        <v>72</v>
      </c>
      <c r="E68" s="10" t="s">
        <v>78</v>
      </c>
      <c r="F68" s="47" t="s">
        <v>197</v>
      </c>
      <c r="G68" s="10" t="s">
        <v>18</v>
      </c>
      <c r="H68" s="20">
        <v>1010</v>
      </c>
      <c r="I68" s="20">
        <v>1010</v>
      </c>
      <c r="J68" s="10" t="s">
        <v>302</v>
      </c>
      <c r="K68" s="10" t="s">
        <v>303</v>
      </c>
      <c r="L68" s="10" t="s">
        <v>268</v>
      </c>
      <c r="M68" s="10" t="s">
        <v>269</v>
      </c>
      <c r="N68" s="10" t="s">
        <v>270</v>
      </c>
      <c r="O68" s="21" t="s">
        <v>534</v>
      </c>
    </row>
    <row r="69" spans="1:15" x14ac:dyDescent="0.35">
      <c r="A69" s="15">
        <f t="shared" si="0"/>
        <v>67</v>
      </c>
      <c r="B69" s="16">
        <v>5273</v>
      </c>
      <c r="C69" s="19">
        <v>45624</v>
      </c>
      <c r="D69" s="10" t="s">
        <v>72</v>
      </c>
      <c r="E69" s="10" t="s">
        <v>122</v>
      </c>
      <c r="F69" s="47" t="s">
        <v>453</v>
      </c>
      <c r="G69" s="10" t="s">
        <v>13</v>
      </c>
      <c r="H69" s="20">
        <v>3</v>
      </c>
      <c r="I69" s="20">
        <v>3</v>
      </c>
      <c r="J69" s="10" t="s">
        <v>304</v>
      </c>
      <c r="K69" s="10" t="s">
        <v>405</v>
      </c>
      <c r="L69" s="10" t="s">
        <v>268</v>
      </c>
      <c r="M69" s="10" t="s">
        <v>269</v>
      </c>
      <c r="N69" s="10" t="s">
        <v>270</v>
      </c>
      <c r="O69" s="21" t="s">
        <v>531</v>
      </c>
    </row>
    <row r="70" spans="1:15" x14ac:dyDescent="0.35">
      <c r="A70" s="15">
        <f t="shared" si="0"/>
        <v>68</v>
      </c>
      <c r="B70" s="16">
        <v>5274</v>
      </c>
      <c r="C70" s="19">
        <v>45625</v>
      </c>
      <c r="D70" s="10" t="s">
        <v>72</v>
      </c>
      <c r="E70" s="10" t="s">
        <v>75</v>
      </c>
      <c r="F70" s="47" t="s">
        <v>446</v>
      </c>
      <c r="G70" s="10" t="s">
        <v>13</v>
      </c>
      <c r="H70" s="20">
        <v>23960</v>
      </c>
      <c r="I70" s="20">
        <v>23960</v>
      </c>
      <c r="J70" s="10" t="s">
        <v>302</v>
      </c>
      <c r="K70" s="10" t="s">
        <v>303</v>
      </c>
      <c r="L70" s="10" t="s">
        <v>268</v>
      </c>
      <c r="M70" s="10" t="s">
        <v>269</v>
      </c>
      <c r="N70" s="10" t="s">
        <v>270</v>
      </c>
      <c r="O70" s="10"/>
    </row>
    <row r="71" spans="1:15" x14ac:dyDescent="0.35">
      <c r="A71" s="15">
        <f t="shared" si="0"/>
        <v>69</v>
      </c>
      <c r="B71" s="16">
        <v>5275</v>
      </c>
      <c r="C71" s="19">
        <v>45627</v>
      </c>
      <c r="D71" s="10" t="s">
        <v>72</v>
      </c>
      <c r="E71" s="10" t="s">
        <v>82</v>
      </c>
      <c r="F71" s="47" t="s">
        <v>191</v>
      </c>
      <c r="G71" s="10" t="s">
        <v>18</v>
      </c>
      <c r="H71" s="20">
        <v>1993</v>
      </c>
      <c r="I71" s="20">
        <v>1993</v>
      </c>
      <c r="J71" s="10" t="s">
        <v>304</v>
      </c>
      <c r="K71" s="10" t="s">
        <v>405</v>
      </c>
      <c r="L71" s="10" t="s">
        <v>268</v>
      </c>
      <c r="M71" s="10" t="s">
        <v>269</v>
      </c>
      <c r="N71" s="10" t="s">
        <v>270</v>
      </c>
      <c r="O71" s="21" t="s">
        <v>565</v>
      </c>
    </row>
    <row r="72" spans="1:15" x14ac:dyDescent="0.35">
      <c r="A72" s="15">
        <f t="shared" si="0"/>
        <v>70</v>
      </c>
      <c r="B72" s="16">
        <v>5275</v>
      </c>
      <c r="C72" s="19">
        <v>45627</v>
      </c>
      <c r="D72" s="10" t="s">
        <v>72</v>
      </c>
      <c r="E72" s="10" t="s">
        <v>82</v>
      </c>
      <c r="F72" s="47" t="s">
        <v>192</v>
      </c>
      <c r="G72" s="10" t="s">
        <v>18</v>
      </c>
      <c r="H72" s="20">
        <v>2014</v>
      </c>
      <c r="I72" s="20">
        <v>2014</v>
      </c>
      <c r="J72" s="10" t="s">
        <v>304</v>
      </c>
      <c r="K72" s="10" t="s">
        <v>405</v>
      </c>
      <c r="L72" s="10" t="s">
        <v>268</v>
      </c>
      <c r="M72" s="10" t="s">
        <v>269</v>
      </c>
      <c r="N72" s="10" t="s">
        <v>270</v>
      </c>
      <c r="O72" s="21" t="s">
        <v>566</v>
      </c>
    </row>
    <row r="73" spans="1:15" x14ac:dyDescent="0.35">
      <c r="A73" s="15">
        <f t="shared" si="0"/>
        <v>71</v>
      </c>
      <c r="B73" s="16">
        <v>5276</v>
      </c>
      <c r="C73" s="19">
        <v>45627</v>
      </c>
      <c r="D73" s="10" t="s">
        <v>72</v>
      </c>
      <c r="E73" s="10" t="s">
        <v>82</v>
      </c>
      <c r="F73" s="47" t="s">
        <v>191</v>
      </c>
      <c r="G73" s="10" t="s">
        <v>18</v>
      </c>
      <c r="H73" s="20">
        <v>2020</v>
      </c>
      <c r="I73" s="20">
        <v>2020</v>
      </c>
      <c r="J73" s="10" t="s">
        <v>302</v>
      </c>
      <c r="K73" s="10" t="s">
        <v>303</v>
      </c>
      <c r="L73" s="10" t="s">
        <v>268</v>
      </c>
      <c r="M73" s="10" t="s">
        <v>269</v>
      </c>
      <c r="N73" s="10" t="s">
        <v>270</v>
      </c>
      <c r="O73" s="21" t="s">
        <v>567</v>
      </c>
    </row>
    <row r="74" spans="1:15" x14ac:dyDescent="0.35">
      <c r="A74" s="15">
        <f t="shared" si="0"/>
        <v>72</v>
      </c>
      <c r="B74" s="16">
        <v>5276</v>
      </c>
      <c r="C74" s="19">
        <v>45627</v>
      </c>
      <c r="D74" s="10" t="s">
        <v>72</v>
      </c>
      <c r="E74" s="10" t="s">
        <v>82</v>
      </c>
      <c r="F74" s="47" t="s">
        <v>191</v>
      </c>
      <c r="G74" s="10" t="s">
        <v>18</v>
      </c>
      <c r="H74" s="20">
        <v>2011</v>
      </c>
      <c r="I74" s="20">
        <v>2011</v>
      </c>
      <c r="J74" s="10" t="s">
        <v>302</v>
      </c>
      <c r="K74" s="10" t="s">
        <v>303</v>
      </c>
      <c r="L74" s="10" t="s">
        <v>268</v>
      </c>
      <c r="M74" s="10" t="s">
        <v>269</v>
      </c>
      <c r="N74" s="10" t="s">
        <v>270</v>
      </c>
      <c r="O74" s="21" t="s">
        <v>568</v>
      </c>
    </row>
    <row r="75" spans="1:15" x14ac:dyDescent="0.35">
      <c r="A75" s="15">
        <f t="shared" ref="A75:A138" si="1">+A74+1</f>
        <v>73</v>
      </c>
      <c r="B75" s="16">
        <v>5276</v>
      </c>
      <c r="C75" s="19">
        <v>45627</v>
      </c>
      <c r="D75" s="10" t="s">
        <v>72</v>
      </c>
      <c r="E75" s="10" t="s">
        <v>82</v>
      </c>
      <c r="F75" s="47" t="s">
        <v>192</v>
      </c>
      <c r="G75" s="10" t="s">
        <v>18</v>
      </c>
      <c r="H75" s="20">
        <v>2010</v>
      </c>
      <c r="I75" s="20">
        <v>2010</v>
      </c>
      <c r="J75" s="10" t="s">
        <v>302</v>
      </c>
      <c r="K75" s="10" t="s">
        <v>303</v>
      </c>
      <c r="L75" s="10" t="s">
        <v>268</v>
      </c>
      <c r="M75" s="10" t="s">
        <v>269</v>
      </c>
      <c r="N75" s="10" t="s">
        <v>270</v>
      </c>
      <c r="O75" s="21" t="s">
        <v>569</v>
      </c>
    </row>
    <row r="76" spans="1:15" x14ac:dyDescent="0.35">
      <c r="A76" s="15">
        <f t="shared" si="1"/>
        <v>74</v>
      </c>
      <c r="B76" s="16">
        <v>5276</v>
      </c>
      <c r="C76" s="19">
        <v>45627</v>
      </c>
      <c r="D76" s="10" t="s">
        <v>72</v>
      </c>
      <c r="E76" s="10" t="s">
        <v>82</v>
      </c>
      <c r="F76" s="47" t="s">
        <v>192</v>
      </c>
      <c r="G76" s="10" t="s">
        <v>18</v>
      </c>
      <c r="H76" s="20">
        <v>2043</v>
      </c>
      <c r="I76" s="20">
        <v>2043</v>
      </c>
      <c r="J76" s="10" t="s">
        <v>302</v>
      </c>
      <c r="K76" s="10" t="s">
        <v>303</v>
      </c>
      <c r="L76" s="10" t="s">
        <v>268</v>
      </c>
      <c r="M76" s="10" t="s">
        <v>269</v>
      </c>
      <c r="N76" s="10" t="s">
        <v>270</v>
      </c>
      <c r="O76" s="21" t="s">
        <v>570</v>
      </c>
    </row>
    <row r="77" spans="1:15" x14ac:dyDescent="0.35">
      <c r="A77" s="15">
        <f t="shared" si="1"/>
        <v>75</v>
      </c>
      <c r="B77" s="16">
        <v>5276</v>
      </c>
      <c r="C77" s="19">
        <v>45627</v>
      </c>
      <c r="D77" s="10" t="s">
        <v>72</v>
      </c>
      <c r="E77" s="10" t="s">
        <v>82</v>
      </c>
      <c r="F77" s="47" t="s">
        <v>192</v>
      </c>
      <c r="G77" s="10" t="s">
        <v>18</v>
      </c>
      <c r="H77" s="20">
        <v>2000</v>
      </c>
      <c r="I77" s="20">
        <v>2000</v>
      </c>
      <c r="J77" s="10" t="s">
        <v>302</v>
      </c>
      <c r="K77" s="10" t="s">
        <v>303</v>
      </c>
      <c r="L77" s="10" t="s">
        <v>268</v>
      </c>
      <c r="M77" s="10" t="s">
        <v>269</v>
      </c>
      <c r="N77" s="10" t="s">
        <v>270</v>
      </c>
      <c r="O77" s="21" t="s">
        <v>571</v>
      </c>
    </row>
    <row r="78" spans="1:15" x14ac:dyDescent="0.35">
      <c r="A78" s="15">
        <f t="shared" si="1"/>
        <v>76</v>
      </c>
      <c r="B78" s="16">
        <v>5276</v>
      </c>
      <c r="C78" s="19">
        <v>45627</v>
      </c>
      <c r="D78" s="10" t="s">
        <v>72</v>
      </c>
      <c r="E78" s="10" t="s">
        <v>82</v>
      </c>
      <c r="F78" s="47" t="s">
        <v>192</v>
      </c>
      <c r="G78" s="10" t="s">
        <v>18</v>
      </c>
      <c r="H78" s="20">
        <v>2000</v>
      </c>
      <c r="I78" s="20">
        <v>2000</v>
      </c>
      <c r="J78" s="10" t="s">
        <v>302</v>
      </c>
      <c r="K78" s="10" t="s">
        <v>303</v>
      </c>
      <c r="L78" s="10" t="s">
        <v>268</v>
      </c>
      <c r="M78" s="10" t="s">
        <v>269</v>
      </c>
      <c r="N78" s="10" t="s">
        <v>270</v>
      </c>
      <c r="O78" s="21" t="s">
        <v>572</v>
      </c>
    </row>
    <row r="79" spans="1:15" x14ac:dyDescent="0.35">
      <c r="A79" s="15">
        <f t="shared" si="1"/>
        <v>77</v>
      </c>
      <c r="B79" s="16">
        <v>5277</v>
      </c>
      <c r="C79" s="19">
        <v>45629</v>
      </c>
      <c r="D79" s="10" t="s">
        <v>72</v>
      </c>
      <c r="E79" s="10" t="s">
        <v>78</v>
      </c>
      <c r="F79" s="47" t="s">
        <v>197</v>
      </c>
      <c r="G79" s="10" t="s">
        <v>18</v>
      </c>
      <c r="H79" s="20">
        <v>1009</v>
      </c>
      <c r="I79" s="20">
        <v>1009</v>
      </c>
      <c r="J79" s="10" t="s">
        <v>304</v>
      </c>
      <c r="K79" s="10" t="s">
        <v>405</v>
      </c>
      <c r="L79" s="10" t="s">
        <v>268</v>
      </c>
      <c r="M79" s="10" t="s">
        <v>269</v>
      </c>
      <c r="N79" s="10" t="s">
        <v>270</v>
      </c>
      <c r="O79" s="21" t="s">
        <v>573</v>
      </c>
    </row>
    <row r="80" spans="1:15" x14ac:dyDescent="0.35">
      <c r="A80" s="15">
        <f t="shared" si="1"/>
        <v>78</v>
      </c>
      <c r="B80" s="16">
        <v>5277</v>
      </c>
      <c r="C80" s="19">
        <v>45629</v>
      </c>
      <c r="D80" s="10" t="s">
        <v>72</v>
      </c>
      <c r="E80" s="10" t="s">
        <v>78</v>
      </c>
      <c r="F80" s="47" t="s">
        <v>197</v>
      </c>
      <c r="G80" s="10" t="s">
        <v>18</v>
      </c>
      <c r="H80" s="20">
        <v>1002</v>
      </c>
      <c r="I80" s="20">
        <v>1002</v>
      </c>
      <c r="J80" s="10" t="s">
        <v>304</v>
      </c>
      <c r="K80" s="10" t="s">
        <v>405</v>
      </c>
      <c r="L80" s="10" t="s">
        <v>268</v>
      </c>
      <c r="M80" s="10" t="s">
        <v>269</v>
      </c>
      <c r="N80" s="10" t="s">
        <v>270</v>
      </c>
      <c r="O80" s="21" t="s">
        <v>574</v>
      </c>
    </row>
    <row r="81" spans="1:15" x14ac:dyDescent="0.35">
      <c r="A81" s="15">
        <f t="shared" si="1"/>
        <v>79</v>
      </c>
      <c r="B81" s="16">
        <v>5277</v>
      </c>
      <c r="C81" s="19">
        <v>45629</v>
      </c>
      <c r="D81" s="10" t="s">
        <v>72</v>
      </c>
      <c r="E81" s="10" t="s">
        <v>78</v>
      </c>
      <c r="F81" s="47" t="s">
        <v>197</v>
      </c>
      <c r="G81" s="10" t="s">
        <v>18</v>
      </c>
      <c r="H81" s="20">
        <v>1007</v>
      </c>
      <c r="I81" s="20">
        <v>1007</v>
      </c>
      <c r="J81" s="10" t="s">
        <v>304</v>
      </c>
      <c r="K81" s="10" t="s">
        <v>405</v>
      </c>
      <c r="L81" s="10" t="s">
        <v>268</v>
      </c>
      <c r="M81" s="10" t="s">
        <v>269</v>
      </c>
      <c r="N81" s="10" t="s">
        <v>270</v>
      </c>
      <c r="O81" s="21" t="s">
        <v>575</v>
      </c>
    </row>
    <row r="82" spans="1:15" x14ac:dyDescent="0.35">
      <c r="A82" s="15">
        <f t="shared" si="1"/>
        <v>80</v>
      </c>
      <c r="B82" s="16">
        <v>5277</v>
      </c>
      <c r="C82" s="19">
        <v>45629</v>
      </c>
      <c r="D82" s="10" t="s">
        <v>72</v>
      </c>
      <c r="E82" s="10" t="s">
        <v>78</v>
      </c>
      <c r="F82" s="47" t="s">
        <v>197</v>
      </c>
      <c r="G82" s="10" t="s">
        <v>18</v>
      </c>
      <c r="H82" s="20">
        <v>1004</v>
      </c>
      <c r="I82" s="20">
        <v>1004</v>
      </c>
      <c r="J82" s="10" t="s">
        <v>304</v>
      </c>
      <c r="K82" s="10" t="s">
        <v>405</v>
      </c>
      <c r="L82" s="10" t="s">
        <v>268</v>
      </c>
      <c r="M82" s="10" t="s">
        <v>269</v>
      </c>
      <c r="N82" s="10" t="s">
        <v>270</v>
      </c>
      <c r="O82" s="21" t="s">
        <v>576</v>
      </c>
    </row>
    <row r="83" spans="1:15" x14ac:dyDescent="0.35">
      <c r="A83" s="15">
        <f t="shared" si="1"/>
        <v>81</v>
      </c>
      <c r="B83" s="16">
        <v>5278</v>
      </c>
      <c r="C83" s="19">
        <v>45630</v>
      </c>
      <c r="D83" s="10" t="s">
        <v>72</v>
      </c>
      <c r="E83" s="10" t="s">
        <v>85</v>
      </c>
      <c r="F83" s="47" t="s">
        <v>577</v>
      </c>
      <c r="G83" s="10" t="s">
        <v>18</v>
      </c>
      <c r="H83" s="20">
        <v>500</v>
      </c>
      <c r="I83" s="20">
        <v>500</v>
      </c>
      <c r="J83" s="10" t="s">
        <v>302</v>
      </c>
      <c r="K83" s="10" t="s">
        <v>303</v>
      </c>
      <c r="L83" s="10" t="s">
        <v>268</v>
      </c>
      <c r="M83" s="10" t="s">
        <v>269</v>
      </c>
      <c r="N83" s="10" t="s">
        <v>270</v>
      </c>
      <c r="O83" s="21"/>
    </row>
    <row r="84" spans="1:15" x14ac:dyDescent="0.35">
      <c r="A84" s="15">
        <f t="shared" si="1"/>
        <v>82</v>
      </c>
      <c r="B84" s="16">
        <v>5278</v>
      </c>
      <c r="C84" s="19">
        <v>45630</v>
      </c>
      <c r="D84" s="10" t="s">
        <v>72</v>
      </c>
      <c r="E84" s="10" t="s">
        <v>81</v>
      </c>
      <c r="F84" s="47" t="s">
        <v>162</v>
      </c>
      <c r="G84" s="10" t="s">
        <v>11</v>
      </c>
      <c r="H84" s="20">
        <v>25</v>
      </c>
      <c r="I84" s="20">
        <v>25</v>
      </c>
      <c r="J84" s="10" t="s">
        <v>302</v>
      </c>
      <c r="K84" s="10" t="s">
        <v>303</v>
      </c>
      <c r="L84" s="10" t="s">
        <v>268</v>
      </c>
      <c r="M84" s="10" t="s">
        <v>269</v>
      </c>
      <c r="N84" s="10" t="s">
        <v>270</v>
      </c>
      <c r="O84" s="21"/>
    </row>
    <row r="85" spans="1:15" x14ac:dyDescent="0.35">
      <c r="A85" s="15">
        <f t="shared" si="1"/>
        <v>83</v>
      </c>
      <c r="B85" s="16">
        <v>5280</v>
      </c>
      <c r="C85" s="19">
        <v>45631</v>
      </c>
      <c r="D85" s="10" t="s">
        <v>72</v>
      </c>
      <c r="E85" s="10" t="s">
        <v>78</v>
      </c>
      <c r="F85" s="47" t="s">
        <v>197</v>
      </c>
      <c r="G85" s="10" t="s">
        <v>18</v>
      </c>
      <c r="H85" s="20">
        <v>1018</v>
      </c>
      <c r="I85" s="20">
        <v>1018</v>
      </c>
      <c r="J85" s="10" t="s">
        <v>304</v>
      </c>
      <c r="K85" s="10" t="s">
        <v>405</v>
      </c>
      <c r="L85" s="10" t="s">
        <v>268</v>
      </c>
      <c r="M85" s="10" t="s">
        <v>269</v>
      </c>
      <c r="N85" s="10" t="s">
        <v>270</v>
      </c>
      <c r="O85" s="21" t="s">
        <v>578</v>
      </c>
    </row>
    <row r="86" spans="1:15" x14ac:dyDescent="0.35">
      <c r="A86" s="15">
        <f t="shared" si="1"/>
        <v>84</v>
      </c>
      <c r="B86" s="16">
        <v>5281</v>
      </c>
      <c r="C86" s="19">
        <v>45631</v>
      </c>
      <c r="D86" s="10" t="s">
        <v>72</v>
      </c>
      <c r="E86" s="10" t="s">
        <v>82</v>
      </c>
      <c r="F86" s="47" t="s">
        <v>191</v>
      </c>
      <c r="G86" s="10" t="s">
        <v>18</v>
      </c>
      <c r="H86" s="20">
        <v>2010</v>
      </c>
      <c r="I86" s="20">
        <v>2010</v>
      </c>
      <c r="J86" s="10" t="s">
        <v>302</v>
      </c>
      <c r="K86" s="10" t="s">
        <v>303</v>
      </c>
      <c r="L86" s="10" t="s">
        <v>268</v>
      </c>
      <c r="M86" s="10" t="s">
        <v>269</v>
      </c>
      <c r="N86" s="10" t="s">
        <v>270</v>
      </c>
      <c r="O86" s="21" t="s">
        <v>579</v>
      </c>
    </row>
    <row r="87" spans="1:15" x14ac:dyDescent="0.35">
      <c r="A87" s="15">
        <f t="shared" si="1"/>
        <v>85</v>
      </c>
      <c r="B87" s="16">
        <v>5281</v>
      </c>
      <c r="C87" s="19">
        <v>45631</v>
      </c>
      <c r="D87" s="10" t="s">
        <v>72</v>
      </c>
      <c r="E87" s="10" t="s">
        <v>82</v>
      </c>
      <c r="F87" s="47" t="s">
        <v>191</v>
      </c>
      <c r="G87" s="10" t="s">
        <v>18</v>
      </c>
      <c r="H87" s="20">
        <v>2010</v>
      </c>
      <c r="I87" s="20">
        <v>2010</v>
      </c>
      <c r="J87" s="10" t="s">
        <v>302</v>
      </c>
      <c r="K87" s="10" t="s">
        <v>303</v>
      </c>
      <c r="L87" s="10" t="s">
        <v>268</v>
      </c>
      <c r="M87" s="10" t="s">
        <v>269</v>
      </c>
      <c r="N87" s="10" t="s">
        <v>270</v>
      </c>
      <c r="O87" s="21" t="s">
        <v>580</v>
      </c>
    </row>
    <row r="88" spans="1:15" x14ac:dyDescent="0.35">
      <c r="A88" s="15">
        <f t="shared" si="1"/>
        <v>86</v>
      </c>
      <c r="B88" s="16">
        <v>5282</v>
      </c>
      <c r="C88" s="19">
        <v>45632</v>
      </c>
      <c r="D88" s="10" t="s">
        <v>72</v>
      </c>
      <c r="E88" s="10" t="s">
        <v>81</v>
      </c>
      <c r="F88" s="47" t="s">
        <v>161</v>
      </c>
      <c r="G88" s="10" t="s">
        <v>18</v>
      </c>
      <c r="H88" s="20">
        <v>500</v>
      </c>
      <c r="I88" s="20">
        <v>500</v>
      </c>
      <c r="J88" s="10" t="s">
        <v>302</v>
      </c>
      <c r="K88" s="10" t="s">
        <v>303</v>
      </c>
      <c r="L88" s="10" t="s">
        <v>268</v>
      </c>
      <c r="M88" s="10" t="s">
        <v>269</v>
      </c>
      <c r="N88" s="10" t="s">
        <v>270</v>
      </c>
      <c r="O88" s="21"/>
    </row>
    <row r="89" spans="1:15" x14ac:dyDescent="0.35">
      <c r="A89" s="15">
        <f t="shared" si="1"/>
        <v>87</v>
      </c>
      <c r="B89" s="16">
        <v>5282</v>
      </c>
      <c r="C89" s="19">
        <v>45632</v>
      </c>
      <c r="D89" s="10" t="s">
        <v>72</v>
      </c>
      <c r="E89" s="10" t="s">
        <v>81</v>
      </c>
      <c r="F89" s="47" t="s">
        <v>164</v>
      </c>
      <c r="G89" s="10" t="s">
        <v>11</v>
      </c>
      <c r="H89" s="20">
        <v>50</v>
      </c>
      <c r="I89" s="20">
        <v>50</v>
      </c>
      <c r="J89" s="10" t="s">
        <v>302</v>
      </c>
      <c r="K89" s="10" t="s">
        <v>303</v>
      </c>
      <c r="L89" s="10" t="s">
        <v>268</v>
      </c>
      <c r="M89" s="10" t="s">
        <v>269</v>
      </c>
      <c r="N89" s="10" t="s">
        <v>270</v>
      </c>
      <c r="O89" s="21"/>
    </row>
    <row r="90" spans="1:15" x14ac:dyDescent="0.35">
      <c r="A90" s="15">
        <f t="shared" si="1"/>
        <v>88</v>
      </c>
      <c r="B90" s="16"/>
      <c r="C90" s="19"/>
      <c r="D90" s="10"/>
      <c r="E90" s="10"/>
      <c r="F90" s="47"/>
      <c r="G90" s="10"/>
      <c r="H90" s="20"/>
      <c r="I90" s="20"/>
      <c r="J90" s="10"/>
      <c r="K90" s="10"/>
      <c r="L90" s="10"/>
      <c r="M90" s="10"/>
      <c r="N90" s="10"/>
      <c r="O90" s="21"/>
    </row>
    <row r="91" spans="1:15" x14ac:dyDescent="0.35">
      <c r="A91" s="15">
        <f t="shared" si="1"/>
        <v>89</v>
      </c>
      <c r="B91" s="16"/>
      <c r="C91" s="19"/>
      <c r="D91" s="10"/>
      <c r="E91" s="10"/>
      <c r="F91" s="47"/>
      <c r="G91" s="10"/>
      <c r="H91" s="20"/>
      <c r="I91" s="20"/>
      <c r="J91" s="10"/>
      <c r="K91" s="10"/>
      <c r="L91" s="10"/>
      <c r="M91" s="10"/>
      <c r="N91" s="10"/>
      <c r="O91" s="21"/>
    </row>
    <row r="92" spans="1:15" x14ac:dyDescent="0.35">
      <c r="A92" s="15">
        <f t="shared" si="1"/>
        <v>90</v>
      </c>
      <c r="B92" s="16"/>
      <c r="C92" s="19"/>
      <c r="D92" s="10"/>
      <c r="E92" s="10"/>
      <c r="F92" s="47"/>
      <c r="G92" s="10"/>
      <c r="H92" s="20"/>
      <c r="I92" s="20"/>
      <c r="J92" s="10"/>
      <c r="K92" s="10"/>
      <c r="L92" s="10"/>
      <c r="M92" s="10"/>
      <c r="N92" s="10"/>
      <c r="O92" s="21"/>
    </row>
    <row r="93" spans="1:15" x14ac:dyDescent="0.35">
      <c r="A93" s="15">
        <f t="shared" si="1"/>
        <v>91</v>
      </c>
      <c r="B93" s="16"/>
      <c r="C93" s="19"/>
      <c r="D93" s="10"/>
      <c r="E93" s="10"/>
      <c r="F93" s="47"/>
      <c r="G93" s="10"/>
      <c r="H93" s="20"/>
      <c r="I93" s="20"/>
      <c r="J93" s="10"/>
      <c r="K93" s="10"/>
      <c r="L93" s="10"/>
      <c r="M93" s="10"/>
      <c r="N93" s="10"/>
      <c r="O93" s="21"/>
    </row>
    <row r="94" spans="1:15" x14ac:dyDescent="0.35">
      <c r="A94" s="15">
        <f t="shared" si="1"/>
        <v>92</v>
      </c>
      <c r="B94" s="16"/>
      <c r="C94" s="19"/>
      <c r="D94" s="10"/>
      <c r="E94" s="10"/>
      <c r="F94" s="47"/>
      <c r="G94" s="10"/>
      <c r="H94" s="20"/>
      <c r="I94" s="20"/>
      <c r="J94" s="10"/>
      <c r="K94" s="10"/>
      <c r="L94" s="10"/>
      <c r="M94" s="10"/>
      <c r="N94" s="10"/>
      <c r="O94" s="21"/>
    </row>
    <row r="95" spans="1:15" x14ac:dyDescent="0.35">
      <c r="A95" s="15">
        <f t="shared" si="1"/>
        <v>93</v>
      </c>
      <c r="B95" s="16"/>
      <c r="C95" s="19"/>
      <c r="D95" s="10"/>
      <c r="E95" s="10"/>
      <c r="F95" s="47"/>
      <c r="G95" s="10"/>
      <c r="H95" s="20"/>
      <c r="I95" s="20"/>
      <c r="J95" s="10"/>
      <c r="K95" s="10"/>
      <c r="L95" s="10"/>
      <c r="M95" s="10"/>
      <c r="N95" s="10"/>
      <c r="O95" s="21"/>
    </row>
    <row r="96" spans="1:15" x14ac:dyDescent="0.35">
      <c r="A96" s="15">
        <f t="shared" si="1"/>
        <v>94</v>
      </c>
      <c r="B96" s="16"/>
      <c r="C96" s="19"/>
      <c r="D96" s="10"/>
      <c r="E96" s="10"/>
      <c r="F96" s="47"/>
      <c r="G96" s="10"/>
      <c r="H96" s="20"/>
      <c r="I96" s="20"/>
      <c r="J96" s="10"/>
      <c r="K96" s="10"/>
      <c r="L96" s="10"/>
      <c r="M96" s="10"/>
      <c r="N96" s="10"/>
      <c r="O96" s="21"/>
    </row>
    <row r="97" spans="1:15" x14ac:dyDescent="0.35">
      <c r="A97" s="15">
        <f t="shared" si="1"/>
        <v>95</v>
      </c>
      <c r="B97" s="16"/>
      <c r="C97" s="19"/>
      <c r="D97" s="10"/>
      <c r="E97" s="10"/>
      <c r="F97" s="47"/>
      <c r="G97" s="10"/>
      <c r="H97" s="20"/>
      <c r="I97" s="20"/>
      <c r="J97" s="10"/>
      <c r="K97" s="10"/>
      <c r="L97" s="10"/>
      <c r="M97" s="10"/>
      <c r="N97" s="10"/>
      <c r="O97" s="21"/>
    </row>
    <row r="98" spans="1:15" x14ac:dyDescent="0.35">
      <c r="A98" s="15">
        <f t="shared" si="1"/>
        <v>96</v>
      </c>
      <c r="B98" s="16"/>
      <c r="C98" s="19"/>
      <c r="D98" s="10"/>
      <c r="E98" s="10"/>
      <c r="F98" s="47"/>
      <c r="G98" s="10"/>
      <c r="H98" s="20"/>
      <c r="I98" s="20"/>
      <c r="J98" s="10"/>
      <c r="K98" s="10"/>
      <c r="L98" s="10"/>
      <c r="M98" s="10"/>
      <c r="N98" s="10"/>
      <c r="O98" s="21"/>
    </row>
    <row r="99" spans="1:15" x14ac:dyDescent="0.35">
      <c r="A99" s="15">
        <f t="shared" si="1"/>
        <v>97</v>
      </c>
      <c r="B99" s="16"/>
      <c r="C99" s="19"/>
      <c r="D99" s="10"/>
      <c r="E99" s="10"/>
      <c r="F99" s="47"/>
      <c r="G99" s="10"/>
      <c r="H99" s="20"/>
      <c r="I99" s="20"/>
      <c r="J99" s="10"/>
      <c r="K99" s="10"/>
      <c r="L99" s="10"/>
      <c r="M99" s="10"/>
      <c r="N99" s="10"/>
      <c r="O99" s="21"/>
    </row>
    <row r="100" spans="1:15" x14ac:dyDescent="0.35">
      <c r="A100" s="15">
        <f t="shared" si="1"/>
        <v>98</v>
      </c>
      <c r="B100" s="16"/>
      <c r="C100" s="19"/>
      <c r="D100" s="10"/>
      <c r="E100" s="10"/>
      <c r="F100" s="47"/>
      <c r="G100" s="10"/>
      <c r="H100" s="20"/>
      <c r="I100" s="20"/>
      <c r="J100" s="10"/>
      <c r="K100" s="10"/>
      <c r="L100" s="10"/>
      <c r="M100" s="10"/>
      <c r="N100" s="10"/>
      <c r="O100" s="21"/>
    </row>
    <row r="101" spans="1:15" x14ac:dyDescent="0.35">
      <c r="A101" s="15">
        <f t="shared" si="1"/>
        <v>99</v>
      </c>
      <c r="B101" s="16"/>
      <c r="C101" s="19"/>
      <c r="D101" s="10"/>
      <c r="E101" s="10"/>
      <c r="F101" s="47"/>
      <c r="G101" s="10"/>
      <c r="H101" s="20"/>
      <c r="I101" s="20"/>
      <c r="J101" s="10"/>
      <c r="K101" s="10"/>
      <c r="L101" s="10"/>
      <c r="M101" s="10"/>
      <c r="N101" s="10"/>
      <c r="O101" s="21"/>
    </row>
    <row r="102" spans="1:15" x14ac:dyDescent="0.35">
      <c r="A102" s="15">
        <f t="shared" si="1"/>
        <v>100</v>
      </c>
      <c r="B102" s="16"/>
      <c r="C102" s="19"/>
      <c r="D102" s="10"/>
      <c r="E102" s="10"/>
      <c r="F102" s="47"/>
      <c r="G102" s="10"/>
      <c r="H102" s="20"/>
      <c r="I102" s="20"/>
      <c r="J102" s="10"/>
      <c r="K102" s="10"/>
      <c r="L102" s="10"/>
      <c r="M102" s="10"/>
      <c r="N102" s="10"/>
      <c r="O102" s="21"/>
    </row>
    <row r="103" spans="1:15" x14ac:dyDescent="0.35">
      <c r="A103" s="15">
        <f t="shared" si="1"/>
        <v>101</v>
      </c>
      <c r="B103" s="16"/>
      <c r="C103" s="19"/>
      <c r="D103" s="10"/>
      <c r="E103" s="10"/>
      <c r="F103" s="47"/>
      <c r="G103" s="10"/>
      <c r="H103" s="20"/>
      <c r="I103" s="20"/>
      <c r="J103" s="10"/>
      <c r="K103" s="10"/>
      <c r="L103" s="10"/>
      <c r="M103" s="10"/>
      <c r="N103" s="10"/>
      <c r="O103" s="21"/>
    </row>
    <row r="104" spans="1:15" x14ac:dyDescent="0.35">
      <c r="A104" s="15">
        <f t="shared" si="1"/>
        <v>102</v>
      </c>
      <c r="B104" s="16"/>
      <c r="C104" s="19"/>
      <c r="D104" s="10"/>
      <c r="E104" s="10"/>
      <c r="F104" s="47"/>
      <c r="G104" s="10"/>
      <c r="H104" s="20"/>
      <c r="I104" s="20"/>
      <c r="J104" s="10"/>
      <c r="K104" s="10"/>
      <c r="L104" s="10"/>
      <c r="M104" s="10"/>
      <c r="N104" s="10"/>
      <c r="O104" s="21"/>
    </row>
    <row r="105" spans="1:15" x14ac:dyDescent="0.35">
      <c r="A105" s="15">
        <f t="shared" si="1"/>
        <v>103</v>
      </c>
      <c r="B105" s="16"/>
      <c r="C105" s="19"/>
      <c r="D105" s="10"/>
      <c r="E105" s="10"/>
      <c r="F105" s="47"/>
      <c r="G105" s="10"/>
      <c r="H105" s="20"/>
      <c r="I105" s="20"/>
      <c r="J105" s="10"/>
      <c r="K105" s="10"/>
      <c r="L105" s="10"/>
      <c r="M105" s="10"/>
      <c r="N105" s="10"/>
      <c r="O105" s="21"/>
    </row>
    <row r="106" spans="1:15" x14ac:dyDescent="0.35">
      <c r="A106" s="15">
        <f t="shared" si="1"/>
        <v>104</v>
      </c>
      <c r="B106" s="16"/>
      <c r="C106" s="19"/>
      <c r="D106" s="10"/>
      <c r="E106" s="10"/>
      <c r="F106" s="47"/>
      <c r="G106" s="10"/>
      <c r="H106" s="20"/>
      <c r="I106" s="20"/>
      <c r="J106" s="10"/>
      <c r="K106" s="10"/>
      <c r="L106" s="10"/>
      <c r="M106" s="10"/>
      <c r="N106" s="10"/>
      <c r="O106" s="21"/>
    </row>
    <row r="107" spans="1:15" x14ac:dyDescent="0.35">
      <c r="A107" s="15">
        <f t="shared" si="1"/>
        <v>105</v>
      </c>
      <c r="B107" s="16"/>
      <c r="C107" s="19"/>
      <c r="D107" s="10"/>
      <c r="E107" s="10"/>
      <c r="F107" s="47"/>
      <c r="G107" s="10"/>
      <c r="H107" s="20"/>
      <c r="I107" s="20"/>
      <c r="J107" s="10"/>
      <c r="K107" s="10"/>
      <c r="L107" s="10"/>
      <c r="M107" s="10"/>
      <c r="N107" s="10"/>
      <c r="O107" s="21"/>
    </row>
    <row r="108" spans="1:15" x14ac:dyDescent="0.35">
      <c r="A108" s="15">
        <f t="shared" si="1"/>
        <v>106</v>
      </c>
      <c r="B108" s="16"/>
      <c r="C108" s="19"/>
      <c r="D108" s="10"/>
      <c r="E108" s="10"/>
      <c r="F108" s="47"/>
      <c r="G108" s="10"/>
      <c r="H108" s="20"/>
      <c r="I108" s="20"/>
      <c r="J108" s="10"/>
      <c r="K108" s="10"/>
      <c r="L108" s="10"/>
      <c r="M108" s="10"/>
      <c r="N108" s="10"/>
      <c r="O108" s="21"/>
    </row>
    <row r="109" spans="1:15" x14ac:dyDescent="0.35">
      <c r="A109" s="15">
        <f t="shared" si="1"/>
        <v>107</v>
      </c>
      <c r="B109" s="16"/>
      <c r="C109" s="19"/>
      <c r="D109" s="10"/>
      <c r="E109" s="10"/>
      <c r="F109" s="47"/>
      <c r="G109" s="10"/>
      <c r="H109" s="20"/>
      <c r="I109" s="20"/>
      <c r="J109" s="10"/>
      <c r="K109" s="10"/>
      <c r="L109" s="10"/>
      <c r="M109" s="10"/>
      <c r="N109" s="10"/>
      <c r="O109" s="21"/>
    </row>
    <row r="110" spans="1:15" x14ac:dyDescent="0.35">
      <c r="A110" s="15">
        <f t="shared" si="1"/>
        <v>108</v>
      </c>
      <c r="B110" s="16"/>
      <c r="C110" s="19"/>
      <c r="D110" s="10"/>
      <c r="E110" s="10"/>
      <c r="F110" s="47"/>
      <c r="G110" s="10"/>
      <c r="H110" s="20"/>
      <c r="I110" s="20"/>
      <c r="J110" s="10"/>
      <c r="K110" s="10"/>
      <c r="L110" s="10"/>
      <c r="M110" s="10"/>
      <c r="N110" s="10"/>
      <c r="O110" s="21"/>
    </row>
    <row r="111" spans="1:15" x14ac:dyDescent="0.35">
      <c r="A111" s="15">
        <f t="shared" si="1"/>
        <v>109</v>
      </c>
      <c r="B111" s="16"/>
      <c r="C111" s="19"/>
      <c r="D111" s="10"/>
      <c r="E111" s="10"/>
      <c r="F111" s="47"/>
      <c r="G111" s="10"/>
      <c r="H111" s="20"/>
      <c r="I111" s="20"/>
      <c r="J111" s="10"/>
      <c r="K111" s="10"/>
      <c r="L111" s="10"/>
      <c r="M111" s="10"/>
      <c r="N111" s="10"/>
      <c r="O111" s="21"/>
    </row>
    <row r="112" spans="1:15" x14ac:dyDescent="0.35">
      <c r="A112" s="15">
        <f t="shared" si="1"/>
        <v>110</v>
      </c>
      <c r="B112" s="16"/>
      <c r="C112" s="19"/>
      <c r="D112" s="10"/>
      <c r="E112" s="10"/>
      <c r="F112" s="47"/>
      <c r="G112" s="10"/>
      <c r="H112" s="20"/>
      <c r="I112" s="20"/>
      <c r="J112" s="10"/>
      <c r="K112" s="10"/>
      <c r="L112" s="10"/>
      <c r="M112" s="10"/>
      <c r="N112" s="10"/>
      <c r="O112" s="21"/>
    </row>
    <row r="113" spans="1:15" x14ac:dyDescent="0.35">
      <c r="A113" s="15">
        <f t="shared" si="1"/>
        <v>111</v>
      </c>
      <c r="B113" s="16"/>
      <c r="C113" s="19"/>
      <c r="D113" s="10"/>
      <c r="E113" s="10"/>
      <c r="F113" s="47"/>
      <c r="G113" s="10"/>
      <c r="H113" s="20"/>
      <c r="I113" s="20"/>
      <c r="J113" s="10"/>
      <c r="K113" s="10"/>
      <c r="L113" s="10"/>
      <c r="M113" s="10"/>
      <c r="N113" s="10"/>
      <c r="O113" s="21"/>
    </row>
    <row r="114" spans="1:15" x14ac:dyDescent="0.35">
      <c r="A114" s="15">
        <f t="shared" si="1"/>
        <v>112</v>
      </c>
      <c r="B114" s="16"/>
      <c r="C114" s="19"/>
      <c r="D114" s="10"/>
      <c r="E114" s="10"/>
      <c r="F114" s="47"/>
      <c r="G114" s="10"/>
      <c r="H114" s="20"/>
      <c r="I114" s="20"/>
      <c r="J114" s="10"/>
      <c r="K114" s="10"/>
      <c r="L114" s="10"/>
      <c r="M114" s="10"/>
      <c r="N114" s="10"/>
      <c r="O114" s="21"/>
    </row>
    <row r="115" spans="1:15" x14ac:dyDescent="0.35">
      <c r="A115" s="15">
        <f t="shared" si="1"/>
        <v>113</v>
      </c>
      <c r="B115" s="16"/>
      <c r="C115" s="19"/>
      <c r="D115" s="10"/>
      <c r="E115" s="10"/>
      <c r="F115" s="47"/>
      <c r="G115" s="10"/>
      <c r="H115" s="20"/>
      <c r="I115" s="20"/>
      <c r="J115" s="10"/>
      <c r="K115" s="10"/>
      <c r="L115" s="10"/>
      <c r="M115" s="10"/>
      <c r="N115" s="10"/>
      <c r="O115" s="21"/>
    </row>
    <row r="116" spans="1:15" x14ac:dyDescent="0.35">
      <c r="A116" s="15">
        <f t="shared" si="1"/>
        <v>114</v>
      </c>
      <c r="B116" s="16"/>
      <c r="C116" s="19"/>
      <c r="D116" s="10"/>
      <c r="E116" s="10"/>
      <c r="F116" s="47"/>
      <c r="G116" s="10"/>
      <c r="H116" s="20"/>
      <c r="I116" s="20"/>
      <c r="J116" s="10"/>
      <c r="K116" s="10"/>
      <c r="L116" s="10"/>
      <c r="M116" s="10"/>
      <c r="N116" s="10"/>
      <c r="O116" s="21"/>
    </row>
    <row r="117" spans="1:15" x14ac:dyDescent="0.35">
      <c r="A117" s="15">
        <f t="shared" si="1"/>
        <v>115</v>
      </c>
      <c r="B117" s="16"/>
      <c r="C117" s="19"/>
      <c r="D117" s="10"/>
      <c r="E117" s="10"/>
      <c r="F117" s="47"/>
      <c r="G117" s="10"/>
      <c r="H117" s="20"/>
      <c r="I117" s="20"/>
      <c r="J117" s="10"/>
      <c r="K117" s="10"/>
      <c r="L117" s="10"/>
      <c r="M117" s="10"/>
      <c r="N117" s="10"/>
      <c r="O117" s="21"/>
    </row>
    <row r="118" spans="1:15" x14ac:dyDescent="0.35">
      <c r="A118" s="15">
        <f t="shared" si="1"/>
        <v>116</v>
      </c>
      <c r="B118" s="16"/>
      <c r="C118" s="19"/>
      <c r="D118" s="10"/>
      <c r="E118" s="10"/>
      <c r="F118" s="47"/>
      <c r="G118" s="10"/>
      <c r="H118" s="20"/>
      <c r="I118" s="20"/>
      <c r="J118" s="10"/>
      <c r="K118" s="10"/>
      <c r="L118" s="10"/>
      <c r="M118" s="10"/>
      <c r="N118" s="10"/>
      <c r="O118" s="21"/>
    </row>
    <row r="119" spans="1:15" x14ac:dyDescent="0.35">
      <c r="A119" s="15">
        <f t="shared" si="1"/>
        <v>117</v>
      </c>
      <c r="B119" s="16"/>
      <c r="C119" s="19"/>
      <c r="D119" s="10"/>
      <c r="E119" s="10"/>
      <c r="F119" s="47"/>
      <c r="G119" s="10"/>
      <c r="H119" s="20"/>
      <c r="I119" s="20"/>
      <c r="J119" s="10"/>
      <c r="K119" s="10"/>
      <c r="L119" s="10"/>
      <c r="M119" s="10"/>
      <c r="N119" s="10"/>
      <c r="O119" s="21"/>
    </row>
    <row r="120" spans="1:15" x14ac:dyDescent="0.35">
      <c r="A120" s="15">
        <f t="shared" si="1"/>
        <v>118</v>
      </c>
      <c r="B120" s="16"/>
      <c r="C120" s="19"/>
      <c r="D120" s="10"/>
      <c r="E120" s="10"/>
      <c r="F120" s="47"/>
      <c r="G120" s="10"/>
      <c r="H120" s="20"/>
      <c r="I120" s="20"/>
      <c r="J120" s="10"/>
      <c r="K120" s="10"/>
      <c r="L120" s="10"/>
      <c r="M120" s="10"/>
      <c r="N120" s="10"/>
      <c r="O120" s="21"/>
    </row>
    <row r="121" spans="1:15" x14ac:dyDescent="0.35">
      <c r="A121" s="15">
        <f t="shared" si="1"/>
        <v>119</v>
      </c>
      <c r="B121" s="16"/>
      <c r="C121" s="19"/>
      <c r="D121" s="10"/>
      <c r="E121" s="10"/>
      <c r="F121" s="47"/>
      <c r="G121" s="10"/>
      <c r="H121" s="20"/>
      <c r="I121" s="20"/>
      <c r="J121" s="10"/>
      <c r="K121" s="10"/>
      <c r="L121" s="10"/>
      <c r="M121" s="10"/>
      <c r="N121" s="10"/>
      <c r="O121" s="21"/>
    </row>
    <row r="122" spans="1:15" x14ac:dyDescent="0.35">
      <c r="A122" s="15">
        <f t="shared" si="1"/>
        <v>120</v>
      </c>
      <c r="B122" s="16"/>
      <c r="C122" s="19"/>
      <c r="D122" s="10"/>
      <c r="E122" s="10"/>
      <c r="F122" s="47"/>
      <c r="G122" s="10"/>
      <c r="H122" s="20"/>
      <c r="I122" s="20"/>
      <c r="J122" s="10"/>
      <c r="K122" s="10"/>
      <c r="L122" s="10"/>
      <c r="M122" s="10"/>
      <c r="N122" s="10"/>
      <c r="O122" s="21"/>
    </row>
    <row r="123" spans="1:15" x14ac:dyDescent="0.35">
      <c r="A123" s="15">
        <f t="shared" si="1"/>
        <v>121</v>
      </c>
      <c r="B123" s="16"/>
      <c r="C123" s="19"/>
      <c r="D123" s="10"/>
      <c r="E123" s="10"/>
      <c r="F123" s="47"/>
      <c r="G123" s="10"/>
      <c r="H123" s="20"/>
      <c r="I123" s="20"/>
      <c r="J123" s="10"/>
      <c r="K123" s="10"/>
      <c r="L123" s="10"/>
      <c r="M123" s="10"/>
      <c r="N123" s="10"/>
      <c r="O123" s="21"/>
    </row>
    <row r="124" spans="1:15" x14ac:dyDescent="0.35">
      <c r="A124" s="15">
        <f t="shared" si="1"/>
        <v>122</v>
      </c>
      <c r="B124" s="16"/>
      <c r="C124" s="19"/>
      <c r="D124" s="10"/>
      <c r="E124" s="10"/>
      <c r="F124" s="47"/>
      <c r="G124" s="10"/>
      <c r="H124" s="20"/>
      <c r="I124" s="20"/>
      <c r="J124" s="10"/>
      <c r="K124" s="10"/>
      <c r="L124" s="10"/>
      <c r="M124" s="10"/>
      <c r="N124" s="10"/>
      <c r="O124" s="21"/>
    </row>
    <row r="125" spans="1:15" x14ac:dyDescent="0.35">
      <c r="A125" s="15">
        <f t="shared" si="1"/>
        <v>123</v>
      </c>
      <c r="B125" s="16"/>
      <c r="C125" s="19"/>
      <c r="D125" s="10"/>
      <c r="E125" s="10"/>
      <c r="F125" s="47"/>
      <c r="G125" s="10"/>
      <c r="H125" s="20"/>
      <c r="I125" s="20"/>
      <c r="J125" s="10"/>
      <c r="K125" s="10"/>
      <c r="L125" s="10"/>
      <c r="M125" s="10"/>
      <c r="N125" s="10"/>
      <c r="O125" s="21"/>
    </row>
    <row r="126" spans="1:15" x14ac:dyDescent="0.35">
      <c r="A126" s="15">
        <f t="shared" si="1"/>
        <v>124</v>
      </c>
      <c r="B126" s="16"/>
      <c r="C126" s="19"/>
      <c r="D126" s="10"/>
      <c r="E126" s="10"/>
      <c r="F126" s="47"/>
      <c r="G126" s="10"/>
      <c r="H126" s="20"/>
      <c r="I126" s="20"/>
      <c r="J126" s="10"/>
      <c r="K126" s="10"/>
      <c r="L126" s="10"/>
      <c r="M126" s="10"/>
      <c r="N126" s="10"/>
      <c r="O126" s="21"/>
    </row>
    <row r="127" spans="1:15" x14ac:dyDescent="0.35">
      <c r="A127" s="15">
        <f t="shared" si="1"/>
        <v>125</v>
      </c>
      <c r="B127" s="16"/>
      <c r="C127" s="19"/>
      <c r="D127" s="10"/>
      <c r="E127" s="10"/>
      <c r="F127" s="47"/>
      <c r="G127" s="10"/>
      <c r="H127" s="20"/>
      <c r="I127" s="20"/>
      <c r="J127" s="10"/>
      <c r="K127" s="10"/>
      <c r="L127" s="10"/>
      <c r="M127" s="10"/>
      <c r="N127" s="10"/>
      <c r="O127" s="21"/>
    </row>
    <row r="128" spans="1:15" x14ac:dyDescent="0.35">
      <c r="A128" s="15">
        <f t="shared" si="1"/>
        <v>126</v>
      </c>
      <c r="B128" s="16"/>
      <c r="C128" s="19"/>
      <c r="D128" s="10"/>
      <c r="E128" s="10"/>
      <c r="F128" s="47"/>
      <c r="G128" s="10"/>
      <c r="H128" s="20"/>
      <c r="I128" s="20"/>
      <c r="J128" s="10"/>
      <c r="K128" s="10"/>
      <c r="L128" s="10"/>
      <c r="M128" s="10"/>
      <c r="N128" s="10"/>
      <c r="O128" s="21"/>
    </row>
    <row r="129" spans="1:15" x14ac:dyDescent="0.35">
      <c r="A129" s="15">
        <f t="shared" si="1"/>
        <v>127</v>
      </c>
      <c r="B129" s="16"/>
      <c r="C129" s="19"/>
      <c r="D129" s="10"/>
      <c r="E129" s="10"/>
      <c r="F129" s="47"/>
      <c r="G129" s="10"/>
      <c r="H129" s="20"/>
      <c r="I129" s="20"/>
      <c r="J129" s="10"/>
      <c r="K129" s="10"/>
      <c r="L129" s="10"/>
      <c r="M129" s="10"/>
      <c r="N129" s="10"/>
      <c r="O129" s="21"/>
    </row>
    <row r="130" spans="1:15" x14ac:dyDescent="0.35">
      <c r="A130" s="15">
        <f t="shared" si="1"/>
        <v>128</v>
      </c>
      <c r="B130" s="16"/>
      <c r="C130" s="19"/>
      <c r="D130" s="10"/>
      <c r="E130" s="10"/>
      <c r="F130" s="47"/>
      <c r="G130" s="10"/>
      <c r="H130" s="20"/>
      <c r="I130" s="20"/>
      <c r="J130" s="10"/>
      <c r="K130" s="10"/>
      <c r="L130" s="10"/>
      <c r="M130" s="10"/>
      <c r="N130" s="10"/>
      <c r="O130" s="21"/>
    </row>
    <row r="131" spans="1:15" x14ac:dyDescent="0.35">
      <c r="A131" s="15">
        <f t="shared" si="1"/>
        <v>129</v>
      </c>
      <c r="B131" s="16"/>
      <c r="C131" s="19"/>
      <c r="D131" s="10"/>
      <c r="E131" s="10"/>
      <c r="F131" s="47"/>
      <c r="G131" s="10"/>
      <c r="H131" s="20"/>
      <c r="I131" s="20"/>
      <c r="J131" s="10"/>
      <c r="K131" s="10"/>
      <c r="L131" s="10"/>
      <c r="M131" s="10"/>
      <c r="N131" s="10"/>
      <c r="O131" s="21"/>
    </row>
    <row r="132" spans="1:15" x14ac:dyDescent="0.35">
      <c r="A132" s="15">
        <f t="shared" si="1"/>
        <v>130</v>
      </c>
      <c r="B132" s="16"/>
      <c r="C132" s="19"/>
      <c r="D132" s="10"/>
      <c r="E132" s="10"/>
      <c r="F132" s="47"/>
      <c r="G132" s="10"/>
      <c r="H132" s="20"/>
      <c r="I132" s="20"/>
      <c r="J132" s="10"/>
      <c r="K132" s="10"/>
      <c r="L132" s="10"/>
      <c r="M132" s="10"/>
      <c r="N132" s="10"/>
      <c r="O132" s="21"/>
    </row>
    <row r="133" spans="1:15" x14ac:dyDescent="0.35">
      <c r="A133" s="15">
        <f t="shared" si="1"/>
        <v>131</v>
      </c>
      <c r="B133" s="16"/>
      <c r="C133" s="19"/>
      <c r="D133" s="10"/>
      <c r="E133" s="10"/>
      <c r="F133" s="47"/>
      <c r="G133" s="10"/>
      <c r="H133" s="20"/>
      <c r="I133" s="20"/>
      <c r="J133" s="10"/>
      <c r="K133" s="10"/>
      <c r="L133" s="10"/>
      <c r="M133" s="10"/>
      <c r="N133" s="10"/>
      <c r="O133" s="21"/>
    </row>
    <row r="134" spans="1:15" x14ac:dyDescent="0.35">
      <c r="A134" s="15">
        <f t="shared" si="1"/>
        <v>132</v>
      </c>
      <c r="B134" s="16"/>
      <c r="C134" s="19"/>
      <c r="D134" s="10"/>
      <c r="E134" s="10"/>
      <c r="F134" s="47"/>
      <c r="G134" s="10"/>
      <c r="H134" s="20"/>
      <c r="I134" s="20"/>
      <c r="J134" s="10"/>
      <c r="K134" s="10"/>
      <c r="L134" s="10"/>
      <c r="M134" s="10"/>
      <c r="N134" s="10"/>
      <c r="O134" s="21"/>
    </row>
    <row r="135" spans="1:15" x14ac:dyDescent="0.35">
      <c r="A135" s="15">
        <f t="shared" si="1"/>
        <v>133</v>
      </c>
      <c r="B135" s="16"/>
      <c r="C135" s="19"/>
      <c r="D135" s="10"/>
      <c r="E135" s="10"/>
      <c r="F135" s="47"/>
      <c r="G135" s="10"/>
      <c r="H135" s="20"/>
      <c r="I135" s="20"/>
      <c r="J135" s="10"/>
      <c r="K135" s="10"/>
      <c r="L135" s="10"/>
      <c r="M135" s="10"/>
      <c r="N135" s="10"/>
      <c r="O135" s="21"/>
    </row>
    <row r="136" spans="1:15" x14ac:dyDescent="0.35">
      <c r="A136" s="15">
        <f t="shared" si="1"/>
        <v>134</v>
      </c>
      <c r="B136" s="16"/>
      <c r="C136" s="19"/>
      <c r="D136" s="10"/>
      <c r="E136" s="10"/>
      <c r="F136" s="47"/>
      <c r="G136" s="10"/>
      <c r="H136" s="20"/>
      <c r="I136" s="20"/>
      <c r="J136" s="10"/>
      <c r="K136" s="10"/>
      <c r="L136" s="10"/>
      <c r="M136" s="10"/>
      <c r="N136" s="10"/>
      <c r="O136" s="21"/>
    </row>
    <row r="137" spans="1:15" x14ac:dyDescent="0.35">
      <c r="A137" s="15">
        <f t="shared" si="1"/>
        <v>135</v>
      </c>
      <c r="B137" s="16"/>
      <c r="C137" s="19"/>
      <c r="D137" s="10"/>
      <c r="E137" s="10"/>
      <c r="F137" s="47"/>
      <c r="G137" s="10"/>
      <c r="H137" s="20"/>
      <c r="I137" s="20"/>
      <c r="J137" s="10"/>
      <c r="K137" s="10"/>
      <c r="L137" s="10"/>
      <c r="M137" s="10"/>
      <c r="N137" s="10"/>
      <c r="O137" s="21"/>
    </row>
    <row r="138" spans="1:15" x14ac:dyDescent="0.35">
      <c r="A138" s="15">
        <f t="shared" si="1"/>
        <v>136</v>
      </c>
      <c r="B138" s="16"/>
      <c r="C138" s="19"/>
      <c r="D138" s="10"/>
      <c r="E138" s="10"/>
      <c r="F138" s="47"/>
      <c r="G138" s="10"/>
      <c r="H138" s="20"/>
      <c r="I138" s="20"/>
      <c r="J138" s="10"/>
      <c r="K138" s="10"/>
      <c r="L138" s="10"/>
      <c r="M138" s="10"/>
      <c r="N138" s="10"/>
      <c r="O138" s="21"/>
    </row>
    <row r="139" spans="1:15" x14ac:dyDescent="0.35">
      <c r="A139" s="15">
        <f t="shared" ref="A139:A202" si="2">+A138+1</f>
        <v>137</v>
      </c>
      <c r="B139" s="16"/>
      <c r="C139" s="19"/>
      <c r="D139" s="10"/>
      <c r="E139" s="10"/>
      <c r="F139" s="47"/>
      <c r="G139" s="10"/>
      <c r="H139" s="20"/>
      <c r="I139" s="20"/>
      <c r="J139" s="10"/>
      <c r="K139" s="10"/>
      <c r="L139" s="10"/>
      <c r="M139" s="10"/>
      <c r="N139" s="10"/>
      <c r="O139" s="21"/>
    </row>
    <row r="140" spans="1:15" x14ac:dyDescent="0.35">
      <c r="A140" s="15">
        <f t="shared" si="2"/>
        <v>138</v>
      </c>
      <c r="B140" s="16"/>
      <c r="C140" s="19"/>
      <c r="D140" s="10"/>
      <c r="E140" s="10"/>
      <c r="F140" s="47"/>
      <c r="G140" s="10"/>
      <c r="H140" s="20"/>
      <c r="I140" s="20"/>
      <c r="J140" s="10"/>
      <c r="K140" s="10"/>
      <c r="L140" s="10"/>
      <c r="M140" s="10"/>
      <c r="N140" s="10"/>
      <c r="O140" s="21"/>
    </row>
    <row r="141" spans="1:15" x14ac:dyDescent="0.35">
      <c r="A141" s="15">
        <f t="shared" si="2"/>
        <v>139</v>
      </c>
      <c r="B141" s="16"/>
      <c r="C141" s="19"/>
      <c r="D141" s="10"/>
      <c r="E141" s="10"/>
      <c r="F141" s="47"/>
      <c r="G141" s="10"/>
      <c r="H141" s="20"/>
      <c r="I141" s="20"/>
      <c r="J141" s="10"/>
      <c r="K141" s="10"/>
      <c r="L141" s="10"/>
      <c r="M141" s="10"/>
      <c r="N141" s="10"/>
      <c r="O141" s="21"/>
    </row>
    <row r="142" spans="1:15" x14ac:dyDescent="0.35">
      <c r="A142" s="15">
        <f t="shared" si="2"/>
        <v>140</v>
      </c>
      <c r="B142" s="16"/>
      <c r="C142" s="19"/>
      <c r="D142" s="10"/>
      <c r="E142" s="10"/>
      <c r="F142" s="47"/>
      <c r="G142" s="10"/>
      <c r="H142" s="20"/>
      <c r="I142" s="20"/>
      <c r="J142" s="10"/>
      <c r="K142" s="10"/>
      <c r="L142" s="10"/>
      <c r="M142" s="10"/>
      <c r="N142" s="10"/>
      <c r="O142" s="21"/>
    </row>
    <row r="143" spans="1:15" x14ac:dyDescent="0.35">
      <c r="A143" s="15">
        <f t="shared" si="2"/>
        <v>141</v>
      </c>
      <c r="B143" s="16"/>
      <c r="C143" s="19"/>
      <c r="D143" s="10"/>
      <c r="E143" s="10"/>
      <c r="F143" s="47"/>
      <c r="G143" s="10"/>
      <c r="H143" s="20"/>
      <c r="I143" s="20"/>
      <c r="J143" s="10"/>
      <c r="K143" s="10"/>
      <c r="L143" s="10"/>
      <c r="M143" s="10"/>
      <c r="N143" s="10"/>
      <c r="O143" s="21"/>
    </row>
    <row r="144" spans="1:15" x14ac:dyDescent="0.35">
      <c r="A144" s="15">
        <f t="shared" si="2"/>
        <v>142</v>
      </c>
      <c r="B144" s="16"/>
      <c r="C144" s="19"/>
      <c r="D144" s="10"/>
      <c r="E144" s="10"/>
      <c r="F144" s="47"/>
      <c r="G144" s="10"/>
      <c r="H144" s="20"/>
      <c r="I144" s="20"/>
      <c r="J144" s="10"/>
      <c r="K144" s="10"/>
      <c r="L144" s="10"/>
      <c r="M144" s="10"/>
      <c r="N144" s="10"/>
      <c r="O144" s="21"/>
    </row>
    <row r="145" spans="1:15" x14ac:dyDescent="0.35">
      <c r="A145" s="15">
        <f t="shared" si="2"/>
        <v>143</v>
      </c>
      <c r="B145" s="16"/>
      <c r="C145" s="19"/>
      <c r="D145" s="10"/>
      <c r="E145" s="10"/>
      <c r="F145" s="47"/>
      <c r="G145" s="10"/>
      <c r="H145" s="20"/>
      <c r="I145" s="20"/>
      <c r="J145" s="10"/>
      <c r="K145" s="10"/>
      <c r="L145" s="10"/>
      <c r="M145" s="10"/>
      <c r="N145" s="10"/>
      <c r="O145" s="21"/>
    </row>
    <row r="146" spans="1:15" x14ac:dyDescent="0.35">
      <c r="A146" s="15">
        <f t="shared" si="2"/>
        <v>144</v>
      </c>
      <c r="B146" s="16"/>
      <c r="C146" s="19"/>
      <c r="D146" s="10"/>
      <c r="E146" s="10"/>
      <c r="F146" s="47"/>
      <c r="G146" s="10"/>
      <c r="H146" s="20"/>
      <c r="I146" s="20"/>
      <c r="J146" s="10"/>
      <c r="K146" s="10"/>
      <c r="L146" s="10"/>
      <c r="M146" s="10"/>
      <c r="N146" s="10"/>
      <c r="O146" s="21"/>
    </row>
    <row r="147" spans="1:15" x14ac:dyDescent="0.35">
      <c r="A147" s="15">
        <f t="shared" si="2"/>
        <v>145</v>
      </c>
      <c r="B147" s="16"/>
      <c r="C147" s="19"/>
      <c r="D147" s="10"/>
      <c r="E147" s="10"/>
      <c r="F147" s="47"/>
      <c r="G147" s="10"/>
      <c r="H147" s="20"/>
      <c r="I147" s="20"/>
      <c r="J147" s="10"/>
      <c r="K147" s="10"/>
      <c r="L147" s="10"/>
      <c r="M147" s="10"/>
      <c r="N147" s="10"/>
      <c r="O147" s="21"/>
    </row>
    <row r="148" spans="1:15" x14ac:dyDescent="0.35">
      <c r="A148" s="15">
        <f t="shared" si="2"/>
        <v>146</v>
      </c>
      <c r="B148" s="16"/>
      <c r="C148" s="19"/>
      <c r="D148" s="10"/>
      <c r="E148" s="10"/>
      <c r="F148" s="47"/>
      <c r="G148" s="10"/>
      <c r="H148" s="20"/>
      <c r="I148" s="20"/>
      <c r="J148" s="10"/>
      <c r="K148" s="10"/>
      <c r="L148" s="10"/>
      <c r="M148" s="10"/>
      <c r="N148" s="10"/>
      <c r="O148" s="21"/>
    </row>
    <row r="149" spans="1:15" x14ac:dyDescent="0.35">
      <c r="A149" s="15">
        <f t="shared" si="2"/>
        <v>147</v>
      </c>
      <c r="B149" s="16"/>
      <c r="C149" s="19"/>
      <c r="D149" s="10"/>
      <c r="E149" s="10"/>
      <c r="F149" s="47"/>
      <c r="G149" s="10"/>
      <c r="H149" s="20"/>
      <c r="I149" s="20"/>
      <c r="J149" s="10"/>
      <c r="K149" s="10"/>
      <c r="L149" s="10"/>
      <c r="M149" s="10"/>
      <c r="N149" s="10"/>
      <c r="O149" s="21"/>
    </row>
    <row r="150" spans="1:15" x14ac:dyDescent="0.35">
      <c r="A150" s="15">
        <f t="shared" si="2"/>
        <v>148</v>
      </c>
      <c r="B150" s="16"/>
      <c r="C150" s="19"/>
      <c r="D150" s="10"/>
      <c r="E150" s="10"/>
      <c r="F150" s="47"/>
      <c r="G150" s="10"/>
      <c r="H150" s="20"/>
      <c r="I150" s="20"/>
      <c r="J150" s="10"/>
      <c r="K150" s="10"/>
      <c r="L150" s="10"/>
      <c r="M150" s="10"/>
      <c r="N150" s="10"/>
      <c r="O150" s="21"/>
    </row>
    <row r="151" spans="1:15" x14ac:dyDescent="0.35">
      <c r="A151" s="15">
        <f t="shared" si="2"/>
        <v>149</v>
      </c>
      <c r="B151" s="16"/>
      <c r="C151" s="19"/>
      <c r="D151" s="10"/>
      <c r="E151" s="10"/>
      <c r="F151" s="47"/>
      <c r="G151" s="10"/>
      <c r="H151" s="20"/>
      <c r="I151" s="20"/>
      <c r="J151" s="10"/>
      <c r="K151" s="10"/>
      <c r="L151" s="10"/>
      <c r="M151" s="10"/>
      <c r="N151" s="10"/>
      <c r="O151" s="21"/>
    </row>
    <row r="152" spans="1:15" x14ac:dyDescent="0.35">
      <c r="A152" s="15">
        <f t="shared" si="2"/>
        <v>150</v>
      </c>
      <c r="B152" s="16"/>
      <c r="C152" s="19"/>
      <c r="D152" s="10"/>
      <c r="E152" s="10"/>
      <c r="F152" s="47"/>
      <c r="G152" s="10"/>
      <c r="H152" s="20"/>
      <c r="I152" s="20"/>
      <c r="J152" s="10"/>
      <c r="K152" s="10"/>
      <c r="L152" s="10"/>
      <c r="M152" s="10"/>
      <c r="N152" s="10"/>
      <c r="O152" s="21"/>
    </row>
    <row r="153" spans="1:15" x14ac:dyDescent="0.35">
      <c r="A153" s="15">
        <f t="shared" si="2"/>
        <v>151</v>
      </c>
      <c r="B153" s="16"/>
      <c r="C153" s="19"/>
      <c r="D153" s="10"/>
      <c r="E153" s="10"/>
      <c r="F153" s="47"/>
      <c r="G153" s="10"/>
      <c r="H153" s="20"/>
      <c r="I153" s="20"/>
      <c r="J153" s="10"/>
      <c r="K153" s="10"/>
      <c r="L153" s="10"/>
      <c r="M153" s="10"/>
      <c r="N153" s="10"/>
      <c r="O153" s="21"/>
    </row>
    <row r="154" spans="1:15" x14ac:dyDescent="0.35">
      <c r="A154" s="15">
        <f t="shared" si="2"/>
        <v>152</v>
      </c>
      <c r="B154" s="16"/>
      <c r="C154" s="19"/>
      <c r="D154" s="10"/>
      <c r="E154" s="10"/>
      <c r="F154" s="47"/>
      <c r="G154" s="10"/>
      <c r="H154" s="20"/>
      <c r="I154" s="20"/>
      <c r="J154" s="10"/>
      <c r="K154" s="10"/>
      <c r="L154" s="10"/>
      <c r="M154" s="10"/>
      <c r="N154" s="10"/>
      <c r="O154" s="21"/>
    </row>
    <row r="155" spans="1:15" x14ac:dyDescent="0.35">
      <c r="A155" s="15">
        <f t="shared" si="2"/>
        <v>153</v>
      </c>
      <c r="B155" s="16"/>
      <c r="C155" s="19"/>
      <c r="D155" s="10"/>
      <c r="E155" s="10"/>
      <c r="F155" s="47"/>
      <c r="G155" s="10"/>
      <c r="H155" s="20"/>
      <c r="I155" s="20"/>
      <c r="J155" s="10"/>
      <c r="K155" s="10"/>
      <c r="L155" s="10"/>
      <c r="M155" s="10"/>
      <c r="N155" s="10"/>
      <c r="O155" s="21"/>
    </row>
    <row r="156" spans="1:15" x14ac:dyDescent="0.35">
      <c r="A156" s="15">
        <f t="shared" si="2"/>
        <v>154</v>
      </c>
      <c r="B156" s="16"/>
      <c r="C156" s="19"/>
      <c r="D156" s="10"/>
      <c r="E156" s="10"/>
      <c r="F156" s="47"/>
      <c r="G156" s="10"/>
      <c r="H156" s="20"/>
      <c r="I156" s="20"/>
      <c r="J156" s="10"/>
      <c r="K156" s="10"/>
      <c r="L156" s="10"/>
      <c r="M156" s="10"/>
      <c r="N156" s="10"/>
      <c r="O156" s="21"/>
    </row>
    <row r="157" spans="1:15" x14ac:dyDescent="0.35">
      <c r="A157" s="15">
        <f t="shared" si="2"/>
        <v>155</v>
      </c>
      <c r="B157" s="16"/>
      <c r="C157" s="19"/>
      <c r="D157" s="10"/>
      <c r="E157" s="10"/>
      <c r="F157" s="47"/>
      <c r="G157" s="10"/>
      <c r="H157" s="20"/>
      <c r="I157" s="20"/>
      <c r="J157" s="10"/>
      <c r="K157" s="10"/>
      <c r="L157" s="10"/>
      <c r="M157" s="10"/>
      <c r="N157" s="10"/>
      <c r="O157" s="21"/>
    </row>
    <row r="158" spans="1:15" x14ac:dyDescent="0.35">
      <c r="A158" s="15">
        <f t="shared" si="2"/>
        <v>156</v>
      </c>
      <c r="B158" s="16"/>
      <c r="C158" s="19"/>
      <c r="D158" s="10"/>
      <c r="E158" s="10"/>
      <c r="F158" s="47"/>
      <c r="G158" s="10"/>
      <c r="H158" s="20"/>
      <c r="I158" s="20"/>
      <c r="J158" s="10"/>
      <c r="K158" s="10"/>
      <c r="L158" s="10"/>
      <c r="M158" s="10"/>
      <c r="N158" s="10"/>
      <c r="O158" s="21"/>
    </row>
    <row r="159" spans="1:15" x14ac:dyDescent="0.35">
      <c r="A159" s="15">
        <f t="shared" si="2"/>
        <v>157</v>
      </c>
      <c r="B159" s="16"/>
      <c r="C159" s="19"/>
      <c r="D159" s="10"/>
      <c r="E159" s="10"/>
      <c r="F159" s="47"/>
      <c r="G159" s="10"/>
      <c r="H159" s="20"/>
      <c r="I159" s="20"/>
      <c r="J159" s="10"/>
      <c r="K159" s="10"/>
      <c r="L159" s="10"/>
      <c r="M159" s="10"/>
      <c r="N159" s="10"/>
      <c r="O159" s="21"/>
    </row>
    <row r="160" spans="1:15" x14ac:dyDescent="0.35">
      <c r="A160" s="15">
        <f t="shared" si="2"/>
        <v>158</v>
      </c>
      <c r="B160" s="16"/>
      <c r="C160" s="19"/>
      <c r="D160" s="10"/>
      <c r="E160" s="10"/>
      <c r="F160" s="47"/>
      <c r="G160" s="10"/>
      <c r="H160" s="20"/>
      <c r="I160" s="20"/>
      <c r="J160" s="10"/>
      <c r="K160" s="10"/>
      <c r="L160" s="10"/>
      <c r="M160" s="10"/>
      <c r="N160" s="10"/>
      <c r="O160" s="21"/>
    </row>
    <row r="161" spans="1:15" x14ac:dyDescent="0.35">
      <c r="A161" s="15">
        <f t="shared" si="2"/>
        <v>159</v>
      </c>
      <c r="B161" s="16"/>
      <c r="C161" s="19"/>
      <c r="D161" s="10"/>
      <c r="E161" s="10"/>
      <c r="F161" s="47"/>
      <c r="G161" s="10"/>
      <c r="H161" s="20"/>
      <c r="I161" s="20"/>
      <c r="J161" s="10"/>
      <c r="K161" s="10"/>
      <c r="L161" s="10"/>
      <c r="M161" s="10"/>
      <c r="N161" s="10"/>
      <c r="O161" s="21"/>
    </row>
    <row r="162" spans="1:15" x14ac:dyDescent="0.35">
      <c r="A162" s="15">
        <f t="shared" si="2"/>
        <v>160</v>
      </c>
      <c r="B162" s="16"/>
      <c r="C162" s="19"/>
      <c r="D162" s="10"/>
      <c r="E162" s="10"/>
      <c r="F162" s="47"/>
      <c r="G162" s="10"/>
      <c r="H162" s="20"/>
      <c r="I162" s="20"/>
      <c r="J162" s="10"/>
      <c r="K162" s="10"/>
      <c r="L162" s="10"/>
      <c r="M162" s="10"/>
      <c r="N162" s="10"/>
      <c r="O162" s="21"/>
    </row>
    <row r="163" spans="1:15" x14ac:dyDescent="0.35">
      <c r="A163" s="15">
        <f t="shared" si="2"/>
        <v>161</v>
      </c>
      <c r="B163" s="16"/>
      <c r="C163" s="19"/>
      <c r="D163" s="10"/>
      <c r="E163" s="10"/>
      <c r="F163" s="47"/>
      <c r="G163" s="10"/>
      <c r="H163" s="20"/>
      <c r="I163" s="20"/>
      <c r="J163" s="10"/>
      <c r="K163" s="10"/>
      <c r="L163" s="10"/>
      <c r="M163" s="10"/>
      <c r="N163" s="10"/>
      <c r="O163" s="21"/>
    </row>
    <row r="164" spans="1:15" x14ac:dyDescent="0.35">
      <c r="A164" s="15">
        <f t="shared" si="2"/>
        <v>162</v>
      </c>
      <c r="B164" s="16"/>
      <c r="C164" s="19"/>
      <c r="D164" s="10"/>
      <c r="E164" s="10"/>
      <c r="F164" s="47"/>
      <c r="G164" s="10"/>
      <c r="H164" s="20"/>
      <c r="I164" s="20"/>
      <c r="J164" s="10"/>
      <c r="K164" s="10"/>
      <c r="L164" s="10"/>
      <c r="M164" s="10"/>
      <c r="N164" s="10"/>
      <c r="O164" s="21"/>
    </row>
    <row r="165" spans="1:15" x14ac:dyDescent="0.35">
      <c r="A165" s="15">
        <f t="shared" si="2"/>
        <v>163</v>
      </c>
      <c r="B165" s="16"/>
      <c r="C165" s="19"/>
      <c r="D165" s="10"/>
      <c r="E165" s="10"/>
      <c r="F165" s="47"/>
      <c r="G165" s="10"/>
      <c r="H165" s="20"/>
      <c r="I165" s="20"/>
      <c r="J165" s="10"/>
      <c r="K165" s="10"/>
      <c r="L165" s="10"/>
      <c r="M165" s="10"/>
      <c r="N165" s="10"/>
      <c r="O165" s="21"/>
    </row>
    <row r="166" spans="1:15" x14ac:dyDescent="0.35">
      <c r="A166" s="15">
        <f t="shared" si="2"/>
        <v>164</v>
      </c>
      <c r="B166" s="16"/>
      <c r="C166" s="19"/>
      <c r="D166" s="10"/>
      <c r="E166" s="10"/>
      <c r="F166" s="47"/>
      <c r="G166" s="10"/>
      <c r="H166" s="20"/>
      <c r="I166" s="20"/>
      <c r="J166" s="10"/>
      <c r="K166" s="10"/>
      <c r="L166" s="10"/>
      <c r="M166" s="10"/>
      <c r="N166" s="10"/>
      <c r="O166" s="21"/>
    </row>
    <row r="167" spans="1:15" x14ac:dyDescent="0.35">
      <c r="A167" s="15">
        <f t="shared" si="2"/>
        <v>165</v>
      </c>
      <c r="B167" s="16"/>
      <c r="C167" s="19"/>
      <c r="D167" s="10"/>
      <c r="E167" s="10"/>
      <c r="F167" s="47"/>
      <c r="G167" s="10"/>
      <c r="H167" s="20"/>
      <c r="I167" s="20"/>
      <c r="J167" s="10"/>
      <c r="K167" s="10"/>
      <c r="L167" s="10"/>
      <c r="M167" s="10"/>
      <c r="N167" s="10"/>
      <c r="O167" s="21"/>
    </row>
    <row r="168" spans="1:15" x14ac:dyDescent="0.35">
      <c r="A168" s="15">
        <f t="shared" si="2"/>
        <v>166</v>
      </c>
      <c r="B168" s="16"/>
      <c r="C168" s="19"/>
      <c r="D168" s="10"/>
      <c r="E168" s="10"/>
      <c r="F168" s="47"/>
      <c r="G168" s="10"/>
      <c r="H168" s="20"/>
      <c r="I168" s="20"/>
      <c r="J168" s="10"/>
      <c r="K168" s="10"/>
      <c r="L168" s="10"/>
      <c r="M168" s="10"/>
      <c r="N168" s="10"/>
      <c r="O168" s="21"/>
    </row>
    <row r="169" spans="1:15" x14ac:dyDescent="0.35">
      <c r="A169" s="15">
        <f t="shared" si="2"/>
        <v>167</v>
      </c>
      <c r="B169" s="16"/>
      <c r="C169" s="19"/>
      <c r="D169" s="10"/>
      <c r="E169" s="10"/>
      <c r="F169" s="47"/>
      <c r="G169" s="10"/>
      <c r="H169" s="20"/>
      <c r="I169" s="20"/>
      <c r="J169" s="10"/>
      <c r="K169" s="10"/>
      <c r="L169" s="10"/>
      <c r="M169" s="10"/>
      <c r="N169" s="10"/>
      <c r="O169" s="21"/>
    </row>
    <row r="170" spans="1:15" x14ac:dyDescent="0.35">
      <c r="A170" s="15">
        <f t="shared" si="2"/>
        <v>168</v>
      </c>
      <c r="B170" s="16"/>
      <c r="C170" s="19"/>
      <c r="D170" s="10"/>
      <c r="E170" s="10"/>
      <c r="F170" s="47"/>
      <c r="G170" s="10"/>
      <c r="H170" s="20"/>
      <c r="I170" s="20"/>
      <c r="J170" s="10"/>
      <c r="K170" s="10"/>
      <c r="L170" s="10"/>
      <c r="M170" s="10"/>
      <c r="N170" s="10"/>
      <c r="O170" s="21"/>
    </row>
    <row r="171" spans="1:15" x14ac:dyDescent="0.35">
      <c r="A171" s="15">
        <f t="shared" si="2"/>
        <v>169</v>
      </c>
      <c r="B171" s="16"/>
      <c r="C171" s="19"/>
      <c r="D171" s="10"/>
      <c r="E171" s="10"/>
      <c r="F171" s="47"/>
      <c r="G171" s="10"/>
      <c r="H171" s="20"/>
      <c r="I171" s="20"/>
      <c r="J171" s="10"/>
      <c r="K171" s="10"/>
      <c r="L171" s="10"/>
      <c r="M171" s="10"/>
      <c r="N171" s="10"/>
      <c r="O171" s="21"/>
    </row>
    <row r="172" spans="1:15" x14ac:dyDescent="0.35">
      <c r="A172" s="15">
        <f t="shared" si="2"/>
        <v>170</v>
      </c>
      <c r="B172" s="16"/>
      <c r="C172" s="19"/>
      <c r="D172" s="10"/>
      <c r="E172" s="10"/>
      <c r="F172" s="47"/>
      <c r="G172" s="10"/>
      <c r="H172" s="20"/>
      <c r="I172" s="20"/>
      <c r="J172" s="10"/>
      <c r="K172" s="10"/>
      <c r="L172" s="10"/>
      <c r="M172" s="10"/>
      <c r="N172" s="10"/>
      <c r="O172" s="21"/>
    </row>
    <row r="173" spans="1:15" x14ac:dyDescent="0.35">
      <c r="A173" s="15">
        <f t="shared" si="2"/>
        <v>171</v>
      </c>
      <c r="B173" s="16"/>
      <c r="C173" s="19"/>
      <c r="D173" s="10"/>
      <c r="E173" s="10"/>
      <c r="F173" s="47"/>
      <c r="G173" s="10"/>
      <c r="H173" s="20"/>
      <c r="I173" s="20"/>
      <c r="J173" s="10"/>
      <c r="K173" s="10"/>
      <c r="L173" s="10"/>
      <c r="M173" s="10"/>
      <c r="N173" s="10"/>
      <c r="O173" s="21"/>
    </row>
    <row r="174" spans="1:15" x14ac:dyDescent="0.35">
      <c r="A174" s="15">
        <f t="shared" si="2"/>
        <v>172</v>
      </c>
      <c r="B174" s="16"/>
      <c r="C174" s="19"/>
      <c r="D174" s="10"/>
      <c r="E174" s="10"/>
      <c r="F174" s="47"/>
      <c r="G174" s="10"/>
      <c r="H174" s="20"/>
      <c r="I174" s="20"/>
      <c r="J174" s="10"/>
      <c r="K174" s="10"/>
      <c r="L174" s="10"/>
      <c r="M174" s="10"/>
      <c r="N174" s="10"/>
      <c r="O174" s="21"/>
    </row>
    <row r="175" spans="1:15" x14ac:dyDescent="0.35">
      <c r="A175" s="15">
        <f t="shared" si="2"/>
        <v>173</v>
      </c>
      <c r="B175" s="16"/>
      <c r="C175" s="19"/>
      <c r="D175" s="10"/>
      <c r="E175" s="10"/>
      <c r="F175" s="47"/>
      <c r="G175" s="10"/>
      <c r="H175" s="20"/>
      <c r="I175" s="20"/>
      <c r="J175" s="10"/>
      <c r="K175" s="10"/>
      <c r="L175" s="10"/>
      <c r="M175" s="10"/>
      <c r="N175" s="10"/>
      <c r="O175" s="21"/>
    </row>
    <row r="176" spans="1:15" x14ac:dyDescent="0.35">
      <c r="A176" s="15">
        <f t="shared" si="2"/>
        <v>174</v>
      </c>
      <c r="B176" s="16"/>
      <c r="C176" s="19"/>
      <c r="D176" s="10"/>
      <c r="E176" s="10"/>
      <c r="F176" s="47"/>
      <c r="G176" s="10"/>
      <c r="H176" s="20"/>
      <c r="I176" s="20"/>
      <c r="J176" s="10"/>
      <c r="K176" s="10"/>
      <c r="L176" s="10"/>
      <c r="M176" s="10"/>
      <c r="N176" s="10"/>
      <c r="O176" s="21"/>
    </row>
    <row r="177" spans="1:15" x14ac:dyDescent="0.35">
      <c r="A177" s="15">
        <f t="shared" si="2"/>
        <v>175</v>
      </c>
      <c r="B177" s="16"/>
      <c r="C177" s="19"/>
      <c r="D177" s="10"/>
      <c r="E177" s="10"/>
      <c r="F177" s="47"/>
      <c r="G177" s="10"/>
      <c r="H177" s="20"/>
      <c r="I177" s="20"/>
      <c r="J177" s="10"/>
      <c r="K177" s="10"/>
      <c r="L177" s="10"/>
      <c r="M177" s="10"/>
      <c r="N177" s="10"/>
      <c r="O177" s="21"/>
    </row>
    <row r="178" spans="1:15" x14ac:dyDescent="0.35">
      <c r="A178" s="15">
        <f t="shared" si="2"/>
        <v>176</v>
      </c>
      <c r="B178" s="16"/>
      <c r="C178" s="19"/>
      <c r="D178" s="10"/>
      <c r="E178" s="10"/>
      <c r="F178" s="47"/>
      <c r="G178" s="10"/>
      <c r="H178" s="20"/>
      <c r="I178" s="20"/>
      <c r="J178" s="10"/>
      <c r="K178" s="10"/>
      <c r="L178" s="10"/>
      <c r="M178" s="10"/>
      <c r="N178" s="10"/>
      <c r="O178" s="21"/>
    </row>
    <row r="179" spans="1:15" x14ac:dyDescent="0.35">
      <c r="A179" s="15">
        <f t="shared" si="2"/>
        <v>177</v>
      </c>
      <c r="B179" s="16"/>
      <c r="C179" s="19"/>
      <c r="D179" s="10"/>
      <c r="E179" s="10"/>
      <c r="F179" s="47"/>
      <c r="G179" s="10"/>
      <c r="H179" s="20"/>
      <c r="I179" s="20"/>
      <c r="J179" s="10"/>
      <c r="K179" s="10"/>
      <c r="L179" s="10"/>
      <c r="M179" s="10"/>
      <c r="N179" s="10"/>
      <c r="O179" s="21"/>
    </row>
    <row r="180" spans="1:15" x14ac:dyDescent="0.35">
      <c r="A180" s="15">
        <f t="shared" si="2"/>
        <v>178</v>
      </c>
      <c r="B180" s="16"/>
      <c r="C180" s="19"/>
      <c r="D180" s="10"/>
      <c r="E180" s="10"/>
      <c r="F180" s="47"/>
      <c r="G180" s="10"/>
      <c r="H180" s="20"/>
      <c r="I180" s="20"/>
      <c r="J180" s="10"/>
      <c r="K180" s="10"/>
      <c r="L180" s="10"/>
      <c r="M180" s="10"/>
      <c r="N180" s="10"/>
      <c r="O180" s="21"/>
    </row>
    <row r="181" spans="1:15" x14ac:dyDescent="0.35">
      <c r="A181" s="15">
        <f t="shared" si="2"/>
        <v>179</v>
      </c>
      <c r="B181" s="16"/>
      <c r="C181" s="19"/>
      <c r="D181" s="10"/>
      <c r="E181" s="10"/>
      <c r="F181" s="47"/>
      <c r="G181" s="10"/>
      <c r="H181" s="20"/>
      <c r="I181" s="20"/>
      <c r="J181" s="10"/>
      <c r="K181" s="10"/>
      <c r="L181" s="10"/>
      <c r="M181" s="10"/>
      <c r="N181" s="10"/>
      <c r="O181" s="21"/>
    </row>
    <row r="182" spans="1:15" x14ac:dyDescent="0.35">
      <c r="A182" s="15">
        <f t="shared" si="2"/>
        <v>180</v>
      </c>
      <c r="B182" s="16"/>
      <c r="C182" s="19"/>
      <c r="D182" s="10"/>
      <c r="E182" s="10"/>
      <c r="F182" s="47"/>
      <c r="G182" s="10"/>
      <c r="H182" s="20"/>
      <c r="I182" s="20"/>
      <c r="J182" s="10"/>
      <c r="K182" s="10"/>
      <c r="L182" s="10"/>
      <c r="M182" s="10"/>
      <c r="N182" s="10"/>
      <c r="O182" s="21"/>
    </row>
    <row r="183" spans="1:15" x14ac:dyDescent="0.35">
      <c r="A183" s="15">
        <f t="shared" si="2"/>
        <v>181</v>
      </c>
      <c r="B183" s="16"/>
      <c r="C183" s="19"/>
      <c r="D183" s="10"/>
      <c r="E183" s="10"/>
      <c r="F183" s="47"/>
      <c r="G183" s="10"/>
      <c r="H183" s="20"/>
      <c r="I183" s="20"/>
      <c r="J183" s="10"/>
      <c r="K183" s="10"/>
      <c r="L183" s="10"/>
      <c r="M183" s="10"/>
      <c r="N183" s="10"/>
      <c r="O183" s="21"/>
    </row>
    <row r="184" spans="1:15" x14ac:dyDescent="0.35">
      <c r="A184" s="15">
        <f t="shared" si="2"/>
        <v>182</v>
      </c>
      <c r="B184" s="16"/>
      <c r="C184" s="19"/>
      <c r="D184" s="10"/>
      <c r="E184" s="10"/>
      <c r="F184" s="47"/>
      <c r="G184" s="10"/>
      <c r="H184" s="20"/>
      <c r="I184" s="20"/>
      <c r="J184" s="10"/>
      <c r="K184" s="10"/>
      <c r="L184" s="10"/>
      <c r="M184" s="10"/>
      <c r="N184" s="10"/>
      <c r="O184" s="21"/>
    </row>
    <row r="185" spans="1:15" x14ac:dyDescent="0.35">
      <c r="A185" s="15">
        <f t="shared" si="2"/>
        <v>183</v>
      </c>
      <c r="B185" s="16"/>
      <c r="C185" s="19"/>
      <c r="D185" s="10"/>
      <c r="E185" s="10"/>
      <c r="F185" s="47"/>
      <c r="G185" s="10"/>
      <c r="H185" s="20"/>
      <c r="I185" s="20"/>
      <c r="J185" s="10"/>
      <c r="K185" s="10"/>
      <c r="L185" s="10"/>
      <c r="M185" s="10"/>
      <c r="N185" s="10"/>
      <c r="O185" s="21"/>
    </row>
    <row r="186" spans="1:15" x14ac:dyDescent="0.35">
      <c r="A186" s="15">
        <f t="shared" si="2"/>
        <v>184</v>
      </c>
      <c r="B186" s="16"/>
      <c r="C186" s="19"/>
      <c r="D186" s="10"/>
      <c r="E186" s="10"/>
      <c r="F186" s="47"/>
      <c r="G186" s="10"/>
      <c r="H186" s="20"/>
      <c r="I186" s="20"/>
      <c r="J186" s="10"/>
      <c r="K186" s="10"/>
      <c r="L186" s="10"/>
      <c r="M186" s="10"/>
      <c r="N186" s="10"/>
      <c r="O186" s="21"/>
    </row>
    <row r="187" spans="1:15" x14ac:dyDescent="0.35">
      <c r="A187" s="15">
        <f t="shared" si="2"/>
        <v>185</v>
      </c>
      <c r="B187" s="16"/>
      <c r="C187" s="19"/>
      <c r="D187" s="10"/>
      <c r="E187" s="10"/>
      <c r="F187" s="47"/>
      <c r="G187" s="10"/>
      <c r="H187" s="20"/>
      <c r="I187" s="20"/>
      <c r="J187" s="10"/>
      <c r="K187" s="10"/>
      <c r="L187" s="10"/>
      <c r="M187" s="10"/>
      <c r="N187" s="10"/>
      <c r="O187" s="21"/>
    </row>
    <row r="188" spans="1:15" x14ac:dyDescent="0.35">
      <c r="A188" s="15">
        <f t="shared" si="2"/>
        <v>186</v>
      </c>
      <c r="B188" s="16"/>
      <c r="C188" s="19"/>
      <c r="D188" s="10"/>
      <c r="E188" s="10"/>
      <c r="F188" s="47"/>
      <c r="G188" s="10"/>
      <c r="H188" s="20"/>
      <c r="I188" s="20"/>
      <c r="J188" s="10"/>
      <c r="K188" s="10"/>
      <c r="L188" s="10"/>
      <c r="M188" s="10"/>
      <c r="N188" s="10"/>
      <c r="O188" s="21"/>
    </row>
    <row r="189" spans="1:15" x14ac:dyDescent="0.35">
      <c r="A189" s="15">
        <f t="shared" si="2"/>
        <v>187</v>
      </c>
      <c r="B189" s="16"/>
      <c r="C189" s="19"/>
      <c r="D189" s="10"/>
      <c r="E189" s="10"/>
      <c r="F189" s="47"/>
      <c r="G189" s="10"/>
      <c r="H189" s="20"/>
      <c r="I189" s="20"/>
      <c r="J189" s="10"/>
      <c r="K189" s="10"/>
      <c r="L189" s="10"/>
      <c r="M189" s="10"/>
      <c r="N189" s="10"/>
      <c r="O189" s="21"/>
    </row>
    <row r="190" spans="1:15" x14ac:dyDescent="0.35">
      <c r="A190" s="15">
        <f t="shared" si="2"/>
        <v>188</v>
      </c>
      <c r="B190" s="16"/>
      <c r="C190" s="19"/>
      <c r="D190" s="10"/>
      <c r="E190" s="10"/>
      <c r="F190" s="47"/>
      <c r="G190" s="10"/>
      <c r="H190" s="20"/>
      <c r="I190" s="20"/>
      <c r="J190" s="10"/>
      <c r="K190" s="10"/>
      <c r="L190" s="10"/>
      <c r="M190" s="10"/>
      <c r="N190" s="10"/>
      <c r="O190" s="21"/>
    </row>
    <row r="191" spans="1:15" x14ac:dyDescent="0.35">
      <c r="A191" s="15">
        <f t="shared" si="2"/>
        <v>189</v>
      </c>
      <c r="B191" s="16"/>
      <c r="C191" s="19"/>
      <c r="D191" s="10"/>
      <c r="E191" s="10"/>
      <c r="F191" s="47"/>
      <c r="G191" s="10"/>
      <c r="H191" s="20"/>
      <c r="I191" s="20"/>
      <c r="J191" s="10"/>
      <c r="K191" s="10"/>
      <c r="L191" s="10"/>
      <c r="M191" s="10"/>
      <c r="N191" s="10"/>
      <c r="O191" s="21"/>
    </row>
    <row r="192" spans="1:15" x14ac:dyDescent="0.35">
      <c r="A192" s="15">
        <f t="shared" si="2"/>
        <v>190</v>
      </c>
      <c r="B192" s="16"/>
      <c r="C192" s="19"/>
      <c r="D192" s="10"/>
      <c r="E192" s="10"/>
      <c r="F192" s="47"/>
      <c r="G192" s="10"/>
      <c r="H192" s="20"/>
      <c r="I192" s="20"/>
      <c r="J192" s="10"/>
      <c r="K192" s="10"/>
      <c r="L192" s="10"/>
      <c r="M192" s="10"/>
      <c r="N192" s="10"/>
      <c r="O192" s="21"/>
    </row>
    <row r="193" spans="1:15" x14ac:dyDescent="0.35">
      <c r="A193" s="15">
        <f t="shared" si="2"/>
        <v>191</v>
      </c>
      <c r="B193" s="16"/>
      <c r="C193" s="19"/>
      <c r="D193" s="10"/>
      <c r="E193" s="10"/>
      <c r="F193" s="47"/>
      <c r="G193" s="10"/>
      <c r="H193" s="20"/>
      <c r="I193" s="20"/>
      <c r="J193" s="10"/>
      <c r="K193" s="10"/>
      <c r="L193" s="10"/>
      <c r="M193" s="10"/>
      <c r="N193" s="10"/>
      <c r="O193" s="21"/>
    </row>
    <row r="194" spans="1:15" x14ac:dyDescent="0.35">
      <c r="A194" s="15">
        <f t="shared" si="2"/>
        <v>192</v>
      </c>
      <c r="B194" s="16"/>
      <c r="C194" s="19"/>
      <c r="D194" s="10"/>
      <c r="E194" s="10"/>
      <c r="F194" s="47"/>
      <c r="G194" s="10"/>
      <c r="H194" s="20"/>
      <c r="I194" s="20"/>
      <c r="J194" s="10"/>
      <c r="K194" s="10"/>
      <c r="L194" s="10"/>
      <c r="M194" s="10"/>
      <c r="N194" s="10"/>
      <c r="O194" s="21"/>
    </row>
    <row r="195" spans="1:15" x14ac:dyDescent="0.35">
      <c r="A195" s="15">
        <f t="shared" si="2"/>
        <v>193</v>
      </c>
      <c r="B195" s="16"/>
      <c r="C195" s="19"/>
      <c r="D195" s="10"/>
      <c r="E195" s="10"/>
      <c r="F195" s="47"/>
      <c r="G195" s="10"/>
      <c r="H195" s="20"/>
      <c r="I195" s="20"/>
      <c r="J195" s="10"/>
      <c r="K195" s="10"/>
      <c r="L195" s="10"/>
      <c r="M195" s="10"/>
      <c r="N195" s="10"/>
      <c r="O195" s="21"/>
    </row>
    <row r="196" spans="1:15" x14ac:dyDescent="0.35">
      <c r="A196" s="15">
        <f t="shared" si="2"/>
        <v>194</v>
      </c>
      <c r="B196" s="16"/>
      <c r="C196" s="19"/>
      <c r="D196" s="10"/>
      <c r="E196" s="10"/>
      <c r="F196" s="47"/>
      <c r="G196" s="10"/>
      <c r="H196" s="20"/>
      <c r="I196" s="20"/>
      <c r="J196" s="10"/>
      <c r="K196" s="10"/>
      <c r="L196" s="10"/>
      <c r="M196" s="10"/>
      <c r="N196" s="10"/>
      <c r="O196" s="21"/>
    </row>
    <row r="197" spans="1:15" x14ac:dyDescent="0.35">
      <c r="A197" s="15">
        <f t="shared" si="2"/>
        <v>195</v>
      </c>
      <c r="B197" s="16"/>
      <c r="C197" s="19"/>
      <c r="D197" s="10"/>
      <c r="E197" s="10"/>
      <c r="F197" s="47"/>
      <c r="G197" s="10"/>
      <c r="H197" s="20"/>
      <c r="I197" s="20"/>
      <c r="J197" s="10"/>
      <c r="K197" s="10"/>
      <c r="L197" s="10"/>
      <c r="M197" s="10"/>
      <c r="N197" s="10"/>
      <c r="O197" s="21"/>
    </row>
    <row r="198" spans="1:15" x14ac:dyDescent="0.35">
      <c r="A198" s="15">
        <f t="shared" si="2"/>
        <v>196</v>
      </c>
      <c r="B198" s="16"/>
      <c r="C198" s="19"/>
      <c r="D198" s="10"/>
      <c r="E198" s="10"/>
      <c r="F198" s="47"/>
      <c r="G198" s="10"/>
      <c r="H198" s="20"/>
      <c r="I198" s="20"/>
      <c r="J198" s="10"/>
      <c r="K198" s="10"/>
      <c r="L198" s="10"/>
      <c r="M198" s="10"/>
      <c r="N198" s="10"/>
      <c r="O198" s="21"/>
    </row>
    <row r="199" spans="1:15" x14ac:dyDescent="0.35">
      <c r="A199" s="15">
        <f t="shared" si="2"/>
        <v>197</v>
      </c>
      <c r="B199" s="16"/>
      <c r="C199" s="19"/>
      <c r="D199" s="10"/>
      <c r="E199" s="10"/>
      <c r="F199" s="47"/>
      <c r="G199" s="10"/>
      <c r="H199" s="20"/>
      <c r="I199" s="20"/>
      <c r="J199" s="10"/>
      <c r="K199" s="10"/>
      <c r="L199" s="10"/>
      <c r="M199" s="10"/>
      <c r="N199" s="10"/>
      <c r="O199" s="21"/>
    </row>
    <row r="200" spans="1:15" x14ac:dyDescent="0.35">
      <c r="A200" s="15">
        <f t="shared" si="2"/>
        <v>198</v>
      </c>
      <c r="B200" s="16"/>
      <c r="C200" s="19"/>
      <c r="D200" s="10"/>
      <c r="E200" s="10"/>
      <c r="F200" s="47"/>
      <c r="G200" s="10"/>
      <c r="H200" s="20"/>
      <c r="I200" s="20"/>
      <c r="J200" s="10"/>
      <c r="K200" s="10"/>
      <c r="L200" s="10"/>
      <c r="M200" s="10"/>
      <c r="N200" s="10"/>
      <c r="O200" s="21"/>
    </row>
    <row r="201" spans="1:15" x14ac:dyDescent="0.35">
      <c r="A201" s="15">
        <f t="shared" si="2"/>
        <v>199</v>
      </c>
      <c r="B201" s="16"/>
      <c r="C201" s="19"/>
      <c r="D201" s="10"/>
      <c r="E201" s="10"/>
      <c r="F201" s="47"/>
      <c r="G201" s="10"/>
      <c r="H201" s="20"/>
      <c r="I201" s="20"/>
      <c r="J201" s="10"/>
      <c r="K201" s="10"/>
      <c r="L201" s="10"/>
      <c r="M201" s="10"/>
      <c r="N201" s="10"/>
      <c r="O201" s="21"/>
    </row>
    <row r="202" spans="1:15" x14ac:dyDescent="0.35">
      <c r="A202" s="15">
        <f t="shared" si="2"/>
        <v>200</v>
      </c>
      <c r="B202" s="16"/>
      <c r="C202" s="19"/>
      <c r="D202" s="10"/>
      <c r="E202" s="10"/>
      <c r="F202" s="47"/>
      <c r="G202" s="10"/>
      <c r="H202" s="20"/>
      <c r="I202" s="20"/>
      <c r="J202" s="10"/>
      <c r="K202" s="10"/>
      <c r="L202" s="10"/>
      <c r="M202" s="10"/>
      <c r="N202" s="10"/>
      <c r="O202" s="21"/>
    </row>
    <row r="203" spans="1:15" x14ac:dyDescent="0.35">
      <c r="A203" s="15">
        <f t="shared" ref="A203:A266" si="3">+A202+1</f>
        <v>201</v>
      </c>
      <c r="B203" s="16"/>
      <c r="C203" s="19"/>
      <c r="D203" s="10"/>
      <c r="E203" s="10"/>
      <c r="F203" s="47"/>
      <c r="G203" s="10"/>
      <c r="H203" s="20"/>
      <c r="I203" s="20"/>
      <c r="J203" s="10"/>
      <c r="K203" s="10"/>
      <c r="L203" s="10"/>
      <c r="M203" s="10"/>
      <c r="N203" s="10"/>
      <c r="O203" s="21"/>
    </row>
    <row r="204" spans="1:15" x14ac:dyDescent="0.35">
      <c r="A204" s="15">
        <f t="shared" si="3"/>
        <v>202</v>
      </c>
      <c r="B204" s="16"/>
      <c r="C204" s="19"/>
      <c r="D204" s="10"/>
      <c r="E204" s="10"/>
      <c r="F204" s="47"/>
      <c r="G204" s="10"/>
      <c r="H204" s="20"/>
      <c r="I204" s="20"/>
      <c r="J204" s="10"/>
      <c r="K204" s="10"/>
      <c r="L204" s="10"/>
      <c r="M204" s="10"/>
      <c r="N204" s="10"/>
      <c r="O204" s="21"/>
    </row>
    <row r="205" spans="1:15" x14ac:dyDescent="0.35">
      <c r="A205" s="15">
        <f t="shared" si="3"/>
        <v>203</v>
      </c>
      <c r="B205" s="16"/>
      <c r="C205" s="19"/>
      <c r="D205" s="10"/>
      <c r="E205" s="10"/>
      <c r="F205" s="47"/>
      <c r="G205" s="10"/>
      <c r="H205" s="20"/>
      <c r="I205" s="20"/>
      <c r="J205" s="10"/>
      <c r="K205" s="10"/>
      <c r="L205" s="10"/>
      <c r="M205" s="10"/>
      <c r="N205" s="10"/>
      <c r="O205" s="21"/>
    </row>
    <row r="206" spans="1:15" x14ac:dyDescent="0.35">
      <c r="A206" s="15">
        <f t="shared" si="3"/>
        <v>204</v>
      </c>
      <c r="B206" s="16"/>
      <c r="C206" s="19"/>
      <c r="D206" s="10"/>
      <c r="E206" s="10"/>
      <c r="F206" s="47"/>
      <c r="G206" s="10"/>
      <c r="H206" s="20"/>
      <c r="I206" s="20"/>
      <c r="J206" s="10"/>
      <c r="K206" s="10"/>
      <c r="L206" s="10"/>
      <c r="M206" s="10"/>
      <c r="N206" s="10"/>
      <c r="O206" s="21"/>
    </row>
    <row r="207" spans="1:15" x14ac:dyDescent="0.35">
      <c r="A207" s="15">
        <f t="shared" si="3"/>
        <v>205</v>
      </c>
      <c r="B207" s="16"/>
      <c r="C207" s="19"/>
      <c r="D207" s="10"/>
      <c r="E207" s="10"/>
      <c r="F207" s="47"/>
      <c r="G207" s="10"/>
      <c r="H207" s="20"/>
      <c r="I207" s="20"/>
      <c r="J207" s="10"/>
      <c r="K207" s="10"/>
      <c r="L207" s="10"/>
      <c r="M207" s="10"/>
      <c r="N207" s="10"/>
      <c r="O207" s="21"/>
    </row>
    <row r="208" spans="1:15" x14ac:dyDescent="0.35">
      <c r="A208" s="15">
        <f t="shared" si="3"/>
        <v>206</v>
      </c>
      <c r="B208" s="16"/>
      <c r="C208" s="19"/>
      <c r="D208" s="10"/>
      <c r="E208" s="10"/>
      <c r="F208" s="47"/>
      <c r="G208" s="10"/>
      <c r="H208" s="20"/>
      <c r="I208" s="20"/>
      <c r="J208" s="10"/>
      <c r="K208" s="10"/>
      <c r="L208" s="10"/>
      <c r="M208" s="10"/>
      <c r="N208" s="10"/>
      <c r="O208" s="21"/>
    </row>
    <row r="209" spans="1:15" x14ac:dyDescent="0.35">
      <c r="A209" s="15">
        <f t="shared" si="3"/>
        <v>207</v>
      </c>
      <c r="B209" s="16"/>
      <c r="C209" s="19"/>
      <c r="D209" s="10"/>
      <c r="E209" s="10"/>
      <c r="F209" s="47"/>
      <c r="G209" s="10"/>
      <c r="H209" s="20"/>
      <c r="I209" s="20"/>
      <c r="J209" s="10"/>
      <c r="K209" s="10"/>
      <c r="L209" s="10"/>
      <c r="M209" s="10"/>
      <c r="N209" s="10"/>
      <c r="O209" s="21"/>
    </row>
    <row r="210" spans="1:15" x14ac:dyDescent="0.35">
      <c r="A210" s="15">
        <f t="shared" si="3"/>
        <v>208</v>
      </c>
      <c r="B210" s="16"/>
      <c r="C210" s="19"/>
      <c r="D210" s="10"/>
      <c r="E210" s="10"/>
      <c r="F210" s="47"/>
      <c r="G210" s="10"/>
      <c r="H210" s="20"/>
      <c r="I210" s="20"/>
      <c r="J210" s="10"/>
      <c r="K210" s="10"/>
      <c r="L210" s="10"/>
      <c r="M210" s="10"/>
      <c r="N210" s="10"/>
      <c r="O210" s="21"/>
    </row>
    <row r="211" spans="1:15" x14ac:dyDescent="0.35">
      <c r="A211" s="15">
        <f t="shared" si="3"/>
        <v>209</v>
      </c>
      <c r="B211" s="16"/>
      <c r="C211" s="19"/>
      <c r="D211" s="10"/>
      <c r="E211" s="10"/>
      <c r="F211" s="47"/>
      <c r="G211" s="10"/>
      <c r="H211" s="20"/>
      <c r="I211" s="20"/>
      <c r="J211" s="10"/>
      <c r="K211" s="10"/>
      <c r="L211" s="10"/>
      <c r="M211" s="10"/>
      <c r="N211" s="10"/>
      <c r="O211" s="21"/>
    </row>
    <row r="212" spans="1:15" x14ac:dyDescent="0.35">
      <c r="A212" s="15">
        <f t="shared" si="3"/>
        <v>210</v>
      </c>
      <c r="B212" s="16"/>
      <c r="C212" s="19"/>
      <c r="D212" s="10"/>
      <c r="E212" s="10"/>
      <c r="F212" s="47"/>
      <c r="G212" s="10"/>
      <c r="H212" s="20"/>
      <c r="I212" s="20"/>
      <c r="J212" s="10"/>
      <c r="K212" s="10"/>
      <c r="L212" s="10"/>
      <c r="M212" s="10"/>
      <c r="N212" s="10"/>
      <c r="O212" s="21"/>
    </row>
    <row r="213" spans="1:15" x14ac:dyDescent="0.35">
      <c r="A213" s="15">
        <f t="shared" si="3"/>
        <v>211</v>
      </c>
      <c r="B213" s="16"/>
      <c r="C213" s="19"/>
      <c r="D213" s="10"/>
      <c r="E213" s="10"/>
      <c r="F213" s="47"/>
      <c r="G213" s="10"/>
      <c r="H213" s="20"/>
      <c r="I213" s="20"/>
      <c r="J213" s="10"/>
      <c r="K213" s="10"/>
      <c r="L213" s="10"/>
      <c r="M213" s="10"/>
      <c r="N213" s="10"/>
      <c r="O213" s="21"/>
    </row>
    <row r="214" spans="1:15" x14ac:dyDescent="0.35">
      <c r="A214" s="15">
        <f t="shared" si="3"/>
        <v>212</v>
      </c>
      <c r="B214" s="16"/>
      <c r="C214" s="19"/>
      <c r="D214" s="10"/>
      <c r="E214" s="10"/>
      <c r="F214" s="47"/>
      <c r="G214" s="10"/>
      <c r="H214" s="20"/>
      <c r="I214" s="20"/>
      <c r="J214" s="10"/>
      <c r="K214" s="10"/>
      <c r="L214" s="10"/>
      <c r="M214" s="10"/>
      <c r="N214" s="10"/>
      <c r="O214" s="21"/>
    </row>
    <row r="215" spans="1:15" x14ac:dyDescent="0.35">
      <c r="A215" s="15">
        <f t="shared" si="3"/>
        <v>213</v>
      </c>
      <c r="B215" s="16"/>
      <c r="C215" s="19"/>
      <c r="D215" s="10"/>
      <c r="E215" s="10"/>
      <c r="F215" s="47"/>
      <c r="G215" s="10"/>
      <c r="H215" s="20"/>
      <c r="I215" s="20"/>
      <c r="J215" s="10"/>
      <c r="K215" s="10"/>
      <c r="L215" s="10"/>
      <c r="M215" s="10"/>
      <c r="N215" s="10"/>
      <c r="O215" s="21"/>
    </row>
    <row r="216" spans="1:15" x14ac:dyDescent="0.35">
      <c r="A216" s="15">
        <f t="shared" si="3"/>
        <v>214</v>
      </c>
      <c r="B216" s="16"/>
      <c r="C216" s="19"/>
      <c r="D216" s="10"/>
      <c r="E216" s="10"/>
      <c r="F216" s="47"/>
      <c r="G216" s="10"/>
      <c r="H216" s="20"/>
      <c r="I216" s="20"/>
      <c r="J216" s="10"/>
      <c r="K216" s="10"/>
      <c r="L216" s="10"/>
      <c r="M216" s="10"/>
      <c r="N216" s="10"/>
      <c r="O216" s="21"/>
    </row>
    <row r="217" spans="1:15" x14ac:dyDescent="0.35">
      <c r="A217" s="15">
        <f t="shared" si="3"/>
        <v>215</v>
      </c>
      <c r="B217" s="16"/>
      <c r="C217" s="19"/>
      <c r="D217" s="10"/>
      <c r="E217" s="10"/>
      <c r="F217" s="47"/>
      <c r="G217" s="10"/>
      <c r="H217" s="20"/>
      <c r="I217" s="20"/>
      <c r="J217" s="10"/>
      <c r="K217" s="10"/>
      <c r="L217" s="10"/>
      <c r="M217" s="10"/>
      <c r="N217" s="10"/>
      <c r="O217" s="21"/>
    </row>
    <row r="218" spans="1:15" x14ac:dyDescent="0.35">
      <c r="A218" s="15">
        <f t="shared" si="3"/>
        <v>216</v>
      </c>
      <c r="B218" s="16"/>
      <c r="C218" s="19"/>
      <c r="D218" s="10"/>
      <c r="E218" s="10"/>
      <c r="F218" s="47"/>
      <c r="G218" s="10"/>
      <c r="H218" s="20"/>
      <c r="I218" s="20"/>
      <c r="J218" s="10"/>
      <c r="K218" s="10"/>
      <c r="L218" s="10"/>
      <c r="M218" s="10"/>
      <c r="N218" s="10"/>
      <c r="O218" s="21"/>
    </row>
    <row r="219" spans="1:15" x14ac:dyDescent="0.35">
      <c r="A219" s="15">
        <f t="shared" si="3"/>
        <v>217</v>
      </c>
      <c r="B219" s="16"/>
      <c r="C219" s="19"/>
      <c r="D219" s="10"/>
      <c r="E219" s="10"/>
      <c r="F219" s="47"/>
      <c r="G219" s="10"/>
      <c r="H219" s="20"/>
      <c r="I219" s="20"/>
      <c r="J219" s="10"/>
      <c r="K219" s="10"/>
      <c r="L219" s="10"/>
      <c r="M219" s="10"/>
      <c r="N219" s="10"/>
      <c r="O219" s="21"/>
    </row>
    <row r="220" spans="1:15" x14ac:dyDescent="0.35">
      <c r="A220" s="15">
        <f t="shared" si="3"/>
        <v>218</v>
      </c>
      <c r="B220" s="16"/>
      <c r="C220" s="19"/>
      <c r="D220" s="10"/>
      <c r="E220" s="10"/>
      <c r="F220" s="47"/>
      <c r="G220" s="10"/>
      <c r="H220" s="20"/>
      <c r="I220" s="20"/>
      <c r="J220" s="10"/>
      <c r="K220" s="10"/>
      <c r="L220" s="10"/>
      <c r="M220" s="10"/>
      <c r="N220" s="10"/>
      <c r="O220" s="21"/>
    </row>
    <row r="221" spans="1:15" x14ac:dyDescent="0.35">
      <c r="A221" s="15">
        <f t="shared" si="3"/>
        <v>219</v>
      </c>
      <c r="B221" s="16"/>
      <c r="C221" s="19"/>
      <c r="D221" s="10"/>
      <c r="E221" s="10"/>
      <c r="F221" s="47"/>
      <c r="G221" s="10"/>
      <c r="H221" s="20"/>
      <c r="I221" s="20"/>
      <c r="J221" s="10"/>
      <c r="K221" s="10"/>
      <c r="L221" s="10"/>
      <c r="M221" s="10"/>
      <c r="N221" s="10"/>
      <c r="O221" s="21"/>
    </row>
    <row r="222" spans="1:15" x14ac:dyDescent="0.35">
      <c r="A222" s="15">
        <f t="shared" si="3"/>
        <v>220</v>
      </c>
      <c r="B222" s="16"/>
      <c r="C222" s="19"/>
      <c r="D222" s="10"/>
      <c r="E222" s="10"/>
      <c r="F222" s="47"/>
      <c r="G222" s="10"/>
      <c r="H222" s="20"/>
      <c r="I222" s="20"/>
      <c r="J222" s="10"/>
      <c r="K222" s="10"/>
      <c r="L222" s="10"/>
      <c r="M222" s="10"/>
      <c r="N222" s="10"/>
      <c r="O222" s="21"/>
    </row>
    <row r="223" spans="1:15" x14ac:dyDescent="0.35">
      <c r="A223" s="15">
        <f t="shared" si="3"/>
        <v>221</v>
      </c>
      <c r="B223" s="16"/>
      <c r="C223" s="19"/>
      <c r="D223" s="10"/>
      <c r="E223" s="10"/>
      <c r="F223" s="47"/>
      <c r="G223" s="10"/>
      <c r="H223" s="20"/>
      <c r="I223" s="20"/>
      <c r="J223" s="10"/>
      <c r="K223" s="10"/>
      <c r="L223" s="10"/>
      <c r="M223" s="10"/>
      <c r="N223" s="10"/>
      <c r="O223" s="21"/>
    </row>
    <row r="224" spans="1:15" x14ac:dyDescent="0.35">
      <c r="A224" s="15">
        <f t="shared" si="3"/>
        <v>222</v>
      </c>
      <c r="B224" s="16"/>
      <c r="C224" s="19"/>
      <c r="D224" s="10"/>
      <c r="E224" s="10"/>
      <c r="F224" s="47"/>
      <c r="G224" s="10"/>
      <c r="H224" s="20"/>
      <c r="I224" s="20"/>
      <c r="J224" s="10"/>
      <c r="K224" s="10"/>
      <c r="L224" s="10"/>
      <c r="M224" s="10"/>
      <c r="N224" s="10"/>
      <c r="O224" s="21"/>
    </row>
    <row r="225" spans="1:15" x14ac:dyDescent="0.35">
      <c r="A225" s="15">
        <f t="shared" si="3"/>
        <v>223</v>
      </c>
      <c r="B225" s="16"/>
      <c r="C225" s="19"/>
      <c r="D225" s="10"/>
      <c r="E225" s="10"/>
      <c r="F225" s="47"/>
      <c r="G225" s="10"/>
      <c r="H225" s="20"/>
      <c r="I225" s="20"/>
      <c r="J225" s="10"/>
      <c r="K225" s="10"/>
      <c r="L225" s="10"/>
      <c r="M225" s="10"/>
      <c r="N225" s="10"/>
      <c r="O225" s="21"/>
    </row>
    <row r="226" spans="1:15" x14ac:dyDescent="0.35">
      <c r="A226" s="15">
        <f t="shared" si="3"/>
        <v>224</v>
      </c>
      <c r="B226" s="16"/>
      <c r="C226" s="19"/>
      <c r="D226" s="10"/>
      <c r="E226" s="10"/>
      <c r="F226" s="47"/>
      <c r="G226" s="10"/>
      <c r="H226" s="20"/>
      <c r="I226" s="20"/>
      <c r="J226" s="10"/>
      <c r="K226" s="10"/>
      <c r="L226" s="10"/>
      <c r="M226" s="10"/>
      <c r="N226" s="10"/>
      <c r="O226" s="21"/>
    </row>
    <row r="227" spans="1:15" x14ac:dyDescent="0.35">
      <c r="A227" s="15">
        <f t="shared" si="3"/>
        <v>225</v>
      </c>
      <c r="B227" s="16"/>
      <c r="C227" s="19"/>
      <c r="D227" s="10"/>
      <c r="E227" s="10"/>
      <c r="F227" s="47"/>
      <c r="G227" s="10"/>
      <c r="H227" s="20"/>
      <c r="I227" s="20"/>
      <c r="J227" s="10"/>
      <c r="K227" s="10"/>
      <c r="L227" s="10"/>
      <c r="M227" s="10"/>
      <c r="N227" s="10"/>
      <c r="O227" s="21"/>
    </row>
    <row r="228" spans="1:15" x14ac:dyDescent="0.35">
      <c r="A228" s="15">
        <f t="shared" si="3"/>
        <v>226</v>
      </c>
      <c r="B228" s="16"/>
      <c r="C228" s="19"/>
      <c r="D228" s="10"/>
      <c r="E228" s="10"/>
      <c r="F228" s="47"/>
      <c r="G228" s="10"/>
      <c r="H228" s="20"/>
      <c r="I228" s="20"/>
      <c r="J228" s="10"/>
      <c r="K228" s="10"/>
      <c r="L228" s="10"/>
      <c r="M228" s="10"/>
      <c r="N228" s="10"/>
      <c r="O228" s="21"/>
    </row>
    <row r="229" spans="1:15" x14ac:dyDescent="0.35">
      <c r="A229" s="15">
        <f t="shared" si="3"/>
        <v>227</v>
      </c>
      <c r="B229" s="16"/>
      <c r="C229" s="19"/>
      <c r="D229" s="10"/>
      <c r="E229" s="10"/>
      <c r="F229" s="47"/>
      <c r="G229" s="10"/>
      <c r="H229" s="20"/>
      <c r="I229" s="20"/>
      <c r="J229" s="10"/>
      <c r="K229" s="10"/>
      <c r="L229" s="10"/>
      <c r="M229" s="10"/>
      <c r="N229" s="10"/>
      <c r="O229" s="21"/>
    </row>
    <row r="230" spans="1:15" x14ac:dyDescent="0.35">
      <c r="A230" s="15">
        <f t="shared" si="3"/>
        <v>228</v>
      </c>
      <c r="B230" s="16"/>
      <c r="C230" s="19"/>
      <c r="D230" s="10"/>
      <c r="E230" s="10"/>
      <c r="F230" s="47"/>
      <c r="G230" s="10"/>
      <c r="H230" s="20"/>
      <c r="I230" s="20"/>
      <c r="J230" s="10"/>
      <c r="K230" s="10"/>
      <c r="L230" s="10"/>
      <c r="M230" s="10"/>
      <c r="N230" s="10"/>
      <c r="O230" s="21"/>
    </row>
    <row r="231" spans="1:15" x14ac:dyDescent="0.35">
      <c r="A231" s="15">
        <f t="shared" si="3"/>
        <v>229</v>
      </c>
      <c r="B231" s="16"/>
      <c r="C231" s="19"/>
      <c r="D231" s="10"/>
      <c r="E231" s="10"/>
      <c r="F231" s="47"/>
      <c r="G231" s="10"/>
      <c r="H231" s="20"/>
      <c r="I231" s="20"/>
      <c r="J231" s="10"/>
      <c r="K231" s="10"/>
      <c r="L231" s="10"/>
      <c r="M231" s="10"/>
      <c r="N231" s="10"/>
      <c r="O231" s="21"/>
    </row>
    <row r="232" spans="1:15" x14ac:dyDescent="0.35">
      <c r="A232" s="15">
        <f t="shared" si="3"/>
        <v>230</v>
      </c>
      <c r="B232" s="16"/>
      <c r="C232" s="19"/>
      <c r="D232" s="10"/>
      <c r="E232" s="10"/>
      <c r="F232" s="47"/>
      <c r="G232" s="10"/>
      <c r="H232" s="20"/>
      <c r="I232" s="20"/>
      <c r="J232" s="10"/>
      <c r="K232" s="10"/>
      <c r="L232" s="10"/>
      <c r="M232" s="10"/>
      <c r="N232" s="10"/>
      <c r="O232" s="21"/>
    </row>
    <row r="233" spans="1:15" x14ac:dyDescent="0.35">
      <c r="A233" s="15">
        <f t="shared" si="3"/>
        <v>231</v>
      </c>
      <c r="B233" s="16"/>
      <c r="C233" s="19"/>
      <c r="D233" s="10"/>
      <c r="E233" s="10"/>
      <c r="F233" s="47"/>
      <c r="G233" s="10"/>
      <c r="H233" s="20"/>
      <c r="I233" s="20"/>
      <c r="J233" s="10"/>
      <c r="K233" s="10"/>
      <c r="L233" s="10"/>
      <c r="M233" s="10"/>
      <c r="N233" s="10"/>
      <c r="O233" s="21"/>
    </row>
    <row r="234" spans="1:15" x14ac:dyDescent="0.35">
      <c r="A234" s="15">
        <f t="shared" si="3"/>
        <v>232</v>
      </c>
      <c r="B234" s="16"/>
      <c r="C234" s="19"/>
      <c r="D234" s="10"/>
      <c r="E234" s="10"/>
      <c r="F234" s="47"/>
      <c r="G234" s="10"/>
      <c r="H234" s="20"/>
      <c r="I234" s="20"/>
      <c r="J234" s="10"/>
      <c r="K234" s="10"/>
      <c r="L234" s="10"/>
      <c r="M234" s="10"/>
      <c r="N234" s="10"/>
      <c r="O234" s="21"/>
    </row>
    <row r="235" spans="1:15" x14ac:dyDescent="0.35">
      <c r="A235" s="15">
        <f t="shared" si="3"/>
        <v>233</v>
      </c>
      <c r="B235" s="16"/>
      <c r="C235" s="19"/>
      <c r="D235" s="10"/>
      <c r="E235" s="10"/>
      <c r="F235" s="47"/>
      <c r="G235" s="10"/>
      <c r="H235" s="20"/>
      <c r="I235" s="20"/>
      <c r="J235" s="10"/>
      <c r="K235" s="10"/>
      <c r="L235" s="10"/>
      <c r="M235" s="10"/>
      <c r="N235" s="10"/>
      <c r="O235" s="21"/>
    </row>
    <row r="236" spans="1:15" x14ac:dyDescent="0.35">
      <c r="A236" s="15">
        <f t="shared" si="3"/>
        <v>234</v>
      </c>
      <c r="B236" s="16"/>
      <c r="C236" s="19"/>
      <c r="D236" s="10"/>
      <c r="E236" s="10"/>
      <c r="F236" s="47"/>
      <c r="G236" s="10"/>
      <c r="H236" s="20"/>
      <c r="I236" s="20"/>
      <c r="J236" s="10"/>
      <c r="K236" s="10"/>
      <c r="L236" s="10"/>
      <c r="M236" s="10"/>
      <c r="N236" s="10"/>
      <c r="O236" s="21"/>
    </row>
    <row r="237" spans="1:15" x14ac:dyDescent="0.35">
      <c r="A237" s="15">
        <f t="shared" si="3"/>
        <v>235</v>
      </c>
      <c r="B237" s="16"/>
      <c r="C237" s="19"/>
      <c r="D237" s="10"/>
      <c r="E237" s="10"/>
      <c r="F237" s="47"/>
      <c r="G237" s="10"/>
      <c r="H237" s="20"/>
      <c r="I237" s="20"/>
      <c r="J237" s="10"/>
      <c r="K237" s="10"/>
      <c r="L237" s="10"/>
      <c r="M237" s="10"/>
      <c r="N237" s="10"/>
      <c r="O237" s="21"/>
    </row>
    <row r="238" spans="1:15" x14ac:dyDescent="0.35">
      <c r="A238" s="15">
        <f t="shared" si="3"/>
        <v>236</v>
      </c>
      <c r="B238" s="16"/>
      <c r="C238" s="19"/>
      <c r="D238" s="10"/>
      <c r="E238" s="10"/>
      <c r="F238" s="47"/>
      <c r="G238" s="10"/>
      <c r="H238" s="20"/>
      <c r="I238" s="20"/>
      <c r="J238" s="10"/>
      <c r="K238" s="10"/>
      <c r="L238" s="10"/>
      <c r="M238" s="10"/>
      <c r="N238" s="10"/>
      <c r="O238" s="21"/>
    </row>
    <row r="239" spans="1:15" x14ac:dyDescent="0.35">
      <c r="A239" s="15">
        <f t="shared" si="3"/>
        <v>237</v>
      </c>
      <c r="B239" s="16"/>
      <c r="C239" s="19"/>
      <c r="D239" s="10"/>
      <c r="E239" s="10"/>
      <c r="F239" s="47"/>
      <c r="G239" s="10"/>
      <c r="H239" s="20"/>
      <c r="I239" s="20"/>
      <c r="J239" s="10"/>
      <c r="K239" s="10"/>
      <c r="L239" s="10"/>
      <c r="M239" s="10"/>
      <c r="N239" s="10"/>
      <c r="O239" s="21"/>
    </row>
    <row r="240" spans="1:15" x14ac:dyDescent="0.35">
      <c r="A240" s="15">
        <f t="shared" si="3"/>
        <v>238</v>
      </c>
      <c r="B240" s="16"/>
      <c r="C240" s="19"/>
      <c r="D240" s="10"/>
      <c r="E240" s="10"/>
      <c r="F240" s="47"/>
      <c r="G240" s="10"/>
      <c r="H240" s="20"/>
      <c r="I240" s="20"/>
      <c r="J240" s="10"/>
      <c r="K240" s="10"/>
      <c r="L240" s="10"/>
      <c r="M240" s="10"/>
      <c r="N240" s="10"/>
      <c r="O240" s="21"/>
    </row>
    <row r="241" spans="1:15" x14ac:dyDescent="0.35">
      <c r="A241" s="15">
        <f t="shared" si="3"/>
        <v>239</v>
      </c>
      <c r="B241" s="16"/>
      <c r="C241" s="19"/>
      <c r="D241" s="10"/>
      <c r="E241" s="10"/>
      <c r="F241" s="47"/>
      <c r="G241" s="10"/>
      <c r="H241" s="20"/>
      <c r="I241" s="20"/>
      <c r="J241" s="10"/>
      <c r="K241" s="10"/>
      <c r="L241" s="10"/>
      <c r="M241" s="10"/>
      <c r="N241" s="10"/>
      <c r="O241" s="21"/>
    </row>
    <row r="242" spans="1:15" x14ac:dyDescent="0.35">
      <c r="A242" s="15">
        <f t="shared" si="3"/>
        <v>240</v>
      </c>
      <c r="B242" s="16"/>
      <c r="C242" s="19"/>
      <c r="D242" s="10"/>
      <c r="E242" s="10"/>
      <c r="F242" s="47"/>
      <c r="G242" s="10"/>
      <c r="H242" s="20"/>
      <c r="I242" s="20"/>
      <c r="J242" s="10"/>
      <c r="K242" s="10"/>
      <c r="L242" s="10"/>
      <c r="M242" s="10"/>
      <c r="N242" s="10"/>
      <c r="O242" s="21"/>
    </row>
    <row r="243" spans="1:15" x14ac:dyDescent="0.35">
      <c r="A243" s="15">
        <f t="shared" si="3"/>
        <v>241</v>
      </c>
      <c r="B243" s="16"/>
      <c r="C243" s="19"/>
      <c r="D243" s="10"/>
      <c r="E243" s="10"/>
      <c r="F243" s="47"/>
      <c r="G243" s="10"/>
      <c r="H243" s="20"/>
      <c r="I243" s="20"/>
      <c r="J243" s="10"/>
      <c r="K243" s="10"/>
      <c r="L243" s="10"/>
      <c r="M243" s="10"/>
      <c r="N243" s="10"/>
      <c r="O243" s="21"/>
    </row>
    <row r="244" spans="1:15" x14ac:dyDescent="0.35">
      <c r="A244" s="15">
        <f t="shared" si="3"/>
        <v>242</v>
      </c>
      <c r="B244" s="16"/>
      <c r="C244" s="19"/>
      <c r="D244" s="10"/>
      <c r="E244" s="10"/>
      <c r="F244" s="47"/>
      <c r="G244" s="10"/>
      <c r="H244" s="20"/>
      <c r="I244" s="20"/>
      <c r="J244" s="10"/>
      <c r="K244" s="10"/>
      <c r="L244" s="10"/>
      <c r="M244" s="10"/>
      <c r="N244" s="10"/>
      <c r="O244" s="21"/>
    </row>
    <row r="245" spans="1:15" x14ac:dyDescent="0.35">
      <c r="A245" s="15">
        <f t="shared" si="3"/>
        <v>243</v>
      </c>
      <c r="B245" s="16"/>
      <c r="C245" s="19"/>
      <c r="D245" s="10"/>
      <c r="E245" s="10"/>
      <c r="F245" s="47"/>
      <c r="G245" s="10"/>
      <c r="H245" s="20"/>
      <c r="I245" s="20"/>
      <c r="J245" s="10"/>
      <c r="K245" s="10"/>
      <c r="L245" s="10"/>
      <c r="M245" s="10"/>
      <c r="N245" s="10"/>
      <c r="O245" s="21"/>
    </row>
    <row r="246" spans="1:15" x14ac:dyDescent="0.35">
      <c r="A246" s="15">
        <f t="shared" si="3"/>
        <v>244</v>
      </c>
      <c r="B246" s="16"/>
      <c r="C246" s="19"/>
      <c r="D246" s="10"/>
      <c r="E246" s="10"/>
      <c r="F246" s="47"/>
      <c r="G246" s="10"/>
      <c r="H246" s="20"/>
      <c r="I246" s="20"/>
      <c r="J246" s="10"/>
      <c r="K246" s="10"/>
      <c r="L246" s="10"/>
      <c r="M246" s="10"/>
      <c r="N246" s="10"/>
      <c r="O246" s="21"/>
    </row>
    <row r="247" spans="1:15" x14ac:dyDescent="0.35">
      <c r="A247" s="15">
        <f t="shared" si="3"/>
        <v>245</v>
      </c>
      <c r="B247" s="16"/>
      <c r="C247" s="19"/>
      <c r="D247" s="10"/>
      <c r="E247" s="10"/>
      <c r="F247" s="47"/>
      <c r="G247" s="10"/>
      <c r="H247" s="20"/>
      <c r="I247" s="20"/>
      <c r="J247" s="10"/>
      <c r="K247" s="10"/>
      <c r="L247" s="10"/>
      <c r="M247" s="10"/>
      <c r="N247" s="10"/>
      <c r="O247" s="21"/>
    </row>
    <row r="248" spans="1:15" x14ac:dyDescent="0.35">
      <c r="A248" s="15">
        <f t="shared" si="3"/>
        <v>246</v>
      </c>
      <c r="B248" s="16"/>
      <c r="C248" s="19"/>
      <c r="D248" s="10"/>
      <c r="E248" s="10"/>
      <c r="F248" s="47"/>
      <c r="G248" s="10"/>
      <c r="H248" s="20"/>
      <c r="I248" s="20"/>
      <c r="J248" s="10"/>
      <c r="K248" s="10"/>
      <c r="L248" s="10"/>
      <c r="M248" s="10"/>
      <c r="N248" s="10"/>
      <c r="O248" s="21"/>
    </row>
    <row r="249" spans="1:15" x14ac:dyDescent="0.35">
      <c r="A249" s="15">
        <f t="shared" si="3"/>
        <v>247</v>
      </c>
      <c r="B249" s="16"/>
      <c r="C249" s="19"/>
      <c r="D249" s="10"/>
      <c r="E249" s="10"/>
      <c r="F249" s="47"/>
      <c r="G249" s="10"/>
      <c r="H249" s="20"/>
      <c r="I249" s="20"/>
      <c r="J249" s="10"/>
      <c r="K249" s="10"/>
      <c r="L249" s="10"/>
      <c r="M249" s="10"/>
      <c r="N249" s="10"/>
      <c r="O249" s="21"/>
    </row>
    <row r="250" spans="1:15" x14ac:dyDescent="0.35">
      <c r="A250" s="15">
        <f t="shared" si="3"/>
        <v>248</v>
      </c>
      <c r="B250" s="16"/>
      <c r="C250" s="19"/>
      <c r="D250" s="10"/>
      <c r="E250" s="10"/>
      <c r="F250" s="47"/>
      <c r="G250" s="10"/>
      <c r="H250" s="20"/>
      <c r="I250" s="20"/>
      <c r="J250" s="10"/>
      <c r="K250" s="10"/>
      <c r="L250" s="10"/>
      <c r="M250" s="10"/>
      <c r="N250" s="10"/>
      <c r="O250" s="21"/>
    </row>
    <row r="251" spans="1:15" x14ac:dyDescent="0.35">
      <c r="A251" s="15">
        <f t="shared" si="3"/>
        <v>249</v>
      </c>
      <c r="B251" s="16"/>
      <c r="C251" s="19"/>
      <c r="D251" s="10"/>
      <c r="E251" s="10"/>
      <c r="F251" s="47"/>
      <c r="G251" s="10"/>
      <c r="H251" s="20"/>
      <c r="I251" s="20"/>
      <c r="J251" s="10"/>
      <c r="K251" s="10"/>
      <c r="L251" s="10"/>
      <c r="M251" s="10"/>
      <c r="N251" s="10"/>
      <c r="O251" s="21"/>
    </row>
    <row r="252" spans="1:15" x14ac:dyDescent="0.35">
      <c r="A252" s="15">
        <f t="shared" si="3"/>
        <v>250</v>
      </c>
      <c r="B252" s="16"/>
      <c r="C252" s="19"/>
      <c r="D252" s="10"/>
      <c r="E252" s="10"/>
      <c r="F252" s="47"/>
      <c r="G252" s="10"/>
      <c r="H252" s="20"/>
      <c r="I252" s="20"/>
      <c r="J252" s="10"/>
      <c r="K252" s="10"/>
      <c r="L252" s="10"/>
      <c r="M252" s="10"/>
      <c r="N252" s="10"/>
      <c r="O252" s="21"/>
    </row>
    <row r="253" spans="1:15" x14ac:dyDescent="0.35">
      <c r="A253" s="15">
        <f t="shared" si="3"/>
        <v>251</v>
      </c>
      <c r="B253" s="16"/>
      <c r="C253" s="19"/>
      <c r="D253" s="10"/>
      <c r="E253" s="10"/>
      <c r="F253" s="47"/>
      <c r="G253" s="10"/>
      <c r="H253" s="20"/>
      <c r="I253" s="20"/>
      <c r="J253" s="10"/>
      <c r="K253" s="10"/>
      <c r="L253" s="10"/>
      <c r="M253" s="10"/>
      <c r="N253" s="10"/>
      <c r="O253" s="21"/>
    </row>
    <row r="254" spans="1:15" x14ac:dyDescent="0.35">
      <c r="A254" s="15">
        <f t="shared" si="3"/>
        <v>252</v>
      </c>
      <c r="B254" s="16"/>
      <c r="C254" s="19"/>
      <c r="D254" s="10"/>
      <c r="E254" s="10"/>
      <c r="F254" s="47"/>
      <c r="G254" s="10"/>
      <c r="H254" s="20"/>
      <c r="I254" s="20"/>
      <c r="J254" s="10"/>
      <c r="K254" s="10"/>
      <c r="L254" s="10"/>
      <c r="M254" s="10"/>
      <c r="N254" s="10"/>
      <c r="O254" s="21"/>
    </row>
    <row r="255" spans="1:15" x14ac:dyDescent="0.35">
      <c r="A255" s="15">
        <f t="shared" si="3"/>
        <v>253</v>
      </c>
      <c r="B255" s="16"/>
      <c r="C255" s="19"/>
      <c r="D255" s="10"/>
      <c r="E255" s="10"/>
      <c r="F255" s="47"/>
      <c r="G255" s="10"/>
      <c r="H255" s="20"/>
      <c r="I255" s="20"/>
      <c r="J255" s="10"/>
      <c r="K255" s="10"/>
      <c r="L255" s="10"/>
      <c r="M255" s="10"/>
      <c r="N255" s="10"/>
      <c r="O255" s="21"/>
    </row>
    <row r="256" spans="1:15" x14ac:dyDescent="0.35">
      <c r="A256" s="15">
        <f t="shared" si="3"/>
        <v>254</v>
      </c>
      <c r="B256" s="16"/>
      <c r="C256" s="19"/>
      <c r="D256" s="10"/>
      <c r="E256" s="10"/>
      <c r="F256" s="47"/>
      <c r="G256" s="10"/>
      <c r="H256" s="20"/>
      <c r="I256" s="20"/>
      <c r="J256" s="10"/>
      <c r="K256" s="10"/>
      <c r="L256" s="10"/>
      <c r="M256" s="10"/>
      <c r="N256" s="10"/>
      <c r="O256" s="21"/>
    </row>
    <row r="257" spans="1:15" x14ac:dyDescent="0.35">
      <c r="A257" s="15">
        <f t="shared" si="3"/>
        <v>255</v>
      </c>
      <c r="B257" s="16"/>
      <c r="C257" s="19"/>
      <c r="D257" s="10"/>
      <c r="E257" s="10"/>
      <c r="F257" s="47"/>
      <c r="G257" s="10"/>
      <c r="H257" s="20"/>
      <c r="I257" s="20"/>
      <c r="J257" s="10"/>
      <c r="K257" s="10"/>
      <c r="L257" s="10"/>
      <c r="M257" s="10"/>
      <c r="N257" s="10"/>
      <c r="O257" s="21"/>
    </row>
    <row r="258" spans="1:15" x14ac:dyDescent="0.35">
      <c r="A258" s="15">
        <f t="shared" si="3"/>
        <v>256</v>
      </c>
      <c r="B258" s="16"/>
      <c r="C258" s="19"/>
      <c r="D258" s="10"/>
      <c r="E258" s="10"/>
      <c r="F258" s="47"/>
      <c r="G258" s="10"/>
      <c r="H258" s="20"/>
      <c r="I258" s="20"/>
      <c r="J258" s="10"/>
      <c r="K258" s="10"/>
      <c r="L258" s="10"/>
      <c r="M258" s="10"/>
      <c r="N258" s="10"/>
      <c r="O258" s="21"/>
    </row>
    <row r="259" spans="1:15" x14ac:dyDescent="0.35">
      <c r="A259" s="15">
        <f t="shared" si="3"/>
        <v>257</v>
      </c>
      <c r="B259" s="16"/>
      <c r="C259" s="19"/>
      <c r="D259" s="10"/>
      <c r="E259" s="10"/>
      <c r="F259" s="47"/>
      <c r="G259" s="10"/>
      <c r="H259" s="20"/>
      <c r="I259" s="20"/>
      <c r="J259" s="10"/>
      <c r="K259" s="10"/>
      <c r="L259" s="10"/>
      <c r="M259" s="10"/>
      <c r="N259" s="10"/>
      <c r="O259" s="21"/>
    </row>
    <row r="260" spans="1:15" x14ac:dyDescent="0.35">
      <c r="A260" s="15">
        <f t="shared" si="3"/>
        <v>258</v>
      </c>
      <c r="B260" s="16"/>
      <c r="C260" s="19"/>
      <c r="D260" s="10"/>
      <c r="E260" s="10"/>
      <c r="F260" s="47"/>
      <c r="G260" s="10"/>
      <c r="H260" s="20"/>
      <c r="I260" s="20"/>
      <c r="J260" s="10"/>
      <c r="K260" s="10"/>
      <c r="L260" s="10"/>
      <c r="M260" s="10"/>
      <c r="N260" s="10"/>
      <c r="O260" s="21"/>
    </row>
    <row r="261" spans="1:15" x14ac:dyDescent="0.35">
      <c r="A261" s="15">
        <f t="shared" si="3"/>
        <v>259</v>
      </c>
      <c r="B261" s="16"/>
      <c r="C261" s="19"/>
      <c r="D261" s="10"/>
      <c r="E261" s="10"/>
      <c r="F261" s="47"/>
      <c r="G261" s="10"/>
      <c r="H261" s="20"/>
      <c r="I261" s="20"/>
      <c r="J261" s="10"/>
      <c r="K261" s="10"/>
      <c r="L261" s="10"/>
      <c r="M261" s="10"/>
      <c r="N261" s="10"/>
      <c r="O261" s="21"/>
    </row>
    <row r="262" spans="1:15" x14ac:dyDescent="0.35">
      <c r="A262" s="15">
        <f t="shared" si="3"/>
        <v>260</v>
      </c>
      <c r="B262" s="16"/>
      <c r="C262" s="19"/>
      <c r="D262" s="10"/>
      <c r="E262" s="10"/>
      <c r="F262" s="47"/>
      <c r="G262" s="10"/>
      <c r="H262" s="20"/>
      <c r="I262" s="20"/>
      <c r="J262" s="10"/>
      <c r="K262" s="10"/>
      <c r="L262" s="10"/>
      <c r="M262" s="10"/>
      <c r="N262" s="10"/>
      <c r="O262" s="21"/>
    </row>
    <row r="263" spans="1:15" x14ac:dyDescent="0.35">
      <c r="A263" s="15">
        <f t="shared" si="3"/>
        <v>261</v>
      </c>
      <c r="B263" s="16"/>
      <c r="C263" s="19"/>
      <c r="D263" s="10"/>
      <c r="E263" s="10"/>
      <c r="F263" s="47"/>
      <c r="G263" s="10"/>
      <c r="H263" s="20"/>
      <c r="I263" s="20"/>
      <c r="J263" s="10"/>
      <c r="K263" s="10"/>
      <c r="L263" s="10"/>
      <c r="M263" s="10"/>
      <c r="N263" s="10"/>
      <c r="O263" s="21"/>
    </row>
    <row r="264" spans="1:15" x14ac:dyDescent="0.35">
      <c r="A264" s="15">
        <f t="shared" si="3"/>
        <v>262</v>
      </c>
      <c r="B264" s="16"/>
      <c r="C264" s="19"/>
      <c r="D264" s="10"/>
      <c r="E264" s="10"/>
      <c r="F264" s="47"/>
      <c r="G264" s="10"/>
      <c r="H264" s="20"/>
      <c r="I264" s="20"/>
      <c r="J264" s="10"/>
      <c r="K264" s="10"/>
      <c r="L264" s="10"/>
      <c r="M264" s="10"/>
      <c r="N264" s="10"/>
      <c r="O264" s="21"/>
    </row>
    <row r="265" spans="1:15" x14ac:dyDescent="0.35">
      <c r="A265" s="15">
        <f t="shared" si="3"/>
        <v>263</v>
      </c>
      <c r="B265" s="16"/>
      <c r="C265" s="19"/>
      <c r="D265" s="10"/>
      <c r="E265" s="10"/>
      <c r="F265" s="47"/>
      <c r="G265" s="10"/>
      <c r="H265" s="20"/>
      <c r="I265" s="20"/>
      <c r="J265" s="10"/>
      <c r="K265" s="10"/>
      <c r="L265" s="10"/>
      <c r="M265" s="10"/>
      <c r="N265" s="10"/>
      <c r="O265" s="21"/>
    </row>
    <row r="266" spans="1:15" x14ac:dyDescent="0.35">
      <c r="A266" s="15">
        <f t="shared" si="3"/>
        <v>264</v>
      </c>
      <c r="B266" s="16"/>
      <c r="C266" s="19"/>
      <c r="D266" s="10"/>
      <c r="E266" s="10"/>
      <c r="F266" s="47"/>
      <c r="G266" s="10"/>
      <c r="H266" s="20"/>
      <c r="I266" s="20"/>
      <c r="J266" s="10"/>
      <c r="K266" s="10"/>
      <c r="L266" s="10"/>
      <c r="M266" s="10"/>
      <c r="N266" s="10"/>
      <c r="O266" s="21"/>
    </row>
    <row r="267" spans="1:15" x14ac:dyDescent="0.35">
      <c r="A267" s="15">
        <f t="shared" ref="A267:A330" si="4">+A266+1</f>
        <v>265</v>
      </c>
      <c r="B267" s="16"/>
      <c r="C267" s="19"/>
      <c r="D267" s="10"/>
      <c r="E267" s="10"/>
      <c r="F267" s="47"/>
      <c r="G267" s="10"/>
      <c r="H267" s="20"/>
      <c r="I267" s="20"/>
      <c r="J267" s="10"/>
      <c r="K267" s="10"/>
      <c r="L267" s="10"/>
      <c r="M267" s="10"/>
      <c r="N267" s="10"/>
      <c r="O267" s="21"/>
    </row>
    <row r="268" spans="1:15" x14ac:dyDescent="0.35">
      <c r="A268" s="15">
        <f t="shared" si="4"/>
        <v>266</v>
      </c>
      <c r="B268" s="16"/>
      <c r="C268" s="19"/>
      <c r="D268" s="10"/>
      <c r="E268" s="10"/>
      <c r="F268" s="47"/>
      <c r="G268" s="10"/>
      <c r="H268" s="20"/>
      <c r="I268" s="20"/>
      <c r="J268" s="10"/>
      <c r="K268" s="10"/>
      <c r="L268" s="10"/>
      <c r="M268" s="10"/>
      <c r="N268" s="10"/>
      <c r="O268" s="21"/>
    </row>
    <row r="269" spans="1:15" x14ac:dyDescent="0.35">
      <c r="A269" s="15">
        <f t="shared" si="4"/>
        <v>267</v>
      </c>
      <c r="B269" s="16"/>
      <c r="C269" s="19"/>
      <c r="D269" s="10"/>
      <c r="E269" s="10"/>
      <c r="F269" s="47"/>
      <c r="G269" s="10"/>
      <c r="H269" s="20"/>
      <c r="I269" s="20"/>
      <c r="J269" s="10"/>
      <c r="K269" s="10"/>
      <c r="L269" s="10"/>
      <c r="M269" s="10"/>
      <c r="N269" s="10"/>
      <c r="O269" s="21"/>
    </row>
    <row r="270" spans="1:15" x14ac:dyDescent="0.35">
      <c r="A270" s="15">
        <f t="shared" si="4"/>
        <v>268</v>
      </c>
      <c r="B270" s="16"/>
      <c r="C270" s="19"/>
      <c r="D270" s="10"/>
      <c r="E270" s="10"/>
      <c r="F270" s="47"/>
      <c r="G270" s="10"/>
      <c r="H270" s="20"/>
      <c r="I270" s="20"/>
      <c r="J270" s="10"/>
      <c r="K270" s="10"/>
      <c r="L270" s="10"/>
      <c r="M270" s="10"/>
      <c r="N270" s="10"/>
      <c r="O270" s="21"/>
    </row>
    <row r="271" spans="1:15" x14ac:dyDescent="0.35">
      <c r="A271" s="15">
        <f t="shared" si="4"/>
        <v>269</v>
      </c>
      <c r="B271" s="16"/>
      <c r="C271" s="19"/>
      <c r="D271" s="10"/>
      <c r="E271" s="10"/>
      <c r="F271" s="47"/>
      <c r="G271" s="10"/>
      <c r="H271" s="20"/>
      <c r="I271" s="20"/>
      <c r="J271" s="10"/>
      <c r="K271" s="10"/>
      <c r="L271" s="10"/>
      <c r="M271" s="10"/>
      <c r="N271" s="10"/>
      <c r="O271" s="21"/>
    </row>
    <row r="272" spans="1:15" x14ac:dyDescent="0.35">
      <c r="A272" s="15">
        <f t="shared" si="4"/>
        <v>270</v>
      </c>
      <c r="B272" s="16"/>
      <c r="C272" s="19"/>
      <c r="D272" s="10"/>
      <c r="E272" s="10"/>
      <c r="F272" s="47"/>
      <c r="G272" s="10"/>
      <c r="H272" s="20"/>
      <c r="I272" s="20"/>
      <c r="J272" s="10"/>
      <c r="K272" s="10"/>
      <c r="L272" s="10"/>
      <c r="M272" s="10"/>
      <c r="N272" s="10"/>
      <c r="O272" s="21"/>
    </row>
    <row r="273" spans="1:15" x14ac:dyDescent="0.35">
      <c r="A273" s="15">
        <f t="shared" si="4"/>
        <v>271</v>
      </c>
      <c r="B273" s="16"/>
      <c r="C273" s="19"/>
      <c r="D273" s="10"/>
      <c r="E273" s="10"/>
      <c r="F273" s="47"/>
      <c r="G273" s="10"/>
      <c r="H273" s="20"/>
      <c r="I273" s="20"/>
      <c r="J273" s="10"/>
      <c r="K273" s="10"/>
      <c r="L273" s="10"/>
      <c r="M273" s="10"/>
      <c r="N273" s="10"/>
      <c r="O273" s="21"/>
    </row>
    <row r="274" spans="1:15" x14ac:dyDescent="0.35">
      <c r="A274" s="15">
        <f t="shared" si="4"/>
        <v>272</v>
      </c>
      <c r="B274" s="16"/>
      <c r="C274" s="19"/>
      <c r="D274" s="10"/>
      <c r="E274" s="10"/>
      <c r="F274" s="47"/>
      <c r="G274" s="10"/>
      <c r="H274" s="20"/>
      <c r="I274" s="20"/>
      <c r="J274" s="10"/>
      <c r="K274" s="10"/>
      <c r="L274" s="10"/>
      <c r="M274" s="10"/>
      <c r="N274" s="10"/>
      <c r="O274" s="21"/>
    </row>
    <row r="275" spans="1:15" x14ac:dyDescent="0.35">
      <c r="A275" s="15">
        <f t="shared" si="4"/>
        <v>273</v>
      </c>
      <c r="B275" s="16"/>
      <c r="C275" s="19"/>
      <c r="D275" s="10"/>
      <c r="E275" s="10"/>
      <c r="F275" s="47"/>
      <c r="G275" s="10"/>
      <c r="H275" s="20"/>
      <c r="I275" s="20"/>
      <c r="J275" s="10"/>
      <c r="K275" s="10"/>
      <c r="L275" s="10"/>
      <c r="M275" s="10"/>
      <c r="N275" s="10"/>
      <c r="O275" s="21"/>
    </row>
    <row r="276" spans="1:15" x14ac:dyDescent="0.35">
      <c r="A276" s="15">
        <f t="shared" si="4"/>
        <v>274</v>
      </c>
      <c r="B276" s="16"/>
      <c r="C276" s="19"/>
      <c r="D276" s="10"/>
      <c r="E276" s="10"/>
      <c r="F276" s="47"/>
      <c r="G276" s="10"/>
      <c r="H276" s="20"/>
      <c r="I276" s="20"/>
      <c r="J276" s="10"/>
      <c r="K276" s="10"/>
      <c r="L276" s="10"/>
      <c r="M276" s="10"/>
      <c r="N276" s="10"/>
      <c r="O276" s="21"/>
    </row>
    <row r="277" spans="1:15" x14ac:dyDescent="0.35">
      <c r="A277" s="15">
        <f t="shared" si="4"/>
        <v>275</v>
      </c>
      <c r="B277" s="16"/>
      <c r="C277" s="19"/>
      <c r="D277" s="10"/>
      <c r="E277" s="10"/>
      <c r="F277" s="47"/>
      <c r="G277" s="10"/>
      <c r="H277" s="20"/>
      <c r="I277" s="20"/>
      <c r="J277" s="10"/>
      <c r="K277" s="10"/>
      <c r="L277" s="10"/>
      <c r="M277" s="10"/>
      <c r="N277" s="10"/>
      <c r="O277" s="21"/>
    </row>
    <row r="278" spans="1:15" x14ac:dyDescent="0.35">
      <c r="A278" s="15">
        <f t="shared" si="4"/>
        <v>276</v>
      </c>
      <c r="B278" s="16"/>
      <c r="C278" s="19"/>
      <c r="D278" s="10"/>
      <c r="E278" s="10"/>
      <c r="F278" s="47"/>
      <c r="G278" s="10"/>
      <c r="H278" s="20"/>
      <c r="I278" s="20"/>
      <c r="J278" s="10"/>
      <c r="K278" s="10"/>
      <c r="L278" s="10"/>
      <c r="M278" s="10"/>
      <c r="N278" s="10"/>
      <c r="O278" s="21"/>
    </row>
    <row r="279" spans="1:15" x14ac:dyDescent="0.35">
      <c r="A279" s="15">
        <f t="shared" si="4"/>
        <v>277</v>
      </c>
      <c r="B279" s="16"/>
      <c r="C279" s="19"/>
      <c r="D279" s="10"/>
      <c r="E279" s="10"/>
      <c r="F279" s="47"/>
      <c r="G279" s="10"/>
      <c r="H279" s="20"/>
      <c r="I279" s="20"/>
      <c r="J279" s="10"/>
      <c r="K279" s="10"/>
      <c r="L279" s="10"/>
      <c r="M279" s="10"/>
      <c r="N279" s="10"/>
      <c r="O279" s="21"/>
    </row>
    <row r="280" spans="1:15" x14ac:dyDescent="0.35">
      <c r="A280" s="15">
        <f t="shared" si="4"/>
        <v>278</v>
      </c>
      <c r="B280" s="16"/>
      <c r="C280" s="19"/>
      <c r="D280" s="10"/>
      <c r="E280" s="10"/>
      <c r="F280" s="47"/>
      <c r="G280" s="10"/>
      <c r="H280" s="20"/>
      <c r="I280" s="20"/>
      <c r="J280" s="10"/>
      <c r="K280" s="10"/>
      <c r="L280" s="10"/>
      <c r="M280" s="10"/>
      <c r="N280" s="10"/>
      <c r="O280" s="21"/>
    </row>
    <row r="281" spans="1:15" x14ac:dyDescent="0.35">
      <c r="A281" s="15">
        <f t="shared" si="4"/>
        <v>279</v>
      </c>
      <c r="B281" s="16"/>
      <c r="C281" s="19"/>
      <c r="D281" s="10"/>
      <c r="E281" s="10"/>
      <c r="F281" s="47"/>
      <c r="G281" s="10"/>
      <c r="H281" s="20"/>
      <c r="I281" s="20"/>
      <c r="J281" s="10"/>
      <c r="K281" s="10"/>
      <c r="L281" s="10"/>
      <c r="M281" s="10"/>
      <c r="N281" s="10"/>
      <c r="O281" s="21"/>
    </row>
    <row r="282" spans="1:15" x14ac:dyDescent="0.35">
      <c r="A282" s="15">
        <f t="shared" si="4"/>
        <v>280</v>
      </c>
      <c r="B282" s="16"/>
      <c r="C282" s="19"/>
      <c r="D282" s="10"/>
      <c r="E282" s="10"/>
      <c r="F282" s="47"/>
      <c r="G282" s="10"/>
      <c r="H282" s="20"/>
      <c r="I282" s="20"/>
      <c r="J282" s="10"/>
      <c r="K282" s="10"/>
      <c r="L282" s="10"/>
      <c r="M282" s="10"/>
      <c r="N282" s="10"/>
      <c r="O282" s="21"/>
    </row>
    <row r="283" spans="1:15" x14ac:dyDescent="0.35">
      <c r="A283" s="15">
        <f t="shared" si="4"/>
        <v>281</v>
      </c>
      <c r="B283" s="16"/>
      <c r="C283" s="19"/>
      <c r="D283" s="10"/>
      <c r="E283" s="10"/>
      <c r="F283" s="47"/>
      <c r="G283" s="10"/>
      <c r="H283" s="20"/>
      <c r="I283" s="20"/>
      <c r="J283" s="10"/>
      <c r="K283" s="10"/>
      <c r="L283" s="10"/>
      <c r="M283" s="10"/>
      <c r="N283" s="10"/>
      <c r="O283" s="21"/>
    </row>
    <row r="284" spans="1:15" x14ac:dyDescent="0.35">
      <c r="A284" s="15">
        <f t="shared" si="4"/>
        <v>282</v>
      </c>
      <c r="B284" s="16"/>
      <c r="C284" s="19"/>
      <c r="D284" s="10"/>
      <c r="E284" s="10"/>
      <c r="F284" s="47"/>
      <c r="G284" s="10"/>
      <c r="H284" s="20"/>
      <c r="I284" s="20"/>
      <c r="J284" s="10"/>
      <c r="K284" s="10"/>
      <c r="L284" s="10"/>
      <c r="M284" s="10"/>
      <c r="N284" s="10"/>
      <c r="O284" s="21"/>
    </row>
    <row r="285" spans="1:15" x14ac:dyDescent="0.35">
      <c r="A285" s="15">
        <f t="shared" si="4"/>
        <v>283</v>
      </c>
      <c r="B285" s="16"/>
      <c r="C285" s="19"/>
      <c r="D285" s="10"/>
      <c r="E285" s="10"/>
      <c r="F285" s="47"/>
      <c r="G285" s="10"/>
      <c r="H285" s="20"/>
      <c r="I285" s="20"/>
      <c r="J285" s="10"/>
      <c r="K285" s="10"/>
      <c r="L285" s="10"/>
      <c r="M285" s="10"/>
      <c r="N285" s="10"/>
      <c r="O285" s="21"/>
    </row>
    <row r="286" spans="1:15" x14ac:dyDescent="0.35">
      <c r="A286" s="15">
        <f t="shared" si="4"/>
        <v>284</v>
      </c>
      <c r="B286" s="16"/>
      <c r="C286" s="19"/>
      <c r="D286" s="10"/>
      <c r="E286" s="10"/>
      <c r="F286" s="47"/>
      <c r="G286" s="10"/>
      <c r="H286" s="20"/>
      <c r="I286" s="20"/>
      <c r="J286" s="10"/>
      <c r="K286" s="10"/>
      <c r="L286" s="10"/>
      <c r="M286" s="10"/>
      <c r="N286" s="10"/>
      <c r="O286" s="21"/>
    </row>
    <row r="287" spans="1:15" x14ac:dyDescent="0.35">
      <c r="A287" s="15">
        <f t="shared" si="4"/>
        <v>285</v>
      </c>
      <c r="B287" s="16"/>
      <c r="C287" s="19"/>
      <c r="D287" s="10"/>
      <c r="E287" s="10"/>
      <c r="F287" s="47"/>
      <c r="G287" s="10"/>
      <c r="H287" s="20"/>
      <c r="I287" s="20"/>
      <c r="J287" s="10"/>
      <c r="K287" s="10"/>
      <c r="L287" s="10"/>
      <c r="M287" s="10"/>
      <c r="N287" s="10"/>
      <c r="O287" s="21"/>
    </row>
    <row r="288" spans="1:15" x14ac:dyDescent="0.35">
      <c r="A288" s="15">
        <f t="shared" si="4"/>
        <v>286</v>
      </c>
      <c r="B288" s="16"/>
      <c r="C288" s="19"/>
      <c r="D288" s="10"/>
      <c r="E288" s="10"/>
      <c r="F288" s="47"/>
      <c r="G288" s="10"/>
      <c r="H288" s="20"/>
      <c r="I288" s="20"/>
      <c r="J288" s="10"/>
      <c r="K288" s="10"/>
      <c r="L288" s="10"/>
      <c r="M288" s="10"/>
      <c r="N288" s="10"/>
      <c r="O288" s="21"/>
    </row>
    <row r="289" spans="1:15" x14ac:dyDescent="0.35">
      <c r="A289" s="15">
        <f t="shared" si="4"/>
        <v>287</v>
      </c>
      <c r="B289" s="16"/>
      <c r="C289" s="19"/>
      <c r="D289" s="10"/>
      <c r="E289" s="10"/>
      <c r="F289" s="47"/>
      <c r="G289" s="10"/>
      <c r="H289" s="20"/>
      <c r="I289" s="20"/>
      <c r="J289" s="10"/>
      <c r="K289" s="10"/>
      <c r="L289" s="10"/>
      <c r="M289" s="10"/>
      <c r="N289" s="10"/>
      <c r="O289" s="21"/>
    </row>
    <row r="290" spans="1:15" x14ac:dyDescent="0.35">
      <c r="A290" s="15">
        <f t="shared" si="4"/>
        <v>288</v>
      </c>
      <c r="B290" s="16"/>
      <c r="C290" s="19"/>
      <c r="D290" s="10"/>
      <c r="E290" s="10"/>
      <c r="F290" s="47"/>
      <c r="G290" s="10"/>
      <c r="H290" s="20"/>
      <c r="I290" s="20"/>
      <c r="J290" s="10"/>
      <c r="K290" s="10"/>
      <c r="L290" s="10"/>
      <c r="M290" s="10"/>
      <c r="N290" s="10"/>
      <c r="O290" s="21"/>
    </row>
    <row r="291" spans="1:15" x14ac:dyDescent="0.35">
      <c r="A291" s="15">
        <f t="shared" si="4"/>
        <v>289</v>
      </c>
      <c r="B291" s="16"/>
      <c r="C291" s="19"/>
      <c r="D291" s="10"/>
      <c r="E291" s="10"/>
      <c r="F291" s="47"/>
      <c r="G291" s="10"/>
      <c r="H291" s="20"/>
      <c r="I291" s="20"/>
      <c r="J291" s="10"/>
      <c r="K291" s="10"/>
      <c r="L291" s="10"/>
      <c r="M291" s="10"/>
      <c r="N291" s="10"/>
      <c r="O291" s="21"/>
    </row>
    <row r="292" spans="1:15" x14ac:dyDescent="0.35">
      <c r="A292" s="15">
        <f t="shared" si="4"/>
        <v>290</v>
      </c>
      <c r="B292" s="16"/>
      <c r="C292" s="19"/>
      <c r="D292" s="10"/>
      <c r="E292" s="10"/>
      <c r="F292" s="47"/>
      <c r="G292" s="10"/>
      <c r="H292" s="20"/>
      <c r="I292" s="20"/>
      <c r="J292" s="10"/>
      <c r="K292" s="10"/>
      <c r="L292" s="10"/>
      <c r="M292" s="10"/>
      <c r="N292" s="10"/>
      <c r="O292" s="21"/>
    </row>
    <row r="293" spans="1:15" x14ac:dyDescent="0.35">
      <c r="A293" s="15">
        <f t="shared" si="4"/>
        <v>291</v>
      </c>
      <c r="B293" s="16"/>
      <c r="C293" s="19"/>
      <c r="D293" s="10"/>
      <c r="E293" s="10"/>
      <c r="F293" s="47"/>
      <c r="G293" s="10"/>
      <c r="H293" s="20"/>
      <c r="I293" s="20"/>
      <c r="J293" s="10"/>
      <c r="K293" s="10"/>
      <c r="L293" s="10"/>
      <c r="M293" s="10"/>
      <c r="N293" s="10"/>
      <c r="O293" s="21"/>
    </row>
    <row r="294" spans="1:15" x14ac:dyDescent="0.35">
      <c r="A294" s="15">
        <f t="shared" si="4"/>
        <v>292</v>
      </c>
      <c r="B294" s="16"/>
      <c r="C294" s="19"/>
      <c r="D294" s="10"/>
      <c r="E294" s="10"/>
      <c r="F294" s="47"/>
      <c r="G294" s="10"/>
      <c r="H294" s="20"/>
      <c r="I294" s="20"/>
      <c r="J294" s="10"/>
      <c r="K294" s="10"/>
      <c r="L294" s="10"/>
      <c r="M294" s="10"/>
      <c r="N294" s="10"/>
      <c r="O294" s="21"/>
    </row>
    <row r="295" spans="1:15" x14ac:dyDescent="0.35">
      <c r="A295" s="15">
        <f t="shared" si="4"/>
        <v>293</v>
      </c>
      <c r="B295" s="16"/>
      <c r="C295" s="19"/>
      <c r="D295" s="10"/>
      <c r="E295" s="10"/>
      <c r="F295" s="47"/>
      <c r="G295" s="10"/>
      <c r="H295" s="20"/>
      <c r="I295" s="20"/>
      <c r="J295" s="10"/>
      <c r="K295" s="10"/>
      <c r="L295" s="10"/>
      <c r="M295" s="10"/>
      <c r="N295" s="10"/>
      <c r="O295" s="21"/>
    </row>
    <row r="296" spans="1:15" x14ac:dyDescent="0.35">
      <c r="A296" s="15">
        <f t="shared" si="4"/>
        <v>294</v>
      </c>
      <c r="B296" s="16"/>
      <c r="C296" s="19"/>
      <c r="D296" s="10"/>
      <c r="E296" s="10"/>
      <c r="F296" s="47"/>
      <c r="G296" s="10"/>
      <c r="H296" s="20"/>
      <c r="I296" s="20"/>
      <c r="J296" s="10"/>
      <c r="K296" s="10"/>
      <c r="L296" s="10"/>
      <c r="M296" s="10"/>
      <c r="N296" s="10"/>
      <c r="O296" s="21"/>
    </row>
    <row r="297" spans="1:15" x14ac:dyDescent="0.35">
      <c r="A297" s="15">
        <f t="shared" si="4"/>
        <v>295</v>
      </c>
      <c r="B297" s="16"/>
      <c r="C297" s="19"/>
      <c r="D297" s="10"/>
      <c r="E297" s="10"/>
      <c r="F297" s="47"/>
      <c r="G297" s="10"/>
      <c r="H297" s="20"/>
      <c r="I297" s="20"/>
      <c r="J297" s="10"/>
      <c r="K297" s="10"/>
      <c r="L297" s="10"/>
      <c r="M297" s="10"/>
      <c r="N297" s="10"/>
      <c r="O297" s="21"/>
    </row>
    <row r="298" spans="1:15" x14ac:dyDescent="0.35">
      <c r="A298" s="15">
        <f t="shared" si="4"/>
        <v>296</v>
      </c>
      <c r="B298" s="16"/>
      <c r="C298" s="19"/>
      <c r="D298" s="10"/>
      <c r="E298" s="10"/>
      <c r="F298" s="47"/>
      <c r="G298" s="10"/>
      <c r="H298" s="20"/>
      <c r="I298" s="20"/>
      <c r="J298" s="10"/>
      <c r="K298" s="10"/>
      <c r="L298" s="10"/>
      <c r="M298" s="10"/>
      <c r="N298" s="10"/>
      <c r="O298" s="21"/>
    </row>
    <row r="299" spans="1:15" x14ac:dyDescent="0.35">
      <c r="A299" s="15">
        <f t="shared" si="4"/>
        <v>297</v>
      </c>
      <c r="B299" s="16"/>
      <c r="C299" s="19"/>
      <c r="D299" s="10"/>
      <c r="E299" s="10"/>
      <c r="F299" s="47"/>
      <c r="G299" s="10"/>
      <c r="H299" s="20"/>
      <c r="I299" s="20"/>
      <c r="J299" s="10"/>
      <c r="K299" s="10"/>
      <c r="L299" s="10"/>
      <c r="M299" s="10"/>
      <c r="N299" s="10"/>
      <c r="O299" s="21"/>
    </row>
    <row r="300" spans="1:15" x14ac:dyDescent="0.35">
      <c r="A300" s="15">
        <f t="shared" si="4"/>
        <v>298</v>
      </c>
      <c r="B300" s="16"/>
      <c r="C300" s="19"/>
      <c r="D300" s="10"/>
      <c r="E300" s="10"/>
      <c r="F300" s="47"/>
      <c r="G300" s="10"/>
      <c r="H300" s="20"/>
      <c r="I300" s="20"/>
      <c r="J300" s="10"/>
      <c r="K300" s="10"/>
      <c r="L300" s="10"/>
      <c r="M300" s="10"/>
      <c r="N300" s="10"/>
      <c r="O300" s="21"/>
    </row>
    <row r="301" spans="1:15" x14ac:dyDescent="0.35">
      <c r="A301" s="15">
        <f t="shared" si="4"/>
        <v>299</v>
      </c>
      <c r="B301" s="16"/>
      <c r="C301" s="19"/>
      <c r="D301" s="10"/>
      <c r="E301" s="10"/>
      <c r="F301" s="47"/>
      <c r="G301" s="10"/>
      <c r="H301" s="20"/>
      <c r="I301" s="20"/>
      <c r="J301" s="10"/>
      <c r="K301" s="10"/>
      <c r="L301" s="10"/>
      <c r="M301" s="10"/>
      <c r="N301" s="10"/>
      <c r="O301" s="21"/>
    </row>
    <row r="302" spans="1:15" x14ac:dyDescent="0.35">
      <c r="A302" s="15">
        <f t="shared" si="4"/>
        <v>300</v>
      </c>
      <c r="B302" s="16"/>
      <c r="C302" s="19"/>
      <c r="D302" s="10"/>
      <c r="E302" s="10"/>
      <c r="F302" s="47"/>
      <c r="G302" s="10"/>
      <c r="H302" s="20"/>
      <c r="I302" s="20"/>
      <c r="J302" s="10"/>
      <c r="K302" s="10"/>
      <c r="L302" s="10"/>
      <c r="M302" s="10"/>
      <c r="N302" s="10"/>
      <c r="O302" s="21"/>
    </row>
    <row r="303" spans="1:15" x14ac:dyDescent="0.35">
      <c r="A303" s="15">
        <f t="shared" si="4"/>
        <v>301</v>
      </c>
      <c r="B303" s="16"/>
      <c r="C303" s="19"/>
      <c r="D303" s="10"/>
      <c r="E303" s="10"/>
      <c r="F303" s="47"/>
      <c r="G303" s="10"/>
      <c r="H303" s="20"/>
      <c r="I303" s="20"/>
      <c r="J303" s="10"/>
      <c r="K303" s="10"/>
      <c r="L303" s="10"/>
      <c r="M303" s="10"/>
      <c r="N303" s="10"/>
      <c r="O303" s="21"/>
    </row>
    <row r="304" spans="1:15" x14ac:dyDescent="0.35">
      <c r="A304" s="15">
        <f t="shared" si="4"/>
        <v>302</v>
      </c>
      <c r="B304" s="16"/>
      <c r="C304" s="19"/>
      <c r="D304" s="10"/>
      <c r="E304" s="10"/>
      <c r="F304" s="47"/>
      <c r="G304" s="10"/>
      <c r="H304" s="20"/>
      <c r="I304" s="20"/>
      <c r="J304" s="10"/>
      <c r="K304" s="10"/>
      <c r="L304" s="10"/>
      <c r="M304" s="10"/>
      <c r="N304" s="10"/>
      <c r="O304" s="21"/>
    </row>
    <row r="305" spans="1:15" x14ac:dyDescent="0.35">
      <c r="A305" s="15">
        <f t="shared" si="4"/>
        <v>303</v>
      </c>
      <c r="B305" s="16"/>
      <c r="C305" s="19"/>
      <c r="D305" s="10"/>
      <c r="E305" s="10"/>
      <c r="F305" s="47"/>
      <c r="G305" s="10"/>
      <c r="H305" s="20"/>
      <c r="I305" s="20"/>
      <c r="J305" s="10"/>
      <c r="K305" s="10"/>
      <c r="L305" s="10"/>
      <c r="M305" s="10"/>
      <c r="N305" s="10"/>
      <c r="O305" s="21"/>
    </row>
    <row r="306" spans="1:15" x14ac:dyDescent="0.35">
      <c r="A306" s="15">
        <f t="shared" si="4"/>
        <v>304</v>
      </c>
      <c r="B306" s="16"/>
      <c r="C306" s="19"/>
      <c r="D306" s="10"/>
      <c r="E306" s="10"/>
      <c r="F306" s="47"/>
      <c r="G306" s="10"/>
      <c r="H306" s="20"/>
      <c r="I306" s="20"/>
      <c r="J306" s="10"/>
      <c r="K306" s="10"/>
      <c r="L306" s="10"/>
      <c r="M306" s="10"/>
      <c r="N306" s="10"/>
      <c r="O306" s="21"/>
    </row>
    <row r="307" spans="1:15" x14ac:dyDescent="0.35">
      <c r="A307" s="15">
        <f t="shared" si="4"/>
        <v>305</v>
      </c>
      <c r="B307" s="16"/>
      <c r="C307" s="19"/>
      <c r="D307" s="10"/>
      <c r="E307" s="10"/>
      <c r="F307" s="47"/>
      <c r="G307" s="10"/>
      <c r="H307" s="20"/>
      <c r="I307" s="20"/>
      <c r="J307" s="10"/>
      <c r="K307" s="10"/>
      <c r="L307" s="10"/>
      <c r="M307" s="10"/>
      <c r="N307" s="10"/>
      <c r="O307" s="21"/>
    </row>
    <row r="308" spans="1:15" x14ac:dyDescent="0.35">
      <c r="A308" s="15">
        <f t="shared" si="4"/>
        <v>306</v>
      </c>
      <c r="B308" s="16"/>
      <c r="C308" s="19"/>
      <c r="D308" s="10"/>
      <c r="E308" s="10"/>
      <c r="F308" s="47"/>
      <c r="G308" s="10"/>
      <c r="H308" s="20"/>
      <c r="I308" s="20"/>
      <c r="J308" s="10"/>
      <c r="K308" s="10"/>
      <c r="L308" s="10"/>
      <c r="M308" s="10"/>
      <c r="N308" s="10"/>
      <c r="O308" s="21"/>
    </row>
    <row r="309" spans="1:15" x14ac:dyDescent="0.35">
      <c r="A309" s="15">
        <f t="shared" si="4"/>
        <v>307</v>
      </c>
      <c r="B309" s="16"/>
      <c r="C309" s="19"/>
      <c r="D309" s="10"/>
      <c r="E309" s="10"/>
      <c r="F309" s="47"/>
      <c r="G309" s="10"/>
      <c r="H309" s="20"/>
      <c r="I309" s="20"/>
      <c r="J309" s="10"/>
      <c r="K309" s="10"/>
      <c r="L309" s="10"/>
      <c r="M309" s="10"/>
      <c r="N309" s="10"/>
      <c r="O309" s="21"/>
    </row>
    <row r="310" spans="1:15" x14ac:dyDescent="0.35">
      <c r="A310" s="15">
        <f t="shared" si="4"/>
        <v>308</v>
      </c>
      <c r="B310" s="16"/>
      <c r="C310" s="19"/>
      <c r="D310" s="10"/>
      <c r="E310" s="10"/>
      <c r="F310" s="47"/>
      <c r="G310" s="10"/>
      <c r="H310" s="20"/>
      <c r="I310" s="20"/>
      <c r="J310" s="10"/>
      <c r="K310" s="10"/>
      <c r="L310" s="10"/>
      <c r="M310" s="10"/>
      <c r="N310" s="10"/>
      <c r="O310" s="21"/>
    </row>
    <row r="311" spans="1:15" x14ac:dyDescent="0.35">
      <c r="A311" s="15">
        <f t="shared" si="4"/>
        <v>309</v>
      </c>
      <c r="B311" s="16"/>
      <c r="C311" s="19"/>
      <c r="D311" s="10"/>
      <c r="E311" s="10"/>
      <c r="F311" s="47"/>
      <c r="G311" s="10"/>
      <c r="H311" s="20"/>
      <c r="I311" s="20"/>
      <c r="J311" s="10"/>
      <c r="K311" s="10"/>
      <c r="L311" s="10"/>
      <c r="M311" s="10"/>
      <c r="N311" s="10"/>
      <c r="O311" s="21"/>
    </row>
    <row r="312" spans="1:15" x14ac:dyDescent="0.35">
      <c r="A312" s="15">
        <f t="shared" si="4"/>
        <v>310</v>
      </c>
      <c r="B312" s="16"/>
      <c r="C312" s="19"/>
      <c r="D312" s="10"/>
      <c r="E312" s="10"/>
      <c r="F312" s="47"/>
      <c r="G312" s="10"/>
      <c r="H312" s="20"/>
      <c r="I312" s="20"/>
      <c r="J312" s="10"/>
      <c r="K312" s="10"/>
      <c r="L312" s="10"/>
      <c r="M312" s="10"/>
      <c r="N312" s="10"/>
      <c r="O312" s="21"/>
    </row>
    <row r="313" spans="1:15" x14ac:dyDescent="0.35">
      <c r="A313" s="15">
        <f t="shared" si="4"/>
        <v>311</v>
      </c>
      <c r="B313" s="16"/>
      <c r="C313" s="19"/>
      <c r="D313" s="10"/>
      <c r="E313" s="10"/>
      <c r="F313" s="47"/>
      <c r="G313" s="10"/>
      <c r="H313" s="20"/>
      <c r="I313" s="20"/>
      <c r="J313" s="10"/>
      <c r="K313" s="10"/>
      <c r="L313" s="10"/>
      <c r="M313" s="10"/>
      <c r="N313" s="10"/>
      <c r="O313" s="21"/>
    </row>
    <row r="314" spans="1:15" x14ac:dyDescent="0.35">
      <c r="A314" s="15">
        <f t="shared" si="4"/>
        <v>312</v>
      </c>
      <c r="B314" s="16"/>
      <c r="C314" s="19"/>
      <c r="D314" s="10"/>
      <c r="E314" s="10"/>
      <c r="F314" s="47"/>
      <c r="G314" s="10"/>
      <c r="H314" s="20"/>
      <c r="I314" s="20"/>
      <c r="J314" s="10"/>
      <c r="K314" s="10"/>
      <c r="L314" s="10"/>
      <c r="M314" s="10"/>
      <c r="N314" s="10"/>
      <c r="O314" s="21"/>
    </row>
    <row r="315" spans="1:15" x14ac:dyDescent="0.35">
      <c r="A315" s="15">
        <f t="shared" si="4"/>
        <v>313</v>
      </c>
      <c r="B315" s="16"/>
      <c r="C315" s="19"/>
      <c r="D315" s="10"/>
      <c r="E315" s="10"/>
      <c r="F315" s="47"/>
      <c r="G315" s="10"/>
      <c r="H315" s="20"/>
      <c r="I315" s="20"/>
      <c r="J315" s="10"/>
      <c r="K315" s="10"/>
      <c r="L315" s="10"/>
      <c r="M315" s="10"/>
      <c r="N315" s="10"/>
      <c r="O315" s="21"/>
    </row>
    <row r="316" spans="1:15" x14ac:dyDescent="0.35">
      <c r="A316" s="15">
        <f t="shared" si="4"/>
        <v>314</v>
      </c>
      <c r="B316" s="16"/>
      <c r="C316" s="19"/>
      <c r="D316" s="10"/>
      <c r="E316" s="10"/>
      <c r="F316" s="47"/>
      <c r="G316" s="10"/>
      <c r="H316" s="20"/>
      <c r="I316" s="20"/>
      <c r="J316" s="10"/>
      <c r="K316" s="10"/>
      <c r="L316" s="10"/>
      <c r="M316" s="10"/>
      <c r="N316" s="10"/>
      <c r="O316" s="21"/>
    </row>
    <row r="317" spans="1:15" x14ac:dyDescent="0.35">
      <c r="A317" s="15">
        <f t="shared" si="4"/>
        <v>315</v>
      </c>
      <c r="B317" s="16"/>
      <c r="C317" s="19"/>
      <c r="D317" s="10"/>
      <c r="E317" s="10"/>
      <c r="F317" s="47"/>
      <c r="G317" s="10"/>
      <c r="H317" s="20"/>
      <c r="I317" s="20"/>
      <c r="J317" s="10"/>
      <c r="K317" s="10"/>
      <c r="L317" s="10"/>
      <c r="M317" s="10"/>
      <c r="N317" s="10"/>
      <c r="O317" s="21"/>
    </row>
    <row r="318" spans="1:15" x14ac:dyDescent="0.35">
      <c r="A318" s="15">
        <f t="shared" si="4"/>
        <v>316</v>
      </c>
      <c r="B318" s="16"/>
      <c r="C318" s="19"/>
      <c r="D318" s="10"/>
      <c r="E318" s="10"/>
      <c r="F318" s="47"/>
      <c r="G318" s="10"/>
      <c r="H318" s="20"/>
      <c r="I318" s="20"/>
      <c r="J318" s="10"/>
      <c r="K318" s="10"/>
      <c r="L318" s="10"/>
      <c r="M318" s="10"/>
      <c r="N318" s="10"/>
      <c r="O318" s="21"/>
    </row>
    <row r="319" spans="1:15" x14ac:dyDescent="0.35">
      <c r="A319" s="15">
        <f t="shared" si="4"/>
        <v>317</v>
      </c>
      <c r="B319" s="16"/>
      <c r="C319" s="19"/>
      <c r="D319" s="10"/>
      <c r="E319" s="10"/>
      <c r="F319" s="47"/>
      <c r="G319" s="10"/>
      <c r="H319" s="20"/>
      <c r="I319" s="20"/>
      <c r="J319" s="10"/>
      <c r="K319" s="10"/>
      <c r="L319" s="10"/>
      <c r="M319" s="10"/>
      <c r="N319" s="10"/>
      <c r="O319" s="21"/>
    </row>
    <row r="320" spans="1:15" x14ac:dyDescent="0.35">
      <c r="A320" s="15">
        <f t="shared" si="4"/>
        <v>318</v>
      </c>
      <c r="B320" s="16"/>
      <c r="C320" s="19"/>
      <c r="D320" s="10"/>
      <c r="E320" s="10"/>
      <c r="F320" s="47"/>
      <c r="G320" s="10"/>
      <c r="H320" s="20"/>
      <c r="I320" s="20"/>
      <c r="J320" s="10"/>
      <c r="K320" s="10"/>
      <c r="L320" s="10"/>
      <c r="M320" s="10"/>
      <c r="N320" s="10"/>
      <c r="O320" s="21"/>
    </row>
    <row r="321" spans="1:15" x14ac:dyDescent="0.35">
      <c r="A321" s="15">
        <f t="shared" si="4"/>
        <v>319</v>
      </c>
      <c r="B321" s="16"/>
      <c r="C321" s="19"/>
      <c r="D321" s="10"/>
      <c r="E321" s="10"/>
      <c r="F321" s="47"/>
      <c r="G321" s="10"/>
      <c r="H321" s="20"/>
      <c r="I321" s="20"/>
      <c r="J321" s="10"/>
      <c r="K321" s="10"/>
      <c r="L321" s="10"/>
      <c r="M321" s="10"/>
      <c r="N321" s="10"/>
      <c r="O321" s="21"/>
    </row>
    <row r="322" spans="1:15" x14ac:dyDescent="0.35">
      <c r="A322" s="15">
        <f t="shared" si="4"/>
        <v>320</v>
      </c>
      <c r="B322" s="16"/>
      <c r="C322" s="19"/>
      <c r="D322" s="10"/>
      <c r="E322" s="10"/>
      <c r="F322" s="47"/>
      <c r="G322" s="10"/>
      <c r="H322" s="20"/>
      <c r="I322" s="20"/>
      <c r="J322" s="10"/>
      <c r="K322" s="10"/>
      <c r="L322" s="10"/>
      <c r="M322" s="10"/>
      <c r="N322" s="10"/>
      <c r="O322" s="21"/>
    </row>
    <row r="323" spans="1:15" x14ac:dyDescent="0.35">
      <c r="A323" s="15">
        <f t="shared" si="4"/>
        <v>321</v>
      </c>
      <c r="B323" s="16"/>
      <c r="C323" s="19"/>
      <c r="D323" s="10"/>
      <c r="E323" s="10"/>
      <c r="F323" s="47"/>
      <c r="G323" s="10"/>
      <c r="H323" s="20"/>
      <c r="I323" s="20"/>
      <c r="J323" s="10"/>
      <c r="K323" s="10"/>
      <c r="L323" s="10"/>
      <c r="M323" s="10"/>
      <c r="N323" s="10"/>
      <c r="O323" s="21"/>
    </row>
    <row r="324" spans="1:15" x14ac:dyDescent="0.35">
      <c r="A324" s="15">
        <f t="shared" si="4"/>
        <v>322</v>
      </c>
      <c r="B324" s="16"/>
      <c r="C324" s="19"/>
      <c r="D324" s="10"/>
      <c r="E324" s="10"/>
      <c r="F324" s="47"/>
      <c r="G324" s="10"/>
      <c r="H324" s="20"/>
      <c r="I324" s="20"/>
      <c r="J324" s="10"/>
      <c r="K324" s="10"/>
      <c r="L324" s="10"/>
      <c r="M324" s="10"/>
      <c r="N324" s="10"/>
      <c r="O324" s="21"/>
    </row>
    <row r="325" spans="1:15" x14ac:dyDescent="0.35">
      <c r="A325" s="15">
        <f t="shared" si="4"/>
        <v>323</v>
      </c>
      <c r="B325" s="16"/>
      <c r="C325" s="19"/>
      <c r="D325" s="10"/>
      <c r="E325" s="10"/>
      <c r="F325" s="47"/>
      <c r="G325" s="10"/>
      <c r="H325" s="20"/>
      <c r="I325" s="20"/>
      <c r="J325" s="10"/>
      <c r="K325" s="10"/>
      <c r="L325" s="10"/>
      <c r="M325" s="10"/>
      <c r="N325" s="10"/>
      <c r="O325" s="21"/>
    </row>
    <row r="326" spans="1:15" x14ac:dyDescent="0.35">
      <c r="A326" s="15">
        <f t="shared" si="4"/>
        <v>324</v>
      </c>
      <c r="B326" s="16"/>
      <c r="C326" s="19"/>
      <c r="D326" s="10"/>
      <c r="E326" s="10"/>
      <c r="F326" s="47"/>
      <c r="G326" s="10"/>
      <c r="H326" s="20"/>
      <c r="I326" s="20"/>
      <c r="J326" s="10"/>
      <c r="K326" s="10"/>
      <c r="L326" s="10"/>
      <c r="M326" s="10"/>
      <c r="N326" s="10"/>
      <c r="O326" s="21"/>
    </row>
    <row r="327" spans="1:15" x14ac:dyDescent="0.35">
      <c r="A327" s="15">
        <f t="shared" si="4"/>
        <v>325</v>
      </c>
      <c r="B327" s="16"/>
      <c r="C327" s="19"/>
      <c r="D327" s="10"/>
      <c r="E327" s="10"/>
      <c r="F327" s="47"/>
      <c r="G327" s="10"/>
      <c r="H327" s="20"/>
      <c r="I327" s="20"/>
      <c r="J327" s="10"/>
      <c r="K327" s="10"/>
      <c r="L327" s="10"/>
      <c r="M327" s="10"/>
      <c r="N327" s="10"/>
      <c r="O327" s="21"/>
    </row>
    <row r="328" spans="1:15" x14ac:dyDescent="0.35">
      <c r="A328" s="15">
        <f t="shared" si="4"/>
        <v>326</v>
      </c>
      <c r="B328" s="16"/>
      <c r="C328" s="19"/>
      <c r="D328" s="10"/>
      <c r="E328" s="10"/>
      <c r="F328" s="47"/>
      <c r="G328" s="10"/>
      <c r="H328" s="20"/>
      <c r="I328" s="20"/>
      <c r="J328" s="10"/>
      <c r="K328" s="10"/>
      <c r="L328" s="10"/>
      <c r="M328" s="10"/>
      <c r="N328" s="10"/>
      <c r="O328" s="21"/>
    </row>
    <row r="329" spans="1:15" x14ac:dyDescent="0.35">
      <c r="A329" s="15">
        <f t="shared" si="4"/>
        <v>327</v>
      </c>
      <c r="B329" s="16"/>
      <c r="C329" s="19"/>
      <c r="D329" s="10"/>
      <c r="E329" s="10"/>
      <c r="F329" s="47"/>
      <c r="G329" s="10"/>
      <c r="H329" s="20"/>
      <c r="I329" s="20"/>
      <c r="J329" s="10"/>
      <c r="K329" s="10"/>
      <c r="L329" s="10"/>
      <c r="M329" s="10"/>
      <c r="N329" s="10"/>
      <c r="O329" s="21"/>
    </row>
    <row r="330" spans="1:15" x14ac:dyDescent="0.35">
      <c r="A330" s="15">
        <f t="shared" si="4"/>
        <v>328</v>
      </c>
      <c r="B330" s="16"/>
      <c r="C330" s="19"/>
      <c r="D330" s="10"/>
      <c r="E330" s="10"/>
      <c r="F330" s="47"/>
      <c r="G330" s="10"/>
      <c r="H330" s="20"/>
      <c r="I330" s="20"/>
      <c r="J330" s="10"/>
      <c r="K330" s="10"/>
      <c r="L330" s="10"/>
      <c r="M330" s="10"/>
      <c r="N330" s="10"/>
      <c r="O330" s="21"/>
    </row>
    <row r="331" spans="1:15" x14ac:dyDescent="0.35">
      <c r="A331" s="15">
        <f t="shared" ref="A331:A394" si="5">+A330+1</f>
        <v>329</v>
      </c>
      <c r="B331" s="16"/>
      <c r="C331" s="19"/>
      <c r="D331" s="10"/>
      <c r="E331" s="10"/>
      <c r="F331" s="47"/>
      <c r="G331" s="10"/>
      <c r="H331" s="20"/>
      <c r="I331" s="20"/>
      <c r="J331" s="10"/>
      <c r="K331" s="10"/>
      <c r="L331" s="10"/>
      <c r="M331" s="10"/>
      <c r="N331" s="10"/>
      <c r="O331" s="21"/>
    </row>
    <row r="332" spans="1:15" x14ac:dyDescent="0.35">
      <c r="A332" s="15">
        <f t="shared" si="5"/>
        <v>330</v>
      </c>
      <c r="B332" s="16"/>
      <c r="C332" s="19"/>
      <c r="D332" s="10"/>
      <c r="E332" s="10"/>
      <c r="F332" s="47"/>
      <c r="G332" s="10"/>
      <c r="H332" s="20"/>
      <c r="I332" s="20"/>
      <c r="J332" s="10"/>
      <c r="K332" s="10"/>
      <c r="L332" s="10"/>
      <c r="M332" s="10"/>
      <c r="N332" s="10"/>
      <c r="O332" s="21"/>
    </row>
    <row r="333" spans="1:15" x14ac:dyDescent="0.35">
      <c r="A333" s="15">
        <f t="shared" si="5"/>
        <v>331</v>
      </c>
      <c r="B333" s="16"/>
      <c r="C333" s="19"/>
      <c r="D333" s="10"/>
      <c r="E333" s="10"/>
      <c r="F333" s="47"/>
      <c r="G333" s="10"/>
      <c r="H333" s="20"/>
      <c r="I333" s="20"/>
      <c r="J333" s="10"/>
      <c r="K333" s="10"/>
      <c r="L333" s="10"/>
      <c r="M333" s="10"/>
      <c r="N333" s="10"/>
      <c r="O333" s="21"/>
    </row>
    <row r="334" spans="1:15" x14ac:dyDescent="0.35">
      <c r="A334" s="15">
        <f t="shared" si="5"/>
        <v>332</v>
      </c>
      <c r="B334" s="16"/>
      <c r="C334" s="19"/>
      <c r="D334" s="10"/>
      <c r="E334" s="10"/>
      <c r="F334" s="47"/>
      <c r="G334" s="10"/>
      <c r="H334" s="20"/>
      <c r="I334" s="20"/>
      <c r="J334" s="10"/>
      <c r="K334" s="10"/>
      <c r="L334" s="10"/>
      <c r="M334" s="10"/>
      <c r="N334" s="10"/>
      <c r="O334" s="21"/>
    </row>
    <row r="335" spans="1:15" x14ac:dyDescent="0.35">
      <c r="A335" s="15">
        <f t="shared" si="5"/>
        <v>333</v>
      </c>
      <c r="B335" s="16"/>
      <c r="C335" s="19"/>
      <c r="D335" s="10"/>
      <c r="E335" s="10"/>
      <c r="F335" s="47"/>
      <c r="G335" s="10"/>
      <c r="H335" s="20"/>
      <c r="I335" s="20"/>
      <c r="J335" s="10"/>
      <c r="K335" s="10"/>
      <c r="L335" s="10"/>
      <c r="M335" s="10"/>
      <c r="N335" s="10"/>
      <c r="O335" s="21"/>
    </row>
    <row r="336" spans="1:15" x14ac:dyDescent="0.35">
      <c r="A336" s="15">
        <f t="shared" si="5"/>
        <v>334</v>
      </c>
      <c r="B336" s="16"/>
      <c r="C336" s="19"/>
      <c r="D336" s="10"/>
      <c r="E336" s="10"/>
      <c r="F336" s="47"/>
      <c r="G336" s="10"/>
      <c r="H336" s="20"/>
      <c r="I336" s="20"/>
      <c r="J336" s="10"/>
      <c r="K336" s="10"/>
      <c r="L336" s="10"/>
      <c r="M336" s="10"/>
      <c r="N336" s="10"/>
      <c r="O336" s="21"/>
    </row>
    <row r="337" spans="1:15" x14ac:dyDescent="0.35">
      <c r="A337" s="15">
        <f t="shared" si="5"/>
        <v>335</v>
      </c>
      <c r="B337" s="16"/>
      <c r="C337" s="19"/>
      <c r="D337" s="10"/>
      <c r="E337" s="10"/>
      <c r="F337" s="47"/>
      <c r="G337" s="10"/>
      <c r="H337" s="20"/>
      <c r="I337" s="20"/>
      <c r="J337" s="10"/>
      <c r="K337" s="10"/>
      <c r="L337" s="10"/>
      <c r="M337" s="10"/>
      <c r="N337" s="10"/>
      <c r="O337" s="21"/>
    </row>
    <row r="338" spans="1:15" x14ac:dyDescent="0.35">
      <c r="A338" s="15">
        <f t="shared" si="5"/>
        <v>336</v>
      </c>
      <c r="B338" s="16"/>
      <c r="C338" s="19"/>
      <c r="D338" s="10"/>
      <c r="E338" s="10"/>
      <c r="F338" s="47"/>
      <c r="G338" s="10"/>
      <c r="H338" s="20"/>
      <c r="I338" s="20"/>
      <c r="J338" s="10"/>
      <c r="K338" s="10"/>
      <c r="L338" s="10"/>
      <c r="M338" s="10"/>
      <c r="N338" s="10"/>
      <c r="O338" s="21"/>
    </row>
    <row r="339" spans="1:15" x14ac:dyDescent="0.35">
      <c r="A339" s="15">
        <f t="shared" si="5"/>
        <v>337</v>
      </c>
      <c r="B339" s="16"/>
      <c r="C339" s="19"/>
      <c r="D339" s="10"/>
      <c r="E339" s="10"/>
      <c r="F339" s="47"/>
      <c r="G339" s="10"/>
      <c r="H339" s="20"/>
      <c r="I339" s="20"/>
      <c r="J339" s="10"/>
      <c r="K339" s="10"/>
      <c r="L339" s="10"/>
      <c r="M339" s="10"/>
      <c r="N339" s="10"/>
      <c r="O339" s="21"/>
    </row>
    <row r="340" spans="1:15" x14ac:dyDescent="0.35">
      <c r="A340" s="15">
        <f t="shared" si="5"/>
        <v>338</v>
      </c>
      <c r="B340" s="16"/>
      <c r="C340" s="19"/>
      <c r="D340" s="10"/>
      <c r="E340" s="10"/>
      <c r="F340" s="47"/>
      <c r="G340" s="10"/>
      <c r="H340" s="20"/>
      <c r="I340" s="20"/>
      <c r="J340" s="10"/>
      <c r="K340" s="10"/>
      <c r="L340" s="10"/>
      <c r="M340" s="10"/>
      <c r="N340" s="10"/>
      <c r="O340" s="21"/>
    </row>
    <row r="341" spans="1:15" x14ac:dyDescent="0.35">
      <c r="A341" s="15">
        <f t="shared" si="5"/>
        <v>339</v>
      </c>
      <c r="B341" s="16"/>
      <c r="C341" s="19"/>
      <c r="D341" s="10"/>
      <c r="E341" s="10"/>
      <c r="F341" s="47"/>
      <c r="G341" s="10"/>
      <c r="H341" s="20"/>
      <c r="I341" s="20"/>
      <c r="J341" s="10"/>
      <c r="K341" s="10"/>
      <c r="L341" s="10"/>
      <c r="M341" s="10"/>
      <c r="N341" s="10"/>
      <c r="O341" s="21"/>
    </row>
    <row r="342" spans="1:15" x14ac:dyDescent="0.35">
      <c r="A342" s="15">
        <f t="shared" si="5"/>
        <v>340</v>
      </c>
      <c r="B342" s="16"/>
      <c r="C342" s="19"/>
      <c r="D342" s="10"/>
      <c r="E342" s="10"/>
      <c r="F342" s="47"/>
      <c r="G342" s="10"/>
      <c r="H342" s="20"/>
      <c r="I342" s="20"/>
      <c r="J342" s="10"/>
      <c r="K342" s="10"/>
      <c r="L342" s="10"/>
      <c r="M342" s="10"/>
      <c r="N342" s="10"/>
      <c r="O342" s="21"/>
    </row>
    <row r="343" spans="1:15" x14ac:dyDescent="0.35">
      <c r="A343" s="15">
        <f t="shared" si="5"/>
        <v>341</v>
      </c>
      <c r="B343" s="16"/>
      <c r="C343" s="19"/>
      <c r="D343" s="10"/>
      <c r="E343" s="10"/>
      <c r="F343" s="47"/>
      <c r="G343" s="10"/>
      <c r="H343" s="20"/>
      <c r="I343" s="20"/>
      <c r="J343" s="10"/>
      <c r="K343" s="10"/>
      <c r="L343" s="10"/>
      <c r="M343" s="10"/>
      <c r="N343" s="10"/>
      <c r="O343" s="21"/>
    </row>
    <row r="344" spans="1:15" x14ac:dyDescent="0.35">
      <c r="A344" s="15">
        <f t="shared" si="5"/>
        <v>342</v>
      </c>
      <c r="B344" s="16"/>
      <c r="C344" s="19"/>
      <c r="D344" s="10"/>
      <c r="E344" s="10"/>
      <c r="F344" s="47"/>
      <c r="G344" s="10"/>
      <c r="H344" s="20"/>
      <c r="I344" s="20"/>
      <c r="J344" s="10"/>
      <c r="K344" s="10"/>
      <c r="L344" s="10"/>
      <c r="M344" s="10"/>
      <c r="N344" s="10"/>
      <c r="O344" s="21"/>
    </row>
    <row r="345" spans="1:15" x14ac:dyDescent="0.35">
      <c r="A345" s="15">
        <f t="shared" si="5"/>
        <v>343</v>
      </c>
      <c r="B345" s="16"/>
      <c r="C345" s="19"/>
      <c r="D345" s="10"/>
      <c r="E345" s="10"/>
      <c r="F345" s="47"/>
      <c r="G345" s="10"/>
      <c r="H345" s="20"/>
      <c r="I345" s="20"/>
      <c r="J345" s="10"/>
      <c r="K345" s="10"/>
      <c r="L345" s="10"/>
      <c r="M345" s="10"/>
      <c r="N345" s="10"/>
      <c r="O345" s="21"/>
    </row>
    <row r="346" spans="1:15" x14ac:dyDescent="0.35">
      <c r="A346" s="15">
        <f t="shared" si="5"/>
        <v>344</v>
      </c>
      <c r="B346" s="16"/>
      <c r="C346" s="19"/>
      <c r="D346" s="10"/>
      <c r="E346" s="10"/>
      <c r="F346" s="47"/>
      <c r="G346" s="10"/>
      <c r="H346" s="20"/>
      <c r="I346" s="20"/>
      <c r="J346" s="10"/>
      <c r="K346" s="10"/>
      <c r="L346" s="10"/>
      <c r="M346" s="10"/>
      <c r="N346" s="10"/>
      <c r="O346" s="21"/>
    </row>
    <row r="347" spans="1:15" x14ac:dyDescent="0.35">
      <c r="A347" s="15">
        <f t="shared" si="5"/>
        <v>345</v>
      </c>
      <c r="B347" s="16"/>
      <c r="C347" s="19"/>
      <c r="D347" s="10"/>
      <c r="E347" s="10"/>
      <c r="F347" s="47"/>
      <c r="G347" s="10"/>
      <c r="H347" s="20"/>
      <c r="I347" s="20"/>
      <c r="J347" s="10"/>
      <c r="K347" s="10"/>
      <c r="L347" s="10"/>
      <c r="M347" s="10"/>
      <c r="N347" s="10"/>
      <c r="O347" s="21"/>
    </row>
    <row r="348" spans="1:15" x14ac:dyDescent="0.35">
      <c r="A348" s="15">
        <f t="shared" si="5"/>
        <v>346</v>
      </c>
      <c r="B348" s="16"/>
      <c r="C348" s="19"/>
      <c r="D348" s="10"/>
      <c r="E348" s="10"/>
      <c r="F348" s="47"/>
      <c r="G348" s="10"/>
      <c r="H348" s="20"/>
      <c r="I348" s="20"/>
      <c r="J348" s="10"/>
      <c r="K348" s="10"/>
      <c r="L348" s="10"/>
      <c r="M348" s="10"/>
      <c r="N348" s="10"/>
      <c r="O348" s="21"/>
    </row>
    <row r="349" spans="1:15" x14ac:dyDescent="0.35">
      <c r="A349" s="15">
        <f t="shared" si="5"/>
        <v>347</v>
      </c>
      <c r="B349" s="16"/>
      <c r="C349" s="19"/>
      <c r="D349" s="10"/>
      <c r="E349" s="10"/>
      <c r="F349" s="47"/>
      <c r="G349" s="10"/>
      <c r="H349" s="20"/>
      <c r="I349" s="20"/>
      <c r="J349" s="10"/>
      <c r="K349" s="10"/>
      <c r="L349" s="10"/>
      <c r="M349" s="10"/>
      <c r="N349" s="10"/>
      <c r="O349" s="21"/>
    </row>
    <row r="350" spans="1:15" x14ac:dyDescent="0.35">
      <c r="A350" s="15">
        <f t="shared" si="5"/>
        <v>348</v>
      </c>
      <c r="B350" s="16"/>
      <c r="C350" s="19"/>
      <c r="D350" s="10"/>
      <c r="E350" s="10"/>
      <c r="F350" s="47"/>
      <c r="G350" s="10"/>
      <c r="H350" s="20"/>
      <c r="I350" s="20"/>
      <c r="J350" s="10"/>
      <c r="K350" s="10"/>
      <c r="L350" s="10"/>
      <c r="M350" s="10"/>
      <c r="N350" s="10"/>
      <c r="O350" s="21"/>
    </row>
    <row r="351" spans="1:15" x14ac:dyDescent="0.35">
      <c r="A351" s="15">
        <f t="shared" si="5"/>
        <v>349</v>
      </c>
      <c r="B351" s="16"/>
      <c r="C351" s="19"/>
      <c r="D351" s="10"/>
      <c r="E351" s="10"/>
      <c r="F351" s="47"/>
      <c r="G351" s="10"/>
      <c r="H351" s="20"/>
      <c r="I351" s="20"/>
      <c r="J351" s="10"/>
      <c r="K351" s="10"/>
      <c r="L351" s="10"/>
      <c r="M351" s="10"/>
      <c r="N351" s="10"/>
      <c r="O351" s="21"/>
    </row>
    <row r="352" spans="1:15" x14ac:dyDescent="0.35">
      <c r="A352" s="15">
        <f t="shared" si="5"/>
        <v>350</v>
      </c>
      <c r="B352" s="16"/>
      <c r="C352" s="19"/>
      <c r="D352" s="10"/>
      <c r="E352" s="10"/>
      <c r="F352" s="47"/>
      <c r="G352" s="10"/>
      <c r="H352" s="20"/>
      <c r="I352" s="20"/>
      <c r="J352" s="10"/>
      <c r="K352" s="10"/>
      <c r="L352" s="10"/>
      <c r="M352" s="10"/>
      <c r="N352" s="10"/>
      <c r="O352" s="21"/>
    </row>
    <row r="353" spans="1:15" x14ac:dyDescent="0.35">
      <c r="A353" s="15">
        <f t="shared" si="5"/>
        <v>351</v>
      </c>
      <c r="B353" s="16"/>
      <c r="C353" s="19"/>
      <c r="D353" s="10"/>
      <c r="E353" s="10"/>
      <c r="F353" s="47"/>
      <c r="G353" s="10"/>
      <c r="H353" s="20"/>
      <c r="I353" s="20"/>
      <c r="J353" s="10"/>
      <c r="K353" s="10"/>
      <c r="L353" s="10"/>
      <c r="M353" s="10"/>
      <c r="N353" s="10"/>
      <c r="O353" s="21"/>
    </row>
    <row r="354" spans="1:15" x14ac:dyDescent="0.35">
      <c r="A354" s="15">
        <f t="shared" si="5"/>
        <v>352</v>
      </c>
      <c r="B354" s="16"/>
      <c r="C354" s="19"/>
      <c r="D354" s="10"/>
      <c r="E354" s="10"/>
      <c r="F354" s="47"/>
      <c r="G354" s="10"/>
      <c r="H354" s="20"/>
      <c r="I354" s="20"/>
      <c r="J354" s="10"/>
      <c r="K354" s="10"/>
      <c r="L354" s="10"/>
      <c r="M354" s="10"/>
      <c r="N354" s="10"/>
      <c r="O354" s="21"/>
    </row>
    <row r="355" spans="1:15" x14ac:dyDescent="0.35">
      <c r="A355" s="15">
        <f t="shared" si="5"/>
        <v>353</v>
      </c>
      <c r="B355" s="16"/>
      <c r="C355" s="19"/>
      <c r="D355" s="10"/>
      <c r="E355" s="10"/>
      <c r="F355" s="47"/>
      <c r="G355" s="10"/>
      <c r="H355" s="20"/>
      <c r="I355" s="20"/>
      <c r="J355" s="10"/>
      <c r="K355" s="10"/>
      <c r="L355" s="10"/>
      <c r="M355" s="10"/>
      <c r="N355" s="10"/>
      <c r="O355" s="21"/>
    </row>
    <row r="356" spans="1:15" x14ac:dyDescent="0.35">
      <c r="A356" s="15">
        <f t="shared" si="5"/>
        <v>354</v>
      </c>
      <c r="B356" s="16"/>
      <c r="C356" s="19"/>
      <c r="D356" s="10"/>
      <c r="E356" s="10"/>
      <c r="F356" s="47"/>
      <c r="G356" s="10"/>
      <c r="H356" s="20"/>
      <c r="I356" s="20"/>
      <c r="J356" s="10"/>
      <c r="K356" s="10"/>
      <c r="L356" s="10"/>
      <c r="M356" s="10"/>
      <c r="N356" s="10"/>
      <c r="O356" s="21"/>
    </row>
    <row r="357" spans="1:15" x14ac:dyDescent="0.35">
      <c r="A357" s="15">
        <f t="shared" si="5"/>
        <v>355</v>
      </c>
      <c r="B357" s="16"/>
      <c r="C357" s="19"/>
      <c r="D357" s="10"/>
      <c r="E357" s="10"/>
      <c r="F357" s="47"/>
      <c r="G357" s="10"/>
      <c r="H357" s="20"/>
      <c r="I357" s="20"/>
      <c r="J357" s="10"/>
      <c r="K357" s="10"/>
      <c r="L357" s="10"/>
      <c r="M357" s="10"/>
      <c r="N357" s="10"/>
      <c r="O357" s="21"/>
    </row>
    <row r="358" spans="1:15" x14ac:dyDescent="0.35">
      <c r="A358" s="15">
        <f t="shared" si="5"/>
        <v>356</v>
      </c>
      <c r="B358" s="16"/>
      <c r="C358" s="19"/>
      <c r="D358" s="10"/>
      <c r="E358" s="10"/>
      <c r="F358" s="47"/>
      <c r="G358" s="10"/>
      <c r="H358" s="20"/>
      <c r="I358" s="20"/>
      <c r="J358" s="10"/>
      <c r="K358" s="10"/>
      <c r="L358" s="10"/>
      <c r="M358" s="10"/>
      <c r="N358" s="10"/>
      <c r="O358" s="21"/>
    </row>
    <row r="359" spans="1:15" x14ac:dyDescent="0.35">
      <c r="A359" s="15">
        <f t="shared" si="5"/>
        <v>357</v>
      </c>
      <c r="B359" s="16"/>
      <c r="C359" s="19"/>
      <c r="D359" s="10"/>
      <c r="E359" s="10"/>
      <c r="F359" s="47"/>
      <c r="G359" s="10"/>
      <c r="H359" s="20"/>
      <c r="I359" s="20"/>
      <c r="J359" s="10"/>
      <c r="K359" s="10"/>
      <c r="L359" s="10"/>
      <c r="M359" s="10"/>
      <c r="N359" s="10"/>
      <c r="O359" s="21"/>
    </row>
    <row r="360" spans="1:15" x14ac:dyDescent="0.35">
      <c r="A360" s="15">
        <f t="shared" si="5"/>
        <v>358</v>
      </c>
      <c r="B360" s="16"/>
      <c r="C360" s="19"/>
      <c r="D360" s="10"/>
      <c r="E360" s="10"/>
      <c r="F360" s="47"/>
      <c r="G360" s="10"/>
      <c r="H360" s="20"/>
      <c r="I360" s="20"/>
      <c r="J360" s="10"/>
      <c r="K360" s="10"/>
      <c r="L360" s="10"/>
      <c r="M360" s="10"/>
      <c r="N360" s="10"/>
      <c r="O360" s="21"/>
    </row>
    <row r="361" spans="1:15" x14ac:dyDescent="0.35">
      <c r="A361" s="15">
        <f t="shared" si="5"/>
        <v>359</v>
      </c>
      <c r="B361" s="16"/>
      <c r="C361" s="19"/>
      <c r="D361" s="10"/>
      <c r="E361" s="10"/>
      <c r="F361" s="47"/>
      <c r="G361" s="10"/>
      <c r="H361" s="20"/>
      <c r="I361" s="20"/>
      <c r="J361" s="10"/>
      <c r="K361" s="10"/>
      <c r="L361" s="10"/>
      <c r="M361" s="10"/>
      <c r="N361" s="10"/>
      <c r="O361" s="21"/>
    </row>
    <row r="362" spans="1:15" x14ac:dyDescent="0.35">
      <c r="A362" s="15">
        <f t="shared" si="5"/>
        <v>360</v>
      </c>
      <c r="B362" s="50"/>
      <c r="C362" s="19"/>
      <c r="D362" s="10"/>
      <c r="E362" s="10"/>
      <c r="F362" s="47"/>
      <c r="G362" s="10"/>
      <c r="H362" s="20"/>
      <c r="I362" s="20"/>
      <c r="J362" s="10"/>
      <c r="K362" s="10"/>
      <c r="L362" s="10"/>
      <c r="M362" s="10"/>
      <c r="N362" s="10"/>
      <c r="O362" s="21"/>
    </row>
    <row r="363" spans="1:15" x14ac:dyDescent="0.35">
      <c r="A363" s="15">
        <f t="shared" si="5"/>
        <v>361</v>
      </c>
      <c r="B363" s="16"/>
      <c r="C363" s="19"/>
      <c r="D363" s="10"/>
      <c r="E363" s="10"/>
      <c r="F363" s="47"/>
      <c r="G363" s="10"/>
      <c r="H363" s="20"/>
      <c r="I363" s="20"/>
      <c r="J363" s="10"/>
      <c r="K363" s="10"/>
      <c r="L363" s="10"/>
      <c r="M363" s="10"/>
      <c r="N363" s="10"/>
      <c r="O363" s="21"/>
    </row>
    <row r="364" spans="1:15" x14ac:dyDescent="0.35">
      <c r="A364" s="15">
        <f t="shared" si="5"/>
        <v>362</v>
      </c>
      <c r="B364" s="16"/>
      <c r="C364" s="19"/>
      <c r="D364" s="10"/>
      <c r="E364" s="10"/>
      <c r="F364" s="47"/>
      <c r="G364" s="10"/>
      <c r="H364" s="20"/>
      <c r="I364" s="20"/>
      <c r="J364" s="10"/>
      <c r="K364" s="10"/>
      <c r="L364" s="10"/>
      <c r="M364" s="10"/>
      <c r="N364" s="10"/>
      <c r="O364" s="21"/>
    </row>
    <row r="365" spans="1:15" x14ac:dyDescent="0.35">
      <c r="A365" s="15">
        <f t="shared" si="5"/>
        <v>363</v>
      </c>
      <c r="B365" s="16"/>
      <c r="C365" s="19"/>
      <c r="D365" s="10"/>
      <c r="E365" s="10"/>
      <c r="F365" s="47"/>
      <c r="G365" s="10"/>
      <c r="H365" s="20"/>
      <c r="I365" s="20"/>
      <c r="J365" s="10"/>
      <c r="K365" s="10"/>
      <c r="L365" s="10"/>
      <c r="M365" s="10"/>
      <c r="N365" s="10"/>
      <c r="O365" s="21"/>
    </row>
    <row r="366" spans="1:15" x14ac:dyDescent="0.35">
      <c r="A366" s="15">
        <f t="shared" si="5"/>
        <v>364</v>
      </c>
      <c r="B366" s="16"/>
      <c r="C366" s="19"/>
      <c r="D366" s="10"/>
      <c r="E366" s="10"/>
      <c r="F366" s="47"/>
      <c r="G366" s="10"/>
      <c r="H366" s="20"/>
      <c r="I366" s="20"/>
      <c r="J366" s="10"/>
      <c r="K366" s="10"/>
      <c r="L366" s="10"/>
      <c r="M366" s="10"/>
      <c r="N366" s="10"/>
      <c r="O366" s="21"/>
    </row>
    <row r="367" spans="1:15" x14ac:dyDescent="0.35">
      <c r="A367" s="15">
        <f t="shared" si="5"/>
        <v>365</v>
      </c>
      <c r="B367" s="16"/>
      <c r="C367" s="19"/>
      <c r="D367" s="10"/>
      <c r="E367" s="10"/>
      <c r="F367" s="47"/>
      <c r="G367" s="10"/>
      <c r="H367" s="20"/>
      <c r="I367" s="20"/>
      <c r="J367" s="10"/>
      <c r="K367" s="10"/>
      <c r="L367" s="10"/>
      <c r="M367" s="10"/>
      <c r="N367" s="10"/>
      <c r="O367" s="21"/>
    </row>
    <row r="368" spans="1:15" x14ac:dyDescent="0.35">
      <c r="A368" s="15">
        <f t="shared" si="5"/>
        <v>366</v>
      </c>
      <c r="B368" s="16"/>
      <c r="C368" s="19"/>
      <c r="D368" s="10"/>
      <c r="E368" s="10"/>
      <c r="F368" s="47"/>
      <c r="G368" s="10"/>
      <c r="H368" s="20"/>
      <c r="I368" s="20"/>
      <c r="J368" s="10"/>
      <c r="K368" s="10"/>
      <c r="L368" s="10"/>
      <c r="M368" s="10"/>
      <c r="N368" s="10"/>
      <c r="O368" s="21"/>
    </row>
    <row r="369" spans="1:15" x14ac:dyDescent="0.35">
      <c r="A369" s="15">
        <f t="shared" si="5"/>
        <v>367</v>
      </c>
      <c r="B369" s="16"/>
      <c r="C369" s="19"/>
      <c r="D369" s="10"/>
      <c r="E369" s="10"/>
      <c r="F369" s="47"/>
      <c r="G369" s="10"/>
      <c r="H369" s="20"/>
      <c r="I369" s="20"/>
      <c r="J369" s="10"/>
      <c r="K369" s="10"/>
      <c r="L369" s="10"/>
      <c r="M369" s="10"/>
      <c r="N369" s="10"/>
      <c r="O369" s="21"/>
    </row>
    <row r="370" spans="1:15" x14ac:dyDescent="0.35">
      <c r="A370" s="15">
        <f t="shared" si="5"/>
        <v>368</v>
      </c>
      <c r="B370" s="16"/>
      <c r="C370" s="19"/>
      <c r="D370" s="10"/>
      <c r="E370" s="10"/>
      <c r="F370" s="47"/>
      <c r="G370" s="10"/>
      <c r="H370" s="20"/>
      <c r="I370" s="20"/>
      <c r="J370" s="10"/>
      <c r="K370" s="10"/>
      <c r="L370" s="10"/>
      <c r="M370" s="10"/>
      <c r="N370" s="10"/>
      <c r="O370" s="21"/>
    </row>
    <row r="371" spans="1:15" x14ac:dyDescent="0.35">
      <c r="A371" s="15">
        <f t="shared" si="5"/>
        <v>369</v>
      </c>
      <c r="B371" s="16"/>
      <c r="C371" s="19"/>
      <c r="D371" s="10"/>
      <c r="E371" s="10"/>
      <c r="F371" s="47"/>
      <c r="G371" s="10"/>
      <c r="H371" s="20"/>
      <c r="I371" s="20"/>
      <c r="J371" s="10"/>
      <c r="K371" s="10"/>
      <c r="L371" s="10"/>
      <c r="M371" s="10"/>
      <c r="N371" s="10"/>
      <c r="O371" s="21"/>
    </row>
    <row r="372" spans="1:15" x14ac:dyDescent="0.35">
      <c r="A372" s="15">
        <f t="shared" si="5"/>
        <v>370</v>
      </c>
      <c r="B372" s="16"/>
      <c r="C372" s="19"/>
      <c r="D372" s="10"/>
      <c r="E372" s="10"/>
      <c r="F372" s="47"/>
      <c r="G372" s="10"/>
      <c r="H372" s="20"/>
      <c r="I372" s="20"/>
      <c r="J372" s="10"/>
      <c r="K372" s="10"/>
      <c r="L372" s="10"/>
      <c r="M372" s="10"/>
      <c r="N372" s="10"/>
      <c r="O372" s="21"/>
    </row>
    <row r="373" spans="1:15" x14ac:dyDescent="0.35">
      <c r="A373" s="15">
        <f t="shared" si="5"/>
        <v>371</v>
      </c>
      <c r="B373" s="16"/>
      <c r="C373" s="19"/>
      <c r="D373" s="10"/>
      <c r="E373" s="10"/>
      <c r="F373" s="47"/>
      <c r="G373" s="10"/>
      <c r="H373" s="20"/>
      <c r="I373" s="20"/>
      <c r="J373" s="10"/>
      <c r="K373" s="10"/>
      <c r="L373" s="10"/>
      <c r="M373" s="10"/>
      <c r="N373" s="10"/>
      <c r="O373" s="21"/>
    </row>
    <row r="374" spans="1:15" x14ac:dyDescent="0.35">
      <c r="A374" s="15">
        <f t="shared" si="5"/>
        <v>372</v>
      </c>
      <c r="B374" s="16"/>
      <c r="C374" s="19"/>
      <c r="D374" s="10"/>
      <c r="E374" s="10"/>
      <c r="F374" s="47"/>
      <c r="G374" s="10"/>
      <c r="H374" s="20"/>
      <c r="I374" s="20"/>
      <c r="J374" s="10"/>
      <c r="K374" s="10"/>
      <c r="L374" s="10"/>
      <c r="M374" s="10"/>
      <c r="N374" s="10"/>
      <c r="O374" s="21"/>
    </row>
    <row r="375" spans="1:15" x14ac:dyDescent="0.35">
      <c r="A375" s="15">
        <f t="shared" si="5"/>
        <v>373</v>
      </c>
      <c r="B375" s="16"/>
      <c r="C375" s="19"/>
      <c r="D375" s="10"/>
      <c r="E375" s="10"/>
      <c r="F375" s="47"/>
      <c r="G375" s="10"/>
      <c r="H375" s="20"/>
      <c r="I375" s="20"/>
      <c r="J375" s="10"/>
      <c r="K375" s="10"/>
      <c r="L375" s="10"/>
      <c r="M375" s="10"/>
      <c r="N375" s="10"/>
      <c r="O375" s="21"/>
    </row>
    <row r="376" spans="1:15" x14ac:dyDescent="0.35">
      <c r="A376" s="15">
        <f t="shared" si="5"/>
        <v>374</v>
      </c>
      <c r="B376" s="16"/>
      <c r="C376" s="19"/>
      <c r="D376" s="10"/>
      <c r="E376" s="10"/>
      <c r="F376" s="47"/>
      <c r="G376" s="10"/>
      <c r="H376" s="20"/>
      <c r="I376" s="20"/>
      <c r="J376" s="10"/>
      <c r="K376" s="10"/>
      <c r="L376" s="10"/>
      <c r="M376" s="10"/>
      <c r="N376" s="10"/>
      <c r="O376" s="21"/>
    </row>
    <row r="377" spans="1:15" x14ac:dyDescent="0.35">
      <c r="A377" s="15">
        <f t="shared" si="5"/>
        <v>375</v>
      </c>
      <c r="B377" s="16"/>
      <c r="C377" s="19"/>
      <c r="D377" s="10"/>
      <c r="E377" s="10"/>
      <c r="F377" s="47"/>
      <c r="G377" s="10"/>
      <c r="H377" s="20"/>
      <c r="I377" s="20"/>
      <c r="J377" s="10"/>
      <c r="K377" s="10"/>
      <c r="L377" s="10"/>
      <c r="M377" s="10"/>
      <c r="N377" s="10"/>
      <c r="O377" s="21"/>
    </row>
    <row r="378" spans="1:15" x14ac:dyDescent="0.35">
      <c r="A378" s="15">
        <f t="shared" si="5"/>
        <v>376</v>
      </c>
      <c r="B378" s="16"/>
      <c r="C378" s="19"/>
      <c r="D378" s="10"/>
      <c r="E378" s="10"/>
      <c r="F378" s="47"/>
      <c r="G378" s="10"/>
      <c r="H378" s="20"/>
      <c r="I378" s="20"/>
      <c r="J378" s="10"/>
      <c r="K378" s="10"/>
      <c r="L378" s="10"/>
      <c r="M378" s="10"/>
      <c r="N378" s="10"/>
      <c r="O378" s="21"/>
    </row>
    <row r="379" spans="1:15" x14ac:dyDescent="0.35">
      <c r="A379" s="15">
        <f t="shared" si="5"/>
        <v>377</v>
      </c>
      <c r="B379" s="16"/>
      <c r="C379" s="19"/>
      <c r="D379" s="10"/>
      <c r="E379" s="10"/>
      <c r="F379" s="47"/>
      <c r="G379" s="10"/>
      <c r="H379" s="20"/>
      <c r="I379" s="20"/>
      <c r="J379" s="10"/>
      <c r="K379" s="10"/>
      <c r="L379" s="10"/>
      <c r="M379" s="10"/>
      <c r="N379" s="10"/>
      <c r="O379" s="21"/>
    </row>
    <row r="380" spans="1:15" x14ac:dyDescent="0.35">
      <c r="A380" s="15">
        <f t="shared" si="5"/>
        <v>378</v>
      </c>
      <c r="B380" s="16"/>
      <c r="C380" s="19"/>
      <c r="D380" s="10"/>
      <c r="E380" s="10"/>
      <c r="F380" s="47"/>
      <c r="G380" s="10"/>
      <c r="H380" s="20"/>
      <c r="I380" s="20"/>
      <c r="J380" s="10"/>
      <c r="K380" s="10"/>
      <c r="L380" s="10"/>
      <c r="M380" s="10"/>
      <c r="N380" s="10"/>
      <c r="O380" s="21"/>
    </row>
    <row r="381" spans="1:15" x14ac:dyDescent="0.35">
      <c r="A381" s="15">
        <f t="shared" si="5"/>
        <v>379</v>
      </c>
      <c r="B381" s="16"/>
      <c r="C381" s="19"/>
      <c r="D381" s="10"/>
      <c r="E381" s="10"/>
      <c r="F381" s="47"/>
      <c r="G381" s="10"/>
      <c r="H381" s="20"/>
      <c r="I381" s="20"/>
      <c r="J381" s="10"/>
      <c r="K381" s="10"/>
      <c r="L381" s="10"/>
      <c r="M381" s="10"/>
      <c r="N381" s="10"/>
      <c r="O381" s="21"/>
    </row>
    <row r="382" spans="1:15" x14ac:dyDescent="0.35">
      <c r="A382" s="15">
        <f t="shared" si="5"/>
        <v>380</v>
      </c>
      <c r="B382" s="16"/>
      <c r="C382" s="19"/>
      <c r="D382" s="10"/>
      <c r="E382" s="10"/>
      <c r="F382" s="47"/>
      <c r="G382" s="10"/>
      <c r="H382" s="20"/>
      <c r="I382" s="20"/>
      <c r="J382" s="10"/>
      <c r="K382" s="10"/>
      <c r="L382" s="10"/>
      <c r="M382" s="10"/>
      <c r="N382" s="10"/>
      <c r="O382" s="21"/>
    </row>
    <row r="383" spans="1:15" x14ac:dyDescent="0.35">
      <c r="A383" s="15">
        <f t="shared" si="5"/>
        <v>381</v>
      </c>
      <c r="B383" s="16"/>
      <c r="C383" s="19"/>
      <c r="D383" s="10"/>
      <c r="E383" s="10"/>
      <c r="F383" s="47"/>
      <c r="G383" s="10"/>
      <c r="H383" s="20"/>
      <c r="I383" s="20"/>
      <c r="J383" s="10"/>
      <c r="K383" s="10"/>
      <c r="L383" s="10"/>
      <c r="M383" s="10"/>
      <c r="N383" s="10"/>
      <c r="O383" s="21"/>
    </row>
    <row r="384" spans="1:15" x14ac:dyDescent="0.35">
      <c r="A384" s="15">
        <f t="shared" si="5"/>
        <v>382</v>
      </c>
      <c r="B384" s="16"/>
      <c r="C384" s="19"/>
      <c r="D384" s="10"/>
      <c r="E384" s="10"/>
      <c r="F384" s="47"/>
      <c r="G384" s="10"/>
      <c r="H384" s="20"/>
      <c r="I384" s="20"/>
      <c r="J384" s="10"/>
      <c r="K384" s="10"/>
      <c r="L384" s="10"/>
      <c r="M384" s="10"/>
      <c r="N384" s="10"/>
      <c r="O384" s="21"/>
    </row>
    <row r="385" spans="1:15" x14ac:dyDescent="0.35">
      <c r="A385" s="15">
        <f t="shared" si="5"/>
        <v>383</v>
      </c>
      <c r="B385" s="16"/>
      <c r="C385" s="19"/>
      <c r="D385" s="10"/>
      <c r="E385" s="10"/>
      <c r="F385" s="47"/>
      <c r="G385" s="10"/>
      <c r="H385" s="20"/>
      <c r="I385" s="20"/>
      <c r="J385" s="10"/>
      <c r="K385" s="10"/>
      <c r="L385" s="10"/>
      <c r="M385" s="10"/>
      <c r="N385" s="10"/>
      <c r="O385" s="21"/>
    </row>
    <row r="386" spans="1:15" x14ac:dyDescent="0.35">
      <c r="A386" s="15">
        <f t="shared" si="5"/>
        <v>384</v>
      </c>
      <c r="B386" s="16"/>
      <c r="C386" s="19"/>
      <c r="D386" s="10"/>
      <c r="E386" s="10"/>
      <c r="F386" s="47"/>
      <c r="G386" s="10"/>
      <c r="H386" s="20"/>
      <c r="I386" s="20"/>
      <c r="J386" s="10"/>
      <c r="K386" s="10"/>
      <c r="L386" s="10"/>
      <c r="M386" s="10"/>
      <c r="N386" s="10"/>
      <c r="O386" s="21"/>
    </row>
    <row r="387" spans="1:15" x14ac:dyDescent="0.35">
      <c r="A387" s="15">
        <f t="shared" si="5"/>
        <v>385</v>
      </c>
      <c r="B387" s="16"/>
      <c r="C387" s="19"/>
      <c r="D387" s="10"/>
      <c r="E387" s="10"/>
      <c r="F387" s="47"/>
      <c r="G387" s="10"/>
      <c r="H387" s="20"/>
      <c r="I387" s="20"/>
      <c r="J387" s="10"/>
      <c r="K387" s="10"/>
      <c r="L387" s="10"/>
      <c r="M387" s="10"/>
      <c r="N387" s="10"/>
      <c r="O387" s="21"/>
    </row>
    <row r="388" spans="1:15" x14ac:dyDescent="0.35">
      <c r="A388" s="15">
        <f t="shared" si="5"/>
        <v>386</v>
      </c>
      <c r="B388" s="16"/>
      <c r="C388" s="19"/>
      <c r="D388" s="10"/>
      <c r="E388" s="10"/>
      <c r="F388" s="47"/>
      <c r="G388" s="10"/>
      <c r="H388" s="20"/>
      <c r="I388" s="20"/>
      <c r="J388" s="10"/>
      <c r="K388" s="10"/>
      <c r="L388" s="10"/>
      <c r="M388" s="10"/>
      <c r="N388" s="10"/>
      <c r="O388" s="21"/>
    </row>
    <row r="389" spans="1:15" x14ac:dyDescent="0.35">
      <c r="A389" s="15">
        <f t="shared" si="5"/>
        <v>387</v>
      </c>
      <c r="B389" s="16"/>
      <c r="C389" s="19"/>
      <c r="D389" s="10"/>
      <c r="E389" s="10"/>
      <c r="F389" s="47"/>
      <c r="G389" s="10"/>
      <c r="H389" s="20"/>
      <c r="I389" s="20"/>
      <c r="J389" s="10"/>
      <c r="K389" s="10"/>
      <c r="L389" s="10"/>
      <c r="M389" s="10"/>
      <c r="N389" s="10"/>
      <c r="O389" s="21"/>
    </row>
    <row r="390" spans="1:15" x14ac:dyDescent="0.35">
      <c r="A390" s="15">
        <f t="shared" si="5"/>
        <v>388</v>
      </c>
      <c r="B390" s="16"/>
      <c r="C390" s="19"/>
      <c r="D390" s="10"/>
      <c r="E390" s="10"/>
      <c r="F390" s="47"/>
      <c r="G390" s="10"/>
      <c r="H390" s="20"/>
      <c r="I390" s="20"/>
      <c r="J390" s="10"/>
      <c r="K390" s="10"/>
      <c r="L390" s="10"/>
      <c r="M390" s="10"/>
      <c r="N390" s="10"/>
      <c r="O390" s="21"/>
    </row>
    <row r="391" spans="1:15" x14ac:dyDescent="0.35">
      <c r="A391" s="15">
        <f t="shared" si="5"/>
        <v>389</v>
      </c>
      <c r="B391" s="16"/>
      <c r="C391" s="19"/>
      <c r="D391" s="10"/>
      <c r="E391" s="10"/>
      <c r="F391" s="47"/>
      <c r="G391" s="10"/>
      <c r="H391" s="20"/>
      <c r="I391" s="20"/>
      <c r="J391" s="10"/>
      <c r="K391" s="10"/>
      <c r="L391" s="10"/>
      <c r="M391" s="10"/>
      <c r="N391" s="10"/>
      <c r="O391" s="21"/>
    </row>
    <row r="392" spans="1:15" x14ac:dyDescent="0.35">
      <c r="A392" s="15">
        <f t="shared" si="5"/>
        <v>390</v>
      </c>
      <c r="B392" s="16"/>
      <c r="C392" s="19"/>
      <c r="D392" s="10"/>
      <c r="E392" s="10"/>
      <c r="F392" s="47"/>
      <c r="G392" s="10"/>
      <c r="H392" s="20"/>
      <c r="I392" s="20"/>
      <c r="J392" s="10"/>
      <c r="K392" s="10"/>
      <c r="L392" s="10"/>
      <c r="M392" s="10"/>
      <c r="N392" s="10"/>
      <c r="O392" s="21"/>
    </row>
    <row r="393" spans="1:15" x14ac:dyDescent="0.35">
      <c r="A393" s="15">
        <f t="shared" si="5"/>
        <v>391</v>
      </c>
      <c r="B393" s="16"/>
      <c r="C393" s="19"/>
      <c r="D393" s="10"/>
      <c r="E393" s="10"/>
      <c r="F393" s="47"/>
      <c r="G393" s="10"/>
      <c r="H393" s="20"/>
      <c r="I393" s="20"/>
      <c r="J393" s="10"/>
      <c r="K393" s="10"/>
      <c r="L393" s="10"/>
      <c r="M393" s="10"/>
      <c r="N393" s="10"/>
      <c r="O393" s="21"/>
    </row>
    <row r="394" spans="1:15" x14ac:dyDescent="0.35">
      <c r="A394" s="15">
        <f t="shared" si="5"/>
        <v>392</v>
      </c>
      <c r="B394" s="16"/>
      <c r="C394" s="19"/>
      <c r="D394" s="10"/>
      <c r="E394" s="10"/>
      <c r="F394" s="47"/>
      <c r="G394" s="10"/>
      <c r="H394" s="20"/>
      <c r="I394" s="20"/>
      <c r="J394" s="10"/>
      <c r="K394" s="10"/>
      <c r="L394" s="10"/>
      <c r="M394" s="10"/>
      <c r="N394" s="10"/>
      <c r="O394" s="21"/>
    </row>
    <row r="395" spans="1:15" x14ac:dyDescent="0.35">
      <c r="A395" s="15">
        <f t="shared" ref="A395:A458" si="6">+A394+1</f>
        <v>393</v>
      </c>
      <c r="B395" s="16"/>
      <c r="C395" s="19"/>
      <c r="D395" s="10"/>
      <c r="E395" s="10"/>
      <c r="F395" s="47"/>
      <c r="G395" s="10"/>
      <c r="H395" s="20"/>
      <c r="I395" s="20"/>
      <c r="J395" s="10"/>
      <c r="K395" s="10"/>
      <c r="L395" s="10"/>
      <c r="M395" s="10"/>
      <c r="N395" s="10"/>
      <c r="O395" s="21"/>
    </row>
    <row r="396" spans="1:15" x14ac:dyDescent="0.35">
      <c r="A396" s="15">
        <f t="shared" si="6"/>
        <v>394</v>
      </c>
      <c r="B396" s="16"/>
      <c r="C396" s="19"/>
      <c r="D396" s="10"/>
      <c r="E396" s="10"/>
      <c r="F396" s="47"/>
      <c r="G396" s="10"/>
      <c r="H396" s="20"/>
      <c r="I396" s="20"/>
      <c r="J396" s="10"/>
      <c r="K396" s="10"/>
      <c r="L396" s="10"/>
      <c r="M396" s="10"/>
      <c r="N396" s="10"/>
      <c r="O396" s="21"/>
    </row>
    <row r="397" spans="1:15" x14ac:dyDescent="0.35">
      <c r="A397" s="15">
        <f t="shared" si="6"/>
        <v>395</v>
      </c>
      <c r="B397" s="16"/>
      <c r="C397" s="19"/>
      <c r="D397" s="10"/>
      <c r="E397" s="10"/>
      <c r="F397" s="47"/>
      <c r="G397" s="10"/>
      <c r="H397" s="20"/>
      <c r="I397" s="20"/>
      <c r="J397" s="10"/>
      <c r="K397" s="10"/>
      <c r="L397" s="10"/>
      <c r="M397" s="10"/>
      <c r="N397" s="10"/>
      <c r="O397" s="21"/>
    </row>
    <row r="398" spans="1:15" x14ac:dyDescent="0.35">
      <c r="A398" s="15">
        <f t="shared" si="6"/>
        <v>396</v>
      </c>
      <c r="B398" s="16"/>
      <c r="C398" s="19"/>
      <c r="D398" s="10"/>
      <c r="E398" s="10"/>
      <c r="F398" s="47"/>
      <c r="G398" s="10"/>
      <c r="H398" s="20"/>
      <c r="I398" s="20"/>
      <c r="J398" s="10"/>
      <c r="K398" s="10"/>
      <c r="L398" s="10"/>
      <c r="M398" s="10"/>
      <c r="N398" s="10"/>
      <c r="O398" s="21"/>
    </row>
    <row r="399" spans="1:15" x14ac:dyDescent="0.35">
      <c r="A399" s="15">
        <f t="shared" si="6"/>
        <v>397</v>
      </c>
      <c r="B399" s="16"/>
      <c r="C399" s="19"/>
      <c r="D399" s="10"/>
      <c r="E399" s="10"/>
      <c r="F399" s="47"/>
      <c r="G399" s="10"/>
      <c r="H399" s="20"/>
      <c r="I399" s="20"/>
      <c r="J399" s="10"/>
      <c r="K399" s="10"/>
      <c r="L399" s="10"/>
      <c r="M399" s="10"/>
      <c r="N399" s="10"/>
      <c r="O399" s="21"/>
    </row>
    <row r="400" spans="1:15" x14ac:dyDescent="0.35">
      <c r="A400" s="15">
        <f t="shared" si="6"/>
        <v>398</v>
      </c>
      <c r="B400" s="16"/>
      <c r="C400" s="19"/>
      <c r="D400" s="10"/>
      <c r="E400" s="10"/>
      <c r="F400" s="47"/>
      <c r="G400" s="10"/>
      <c r="H400" s="20"/>
      <c r="I400" s="20"/>
      <c r="J400" s="10"/>
      <c r="K400" s="10"/>
      <c r="L400" s="10"/>
      <c r="M400" s="10"/>
      <c r="N400" s="10"/>
      <c r="O400" s="21"/>
    </row>
    <row r="401" spans="1:15" x14ac:dyDescent="0.35">
      <c r="A401" s="15">
        <f t="shared" si="6"/>
        <v>399</v>
      </c>
      <c r="B401" s="16"/>
      <c r="C401" s="19"/>
      <c r="D401" s="10"/>
      <c r="E401" s="10"/>
      <c r="F401" s="47"/>
      <c r="G401" s="10"/>
      <c r="H401" s="20"/>
      <c r="I401" s="20"/>
      <c r="J401" s="10"/>
      <c r="K401" s="10"/>
      <c r="L401" s="10"/>
      <c r="M401" s="10"/>
      <c r="N401" s="10"/>
      <c r="O401" s="21"/>
    </row>
    <row r="402" spans="1:15" x14ac:dyDescent="0.35">
      <c r="A402" s="15">
        <f t="shared" si="6"/>
        <v>400</v>
      </c>
      <c r="B402" s="16"/>
      <c r="C402" s="19"/>
      <c r="D402" s="10"/>
      <c r="E402" s="10"/>
      <c r="F402" s="47"/>
      <c r="G402" s="10"/>
      <c r="H402" s="20"/>
      <c r="I402" s="20"/>
      <c r="J402" s="10"/>
      <c r="K402" s="10"/>
      <c r="L402" s="10"/>
      <c r="M402" s="10"/>
      <c r="N402" s="10"/>
      <c r="O402" s="21"/>
    </row>
    <row r="403" spans="1:15" x14ac:dyDescent="0.35">
      <c r="A403" s="15">
        <f t="shared" si="6"/>
        <v>401</v>
      </c>
      <c r="B403" s="16"/>
      <c r="C403" s="19"/>
      <c r="D403" s="10"/>
      <c r="E403" s="10"/>
      <c r="F403" s="47"/>
      <c r="G403" s="10"/>
      <c r="H403" s="20"/>
      <c r="I403" s="20"/>
      <c r="J403" s="10"/>
      <c r="K403" s="10"/>
      <c r="L403" s="10"/>
      <c r="M403" s="10"/>
      <c r="N403" s="10"/>
      <c r="O403" s="21"/>
    </row>
    <row r="404" spans="1:15" x14ac:dyDescent="0.35">
      <c r="A404" s="15">
        <f t="shared" si="6"/>
        <v>402</v>
      </c>
      <c r="B404" s="16"/>
      <c r="C404" s="19"/>
      <c r="D404" s="10"/>
      <c r="E404" s="10"/>
      <c r="F404" s="47"/>
      <c r="G404" s="10"/>
      <c r="H404" s="20"/>
      <c r="I404" s="20"/>
      <c r="J404" s="10"/>
      <c r="K404" s="10"/>
      <c r="L404" s="10"/>
      <c r="M404" s="10"/>
      <c r="N404" s="10"/>
      <c r="O404" s="21"/>
    </row>
    <row r="405" spans="1:15" x14ac:dyDescent="0.35">
      <c r="A405" s="15">
        <f t="shared" si="6"/>
        <v>403</v>
      </c>
      <c r="B405" s="16"/>
      <c r="C405" s="19"/>
      <c r="D405" s="10"/>
      <c r="E405" s="10"/>
      <c r="F405" s="47"/>
      <c r="G405" s="10"/>
      <c r="H405" s="20"/>
      <c r="I405" s="20"/>
      <c r="J405" s="10"/>
      <c r="K405" s="10"/>
      <c r="L405" s="10"/>
      <c r="M405" s="10"/>
      <c r="N405" s="10"/>
      <c r="O405" s="21"/>
    </row>
    <row r="406" spans="1:15" x14ac:dyDescent="0.35">
      <c r="A406" s="15">
        <f t="shared" si="6"/>
        <v>404</v>
      </c>
      <c r="B406" s="16"/>
      <c r="C406" s="19"/>
      <c r="D406" s="10"/>
      <c r="E406" s="10"/>
      <c r="F406" s="47"/>
      <c r="G406" s="10"/>
      <c r="H406" s="20"/>
      <c r="I406" s="20"/>
      <c r="J406" s="10"/>
      <c r="K406" s="10"/>
      <c r="L406" s="10"/>
      <c r="M406" s="10"/>
      <c r="N406" s="10"/>
      <c r="O406" s="21"/>
    </row>
    <row r="407" spans="1:15" x14ac:dyDescent="0.35">
      <c r="A407" s="15">
        <f t="shared" si="6"/>
        <v>405</v>
      </c>
      <c r="B407" s="16"/>
      <c r="C407" s="19"/>
      <c r="D407" s="10"/>
      <c r="E407" s="10"/>
      <c r="F407" s="47"/>
      <c r="G407" s="10"/>
      <c r="H407" s="20"/>
      <c r="I407" s="20"/>
      <c r="J407" s="10"/>
      <c r="K407" s="10"/>
      <c r="L407" s="10"/>
      <c r="M407" s="10"/>
      <c r="N407" s="10"/>
      <c r="O407" s="21"/>
    </row>
    <row r="408" spans="1:15" x14ac:dyDescent="0.35">
      <c r="A408" s="15">
        <f t="shared" si="6"/>
        <v>406</v>
      </c>
      <c r="B408" s="16"/>
      <c r="C408" s="19"/>
      <c r="D408" s="10"/>
      <c r="E408" s="10"/>
      <c r="F408" s="47"/>
      <c r="G408" s="10"/>
      <c r="H408" s="20"/>
      <c r="I408" s="20"/>
      <c r="J408" s="10"/>
      <c r="K408" s="10"/>
      <c r="L408" s="10"/>
      <c r="M408" s="10"/>
      <c r="N408" s="10"/>
      <c r="O408" s="21"/>
    </row>
    <row r="409" spans="1:15" x14ac:dyDescent="0.35">
      <c r="A409" s="15">
        <f t="shared" si="6"/>
        <v>407</v>
      </c>
      <c r="B409" s="16"/>
      <c r="C409" s="19"/>
      <c r="D409" s="10"/>
      <c r="E409" s="10"/>
      <c r="F409" s="47"/>
      <c r="G409" s="10"/>
      <c r="H409" s="20"/>
      <c r="I409" s="20"/>
      <c r="J409" s="10"/>
      <c r="K409" s="10"/>
      <c r="L409" s="10"/>
      <c r="M409" s="10"/>
      <c r="N409" s="10"/>
      <c r="O409" s="21"/>
    </row>
    <row r="410" spans="1:15" x14ac:dyDescent="0.35">
      <c r="A410" s="15">
        <f t="shared" si="6"/>
        <v>408</v>
      </c>
      <c r="B410" s="16"/>
      <c r="C410" s="19"/>
      <c r="D410" s="10"/>
      <c r="E410" s="10"/>
      <c r="F410" s="47"/>
      <c r="G410" s="10"/>
      <c r="H410" s="20"/>
      <c r="I410" s="20"/>
      <c r="J410" s="10"/>
      <c r="K410" s="10"/>
      <c r="L410" s="10"/>
      <c r="M410" s="10"/>
      <c r="N410" s="10"/>
      <c r="O410" s="21"/>
    </row>
    <row r="411" spans="1:15" x14ac:dyDescent="0.35">
      <c r="A411" s="15">
        <f t="shared" si="6"/>
        <v>409</v>
      </c>
      <c r="B411" s="16"/>
      <c r="C411" s="19"/>
      <c r="D411" s="10"/>
      <c r="E411" s="10"/>
      <c r="F411" s="47"/>
      <c r="G411" s="10"/>
      <c r="H411" s="20"/>
      <c r="I411" s="20"/>
      <c r="J411" s="10"/>
      <c r="K411" s="10"/>
      <c r="L411" s="10"/>
      <c r="M411" s="10"/>
      <c r="N411" s="10"/>
      <c r="O411" s="21"/>
    </row>
    <row r="412" spans="1:15" x14ac:dyDescent="0.35">
      <c r="A412" s="15">
        <f t="shared" si="6"/>
        <v>410</v>
      </c>
      <c r="B412" s="16"/>
      <c r="C412" s="19"/>
      <c r="D412" s="10"/>
      <c r="E412" s="10"/>
      <c r="F412" s="47"/>
      <c r="G412" s="10"/>
      <c r="H412" s="20"/>
      <c r="I412" s="20"/>
      <c r="J412" s="10"/>
      <c r="K412" s="10"/>
      <c r="L412" s="10"/>
      <c r="M412" s="10"/>
      <c r="N412" s="10"/>
      <c r="O412" s="21"/>
    </row>
    <row r="413" spans="1:15" x14ac:dyDescent="0.35">
      <c r="A413" s="15">
        <f t="shared" si="6"/>
        <v>411</v>
      </c>
      <c r="B413" s="16"/>
      <c r="C413" s="19"/>
      <c r="D413" s="10"/>
      <c r="E413" s="10"/>
      <c r="F413" s="47"/>
      <c r="G413" s="10"/>
      <c r="H413" s="20"/>
      <c r="I413" s="20"/>
      <c r="J413" s="10"/>
      <c r="K413" s="10"/>
      <c r="L413" s="10"/>
      <c r="M413" s="10"/>
      <c r="N413" s="10"/>
      <c r="O413" s="21"/>
    </row>
    <row r="414" spans="1:15" x14ac:dyDescent="0.35">
      <c r="A414" s="15">
        <f t="shared" si="6"/>
        <v>412</v>
      </c>
      <c r="B414" s="16"/>
      <c r="C414" s="19"/>
      <c r="D414" s="10"/>
      <c r="E414" s="10"/>
      <c r="F414" s="47"/>
      <c r="G414" s="10"/>
      <c r="H414" s="20"/>
      <c r="I414" s="20"/>
      <c r="J414" s="10"/>
      <c r="K414" s="10"/>
      <c r="L414" s="10"/>
      <c r="M414" s="10"/>
      <c r="N414" s="10"/>
      <c r="O414" s="21"/>
    </row>
    <row r="415" spans="1:15" x14ac:dyDescent="0.35">
      <c r="A415" s="15">
        <f t="shared" si="6"/>
        <v>413</v>
      </c>
      <c r="B415" s="16"/>
      <c r="C415" s="19"/>
      <c r="D415" s="10"/>
      <c r="E415" s="10"/>
      <c r="F415" s="47"/>
      <c r="G415" s="10"/>
      <c r="H415" s="20"/>
      <c r="I415" s="20"/>
      <c r="J415" s="10"/>
      <c r="K415" s="10"/>
      <c r="L415" s="10"/>
      <c r="M415" s="10"/>
      <c r="N415" s="10"/>
      <c r="O415" s="21"/>
    </row>
    <row r="416" spans="1:15" x14ac:dyDescent="0.35">
      <c r="A416" s="15">
        <f t="shared" si="6"/>
        <v>414</v>
      </c>
      <c r="B416" s="16"/>
      <c r="C416" s="19"/>
      <c r="D416" s="10"/>
      <c r="E416" s="10"/>
      <c r="F416" s="47"/>
      <c r="G416" s="10"/>
      <c r="H416" s="20"/>
      <c r="I416" s="20"/>
      <c r="J416" s="10"/>
      <c r="K416" s="10"/>
      <c r="L416" s="10"/>
      <c r="M416" s="10"/>
      <c r="N416" s="10"/>
      <c r="O416" s="21"/>
    </row>
    <row r="417" spans="1:15" x14ac:dyDescent="0.35">
      <c r="A417" s="15">
        <f t="shared" si="6"/>
        <v>415</v>
      </c>
      <c r="B417" s="16"/>
      <c r="C417" s="19"/>
      <c r="D417" s="10"/>
      <c r="E417" s="10"/>
      <c r="F417" s="47"/>
      <c r="G417" s="10"/>
      <c r="H417" s="20"/>
      <c r="I417" s="20"/>
      <c r="J417" s="10"/>
      <c r="K417" s="10"/>
      <c r="L417" s="10"/>
      <c r="M417" s="10"/>
      <c r="N417" s="10"/>
      <c r="O417" s="21"/>
    </row>
    <row r="418" spans="1:15" x14ac:dyDescent="0.35">
      <c r="A418" s="15">
        <f t="shared" si="6"/>
        <v>416</v>
      </c>
      <c r="B418" s="16"/>
      <c r="C418" s="19"/>
      <c r="D418" s="10"/>
      <c r="E418" s="10"/>
      <c r="F418" s="47"/>
      <c r="G418" s="10"/>
      <c r="H418" s="20"/>
      <c r="I418" s="20"/>
      <c r="J418" s="10"/>
      <c r="K418" s="10"/>
      <c r="L418" s="10"/>
      <c r="M418" s="10"/>
      <c r="N418" s="10"/>
      <c r="O418" s="21"/>
    </row>
    <row r="419" spans="1:15" x14ac:dyDescent="0.35">
      <c r="A419" s="15">
        <f t="shared" si="6"/>
        <v>417</v>
      </c>
      <c r="B419" s="16"/>
      <c r="C419" s="19"/>
      <c r="D419" s="10"/>
      <c r="E419" s="10"/>
      <c r="F419" s="47"/>
      <c r="G419" s="10"/>
      <c r="H419" s="20"/>
      <c r="I419" s="20"/>
      <c r="J419" s="10"/>
      <c r="K419" s="10"/>
      <c r="L419" s="10"/>
      <c r="M419" s="10"/>
      <c r="N419" s="10"/>
      <c r="O419" s="21"/>
    </row>
    <row r="420" spans="1:15" x14ac:dyDescent="0.35">
      <c r="A420" s="15">
        <f t="shared" si="6"/>
        <v>418</v>
      </c>
      <c r="B420" s="16"/>
      <c r="C420" s="19"/>
      <c r="D420" s="10"/>
      <c r="E420" s="10"/>
      <c r="F420" s="47"/>
      <c r="G420" s="10"/>
      <c r="H420" s="20"/>
      <c r="I420" s="20"/>
      <c r="J420" s="10"/>
      <c r="K420" s="10"/>
      <c r="L420" s="10"/>
      <c r="M420" s="10"/>
      <c r="N420" s="10"/>
      <c r="O420" s="21"/>
    </row>
    <row r="421" spans="1:15" x14ac:dyDescent="0.35">
      <c r="A421" s="15">
        <f t="shared" si="6"/>
        <v>419</v>
      </c>
      <c r="B421" s="16"/>
      <c r="C421" s="19"/>
      <c r="D421" s="10"/>
      <c r="E421" s="10"/>
      <c r="F421" s="47"/>
      <c r="G421" s="10"/>
      <c r="H421" s="20"/>
      <c r="I421" s="20"/>
      <c r="J421" s="10"/>
      <c r="K421" s="10"/>
      <c r="L421" s="10"/>
      <c r="M421" s="10"/>
      <c r="N421" s="10"/>
      <c r="O421" s="21"/>
    </row>
    <row r="422" spans="1:15" x14ac:dyDescent="0.35">
      <c r="A422" s="15">
        <f t="shared" si="6"/>
        <v>420</v>
      </c>
      <c r="B422" s="16"/>
      <c r="C422" s="19"/>
      <c r="D422" s="10"/>
      <c r="E422" s="10"/>
      <c r="F422" s="47"/>
      <c r="G422" s="10"/>
      <c r="H422" s="20"/>
      <c r="I422" s="20"/>
      <c r="J422" s="10"/>
      <c r="K422" s="10"/>
      <c r="L422" s="10"/>
      <c r="M422" s="10"/>
      <c r="N422" s="10"/>
      <c r="O422" s="21"/>
    </row>
    <row r="423" spans="1:15" x14ac:dyDescent="0.35">
      <c r="A423" s="15">
        <f t="shared" si="6"/>
        <v>421</v>
      </c>
      <c r="B423" s="16"/>
      <c r="C423" s="19"/>
      <c r="D423" s="10"/>
      <c r="E423" s="10"/>
      <c r="F423" s="47"/>
      <c r="G423" s="10"/>
      <c r="H423" s="20"/>
      <c r="I423" s="20"/>
      <c r="J423" s="10"/>
      <c r="K423" s="10"/>
      <c r="L423" s="10"/>
      <c r="M423" s="10"/>
      <c r="N423" s="10"/>
      <c r="O423" s="21"/>
    </row>
    <row r="424" spans="1:15" x14ac:dyDescent="0.35">
      <c r="A424" s="15">
        <f t="shared" si="6"/>
        <v>422</v>
      </c>
      <c r="B424" s="16"/>
      <c r="C424" s="19"/>
      <c r="D424" s="10"/>
      <c r="E424" s="10"/>
      <c r="F424" s="47"/>
      <c r="G424" s="10"/>
      <c r="H424" s="20"/>
      <c r="I424" s="20"/>
      <c r="J424" s="10"/>
      <c r="K424" s="10"/>
      <c r="L424" s="10"/>
      <c r="M424" s="10"/>
      <c r="N424" s="10"/>
      <c r="O424" s="21"/>
    </row>
    <row r="425" spans="1:15" x14ac:dyDescent="0.35">
      <c r="A425" s="15">
        <f t="shared" si="6"/>
        <v>423</v>
      </c>
      <c r="B425" s="16"/>
      <c r="C425" s="19"/>
      <c r="D425" s="10"/>
      <c r="E425" s="10"/>
      <c r="F425" s="47"/>
      <c r="G425" s="10"/>
      <c r="H425" s="20"/>
      <c r="I425" s="20"/>
      <c r="J425" s="10"/>
      <c r="K425" s="10"/>
      <c r="L425" s="10"/>
      <c r="M425" s="10"/>
      <c r="N425" s="10"/>
      <c r="O425" s="21"/>
    </row>
    <row r="426" spans="1:15" x14ac:dyDescent="0.35">
      <c r="A426" s="15">
        <f t="shared" si="6"/>
        <v>424</v>
      </c>
      <c r="B426" s="16"/>
      <c r="C426" s="19"/>
      <c r="D426" s="10"/>
      <c r="E426" s="10"/>
      <c r="F426" s="47"/>
      <c r="G426" s="10"/>
      <c r="H426" s="20"/>
      <c r="I426" s="20"/>
      <c r="J426" s="10"/>
      <c r="K426" s="10"/>
      <c r="L426" s="10"/>
      <c r="M426" s="10"/>
      <c r="N426" s="10"/>
      <c r="O426" s="21"/>
    </row>
    <row r="427" spans="1:15" x14ac:dyDescent="0.35">
      <c r="A427" s="15">
        <f t="shared" si="6"/>
        <v>425</v>
      </c>
      <c r="B427" s="16"/>
      <c r="C427" s="19"/>
      <c r="D427" s="10"/>
      <c r="E427" s="10"/>
      <c r="F427" s="47"/>
      <c r="G427" s="10"/>
      <c r="H427" s="20"/>
      <c r="I427" s="20"/>
      <c r="J427" s="10"/>
      <c r="K427" s="10"/>
      <c r="L427" s="10"/>
      <c r="M427" s="10"/>
      <c r="N427" s="10"/>
      <c r="O427" s="21"/>
    </row>
    <row r="428" spans="1:15" x14ac:dyDescent="0.35">
      <c r="A428" s="15">
        <f t="shared" si="6"/>
        <v>426</v>
      </c>
      <c r="B428" s="16"/>
      <c r="C428" s="19"/>
      <c r="D428" s="10"/>
      <c r="E428" s="10"/>
      <c r="F428" s="47"/>
      <c r="G428" s="10"/>
      <c r="H428" s="20"/>
      <c r="I428" s="20"/>
      <c r="J428" s="10"/>
      <c r="K428" s="10"/>
      <c r="L428" s="10"/>
      <c r="M428" s="10"/>
      <c r="N428" s="10"/>
      <c r="O428" s="21"/>
    </row>
    <row r="429" spans="1:15" x14ac:dyDescent="0.35">
      <c r="A429" s="15">
        <f t="shared" si="6"/>
        <v>427</v>
      </c>
      <c r="B429" s="16"/>
      <c r="C429" s="19"/>
      <c r="D429" s="10"/>
      <c r="E429" s="10"/>
      <c r="F429" s="47"/>
      <c r="G429" s="10"/>
      <c r="H429" s="20"/>
      <c r="I429" s="20"/>
      <c r="J429" s="10"/>
      <c r="K429" s="10"/>
      <c r="L429" s="10"/>
      <c r="M429" s="10"/>
      <c r="N429" s="10"/>
      <c r="O429" s="21"/>
    </row>
    <row r="430" spans="1:15" x14ac:dyDescent="0.35">
      <c r="A430" s="15">
        <f t="shared" si="6"/>
        <v>428</v>
      </c>
      <c r="B430" s="16"/>
      <c r="C430" s="19"/>
      <c r="D430" s="10"/>
      <c r="E430" s="10"/>
      <c r="F430" s="47"/>
      <c r="G430" s="10"/>
      <c r="H430" s="20"/>
      <c r="I430" s="20"/>
      <c r="J430" s="10"/>
      <c r="K430" s="10"/>
      <c r="L430" s="10"/>
      <c r="M430" s="10"/>
      <c r="N430" s="10"/>
      <c r="O430" s="21"/>
    </row>
    <row r="431" spans="1:15" x14ac:dyDescent="0.35">
      <c r="A431" s="15">
        <f t="shared" si="6"/>
        <v>429</v>
      </c>
      <c r="B431" s="16"/>
      <c r="C431" s="19"/>
      <c r="D431" s="10"/>
      <c r="E431" s="10"/>
      <c r="F431" s="47"/>
      <c r="G431" s="10"/>
      <c r="H431" s="20"/>
      <c r="I431" s="20"/>
      <c r="J431" s="10"/>
      <c r="K431" s="10"/>
      <c r="L431" s="10"/>
      <c r="M431" s="10"/>
      <c r="N431" s="10"/>
      <c r="O431" s="21"/>
    </row>
    <row r="432" spans="1:15" x14ac:dyDescent="0.35">
      <c r="A432" s="15">
        <f t="shared" si="6"/>
        <v>430</v>
      </c>
      <c r="B432" s="16"/>
      <c r="C432" s="19"/>
      <c r="D432" s="10"/>
      <c r="E432" s="10"/>
      <c r="F432" s="47"/>
      <c r="G432" s="10"/>
      <c r="H432" s="20"/>
      <c r="I432" s="20"/>
      <c r="J432" s="10"/>
      <c r="K432" s="10"/>
      <c r="L432" s="10"/>
      <c r="M432" s="10"/>
      <c r="N432" s="10"/>
      <c r="O432" s="21"/>
    </row>
    <row r="433" spans="1:15" x14ac:dyDescent="0.35">
      <c r="A433" s="15">
        <f t="shared" si="6"/>
        <v>431</v>
      </c>
      <c r="B433" s="16"/>
      <c r="C433" s="19"/>
      <c r="D433" s="10"/>
      <c r="E433" s="10"/>
      <c r="F433" s="47"/>
      <c r="G433" s="10"/>
      <c r="H433" s="20"/>
      <c r="I433" s="20"/>
      <c r="J433" s="10"/>
      <c r="K433" s="10"/>
      <c r="L433" s="10"/>
      <c r="M433" s="10"/>
      <c r="N433" s="10"/>
      <c r="O433" s="21"/>
    </row>
    <row r="434" spans="1:15" x14ac:dyDescent="0.35">
      <c r="A434" s="15">
        <f t="shared" si="6"/>
        <v>432</v>
      </c>
      <c r="B434" s="16"/>
      <c r="C434" s="19"/>
      <c r="D434" s="10"/>
      <c r="E434" s="10"/>
      <c r="F434" s="47"/>
      <c r="G434" s="10"/>
      <c r="H434" s="20"/>
      <c r="I434" s="20"/>
      <c r="J434" s="10"/>
      <c r="K434" s="10"/>
      <c r="L434" s="10"/>
      <c r="M434" s="10"/>
      <c r="N434" s="10"/>
      <c r="O434" s="21"/>
    </row>
    <row r="435" spans="1:15" x14ac:dyDescent="0.35">
      <c r="A435" s="15">
        <f t="shared" si="6"/>
        <v>433</v>
      </c>
      <c r="B435" s="16"/>
      <c r="C435" s="19"/>
      <c r="D435" s="10"/>
      <c r="E435" s="10"/>
      <c r="F435" s="47"/>
      <c r="G435" s="10"/>
      <c r="H435" s="20"/>
      <c r="I435" s="20"/>
      <c r="J435" s="10"/>
      <c r="K435" s="10"/>
      <c r="L435" s="10"/>
      <c r="M435" s="10"/>
      <c r="N435" s="10"/>
      <c r="O435" s="21"/>
    </row>
    <row r="436" spans="1:15" x14ac:dyDescent="0.35">
      <c r="A436" s="15">
        <f t="shared" si="6"/>
        <v>434</v>
      </c>
      <c r="B436" s="16"/>
      <c r="C436" s="19"/>
      <c r="D436" s="10"/>
      <c r="E436" s="10"/>
      <c r="F436" s="47"/>
      <c r="G436" s="10"/>
      <c r="H436" s="20"/>
      <c r="I436" s="20"/>
      <c r="J436" s="10"/>
      <c r="K436" s="10"/>
      <c r="L436" s="10"/>
      <c r="M436" s="10"/>
      <c r="N436" s="10"/>
      <c r="O436" s="21"/>
    </row>
    <row r="437" spans="1:15" x14ac:dyDescent="0.35">
      <c r="A437" s="15">
        <f t="shared" si="6"/>
        <v>435</v>
      </c>
      <c r="B437" s="16"/>
      <c r="C437" s="19"/>
      <c r="D437" s="10"/>
      <c r="E437" s="10"/>
      <c r="F437" s="47"/>
      <c r="G437" s="10"/>
      <c r="H437" s="20"/>
      <c r="I437" s="20"/>
      <c r="J437" s="10"/>
      <c r="K437" s="10"/>
      <c r="L437" s="10"/>
      <c r="M437" s="10"/>
      <c r="N437" s="10"/>
      <c r="O437" s="21"/>
    </row>
    <row r="438" spans="1:15" x14ac:dyDescent="0.35">
      <c r="A438" s="15">
        <f t="shared" si="6"/>
        <v>436</v>
      </c>
      <c r="B438" s="16"/>
      <c r="C438" s="19"/>
      <c r="D438" s="10"/>
      <c r="E438" s="10"/>
      <c r="F438" s="47"/>
      <c r="G438" s="10"/>
      <c r="H438" s="20"/>
      <c r="I438" s="20"/>
      <c r="J438" s="10"/>
      <c r="K438" s="10"/>
      <c r="L438" s="10"/>
      <c r="M438" s="10"/>
      <c r="N438" s="10"/>
      <c r="O438" s="21"/>
    </row>
    <row r="439" spans="1:15" x14ac:dyDescent="0.35">
      <c r="A439" s="15">
        <f t="shared" si="6"/>
        <v>437</v>
      </c>
      <c r="B439" s="16"/>
      <c r="C439" s="19"/>
      <c r="D439" s="10"/>
      <c r="E439" s="10"/>
      <c r="F439" s="47"/>
      <c r="G439" s="10"/>
      <c r="H439" s="20"/>
      <c r="I439" s="20"/>
      <c r="J439" s="10"/>
      <c r="K439" s="10"/>
      <c r="L439" s="10"/>
      <c r="M439" s="10"/>
      <c r="N439" s="10"/>
      <c r="O439" s="21"/>
    </row>
    <row r="440" spans="1:15" x14ac:dyDescent="0.35">
      <c r="A440" s="15">
        <f t="shared" si="6"/>
        <v>438</v>
      </c>
      <c r="B440" s="16"/>
      <c r="C440" s="19"/>
      <c r="D440" s="10"/>
      <c r="E440" s="10"/>
      <c r="F440" s="47"/>
      <c r="G440" s="10"/>
      <c r="H440" s="20"/>
      <c r="I440" s="20"/>
      <c r="J440" s="10"/>
      <c r="K440" s="10"/>
      <c r="L440" s="10"/>
      <c r="M440" s="10"/>
      <c r="N440" s="10"/>
      <c r="O440" s="21"/>
    </row>
    <row r="441" spans="1:15" x14ac:dyDescent="0.35">
      <c r="A441" s="15">
        <f t="shared" si="6"/>
        <v>439</v>
      </c>
      <c r="B441" s="16"/>
      <c r="C441" s="19"/>
      <c r="D441" s="10"/>
      <c r="E441" s="10"/>
      <c r="F441" s="47"/>
      <c r="G441" s="10"/>
      <c r="H441" s="20"/>
      <c r="I441" s="20"/>
      <c r="J441" s="10"/>
      <c r="K441" s="10"/>
      <c r="L441" s="10"/>
      <c r="M441" s="10"/>
      <c r="N441" s="10"/>
      <c r="O441" s="21"/>
    </row>
    <row r="442" spans="1:15" x14ac:dyDescent="0.35">
      <c r="A442" s="15">
        <f t="shared" si="6"/>
        <v>440</v>
      </c>
      <c r="B442" s="16"/>
      <c r="C442" s="19"/>
      <c r="D442" s="10"/>
      <c r="E442" s="10"/>
      <c r="F442" s="47"/>
      <c r="G442" s="10"/>
      <c r="H442" s="20"/>
      <c r="I442" s="20"/>
      <c r="J442" s="10"/>
      <c r="K442" s="10"/>
      <c r="L442" s="10"/>
      <c r="M442" s="10"/>
      <c r="N442" s="10"/>
      <c r="O442" s="21"/>
    </row>
    <row r="443" spans="1:15" x14ac:dyDescent="0.35">
      <c r="A443" s="15">
        <f t="shared" si="6"/>
        <v>441</v>
      </c>
      <c r="B443" s="16"/>
      <c r="C443" s="19"/>
      <c r="D443" s="10"/>
      <c r="E443" s="10"/>
      <c r="F443" s="47"/>
      <c r="G443" s="10"/>
      <c r="H443" s="20"/>
      <c r="I443" s="20"/>
      <c r="J443" s="10"/>
      <c r="K443" s="10"/>
      <c r="L443" s="10"/>
      <c r="M443" s="10"/>
      <c r="N443" s="10"/>
      <c r="O443" s="21"/>
    </row>
    <row r="444" spans="1:15" x14ac:dyDescent="0.35">
      <c r="A444" s="15">
        <f t="shared" si="6"/>
        <v>442</v>
      </c>
      <c r="B444" s="16"/>
      <c r="C444" s="19"/>
      <c r="D444" s="10"/>
      <c r="E444" s="10"/>
      <c r="F444" s="47"/>
      <c r="G444" s="10"/>
      <c r="H444" s="20"/>
      <c r="I444" s="20"/>
      <c r="J444" s="10"/>
      <c r="K444" s="10"/>
      <c r="L444" s="10"/>
      <c r="M444" s="10"/>
      <c r="N444" s="10"/>
      <c r="O444" s="21"/>
    </row>
    <row r="445" spans="1:15" x14ac:dyDescent="0.35">
      <c r="A445" s="15">
        <f t="shared" si="6"/>
        <v>443</v>
      </c>
      <c r="B445" s="16"/>
      <c r="C445" s="19"/>
      <c r="D445" s="10"/>
      <c r="E445" s="10"/>
      <c r="F445" s="47"/>
      <c r="G445" s="10"/>
      <c r="H445" s="20"/>
      <c r="I445" s="20"/>
      <c r="J445" s="10"/>
      <c r="K445" s="10"/>
      <c r="L445" s="10"/>
      <c r="M445" s="10"/>
      <c r="N445" s="10"/>
      <c r="O445" s="21"/>
    </row>
    <row r="446" spans="1:15" x14ac:dyDescent="0.35">
      <c r="A446" s="15">
        <f t="shared" si="6"/>
        <v>444</v>
      </c>
      <c r="B446" s="16"/>
      <c r="C446" s="19"/>
      <c r="D446" s="10"/>
      <c r="E446" s="10"/>
      <c r="F446" s="47"/>
      <c r="G446" s="10"/>
      <c r="H446" s="20"/>
      <c r="I446" s="20"/>
      <c r="J446" s="10"/>
      <c r="K446" s="10"/>
      <c r="L446" s="10"/>
      <c r="M446" s="10"/>
      <c r="N446" s="10"/>
      <c r="O446" s="21"/>
    </row>
    <row r="447" spans="1:15" x14ac:dyDescent="0.35">
      <c r="A447" s="15">
        <f t="shared" si="6"/>
        <v>445</v>
      </c>
      <c r="B447" s="16"/>
      <c r="C447" s="19"/>
      <c r="D447" s="10"/>
      <c r="E447" s="10"/>
      <c r="F447" s="47"/>
      <c r="G447" s="10"/>
      <c r="H447" s="20"/>
      <c r="I447" s="20"/>
      <c r="J447" s="10"/>
      <c r="K447" s="10"/>
      <c r="L447" s="10"/>
      <c r="M447" s="10"/>
      <c r="N447" s="10"/>
      <c r="O447" s="21"/>
    </row>
    <row r="448" spans="1:15" x14ac:dyDescent="0.35">
      <c r="A448" s="15">
        <f t="shared" si="6"/>
        <v>446</v>
      </c>
      <c r="B448" s="16"/>
      <c r="C448" s="19"/>
      <c r="D448" s="10"/>
      <c r="E448" s="10"/>
      <c r="F448" s="47"/>
      <c r="G448" s="10"/>
      <c r="H448" s="20"/>
      <c r="I448" s="20"/>
      <c r="J448" s="10"/>
      <c r="K448" s="10"/>
      <c r="L448" s="10"/>
      <c r="M448" s="10"/>
      <c r="N448" s="10"/>
      <c r="O448" s="21"/>
    </row>
    <row r="449" spans="1:15" x14ac:dyDescent="0.35">
      <c r="A449" s="15">
        <f t="shared" si="6"/>
        <v>447</v>
      </c>
      <c r="B449" s="16"/>
      <c r="C449" s="19"/>
      <c r="D449" s="10"/>
      <c r="E449" s="10"/>
      <c r="F449" s="47"/>
      <c r="G449" s="10"/>
      <c r="H449" s="20"/>
      <c r="I449" s="20"/>
      <c r="J449" s="10"/>
      <c r="K449" s="10"/>
      <c r="L449" s="10"/>
      <c r="M449" s="10"/>
      <c r="N449" s="10"/>
      <c r="O449" s="21"/>
    </row>
    <row r="450" spans="1:15" x14ac:dyDescent="0.35">
      <c r="A450" s="15">
        <f t="shared" si="6"/>
        <v>448</v>
      </c>
      <c r="B450" s="16"/>
      <c r="C450" s="19"/>
      <c r="D450" s="10"/>
      <c r="E450" s="10"/>
      <c r="F450" s="47"/>
      <c r="G450" s="10"/>
      <c r="H450" s="20"/>
      <c r="I450" s="20"/>
      <c r="J450" s="10"/>
      <c r="K450" s="10"/>
      <c r="L450" s="10"/>
      <c r="M450" s="10"/>
      <c r="N450" s="10"/>
      <c r="O450" s="21"/>
    </row>
    <row r="451" spans="1:15" x14ac:dyDescent="0.35">
      <c r="A451" s="15">
        <f t="shared" si="6"/>
        <v>449</v>
      </c>
      <c r="B451" s="16"/>
      <c r="C451" s="19"/>
      <c r="D451" s="10"/>
      <c r="E451" s="10"/>
      <c r="F451" s="47"/>
      <c r="G451" s="10"/>
      <c r="H451" s="20"/>
      <c r="I451" s="20"/>
      <c r="J451" s="10"/>
      <c r="K451" s="10"/>
      <c r="L451" s="10"/>
      <c r="M451" s="10"/>
      <c r="N451" s="10"/>
      <c r="O451" s="21"/>
    </row>
    <row r="452" spans="1:15" x14ac:dyDescent="0.35">
      <c r="A452" s="15">
        <f t="shared" si="6"/>
        <v>450</v>
      </c>
      <c r="B452" s="16"/>
      <c r="C452" s="19"/>
      <c r="D452" s="10"/>
      <c r="E452" s="10"/>
      <c r="F452" s="47"/>
      <c r="G452" s="10"/>
      <c r="H452" s="20"/>
      <c r="I452" s="20"/>
      <c r="J452" s="10"/>
      <c r="K452" s="10"/>
      <c r="L452" s="10"/>
      <c r="M452" s="10"/>
      <c r="N452" s="10"/>
      <c r="O452" s="21"/>
    </row>
    <row r="453" spans="1:15" x14ac:dyDescent="0.35">
      <c r="A453" s="15">
        <f t="shared" si="6"/>
        <v>451</v>
      </c>
      <c r="B453" s="16"/>
      <c r="C453" s="19"/>
      <c r="D453" s="10"/>
      <c r="E453" s="10"/>
      <c r="F453" s="47"/>
      <c r="G453" s="10"/>
      <c r="H453" s="20"/>
      <c r="I453" s="20"/>
      <c r="J453" s="10"/>
      <c r="K453" s="10"/>
      <c r="L453" s="10"/>
      <c r="M453" s="10"/>
      <c r="N453" s="10"/>
      <c r="O453" s="21"/>
    </row>
    <row r="454" spans="1:15" x14ac:dyDescent="0.35">
      <c r="A454" s="15">
        <f t="shared" si="6"/>
        <v>452</v>
      </c>
      <c r="B454" s="16"/>
      <c r="C454" s="19"/>
      <c r="D454" s="10"/>
      <c r="E454" s="10"/>
      <c r="F454" s="47"/>
      <c r="G454" s="10"/>
      <c r="H454" s="20"/>
      <c r="I454" s="20"/>
      <c r="J454" s="10"/>
      <c r="K454" s="10"/>
      <c r="L454" s="10"/>
      <c r="M454" s="10"/>
      <c r="N454" s="10"/>
      <c r="O454" s="21"/>
    </row>
    <row r="455" spans="1:15" x14ac:dyDescent="0.35">
      <c r="A455" s="15">
        <f t="shared" si="6"/>
        <v>453</v>
      </c>
      <c r="B455" s="16"/>
      <c r="C455" s="19"/>
      <c r="D455" s="10"/>
      <c r="E455" s="10"/>
      <c r="F455" s="47"/>
      <c r="G455" s="10"/>
      <c r="H455" s="20"/>
      <c r="I455" s="20"/>
      <c r="J455" s="10"/>
      <c r="K455" s="10"/>
      <c r="L455" s="10"/>
      <c r="M455" s="10"/>
      <c r="N455" s="10"/>
      <c r="O455" s="21"/>
    </row>
    <row r="456" spans="1:15" x14ac:dyDescent="0.35">
      <c r="A456" s="15">
        <f t="shared" si="6"/>
        <v>454</v>
      </c>
      <c r="B456" s="16"/>
      <c r="C456" s="19"/>
      <c r="D456" s="10"/>
      <c r="E456" s="10"/>
      <c r="F456" s="47"/>
      <c r="G456" s="10"/>
      <c r="H456" s="20"/>
      <c r="I456" s="20"/>
      <c r="J456" s="10"/>
      <c r="K456" s="10"/>
      <c r="L456" s="10"/>
      <c r="M456" s="10"/>
      <c r="N456" s="10"/>
      <c r="O456" s="21"/>
    </row>
    <row r="457" spans="1:15" x14ac:dyDescent="0.35">
      <c r="A457" s="15">
        <f t="shared" si="6"/>
        <v>455</v>
      </c>
      <c r="B457" s="16"/>
      <c r="C457" s="19"/>
      <c r="D457" s="10"/>
      <c r="E457" s="10"/>
      <c r="F457" s="47"/>
      <c r="G457" s="10"/>
      <c r="H457" s="20"/>
      <c r="I457" s="20"/>
      <c r="J457" s="10"/>
      <c r="K457" s="10"/>
      <c r="L457" s="10"/>
      <c r="M457" s="10"/>
      <c r="N457" s="10"/>
      <c r="O457" s="21"/>
    </row>
    <row r="458" spans="1:15" x14ac:dyDescent="0.35">
      <c r="A458" s="15">
        <f t="shared" si="6"/>
        <v>456</v>
      </c>
      <c r="B458" s="16"/>
      <c r="C458" s="19"/>
      <c r="D458" s="10"/>
      <c r="E458" s="10"/>
      <c r="F458" s="47"/>
      <c r="G458" s="10"/>
      <c r="H458" s="20"/>
      <c r="I458" s="20"/>
      <c r="J458" s="10"/>
      <c r="K458" s="10"/>
      <c r="L458" s="10"/>
      <c r="M458" s="10"/>
      <c r="N458" s="10"/>
      <c r="O458" s="21"/>
    </row>
    <row r="459" spans="1:15" x14ac:dyDescent="0.35">
      <c r="A459" s="15">
        <f t="shared" ref="A459:A522" si="7">+A458+1</f>
        <v>457</v>
      </c>
      <c r="B459" s="16"/>
      <c r="C459" s="19"/>
      <c r="D459" s="10"/>
      <c r="E459" s="10"/>
      <c r="F459" s="47"/>
      <c r="G459" s="10"/>
      <c r="H459" s="20"/>
      <c r="I459" s="20"/>
      <c r="J459" s="10"/>
      <c r="K459" s="10"/>
      <c r="L459" s="10"/>
      <c r="M459" s="10"/>
      <c r="N459" s="10"/>
      <c r="O459" s="21"/>
    </row>
    <row r="460" spans="1:15" x14ac:dyDescent="0.35">
      <c r="A460" s="15">
        <f t="shared" si="7"/>
        <v>458</v>
      </c>
      <c r="B460" s="16"/>
      <c r="C460" s="19"/>
      <c r="D460" s="10"/>
      <c r="E460" s="10"/>
      <c r="F460" s="47"/>
      <c r="G460" s="10"/>
      <c r="H460" s="20"/>
      <c r="I460" s="20"/>
      <c r="J460" s="10"/>
      <c r="K460" s="10"/>
      <c r="L460" s="10"/>
      <c r="M460" s="10"/>
      <c r="N460" s="10"/>
      <c r="O460" s="21"/>
    </row>
    <row r="461" spans="1:15" x14ac:dyDescent="0.35">
      <c r="A461" s="15">
        <f t="shared" si="7"/>
        <v>459</v>
      </c>
      <c r="B461" s="16"/>
      <c r="C461" s="19"/>
      <c r="D461" s="10"/>
      <c r="E461" s="10"/>
      <c r="F461" s="47"/>
      <c r="G461" s="10"/>
      <c r="H461" s="20"/>
      <c r="I461" s="20"/>
      <c r="J461" s="10"/>
      <c r="K461" s="10"/>
      <c r="L461" s="10"/>
      <c r="M461" s="10"/>
      <c r="N461" s="10"/>
      <c r="O461" s="21"/>
    </row>
    <row r="462" spans="1:15" x14ac:dyDescent="0.35">
      <c r="A462" s="15">
        <f t="shared" si="7"/>
        <v>460</v>
      </c>
      <c r="B462" s="16"/>
      <c r="C462" s="19"/>
      <c r="D462" s="10"/>
      <c r="E462" s="10"/>
      <c r="F462" s="47"/>
      <c r="G462" s="10"/>
      <c r="H462" s="20"/>
      <c r="I462" s="20"/>
      <c r="J462" s="10"/>
      <c r="K462" s="10"/>
      <c r="L462" s="10"/>
      <c r="M462" s="10"/>
      <c r="N462" s="10"/>
      <c r="O462" s="21"/>
    </row>
    <row r="463" spans="1:15" x14ac:dyDescent="0.35">
      <c r="A463" s="15">
        <f t="shared" si="7"/>
        <v>461</v>
      </c>
      <c r="B463" s="16"/>
      <c r="C463" s="19"/>
      <c r="D463" s="10"/>
      <c r="E463" s="10"/>
      <c r="F463" s="47"/>
      <c r="G463" s="10"/>
      <c r="H463" s="20"/>
      <c r="I463" s="20"/>
      <c r="J463" s="10"/>
      <c r="K463" s="10"/>
      <c r="L463" s="10"/>
      <c r="M463" s="10"/>
      <c r="N463" s="10"/>
      <c r="O463" s="21"/>
    </row>
    <row r="464" spans="1:15" x14ac:dyDescent="0.35">
      <c r="A464" s="15">
        <f t="shared" si="7"/>
        <v>462</v>
      </c>
      <c r="B464" s="16"/>
      <c r="C464" s="19"/>
      <c r="D464" s="10"/>
      <c r="E464" s="10"/>
      <c r="F464" s="47"/>
      <c r="G464" s="10"/>
      <c r="H464" s="20"/>
      <c r="I464" s="20"/>
      <c r="J464" s="10"/>
      <c r="K464" s="10"/>
      <c r="L464" s="10"/>
      <c r="M464" s="10"/>
      <c r="N464" s="10"/>
      <c r="O464" s="21"/>
    </row>
    <row r="465" spans="1:15" x14ac:dyDescent="0.35">
      <c r="A465" s="15">
        <f t="shared" si="7"/>
        <v>463</v>
      </c>
      <c r="B465" s="16"/>
      <c r="C465" s="19"/>
      <c r="D465" s="10"/>
      <c r="E465" s="10"/>
      <c r="F465" s="47"/>
      <c r="G465" s="10"/>
      <c r="H465" s="20"/>
      <c r="I465" s="20"/>
      <c r="J465" s="10"/>
      <c r="K465" s="10"/>
      <c r="L465" s="10"/>
      <c r="M465" s="10"/>
      <c r="N465" s="10"/>
      <c r="O465" s="21"/>
    </row>
    <row r="466" spans="1:15" x14ac:dyDescent="0.35">
      <c r="A466" s="15">
        <f t="shared" si="7"/>
        <v>464</v>
      </c>
      <c r="B466" s="16"/>
      <c r="C466" s="19"/>
      <c r="D466" s="10"/>
      <c r="E466" s="10"/>
      <c r="F466" s="47"/>
      <c r="G466" s="10"/>
      <c r="H466" s="20"/>
      <c r="I466" s="20"/>
      <c r="J466" s="10"/>
      <c r="K466" s="10"/>
      <c r="L466" s="10"/>
      <c r="M466" s="10"/>
      <c r="N466" s="10"/>
      <c r="O466" s="21"/>
    </row>
    <row r="467" spans="1:15" x14ac:dyDescent="0.35">
      <c r="A467" s="15">
        <f t="shared" si="7"/>
        <v>465</v>
      </c>
      <c r="B467" s="16"/>
      <c r="C467" s="19"/>
      <c r="D467" s="10"/>
      <c r="E467" s="10"/>
      <c r="F467" s="47"/>
      <c r="G467" s="10"/>
      <c r="H467" s="20"/>
      <c r="I467" s="20"/>
      <c r="J467" s="10"/>
      <c r="K467" s="10"/>
      <c r="L467" s="10"/>
      <c r="M467" s="10"/>
      <c r="N467" s="10"/>
      <c r="O467" s="21"/>
    </row>
    <row r="468" spans="1:15" x14ac:dyDescent="0.35">
      <c r="A468" s="15">
        <f t="shared" si="7"/>
        <v>466</v>
      </c>
      <c r="B468" s="16"/>
      <c r="C468" s="19"/>
      <c r="D468" s="10"/>
      <c r="E468" s="10"/>
      <c r="F468" s="47"/>
      <c r="G468" s="10"/>
      <c r="H468" s="20"/>
      <c r="I468" s="20"/>
      <c r="J468" s="10"/>
      <c r="K468" s="10"/>
      <c r="L468" s="10"/>
      <c r="M468" s="10"/>
      <c r="N468" s="10"/>
      <c r="O468" s="21"/>
    </row>
    <row r="469" spans="1:15" x14ac:dyDescent="0.35">
      <c r="A469" s="15">
        <f t="shared" si="7"/>
        <v>467</v>
      </c>
      <c r="B469" s="16"/>
      <c r="C469" s="19"/>
      <c r="D469" s="10"/>
      <c r="E469" s="10"/>
      <c r="F469" s="47"/>
      <c r="G469" s="10"/>
      <c r="H469" s="20"/>
      <c r="I469" s="20"/>
      <c r="J469" s="10"/>
      <c r="K469" s="10"/>
      <c r="L469" s="10"/>
      <c r="M469" s="10"/>
      <c r="N469" s="10"/>
      <c r="O469" s="21"/>
    </row>
    <row r="470" spans="1:15" x14ac:dyDescent="0.35">
      <c r="A470" s="15">
        <f t="shared" si="7"/>
        <v>468</v>
      </c>
      <c r="B470" s="16"/>
      <c r="C470" s="19"/>
      <c r="D470" s="10"/>
      <c r="E470" s="10"/>
      <c r="F470" s="47"/>
      <c r="G470" s="10"/>
      <c r="H470" s="20"/>
      <c r="I470" s="20"/>
      <c r="J470" s="10"/>
      <c r="K470" s="10"/>
      <c r="L470" s="10"/>
      <c r="M470" s="10"/>
      <c r="N470" s="10"/>
      <c r="O470" s="21"/>
    </row>
    <row r="471" spans="1:15" x14ac:dyDescent="0.35">
      <c r="A471" s="15">
        <f t="shared" si="7"/>
        <v>469</v>
      </c>
      <c r="B471" s="16"/>
      <c r="C471" s="19"/>
      <c r="D471" s="10"/>
      <c r="E471" s="10"/>
      <c r="F471" s="47"/>
      <c r="G471" s="10"/>
      <c r="H471" s="20"/>
      <c r="I471" s="20"/>
      <c r="J471" s="10"/>
      <c r="K471" s="10"/>
      <c r="L471" s="10"/>
      <c r="M471" s="10"/>
      <c r="N471" s="10"/>
      <c r="O471" s="21"/>
    </row>
    <row r="472" spans="1:15" x14ac:dyDescent="0.35">
      <c r="A472" s="15">
        <f t="shared" si="7"/>
        <v>470</v>
      </c>
      <c r="B472" s="16"/>
      <c r="C472" s="19"/>
      <c r="D472" s="10"/>
      <c r="E472" s="10"/>
      <c r="F472" s="47"/>
      <c r="G472" s="10"/>
      <c r="H472" s="20"/>
      <c r="I472" s="20"/>
      <c r="J472" s="10"/>
      <c r="K472" s="10"/>
      <c r="L472" s="10"/>
      <c r="M472" s="10"/>
      <c r="N472" s="10"/>
      <c r="O472" s="21"/>
    </row>
    <row r="473" spans="1:15" x14ac:dyDescent="0.35">
      <c r="A473" s="15">
        <f t="shared" si="7"/>
        <v>471</v>
      </c>
      <c r="B473" s="16"/>
      <c r="C473" s="19"/>
      <c r="D473" s="10"/>
      <c r="E473" s="10"/>
      <c r="F473" s="47"/>
      <c r="G473" s="10"/>
      <c r="H473" s="20"/>
      <c r="I473" s="20"/>
      <c r="J473" s="10"/>
      <c r="K473" s="10"/>
      <c r="L473" s="10"/>
      <c r="M473" s="10"/>
      <c r="N473" s="10"/>
      <c r="O473" s="21"/>
    </row>
    <row r="474" spans="1:15" x14ac:dyDescent="0.35">
      <c r="A474" s="15">
        <f t="shared" si="7"/>
        <v>472</v>
      </c>
      <c r="B474" s="16"/>
      <c r="C474" s="19"/>
      <c r="D474" s="10"/>
      <c r="E474" s="10"/>
      <c r="F474" s="47"/>
      <c r="G474" s="10"/>
      <c r="H474" s="20"/>
      <c r="I474" s="20"/>
      <c r="J474" s="10"/>
      <c r="K474" s="10"/>
      <c r="L474" s="10"/>
      <c r="M474" s="10"/>
      <c r="N474" s="10"/>
      <c r="O474" s="21"/>
    </row>
    <row r="475" spans="1:15" x14ac:dyDescent="0.35">
      <c r="A475" s="15">
        <f t="shared" si="7"/>
        <v>473</v>
      </c>
      <c r="B475" s="16"/>
      <c r="C475" s="19"/>
      <c r="D475" s="10"/>
      <c r="E475" s="10"/>
      <c r="F475" s="47"/>
      <c r="G475" s="10"/>
      <c r="H475" s="20"/>
      <c r="I475" s="20"/>
      <c r="J475" s="10"/>
      <c r="K475" s="10"/>
      <c r="L475" s="10"/>
      <c r="M475" s="10"/>
      <c r="N475" s="10"/>
      <c r="O475" s="21"/>
    </row>
    <row r="476" spans="1:15" x14ac:dyDescent="0.35">
      <c r="A476" s="15">
        <f t="shared" si="7"/>
        <v>474</v>
      </c>
      <c r="B476" s="16"/>
      <c r="C476" s="19"/>
      <c r="D476" s="10"/>
      <c r="E476" s="10"/>
      <c r="F476" s="47"/>
      <c r="G476" s="10"/>
      <c r="H476" s="20"/>
      <c r="I476" s="20"/>
      <c r="J476" s="10"/>
      <c r="K476" s="10"/>
      <c r="L476" s="10"/>
      <c r="M476" s="10"/>
      <c r="N476" s="10"/>
      <c r="O476" s="21"/>
    </row>
    <row r="477" spans="1:15" x14ac:dyDescent="0.35">
      <c r="A477" s="15">
        <f t="shared" si="7"/>
        <v>475</v>
      </c>
      <c r="B477" s="16"/>
      <c r="C477" s="19"/>
      <c r="D477" s="10"/>
      <c r="E477" s="10"/>
      <c r="F477" s="47"/>
      <c r="G477" s="10"/>
      <c r="H477" s="20"/>
      <c r="I477" s="20"/>
      <c r="J477" s="10"/>
      <c r="K477" s="10"/>
      <c r="L477" s="10"/>
      <c r="M477" s="10"/>
      <c r="N477" s="10"/>
      <c r="O477" s="21"/>
    </row>
    <row r="478" spans="1:15" x14ac:dyDescent="0.35">
      <c r="A478" s="15">
        <f t="shared" si="7"/>
        <v>476</v>
      </c>
      <c r="B478" s="16"/>
      <c r="C478" s="19"/>
      <c r="D478" s="10"/>
      <c r="E478" s="10"/>
      <c r="F478" s="47"/>
      <c r="G478" s="10"/>
      <c r="H478" s="20"/>
      <c r="I478" s="20"/>
      <c r="J478" s="10"/>
      <c r="K478" s="10"/>
      <c r="L478" s="10"/>
      <c r="M478" s="10"/>
      <c r="N478" s="10"/>
      <c r="O478" s="21"/>
    </row>
    <row r="479" spans="1:15" x14ac:dyDescent="0.35">
      <c r="A479" s="15">
        <f t="shared" si="7"/>
        <v>477</v>
      </c>
      <c r="B479" s="16"/>
      <c r="C479" s="19"/>
      <c r="D479" s="10"/>
      <c r="E479" s="10"/>
      <c r="F479" s="47"/>
      <c r="G479" s="10"/>
      <c r="H479" s="20"/>
      <c r="I479" s="20"/>
      <c r="J479" s="10"/>
      <c r="K479" s="10"/>
      <c r="L479" s="10"/>
      <c r="M479" s="10"/>
      <c r="N479" s="10"/>
      <c r="O479" s="21"/>
    </row>
    <row r="480" spans="1:15" x14ac:dyDescent="0.35">
      <c r="A480" s="15">
        <f t="shared" si="7"/>
        <v>478</v>
      </c>
      <c r="B480" s="16"/>
      <c r="C480" s="19"/>
      <c r="D480" s="10"/>
      <c r="E480" s="10"/>
      <c r="F480" s="47"/>
      <c r="G480" s="10"/>
      <c r="H480" s="20"/>
      <c r="I480" s="20"/>
      <c r="J480" s="10"/>
      <c r="K480" s="10"/>
      <c r="L480" s="10"/>
      <c r="M480" s="10"/>
      <c r="N480" s="10"/>
      <c r="O480" s="21"/>
    </row>
    <row r="481" spans="1:15" x14ac:dyDescent="0.35">
      <c r="A481" s="15">
        <f t="shared" si="7"/>
        <v>479</v>
      </c>
      <c r="B481" s="16"/>
      <c r="C481" s="19"/>
      <c r="D481" s="10"/>
      <c r="E481" s="10"/>
      <c r="F481" s="47"/>
      <c r="G481" s="10"/>
      <c r="H481" s="20"/>
      <c r="I481" s="20"/>
      <c r="J481" s="10"/>
      <c r="K481" s="10"/>
      <c r="L481" s="10"/>
      <c r="M481" s="10"/>
      <c r="N481" s="10"/>
      <c r="O481" s="21"/>
    </row>
    <row r="482" spans="1:15" x14ac:dyDescent="0.35">
      <c r="A482" s="15">
        <f t="shared" si="7"/>
        <v>480</v>
      </c>
      <c r="B482" s="16"/>
      <c r="C482" s="19"/>
      <c r="D482" s="10"/>
      <c r="E482" s="10"/>
      <c r="F482" s="47"/>
      <c r="G482" s="10"/>
      <c r="H482" s="20"/>
      <c r="I482" s="20"/>
      <c r="J482" s="10"/>
      <c r="K482" s="10"/>
      <c r="L482" s="10"/>
      <c r="M482" s="10"/>
      <c r="N482" s="10"/>
      <c r="O482" s="21"/>
    </row>
    <row r="483" spans="1:15" x14ac:dyDescent="0.35">
      <c r="A483" s="15">
        <f t="shared" si="7"/>
        <v>481</v>
      </c>
      <c r="B483" s="16"/>
      <c r="C483" s="19"/>
      <c r="D483" s="10"/>
      <c r="E483" s="10"/>
      <c r="F483" s="47"/>
      <c r="G483" s="10"/>
      <c r="H483" s="20"/>
      <c r="I483" s="20"/>
      <c r="J483" s="10"/>
      <c r="K483" s="10"/>
      <c r="L483" s="10"/>
      <c r="M483" s="10"/>
      <c r="N483" s="10"/>
      <c r="O483" s="21"/>
    </row>
    <row r="484" spans="1:15" x14ac:dyDescent="0.35">
      <c r="A484" s="15">
        <f t="shared" si="7"/>
        <v>482</v>
      </c>
      <c r="B484" s="16"/>
      <c r="C484" s="19"/>
      <c r="D484" s="10"/>
      <c r="E484" s="10"/>
      <c r="F484" s="47"/>
      <c r="G484" s="10"/>
      <c r="H484" s="20"/>
      <c r="I484" s="20"/>
      <c r="J484" s="10"/>
      <c r="K484" s="10"/>
      <c r="L484" s="10"/>
      <c r="M484" s="10"/>
      <c r="N484" s="10"/>
      <c r="O484" s="21"/>
    </row>
    <row r="485" spans="1:15" x14ac:dyDescent="0.35">
      <c r="A485" s="15">
        <f t="shared" si="7"/>
        <v>483</v>
      </c>
      <c r="B485" s="16"/>
      <c r="C485" s="19"/>
      <c r="D485" s="10"/>
      <c r="E485" s="10"/>
      <c r="F485" s="47"/>
      <c r="G485" s="10"/>
      <c r="H485" s="20"/>
      <c r="I485" s="20"/>
      <c r="J485" s="10"/>
      <c r="K485" s="10"/>
      <c r="L485" s="10"/>
      <c r="M485" s="10"/>
      <c r="N485" s="10"/>
      <c r="O485" s="21"/>
    </row>
    <row r="486" spans="1:15" x14ac:dyDescent="0.35">
      <c r="A486" s="15">
        <f t="shared" si="7"/>
        <v>484</v>
      </c>
      <c r="B486" s="16"/>
      <c r="C486" s="19"/>
      <c r="D486" s="10"/>
      <c r="E486" s="10"/>
      <c r="F486" s="47"/>
      <c r="G486" s="10"/>
      <c r="H486" s="20"/>
      <c r="I486" s="20"/>
      <c r="J486" s="10"/>
      <c r="K486" s="10"/>
      <c r="L486" s="10"/>
      <c r="M486" s="10"/>
      <c r="N486" s="10"/>
      <c r="O486" s="21"/>
    </row>
    <row r="487" spans="1:15" x14ac:dyDescent="0.35">
      <c r="A487" s="15">
        <f t="shared" si="7"/>
        <v>485</v>
      </c>
      <c r="B487" s="16"/>
      <c r="C487" s="19"/>
      <c r="D487" s="10"/>
      <c r="E487" s="10"/>
      <c r="F487" s="47"/>
      <c r="G487" s="10"/>
      <c r="H487" s="20"/>
      <c r="I487" s="20"/>
      <c r="J487" s="10"/>
      <c r="K487" s="10"/>
      <c r="L487" s="10"/>
      <c r="M487" s="10"/>
      <c r="N487" s="10"/>
      <c r="O487" s="21"/>
    </row>
    <row r="488" spans="1:15" x14ac:dyDescent="0.35">
      <c r="A488" s="15">
        <f t="shared" si="7"/>
        <v>486</v>
      </c>
      <c r="B488" s="16"/>
      <c r="C488" s="19"/>
      <c r="D488" s="10"/>
      <c r="E488" s="10"/>
      <c r="F488" s="47"/>
      <c r="G488" s="10"/>
      <c r="H488" s="20"/>
      <c r="I488" s="20"/>
      <c r="J488" s="10"/>
      <c r="K488" s="10"/>
      <c r="L488" s="10"/>
      <c r="M488" s="10"/>
      <c r="N488" s="10"/>
      <c r="O488" s="21"/>
    </row>
    <row r="489" spans="1:15" x14ac:dyDescent="0.35">
      <c r="A489" s="15">
        <f t="shared" si="7"/>
        <v>487</v>
      </c>
      <c r="B489" s="16"/>
      <c r="C489" s="19"/>
      <c r="D489" s="10"/>
      <c r="E489" s="10"/>
      <c r="F489" s="47"/>
      <c r="G489" s="10"/>
      <c r="H489" s="20"/>
      <c r="I489" s="20"/>
      <c r="J489" s="10"/>
      <c r="K489" s="10"/>
      <c r="L489" s="10"/>
      <c r="M489" s="10"/>
      <c r="N489" s="10"/>
      <c r="O489" s="21"/>
    </row>
    <row r="490" spans="1:15" x14ac:dyDescent="0.35">
      <c r="A490" s="15">
        <f t="shared" si="7"/>
        <v>488</v>
      </c>
      <c r="B490" s="16"/>
      <c r="C490" s="19"/>
      <c r="D490" s="10"/>
      <c r="E490" s="10"/>
      <c r="F490" s="47"/>
      <c r="G490" s="10"/>
      <c r="H490" s="20"/>
      <c r="I490" s="20"/>
      <c r="J490" s="10"/>
      <c r="K490" s="10"/>
      <c r="L490" s="10"/>
      <c r="M490" s="10"/>
      <c r="N490" s="10"/>
      <c r="O490" s="21"/>
    </row>
    <row r="491" spans="1:15" x14ac:dyDescent="0.35">
      <c r="A491" s="15">
        <f t="shared" si="7"/>
        <v>489</v>
      </c>
      <c r="B491" s="16"/>
      <c r="C491" s="19"/>
      <c r="D491" s="10"/>
      <c r="E491" s="10"/>
      <c r="F491" s="47"/>
      <c r="G491" s="10"/>
      <c r="H491" s="20"/>
      <c r="I491" s="20"/>
      <c r="J491" s="10"/>
      <c r="K491" s="10"/>
      <c r="L491" s="10"/>
      <c r="M491" s="10"/>
      <c r="N491" s="10"/>
      <c r="O491" s="21"/>
    </row>
    <row r="492" spans="1:15" x14ac:dyDescent="0.35">
      <c r="A492" s="15">
        <f t="shared" si="7"/>
        <v>490</v>
      </c>
      <c r="B492" s="16"/>
      <c r="C492" s="19"/>
      <c r="D492" s="10"/>
      <c r="E492" s="10"/>
      <c r="F492" s="47"/>
      <c r="G492" s="10"/>
      <c r="H492" s="20"/>
      <c r="I492" s="20"/>
      <c r="J492" s="10"/>
      <c r="K492" s="10"/>
      <c r="L492" s="10"/>
      <c r="M492" s="10"/>
      <c r="N492" s="10"/>
      <c r="O492" s="21"/>
    </row>
    <row r="493" spans="1:15" x14ac:dyDescent="0.35">
      <c r="A493" s="15">
        <f t="shared" si="7"/>
        <v>491</v>
      </c>
      <c r="B493" s="16"/>
      <c r="C493" s="19"/>
      <c r="D493" s="10"/>
      <c r="E493" s="10"/>
      <c r="F493" s="47"/>
      <c r="G493" s="10"/>
      <c r="H493" s="20"/>
      <c r="I493" s="20"/>
      <c r="J493" s="10"/>
      <c r="K493" s="10"/>
      <c r="L493" s="10"/>
      <c r="M493" s="10"/>
      <c r="N493" s="10"/>
      <c r="O493" s="21"/>
    </row>
    <row r="494" spans="1:15" x14ac:dyDescent="0.35">
      <c r="A494" s="15">
        <f t="shared" si="7"/>
        <v>492</v>
      </c>
      <c r="B494" s="16"/>
      <c r="C494" s="19"/>
      <c r="D494" s="10"/>
      <c r="E494" s="10"/>
      <c r="F494" s="47"/>
      <c r="G494" s="10"/>
      <c r="H494" s="20"/>
      <c r="I494" s="20"/>
      <c r="J494" s="10"/>
      <c r="K494" s="10"/>
      <c r="L494" s="10"/>
      <c r="M494" s="10"/>
      <c r="N494" s="10"/>
      <c r="O494" s="21"/>
    </row>
    <row r="495" spans="1:15" x14ac:dyDescent="0.35">
      <c r="A495" s="15">
        <f t="shared" si="7"/>
        <v>493</v>
      </c>
      <c r="B495" s="16"/>
      <c r="C495" s="19"/>
      <c r="D495" s="10"/>
      <c r="E495" s="10"/>
      <c r="F495" s="47"/>
      <c r="G495" s="10"/>
      <c r="H495" s="20"/>
      <c r="I495" s="20"/>
      <c r="J495" s="10"/>
      <c r="K495" s="10"/>
      <c r="L495" s="10"/>
      <c r="M495" s="10"/>
      <c r="N495" s="10"/>
      <c r="O495" s="21"/>
    </row>
    <row r="496" spans="1:15" x14ac:dyDescent="0.35">
      <c r="A496" s="15">
        <f t="shared" si="7"/>
        <v>494</v>
      </c>
      <c r="B496" s="16"/>
      <c r="C496" s="19"/>
      <c r="D496" s="10"/>
      <c r="E496" s="10"/>
      <c r="F496" s="47"/>
      <c r="G496" s="10"/>
      <c r="H496" s="20"/>
      <c r="I496" s="20"/>
      <c r="J496" s="10"/>
      <c r="K496" s="10"/>
      <c r="L496" s="10"/>
      <c r="M496" s="10"/>
      <c r="N496" s="10"/>
      <c r="O496" s="21"/>
    </row>
    <row r="497" spans="1:15" x14ac:dyDescent="0.35">
      <c r="A497" s="15">
        <f t="shared" si="7"/>
        <v>495</v>
      </c>
      <c r="B497" s="16"/>
      <c r="C497" s="19"/>
      <c r="D497" s="10"/>
      <c r="E497" s="10"/>
      <c r="F497" s="47"/>
      <c r="G497" s="10"/>
      <c r="H497" s="20"/>
      <c r="I497" s="20"/>
      <c r="J497" s="10"/>
      <c r="K497" s="10"/>
      <c r="L497" s="10"/>
      <c r="M497" s="10"/>
      <c r="N497" s="10"/>
      <c r="O497" s="21"/>
    </row>
    <row r="498" spans="1:15" x14ac:dyDescent="0.35">
      <c r="A498" s="15">
        <f t="shared" si="7"/>
        <v>496</v>
      </c>
      <c r="B498" s="16"/>
      <c r="C498" s="19"/>
      <c r="D498" s="10"/>
      <c r="E498" s="10"/>
      <c r="F498" s="47"/>
      <c r="G498" s="10"/>
      <c r="H498" s="20"/>
      <c r="I498" s="20"/>
      <c r="J498" s="10"/>
      <c r="K498" s="10"/>
      <c r="L498" s="10"/>
      <c r="M498" s="10"/>
      <c r="N498" s="10"/>
      <c r="O498" s="21"/>
    </row>
    <row r="499" spans="1:15" x14ac:dyDescent="0.35">
      <c r="A499" s="15">
        <f t="shared" si="7"/>
        <v>497</v>
      </c>
      <c r="B499" s="16"/>
      <c r="C499" s="19"/>
      <c r="D499" s="10"/>
      <c r="E499" s="10"/>
      <c r="F499" s="47"/>
      <c r="G499" s="10"/>
      <c r="H499" s="20"/>
      <c r="I499" s="20"/>
      <c r="J499" s="10"/>
      <c r="K499" s="10"/>
      <c r="L499" s="10"/>
      <c r="M499" s="10"/>
      <c r="N499" s="10"/>
      <c r="O499" s="21"/>
    </row>
    <row r="500" spans="1:15" x14ac:dyDescent="0.35">
      <c r="A500" s="15">
        <f t="shared" si="7"/>
        <v>498</v>
      </c>
      <c r="B500" s="16"/>
      <c r="C500" s="19"/>
      <c r="D500" s="10"/>
      <c r="E500" s="10"/>
      <c r="F500" s="47"/>
      <c r="G500" s="10"/>
      <c r="H500" s="20"/>
      <c r="I500" s="20"/>
      <c r="J500" s="10"/>
      <c r="K500" s="10"/>
      <c r="L500" s="10"/>
      <c r="M500" s="10"/>
      <c r="N500" s="10"/>
      <c r="O500" s="21"/>
    </row>
    <row r="501" spans="1:15" x14ac:dyDescent="0.35">
      <c r="A501" s="15">
        <f t="shared" si="7"/>
        <v>499</v>
      </c>
      <c r="B501" s="16"/>
      <c r="C501" s="19"/>
      <c r="D501" s="10"/>
      <c r="E501" s="10"/>
      <c r="F501" s="47"/>
      <c r="G501" s="10"/>
      <c r="H501" s="20"/>
      <c r="I501" s="20"/>
      <c r="J501" s="10"/>
      <c r="K501" s="10"/>
      <c r="L501" s="10"/>
      <c r="M501" s="10"/>
      <c r="N501" s="10"/>
      <c r="O501" s="21"/>
    </row>
    <row r="502" spans="1:15" x14ac:dyDescent="0.35">
      <c r="A502" s="15">
        <f t="shared" si="7"/>
        <v>500</v>
      </c>
      <c r="B502" s="16"/>
      <c r="C502" s="19"/>
      <c r="D502" s="10"/>
      <c r="E502" s="10"/>
      <c r="F502" s="47"/>
      <c r="G502" s="10"/>
      <c r="H502" s="20"/>
      <c r="I502" s="20"/>
      <c r="J502" s="10"/>
      <c r="K502" s="10"/>
      <c r="L502" s="10"/>
      <c r="M502" s="10"/>
      <c r="N502" s="10"/>
      <c r="O502" s="21"/>
    </row>
    <row r="503" spans="1:15" x14ac:dyDescent="0.35">
      <c r="A503" s="15">
        <f t="shared" si="7"/>
        <v>501</v>
      </c>
      <c r="B503" s="16"/>
      <c r="C503" s="19"/>
      <c r="D503" s="10"/>
      <c r="E503" s="10"/>
      <c r="F503" s="47"/>
      <c r="G503" s="10"/>
      <c r="H503" s="20"/>
      <c r="I503" s="20"/>
      <c r="J503" s="10"/>
      <c r="K503" s="10"/>
      <c r="L503" s="10"/>
      <c r="M503" s="10"/>
      <c r="N503" s="10"/>
      <c r="O503" s="21"/>
    </row>
    <row r="504" spans="1:15" x14ac:dyDescent="0.35">
      <c r="A504" s="15">
        <f t="shared" si="7"/>
        <v>502</v>
      </c>
      <c r="B504" s="16"/>
      <c r="C504" s="19"/>
      <c r="D504" s="10"/>
      <c r="E504" s="10"/>
      <c r="F504" s="47"/>
      <c r="G504" s="10"/>
      <c r="H504" s="20"/>
      <c r="I504" s="20"/>
      <c r="J504" s="10"/>
      <c r="K504" s="10"/>
      <c r="L504" s="10"/>
      <c r="M504" s="10"/>
      <c r="N504" s="10"/>
      <c r="O504" s="21"/>
    </row>
    <row r="505" spans="1:15" x14ac:dyDescent="0.35">
      <c r="A505" s="15">
        <f t="shared" si="7"/>
        <v>503</v>
      </c>
      <c r="B505" s="16"/>
      <c r="C505" s="19"/>
      <c r="D505" s="10"/>
      <c r="E505" s="10"/>
      <c r="F505" s="47"/>
      <c r="G505" s="10"/>
      <c r="H505" s="20"/>
      <c r="I505" s="20"/>
      <c r="J505" s="10"/>
      <c r="K505" s="10"/>
      <c r="L505" s="10"/>
      <c r="M505" s="10"/>
      <c r="N505" s="10"/>
      <c r="O505" s="21"/>
    </row>
    <row r="506" spans="1:15" x14ac:dyDescent="0.35">
      <c r="A506" s="15">
        <f t="shared" si="7"/>
        <v>504</v>
      </c>
      <c r="B506" s="16"/>
      <c r="C506" s="19"/>
      <c r="D506" s="10"/>
      <c r="E506" s="10"/>
      <c r="F506" s="47"/>
      <c r="G506" s="10"/>
      <c r="H506" s="20"/>
      <c r="I506" s="20"/>
      <c r="J506" s="10"/>
      <c r="K506" s="10"/>
      <c r="L506" s="10"/>
      <c r="M506" s="10"/>
      <c r="N506" s="10"/>
      <c r="O506" s="21"/>
    </row>
    <row r="507" spans="1:15" x14ac:dyDescent="0.35">
      <c r="A507" s="15">
        <f t="shared" si="7"/>
        <v>505</v>
      </c>
      <c r="B507" s="16"/>
      <c r="C507" s="19"/>
      <c r="D507" s="10"/>
      <c r="E507" s="10"/>
      <c r="F507" s="47"/>
      <c r="G507" s="10"/>
      <c r="H507" s="20"/>
      <c r="I507" s="20"/>
      <c r="J507" s="10"/>
      <c r="K507" s="10"/>
      <c r="L507" s="10"/>
      <c r="M507" s="10"/>
      <c r="N507" s="10"/>
      <c r="O507" s="21"/>
    </row>
    <row r="508" spans="1:15" x14ac:dyDescent="0.35">
      <c r="A508" s="15">
        <f t="shared" si="7"/>
        <v>506</v>
      </c>
      <c r="B508" s="16"/>
      <c r="C508" s="19"/>
      <c r="D508" s="10"/>
      <c r="E508" s="10"/>
      <c r="F508" s="47"/>
      <c r="G508" s="10"/>
      <c r="H508" s="20"/>
      <c r="I508" s="20"/>
      <c r="J508" s="10"/>
      <c r="K508" s="10"/>
      <c r="L508" s="10"/>
      <c r="M508" s="10"/>
      <c r="N508" s="10"/>
      <c r="O508" s="21"/>
    </row>
    <row r="509" spans="1:15" x14ac:dyDescent="0.35">
      <c r="A509" s="15">
        <f t="shared" si="7"/>
        <v>507</v>
      </c>
      <c r="B509" s="16"/>
      <c r="C509" s="19"/>
      <c r="D509" s="10"/>
      <c r="E509" s="10"/>
      <c r="F509" s="47"/>
      <c r="G509" s="10"/>
      <c r="H509" s="20"/>
      <c r="I509" s="20"/>
      <c r="J509" s="10"/>
      <c r="K509" s="10"/>
      <c r="L509" s="10"/>
      <c r="M509" s="10"/>
      <c r="N509" s="10"/>
      <c r="O509" s="21"/>
    </row>
    <row r="510" spans="1:15" x14ac:dyDescent="0.35">
      <c r="A510" s="15">
        <f t="shared" si="7"/>
        <v>508</v>
      </c>
      <c r="B510" s="16"/>
      <c r="C510" s="19"/>
      <c r="D510" s="10"/>
      <c r="E510" s="10"/>
      <c r="F510" s="47"/>
      <c r="G510" s="10"/>
      <c r="H510" s="20"/>
      <c r="I510" s="20"/>
      <c r="J510" s="10"/>
      <c r="K510" s="10"/>
      <c r="L510" s="10"/>
      <c r="M510" s="10"/>
      <c r="N510" s="10"/>
      <c r="O510" s="21"/>
    </row>
    <row r="511" spans="1:15" x14ac:dyDescent="0.35">
      <c r="A511" s="15">
        <f t="shared" si="7"/>
        <v>509</v>
      </c>
      <c r="B511" s="16"/>
      <c r="C511" s="19"/>
      <c r="D511" s="10"/>
      <c r="E511" s="10"/>
      <c r="F511" s="47"/>
      <c r="G511" s="10"/>
      <c r="H511" s="20"/>
      <c r="I511" s="20"/>
      <c r="J511" s="10"/>
      <c r="K511" s="10"/>
      <c r="L511" s="10"/>
      <c r="M511" s="10"/>
      <c r="N511" s="10"/>
      <c r="O511" s="21"/>
    </row>
    <row r="512" spans="1:15" x14ac:dyDescent="0.35">
      <c r="A512" s="15">
        <f t="shared" si="7"/>
        <v>510</v>
      </c>
      <c r="B512" s="16"/>
      <c r="C512" s="19"/>
      <c r="D512" s="10"/>
      <c r="E512" s="10"/>
      <c r="F512" s="47"/>
      <c r="G512" s="10"/>
      <c r="H512" s="20"/>
      <c r="I512" s="20"/>
      <c r="J512" s="10"/>
      <c r="K512" s="10"/>
      <c r="L512" s="10"/>
      <c r="M512" s="10"/>
      <c r="N512" s="10"/>
      <c r="O512" s="21"/>
    </row>
    <row r="513" spans="1:15" x14ac:dyDescent="0.35">
      <c r="A513" s="15">
        <f t="shared" si="7"/>
        <v>511</v>
      </c>
      <c r="B513" s="16"/>
      <c r="C513" s="19"/>
      <c r="D513" s="10"/>
      <c r="E513" s="10"/>
      <c r="F513" s="47"/>
      <c r="G513" s="10"/>
      <c r="H513" s="20"/>
      <c r="I513" s="20"/>
      <c r="J513" s="10"/>
      <c r="K513" s="10"/>
      <c r="L513" s="10"/>
      <c r="M513" s="10"/>
      <c r="N513" s="10"/>
      <c r="O513" s="21"/>
    </row>
    <row r="514" spans="1:15" x14ac:dyDescent="0.35">
      <c r="A514" s="15">
        <f t="shared" si="7"/>
        <v>512</v>
      </c>
      <c r="B514" s="16"/>
      <c r="C514" s="19"/>
      <c r="D514" s="10"/>
      <c r="E514" s="10"/>
      <c r="F514" s="47"/>
      <c r="G514" s="10"/>
      <c r="H514" s="20"/>
      <c r="I514" s="20"/>
      <c r="J514" s="10"/>
      <c r="K514" s="10"/>
      <c r="L514" s="10"/>
      <c r="M514" s="10"/>
      <c r="N514" s="10"/>
      <c r="O514" s="21"/>
    </row>
    <row r="515" spans="1:15" x14ac:dyDescent="0.35">
      <c r="A515" s="15">
        <f t="shared" si="7"/>
        <v>513</v>
      </c>
      <c r="B515" s="16"/>
      <c r="C515" s="19"/>
      <c r="D515" s="10"/>
      <c r="E515" s="10"/>
      <c r="F515" s="47"/>
      <c r="G515" s="10"/>
      <c r="H515" s="20"/>
      <c r="I515" s="20"/>
      <c r="J515" s="10"/>
      <c r="K515" s="10"/>
      <c r="L515" s="10"/>
      <c r="M515" s="10"/>
      <c r="N515" s="10"/>
      <c r="O515" s="21"/>
    </row>
    <row r="516" spans="1:15" x14ac:dyDescent="0.35">
      <c r="A516" s="15">
        <f t="shared" si="7"/>
        <v>514</v>
      </c>
      <c r="B516" s="16"/>
      <c r="C516" s="19"/>
      <c r="D516" s="10"/>
      <c r="E516" s="10"/>
      <c r="F516" s="47"/>
      <c r="G516" s="10"/>
      <c r="H516" s="20"/>
      <c r="I516" s="20"/>
      <c r="J516" s="10"/>
      <c r="K516" s="10"/>
      <c r="L516" s="10"/>
      <c r="M516" s="10"/>
      <c r="N516" s="10"/>
      <c r="O516" s="21"/>
    </row>
    <row r="517" spans="1:15" x14ac:dyDescent="0.35">
      <c r="A517" s="15">
        <f t="shared" si="7"/>
        <v>515</v>
      </c>
      <c r="B517" s="16"/>
      <c r="C517" s="19"/>
      <c r="D517" s="10"/>
      <c r="E517" s="10"/>
      <c r="F517" s="47"/>
      <c r="G517" s="10"/>
      <c r="H517" s="20"/>
      <c r="I517" s="20"/>
      <c r="J517" s="10"/>
      <c r="K517" s="10"/>
      <c r="L517" s="10"/>
      <c r="M517" s="10"/>
      <c r="N517" s="10"/>
      <c r="O517" s="21"/>
    </row>
    <row r="518" spans="1:15" x14ac:dyDescent="0.35">
      <c r="A518" s="15">
        <f t="shared" si="7"/>
        <v>516</v>
      </c>
      <c r="B518" s="16"/>
      <c r="C518" s="19"/>
      <c r="D518" s="10"/>
      <c r="E518" s="10"/>
      <c r="F518" s="47"/>
      <c r="G518" s="10"/>
      <c r="H518" s="20"/>
      <c r="I518" s="20"/>
      <c r="J518" s="10"/>
      <c r="K518" s="10"/>
      <c r="L518" s="10"/>
      <c r="M518" s="10"/>
      <c r="N518" s="10"/>
      <c r="O518" s="21"/>
    </row>
    <row r="519" spans="1:15" x14ac:dyDescent="0.35">
      <c r="A519" s="15">
        <f t="shared" si="7"/>
        <v>517</v>
      </c>
      <c r="B519" s="16"/>
      <c r="C519" s="19"/>
      <c r="D519" s="10"/>
      <c r="E519" s="10"/>
      <c r="F519" s="47"/>
      <c r="G519" s="10"/>
      <c r="H519" s="20"/>
      <c r="I519" s="20"/>
      <c r="J519" s="10"/>
      <c r="K519" s="10"/>
      <c r="L519" s="10"/>
      <c r="M519" s="10"/>
      <c r="N519" s="10"/>
      <c r="O519" s="21"/>
    </row>
    <row r="520" spans="1:15" x14ac:dyDescent="0.35">
      <c r="A520" s="15">
        <f t="shared" si="7"/>
        <v>518</v>
      </c>
      <c r="B520" s="16"/>
      <c r="C520" s="19"/>
      <c r="D520" s="10"/>
      <c r="E520" s="10"/>
      <c r="F520" s="47"/>
      <c r="G520" s="10"/>
      <c r="H520" s="20"/>
      <c r="I520" s="20"/>
      <c r="J520" s="10"/>
      <c r="K520" s="10"/>
      <c r="L520" s="10"/>
      <c r="M520" s="10"/>
      <c r="N520" s="10"/>
      <c r="O520" s="21"/>
    </row>
    <row r="521" spans="1:15" x14ac:dyDescent="0.35">
      <c r="A521" s="15">
        <f t="shared" si="7"/>
        <v>519</v>
      </c>
      <c r="B521" s="16"/>
      <c r="C521" s="19"/>
      <c r="D521" s="10"/>
      <c r="E521" s="10"/>
      <c r="F521" s="47"/>
      <c r="G521" s="10"/>
      <c r="H521" s="20"/>
      <c r="I521" s="20"/>
      <c r="J521" s="10"/>
      <c r="K521" s="10"/>
      <c r="L521" s="10"/>
      <c r="M521" s="10"/>
      <c r="N521" s="10"/>
      <c r="O521" s="21"/>
    </row>
    <row r="522" spans="1:15" x14ac:dyDescent="0.35">
      <c r="A522" s="15">
        <f t="shared" si="7"/>
        <v>520</v>
      </c>
      <c r="B522" s="16"/>
      <c r="C522" s="19"/>
      <c r="D522" s="10"/>
      <c r="E522" s="10"/>
      <c r="F522" s="47"/>
      <c r="G522" s="10"/>
      <c r="H522" s="20"/>
      <c r="I522" s="20"/>
      <c r="J522" s="10"/>
      <c r="K522" s="10"/>
      <c r="L522" s="10"/>
      <c r="M522" s="10"/>
      <c r="N522" s="10"/>
      <c r="O522" s="21"/>
    </row>
    <row r="523" spans="1:15" x14ac:dyDescent="0.35">
      <c r="A523" s="15">
        <f t="shared" ref="A523:A586" si="8">+A522+1</f>
        <v>521</v>
      </c>
      <c r="B523" s="16"/>
      <c r="C523" s="19"/>
      <c r="D523" s="10"/>
      <c r="E523" s="10"/>
      <c r="F523" s="47"/>
      <c r="G523" s="10"/>
      <c r="H523" s="20"/>
      <c r="I523" s="20"/>
      <c r="J523" s="10"/>
      <c r="K523" s="10"/>
      <c r="L523" s="10"/>
      <c r="M523" s="10"/>
      <c r="N523" s="10"/>
      <c r="O523" s="21"/>
    </row>
    <row r="524" spans="1:15" x14ac:dyDescent="0.35">
      <c r="A524" s="15">
        <f t="shared" si="8"/>
        <v>522</v>
      </c>
      <c r="B524" s="16"/>
      <c r="C524" s="19"/>
      <c r="D524" s="10"/>
      <c r="E524" s="10"/>
      <c r="F524" s="47"/>
      <c r="G524" s="10"/>
      <c r="H524" s="20"/>
      <c r="I524" s="20"/>
      <c r="J524" s="10"/>
      <c r="K524" s="10"/>
      <c r="L524" s="10"/>
      <c r="M524" s="10"/>
      <c r="N524" s="10"/>
      <c r="O524" s="21"/>
    </row>
    <row r="525" spans="1:15" x14ac:dyDescent="0.35">
      <c r="A525" s="15">
        <f t="shared" si="8"/>
        <v>523</v>
      </c>
      <c r="B525" s="16"/>
      <c r="C525" s="19"/>
      <c r="D525" s="10"/>
      <c r="E525" s="10"/>
      <c r="F525" s="47"/>
      <c r="G525" s="10"/>
      <c r="H525" s="20"/>
      <c r="I525" s="20"/>
      <c r="J525" s="10"/>
      <c r="K525" s="10"/>
      <c r="L525" s="10"/>
      <c r="M525" s="10"/>
      <c r="N525" s="10"/>
      <c r="O525" s="21"/>
    </row>
    <row r="526" spans="1:15" x14ac:dyDescent="0.35">
      <c r="A526" s="15">
        <f t="shared" si="8"/>
        <v>524</v>
      </c>
      <c r="B526" s="16"/>
      <c r="C526" s="19"/>
      <c r="D526" s="10"/>
      <c r="E526" s="10"/>
      <c r="F526" s="47"/>
      <c r="G526" s="10"/>
      <c r="H526" s="20"/>
      <c r="I526" s="20"/>
      <c r="J526" s="10"/>
      <c r="K526" s="10"/>
      <c r="L526" s="10"/>
      <c r="M526" s="10"/>
      <c r="N526" s="10"/>
      <c r="O526" s="21"/>
    </row>
    <row r="527" spans="1:15" x14ac:dyDescent="0.35">
      <c r="A527" s="15">
        <f t="shared" si="8"/>
        <v>525</v>
      </c>
      <c r="B527" s="16"/>
      <c r="C527" s="19"/>
      <c r="D527" s="10"/>
      <c r="E527" s="10"/>
      <c r="F527" s="47"/>
      <c r="G527" s="10"/>
      <c r="H527" s="20"/>
      <c r="I527" s="20"/>
      <c r="J527" s="10"/>
      <c r="K527" s="10"/>
      <c r="L527" s="10"/>
      <c r="M527" s="10"/>
      <c r="N527" s="10"/>
      <c r="O527" s="21"/>
    </row>
    <row r="528" spans="1:15" x14ac:dyDescent="0.35">
      <c r="A528" s="15">
        <f t="shared" si="8"/>
        <v>526</v>
      </c>
      <c r="B528" s="16"/>
      <c r="C528" s="19"/>
      <c r="D528" s="10"/>
      <c r="E528" s="10"/>
      <c r="F528" s="47"/>
      <c r="G528" s="10"/>
      <c r="H528" s="20"/>
      <c r="I528" s="20"/>
      <c r="J528" s="10"/>
      <c r="K528" s="10"/>
      <c r="L528" s="10"/>
      <c r="M528" s="10"/>
      <c r="N528" s="10"/>
      <c r="O528" s="21"/>
    </row>
    <row r="529" spans="1:15" x14ac:dyDescent="0.35">
      <c r="A529" s="15">
        <f t="shared" si="8"/>
        <v>527</v>
      </c>
      <c r="B529" s="16"/>
      <c r="C529" s="19"/>
      <c r="D529" s="10"/>
      <c r="E529" s="10"/>
      <c r="F529" s="47"/>
      <c r="G529" s="10"/>
      <c r="H529" s="20"/>
      <c r="I529" s="20"/>
      <c r="J529" s="10"/>
      <c r="K529" s="10"/>
      <c r="L529" s="10"/>
      <c r="M529" s="10"/>
      <c r="N529" s="10"/>
      <c r="O529" s="21"/>
    </row>
    <row r="530" spans="1:15" x14ac:dyDescent="0.35">
      <c r="A530" s="15">
        <f t="shared" si="8"/>
        <v>528</v>
      </c>
      <c r="B530" s="16"/>
      <c r="C530" s="19"/>
      <c r="D530" s="10"/>
      <c r="E530" s="10"/>
      <c r="F530" s="47"/>
      <c r="G530" s="10"/>
      <c r="H530" s="20"/>
      <c r="I530" s="20"/>
      <c r="J530" s="10"/>
      <c r="K530" s="10"/>
      <c r="L530" s="10"/>
      <c r="M530" s="10"/>
      <c r="N530" s="10"/>
      <c r="O530" s="21"/>
    </row>
    <row r="531" spans="1:15" x14ac:dyDescent="0.35">
      <c r="A531" s="15">
        <f t="shared" si="8"/>
        <v>529</v>
      </c>
      <c r="B531" s="16"/>
      <c r="C531" s="19"/>
      <c r="D531" s="10"/>
      <c r="E531" s="10"/>
      <c r="F531" s="47"/>
      <c r="G531" s="10"/>
      <c r="H531" s="20"/>
      <c r="I531" s="20"/>
      <c r="J531" s="10"/>
      <c r="K531" s="10"/>
      <c r="L531" s="10"/>
      <c r="M531" s="10"/>
      <c r="N531" s="10"/>
      <c r="O531" s="21"/>
    </row>
    <row r="532" spans="1:15" x14ac:dyDescent="0.35">
      <c r="A532" s="15">
        <f t="shared" si="8"/>
        <v>530</v>
      </c>
      <c r="B532" s="16"/>
      <c r="C532" s="19"/>
      <c r="D532" s="10"/>
      <c r="E532" s="10"/>
      <c r="F532" s="47"/>
      <c r="G532" s="10"/>
      <c r="H532" s="20"/>
      <c r="I532" s="20"/>
      <c r="J532" s="10"/>
      <c r="K532" s="10"/>
      <c r="L532" s="10"/>
      <c r="M532" s="10"/>
      <c r="N532" s="10"/>
      <c r="O532" s="21"/>
    </row>
    <row r="533" spans="1:15" x14ac:dyDescent="0.35">
      <c r="A533" s="15">
        <f t="shared" si="8"/>
        <v>531</v>
      </c>
      <c r="B533" s="16"/>
      <c r="C533" s="19"/>
      <c r="D533" s="10"/>
      <c r="E533" s="10"/>
      <c r="F533" s="47"/>
      <c r="G533" s="10"/>
      <c r="H533" s="20"/>
      <c r="I533" s="20"/>
      <c r="J533" s="10"/>
      <c r="K533" s="10"/>
      <c r="L533" s="10"/>
      <c r="M533" s="10"/>
      <c r="N533" s="10"/>
      <c r="O533" s="21"/>
    </row>
    <row r="534" spans="1:15" x14ac:dyDescent="0.35">
      <c r="A534" s="15">
        <f t="shared" si="8"/>
        <v>532</v>
      </c>
      <c r="B534" s="16"/>
      <c r="C534" s="19"/>
      <c r="D534" s="10"/>
      <c r="E534" s="10"/>
      <c r="F534" s="47"/>
      <c r="G534" s="10"/>
      <c r="H534" s="20"/>
      <c r="I534" s="20"/>
      <c r="J534" s="10"/>
      <c r="K534" s="10"/>
      <c r="L534" s="10"/>
      <c r="M534" s="10"/>
      <c r="N534" s="10"/>
      <c r="O534" s="21"/>
    </row>
    <row r="535" spans="1:15" x14ac:dyDescent="0.35">
      <c r="A535" s="15">
        <f t="shared" si="8"/>
        <v>533</v>
      </c>
      <c r="B535" s="16"/>
      <c r="C535" s="19"/>
      <c r="D535" s="10"/>
      <c r="E535" s="10"/>
      <c r="F535" s="47"/>
      <c r="G535" s="10"/>
      <c r="H535" s="20"/>
      <c r="I535" s="20"/>
      <c r="J535" s="10"/>
      <c r="K535" s="10"/>
      <c r="L535" s="10"/>
      <c r="M535" s="10"/>
      <c r="N535" s="10"/>
      <c r="O535" s="21"/>
    </row>
    <row r="536" spans="1:15" x14ac:dyDescent="0.35">
      <c r="A536" s="15">
        <f t="shared" si="8"/>
        <v>534</v>
      </c>
      <c r="B536" s="16"/>
      <c r="C536" s="19"/>
      <c r="D536" s="10"/>
      <c r="E536" s="10"/>
      <c r="F536" s="47"/>
      <c r="G536" s="10"/>
      <c r="H536" s="20"/>
      <c r="I536" s="20"/>
      <c r="J536" s="10"/>
      <c r="K536" s="10"/>
      <c r="L536" s="10"/>
      <c r="M536" s="10"/>
      <c r="N536" s="10"/>
      <c r="O536" s="21"/>
    </row>
    <row r="537" spans="1:15" x14ac:dyDescent="0.35">
      <c r="A537" s="15">
        <f t="shared" si="8"/>
        <v>535</v>
      </c>
      <c r="B537" s="16"/>
      <c r="C537" s="19"/>
      <c r="D537" s="10"/>
      <c r="E537" s="10"/>
      <c r="F537" s="47"/>
      <c r="G537" s="10"/>
      <c r="H537" s="20"/>
      <c r="I537" s="20"/>
      <c r="J537" s="10"/>
      <c r="K537" s="10"/>
      <c r="L537" s="10"/>
      <c r="M537" s="10"/>
      <c r="N537" s="10"/>
      <c r="O537" s="21"/>
    </row>
    <row r="538" spans="1:15" x14ac:dyDescent="0.35">
      <c r="A538" s="15">
        <f t="shared" si="8"/>
        <v>536</v>
      </c>
      <c r="B538" s="16"/>
      <c r="C538" s="19"/>
      <c r="D538" s="10"/>
      <c r="E538" s="10"/>
      <c r="F538" s="47"/>
      <c r="G538" s="10"/>
      <c r="H538" s="20"/>
      <c r="I538" s="20"/>
      <c r="J538" s="10"/>
      <c r="K538" s="10"/>
      <c r="L538" s="10"/>
      <c r="M538" s="10"/>
      <c r="N538" s="10"/>
      <c r="O538" s="21"/>
    </row>
    <row r="539" spans="1:15" x14ac:dyDescent="0.35">
      <c r="A539" s="15">
        <f t="shared" si="8"/>
        <v>537</v>
      </c>
      <c r="B539" s="16"/>
      <c r="C539" s="19"/>
      <c r="D539" s="10"/>
      <c r="E539" s="10"/>
      <c r="F539" s="47"/>
      <c r="G539" s="10"/>
      <c r="H539" s="20"/>
      <c r="I539" s="20"/>
      <c r="J539" s="10"/>
      <c r="K539" s="10"/>
      <c r="L539" s="10"/>
      <c r="M539" s="10"/>
      <c r="N539" s="10"/>
      <c r="O539" s="21"/>
    </row>
    <row r="540" spans="1:15" x14ac:dyDescent="0.35">
      <c r="A540" s="15">
        <f t="shared" si="8"/>
        <v>538</v>
      </c>
      <c r="B540" s="16"/>
      <c r="C540" s="19"/>
      <c r="D540" s="10"/>
      <c r="E540" s="10"/>
      <c r="F540" s="47"/>
      <c r="G540" s="10"/>
      <c r="H540" s="20"/>
      <c r="I540" s="20"/>
      <c r="J540" s="10"/>
      <c r="K540" s="10"/>
      <c r="L540" s="10"/>
      <c r="M540" s="10"/>
      <c r="N540" s="10"/>
      <c r="O540" s="21"/>
    </row>
    <row r="541" spans="1:15" x14ac:dyDescent="0.35">
      <c r="A541" s="15">
        <f t="shared" si="8"/>
        <v>539</v>
      </c>
      <c r="B541" s="16"/>
      <c r="C541" s="19"/>
      <c r="D541" s="10"/>
      <c r="E541" s="10"/>
      <c r="F541" s="47"/>
      <c r="G541" s="10"/>
      <c r="H541" s="20"/>
      <c r="I541" s="20"/>
      <c r="J541" s="10"/>
      <c r="K541" s="10"/>
      <c r="L541" s="10"/>
      <c r="M541" s="10"/>
      <c r="N541" s="10"/>
      <c r="O541" s="21"/>
    </row>
    <row r="542" spans="1:15" x14ac:dyDescent="0.35">
      <c r="A542" s="15">
        <f t="shared" si="8"/>
        <v>540</v>
      </c>
      <c r="B542" s="16"/>
      <c r="C542" s="19"/>
      <c r="D542" s="10"/>
      <c r="E542" s="10"/>
      <c r="F542" s="47"/>
      <c r="G542" s="10"/>
      <c r="H542" s="20"/>
      <c r="I542" s="20"/>
      <c r="J542" s="10"/>
      <c r="K542" s="10"/>
      <c r="L542" s="10"/>
      <c r="M542" s="10"/>
      <c r="N542" s="10"/>
      <c r="O542" s="21"/>
    </row>
    <row r="543" spans="1:15" x14ac:dyDescent="0.35">
      <c r="A543" s="15">
        <f t="shared" si="8"/>
        <v>541</v>
      </c>
      <c r="B543" s="16"/>
      <c r="C543" s="19"/>
      <c r="D543" s="10"/>
      <c r="E543" s="10"/>
      <c r="F543" s="47"/>
      <c r="G543" s="10"/>
      <c r="H543" s="20"/>
      <c r="I543" s="20"/>
      <c r="J543" s="10"/>
      <c r="K543" s="10"/>
      <c r="L543" s="10"/>
      <c r="M543" s="10"/>
      <c r="N543" s="10"/>
      <c r="O543" s="21"/>
    </row>
    <row r="544" spans="1:15" x14ac:dyDescent="0.35">
      <c r="A544" s="15">
        <f t="shared" si="8"/>
        <v>542</v>
      </c>
      <c r="B544" s="16"/>
      <c r="C544" s="19"/>
      <c r="D544" s="10"/>
      <c r="E544" s="10"/>
      <c r="F544" s="47"/>
      <c r="G544" s="10"/>
      <c r="H544" s="20"/>
      <c r="I544" s="20"/>
      <c r="J544" s="10"/>
      <c r="K544" s="10"/>
      <c r="L544" s="10"/>
      <c r="M544" s="10"/>
      <c r="N544" s="10"/>
      <c r="O544" s="21"/>
    </row>
    <row r="545" spans="1:15" x14ac:dyDescent="0.35">
      <c r="A545" s="15">
        <f t="shared" si="8"/>
        <v>543</v>
      </c>
      <c r="B545" s="16"/>
      <c r="C545" s="19"/>
      <c r="D545" s="10"/>
      <c r="E545" s="10"/>
      <c r="F545" s="47"/>
      <c r="G545" s="10"/>
      <c r="H545" s="20"/>
      <c r="I545" s="20"/>
      <c r="J545" s="10"/>
      <c r="K545" s="10"/>
      <c r="L545" s="10"/>
      <c r="M545" s="10"/>
      <c r="N545" s="10"/>
      <c r="O545" s="21"/>
    </row>
    <row r="546" spans="1:15" x14ac:dyDescent="0.35">
      <c r="A546" s="15">
        <f t="shared" si="8"/>
        <v>544</v>
      </c>
      <c r="B546" s="16"/>
      <c r="C546" s="19"/>
      <c r="D546" s="10"/>
      <c r="E546" s="10"/>
      <c r="F546" s="47"/>
      <c r="G546" s="10"/>
      <c r="H546" s="20"/>
      <c r="I546" s="20"/>
      <c r="J546" s="10"/>
      <c r="K546" s="10"/>
      <c r="L546" s="10"/>
      <c r="M546" s="10"/>
      <c r="N546" s="10"/>
      <c r="O546" s="21"/>
    </row>
    <row r="547" spans="1:15" x14ac:dyDescent="0.35">
      <c r="A547" s="15">
        <f t="shared" si="8"/>
        <v>545</v>
      </c>
      <c r="B547" s="16"/>
      <c r="C547" s="19"/>
      <c r="D547" s="10"/>
      <c r="E547" s="10"/>
      <c r="F547" s="47"/>
      <c r="G547" s="10"/>
      <c r="H547" s="20"/>
      <c r="I547" s="20"/>
      <c r="J547" s="10"/>
      <c r="K547" s="10"/>
      <c r="L547" s="10"/>
      <c r="M547" s="10"/>
      <c r="N547" s="10"/>
      <c r="O547" s="21"/>
    </row>
    <row r="548" spans="1:15" x14ac:dyDescent="0.35">
      <c r="A548" s="15">
        <f t="shared" si="8"/>
        <v>546</v>
      </c>
      <c r="B548" s="16"/>
      <c r="C548" s="19"/>
      <c r="D548" s="10"/>
      <c r="E548" s="10"/>
      <c r="F548" s="47"/>
      <c r="G548" s="10"/>
      <c r="H548" s="20"/>
      <c r="I548" s="20"/>
      <c r="J548" s="10"/>
      <c r="K548" s="10"/>
      <c r="L548" s="10"/>
      <c r="M548" s="10"/>
      <c r="N548" s="10"/>
      <c r="O548" s="21"/>
    </row>
    <row r="549" spans="1:15" x14ac:dyDescent="0.35">
      <c r="A549" s="15">
        <f t="shared" si="8"/>
        <v>547</v>
      </c>
      <c r="B549" s="16"/>
      <c r="C549" s="19"/>
      <c r="D549" s="10"/>
      <c r="E549" s="10"/>
      <c r="F549" s="47"/>
      <c r="G549" s="10"/>
      <c r="H549" s="20"/>
      <c r="I549" s="20"/>
      <c r="J549" s="10"/>
      <c r="K549" s="10"/>
      <c r="L549" s="10"/>
      <c r="M549" s="10"/>
      <c r="N549" s="10"/>
      <c r="O549" s="21"/>
    </row>
    <row r="550" spans="1:15" x14ac:dyDescent="0.35">
      <c r="A550" s="15">
        <f t="shared" si="8"/>
        <v>548</v>
      </c>
      <c r="B550" s="16"/>
      <c r="C550" s="19"/>
      <c r="D550" s="10"/>
      <c r="E550" s="10"/>
      <c r="F550" s="47"/>
      <c r="G550" s="10"/>
      <c r="H550" s="20"/>
      <c r="I550" s="20"/>
      <c r="J550" s="10"/>
      <c r="K550" s="10"/>
      <c r="L550" s="10"/>
      <c r="M550" s="10"/>
      <c r="N550" s="10"/>
      <c r="O550" s="21"/>
    </row>
    <row r="551" spans="1:15" x14ac:dyDescent="0.35">
      <c r="A551" s="15">
        <f t="shared" si="8"/>
        <v>549</v>
      </c>
      <c r="B551" s="16"/>
      <c r="C551" s="19"/>
      <c r="D551" s="10"/>
      <c r="E551" s="10"/>
      <c r="F551" s="47"/>
      <c r="G551" s="10"/>
      <c r="H551" s="20"/>
      <c r="I551" s="20"/>
      <c r="J551" s="10"/>
      <c r="K551" s="10"/>
      <c r="L551" s="10"/>
      <c r="M551" s="10"/>
      <c r="N551" s="10"/>
      <c r="O551" s="21"/>
    </row>
    <row r="552" spans="1:15" x14ac:dyDescent="0.35">
      <c r="A552" s="15">
        <f t="shared" si="8"/>
        <v>550</v>
      </c>
      <c r="B552" s="16"/>
      <c r="C552" s="19"/>
      <c r="D552" s="10"/>
      <c r="E552" s="10"/>
      <c r="F552" s="47"/>
      <c r="G552" s="10"/>
      <c r="H552" s="20"/>
      <c r="I552" s="20"/>
      <c r="J552" s="10"/>
      <c r="K552" s="10"/>
      <c r="L552" s="10"/>
      <c r="M552" s="10"/>
      <c r="N552" s="10"/>
      <c r="O552" s="21"/>
    </row>
    <row r="553" spans="1:15" x14ac:dyDescent="0.35">
      <c r="A553" s="15">
        <f t="shared" si="8"/>
        <v>551</v>
      </c>
      <c r="B553" s="16"/>
      <c r="C553" s="19"/>
      <c r="D553" s="10"/>
      <c r="E553" s="10"/>
      <c r="F553" s="47"/>
      <c r="G553" s="10"/>
      <c r="H553" s="20"/>
      <c r="I553" s="20"/>
      <c r="J553" s="10"/>
      <c r="K553" s="10"/>
      <c r="L553" s="10"/>
      <c r="M553" s="10"/>
      <c r="N553" s="10"/>
      <c r="O553" s="21"/>
    </row>
    <row r="554" spans="1:15" x14ac:dyDescent="0.35">
      <c r="A554" s="15">
        <f t="shared" si="8"/>
        <v>552</v>
      </c>
      <c r="B554" s="16"/>
      <c r="C554" s="19"/>
      <c r="D554" s="10"/>
      <c r="E554" s="10"/>
      <c r="F554" s="47"/>
      <c r="G554" s="10"/>
      <c r="H554" s="20"/>
      <c r="I554" s="20"/>
      <c r="J554" s="10"/>
      <c r="K554" s="10"/>
      <c r="L554" s="10"/>
      <c r="M554" s="10"/>
      <c r="N554" s="10"/>
      <c r="O554" s="21"/>
    </row>
    <row r="555" spans="1:15" x14ac:dyDescent="0.35">
      <c r="A555" s="15">
        <f t="shared" si="8"/>
        <v>553</v>
      </c>
      <c r="B555" s="16"/>
      <c r="C555" s="19"/>
      <c r="D555" s="10"/>
      <c r="E555" s="10"/>
      <c r="F555" s="47"/>
      <c r="G555" s="10"/>
      <c r="H555" s="20"/>
      <c r="I555" s="20"/>
      <c r="J555" s="10"/>
      <c r="K555" s="10"/>
      <c r="L555" s="10"/>
      <c r="M555" s="10"/>
      <c r="N555" s="10"/>
      <c r="O555" s="21"/>
    </row>
    <row r="556" spans="1:15" x14ac:dyDescent="0.35">
      <c r="A556" s="15">
        <f t="shared" si="8"/>
        <v>554</v>
      </c>
      <c r="B556" s="51"/>
      <c r="C556" s="52"/>
      <c r="D556" s="53"/>
      <c r="E556" s="53"/>
      <c r="F556" s="54"/>
      <c r="G556" s="53"/>
      <c r="H556" s="55"/>
      <c r="I556" s="55"/>
      <c r="J556" s="53"/>
      <c r="K556" s="53"/>
      <c r="L556" s="53"/>
      <c r="M556" s="53"/>
      <c r="N556" s="53"/>
      <c r="O556" s="21"/>
    </row>
    <row r="557" spans="1:15" x14ac:dyDescent="0.35">
      <c r="A557" s="15">
        <f t="shared" si="8"/>
        <v>555</v>
      </c>
      <c r="B557" s="51"/>
      <c r="C557" s="52"/>
      <c r="D557" s="53"/>
      <c r="E557" s="53"/>
      <c r="F557" s="54"/>
      <c r="G557" s="53"/>
      <c r="H557" s="55"/>
      <c r="I557" s="55"/>
      <c r="J557" s="53"/>
      <c r="K557" s="53"/>
      <c r="L557" s="53"/>
      <c r="M557" s="53"/>
      <c r="N557" s="53"/>
      <c r="O557" s="21"/>
    </row>
    <row r="558" spans="1:15" x14ac:dyDescent="0.35">
      <c r="A558" s="15">
        <f t="shared" si="8"/>
        <v>556</v>
      </c>
      <c r="B558" s="16"/>
      <c r="C558" s="19"/>
      <c r="D558" s="10"/>
      <c r="E558" s="10"/>
      <c r="F558" s="47"/>
      <c r="G558" s="10"/>
      <c r="H558" s="20"/>
      <c r="I558" s="20"/>
      <c r="J558" s="10"/>
      <c r="K558" s="10"/>
      <c r="L558" s="10"/>
      <c r="M558" s="10"/>
      <c r="N558" s="10"/>
      <c r="O558" s="21"/>
    </row>
    <row r="559" spans="1:15" x14ac:dyDescent="0.35">
      <c r="A559" s="15">
        <f t="shared" si="8"/>
        <v>557</v>
      </c>
      <c r="B559" s="16"/>
      <c r="C559" s="19"/>
      <c r="D559" s="10"/>
      <c r="E559" s="10"/>
      <c r="F559" s="47"/>
      <c r="G559" s="10"/>
      <c r="H559" s="20"/>
      <c r="I559" s="20"/>
      <c r="J559" s="10"/>
      <c r="K559" s="10"/>
      <c r="L559" s="10"/>
      <c r="M559" s="10"/>
      <c r="N559" s="10"/>
      <c r="O559" s="21"/>
    </row>
    <row r="560" spans="1:15" x14ac:dyDescent="0.35">
      <c r="A560" s="15">
        <f t="shared" si="8"/>
        <v>558</v>
      </c>
      <c r="B560" s="16"/>
      <c r="C560" s="19"/>
      <c r="D560" s="10"/>
      <c r="E560" s="10"/>
      <c r="F560" s="47"/>
      <c r="G560" s="10"/>
      <c r="H560" s="20"/>
      <c r="I560" s="20"/>
      <c r="J560" s="10"/>
      <c r="K560" s="10"/>
      <c r="L560" s="10"/>
      <c r="M560" s="10"/>
      <c r="N560" s="10"/>
      <c r="O560" s="21"/>
    </row>
    <row r="561" spans="1:15" x14ac:dyDescent="0.35">
      <c r="A561" s="15">
        <f t="shared" si="8"/>
        <v>559</v>
      </c>
      <c r="B561" s="16"/>
      <c r="C561" s="19"/>
      <c r="D561" s="10"/>
      <c r="E561" s="10"/>
      <c r="F561" s="47"/>
      <c r="G561" s="10"/>
      <c r="H561" s="20"/>
      <c r="I561" s="20"/>
      <c r="J561" s="10"/>
      <c r="K561" s="10"/>
      <c r="L561" s="10"/>
      <c r="M561" s="10"/>
      <c r="N561" s="10"/>
      <c r="O561" s="21"/>
    </row>
    <row r="562" spans="1:15" x14ac:dyDescent="0.35">
      <c r="A562" s="15">
        <f t="shared" si="8"/>
        <v>560</v>
      </c>
      <c r="B562" s="16"/>
      <c r="C562" s="19"/>
      <c r="D562" s="10"/>
      <c r="E562" s="10"/>
      <c r="F562" s="47"/>
      <c r="G562" s="10"/>
      <c r="H562" s="20"/>
      <c r="I562" s="20"/>
      <c r="J562" s="10"/>
      <c r="K562" s="10"/>
      <c r="L562" s="10"/>
      <c r="M562" s="10"/>
      <c r="N562" s="10"/>
      <c r="O562" s="21"/>
    </row>
    <row r="563" spans="1:15" x14ac:dyDescent="0.35">
      <c r="A563" s="15">
        <f t="shared" si="8"/>
        <v>561</v>
      </c>
      <c r="B563" s="16"/>
      <c r="C563" s="19"/>
      <c r="D563" s="10"/>
      <c r="E563" s="10"/>
      <c r="F563" s="47"/>
      <c r="G563" s="10"/>
      <c r="H563" s="20"/>
      <c r="I563" s="20"/>
      <c r="J563" s="10"/>
      <c r="K563" s="10"/>
      <c r="L563" s="10"/>
      <c r="M563" s="10"/>
      <c r="N563" s="10"/>
      <c r="O563" s="21"/>
    </row>
    <row r="564" spans="1:15" x14ac:dyDescent="0.35">
      <c r="A564" s="15">
        <f t="shared" si="8"/>
        <v>562</v>
      </c>
      <c r="B564" s="16"/>
      <c r="C564" s="19"/>
      <c r="D564" s="10"/>
      <c r="E564" s="10"/>
      <c r="F564" s="47"/>
      <c r="G564" s="10"/>
      <c r="H564" s="20"/>
      <c r="I564" s="20"/>
      <c r="J564" s="10"/>
      <c r="K564" s="10"/>
      <c r="L564" s="10"/>
      <c r="M564" s="10"/>
      <c r="N564" s="10"/>
      <c r="O564" s="21"/>
    </row>
    <row r="565" spans="1:15" x14ac:dyDescent="0.35">
      <c r="A565" s="15">
        <f t="shared" si="8"/>
        <v>563</v>
      </c>
      <c r="B565" s="16"/>
      <c r="C565" s="19"/>
      <c r="D565" s="10"/>
      <c r="E565" s="10"/>
      <c r="F565" s="47"/>
      <c r="G565" s="10"/>
      <c r="H565" s="20"/>
      <c r="I565" s="20"/>
      <c r="J565" s="10"/>
      <c r="K565" s="10"/>
      <c r="L565" s="10"/>
      <c r="M565" s="10"/>
      <c r="N565" s="10"/>
      <c r="O565" s="21"/>
    </row>
    <row r="566" spans="1:15" x14ac:dyDescent="0.35">
      <c r="A566" s="15">
        <f t="shared" si="8"/>
        <v>564</v>
      </c>
      <c r="B566" s="16"/>
      <c r="C566" s="19"/>
      <c r="D566" s="10"/>
      <c r="E566" s="10"/>
      <c r="F566" s="47"/>
      <c r="G566" s="10"/>
      <c r="H566" s="20"/>
      <c r="I566" s="20"/>
      <c r="J566" s="10"/>
      <c r="K566" s="10"/>
      <c r="L566" s="10"/>
      <c r="M566" s="10"/>
      <c r="N566" s="10"/>
      <c r="O566" s="21"/>
    </row>
    <row r="567" spans="1:15" x14ac:dyDescent="0.35">
      <c r="A567" s="15">
        <f t="shared" si="8"/>
        <v>565</v>
      </c>
      <c r="B567" s="16"/>
      <c r="C567" s="19"/>
      <c r="D567" s="10"/>
      <c r="E567" s="10"/>
      <c r="F567" s="47"/>
      <c r="G567" s="10"/>
      <c r="H567" s="20"/>
      <c r="I567" s="20"/>
      <c r="J567" s="10"/>
      <c r="K567" s="10"/>
      <c r="L567" s="10"/>
      <c r="M567" s="10"/>
      <c r="N567" s="10"/>
      <c r="O567" s="21"/>
    </row>
    <row r="568" spans="1:15" x14ac:dyDescent="0.35">
      <c r="A568" s="15">
        <f t="shared" si="8"/>
        <v>566</v>
      </c>
      <c r="B568" s="16"/>
      <c r="C568" s="19"/>
      <c r="D568" s="10"/>
      <c r="E568" s="10"/>
      <c r="F568" s="47"/>
      <c r="G568" s="10"/>
      <c r="H568" s="20"/>
      <c r="I568" s="20"/>
      <c r="J568" s="10"/>
      <c r="K568" s="10"/>
      <c r="L568" s="10"/>
      <c r="M568" s="10"/>
      <c r="N568" s="10"/>
      <c r="O568" s="21"/>
    </row>
    <row r="569" spans="1:15" x14ac:dyDescent="0.35">
      <c r="A569" s="15">
        <f t="shared" si="8"/>
        <v>567</v>
      </c>
      <c r="B569" s="16"/>
      <c r="C569" s="19"/>
      <c r="D569" s="10"/>
      <c r="E569" s="10"/>
      <c r="F569" s="47"/>
      <c r="G569" s="10"/>
      <c r="H569" s="20"/>
      <c r="I569" s="20"/>
      <c r="J569" s="10"/>
      <c r="K569" s="10"/>
      <c r="L569" s="10"/>
      <c r="M569" s="10"/>
      <c r="N569" s="10"/>
      <c r="O569" s="21"/>
    </row>
    <row r="570" spans="1:15" x14ac:dyDescent="0.35">
      <c r="A570" s="15">
        <f t="shared" si="8"/>
        <v>568</v>
      </c>
      <c r="B570" s="16"/>
      <c r="C570" s="19"/>
      <c r="D570" s="10"/>
      <c r="E570" s="10"/>
      <c r="F570" s="47"/>
      <c r="G570" s="10"/>
      <c r="H570" s="20"/>
      <c r="I570" s="20"/>
      <c r="J570" s="10"/>
      <c r="K570" s="10"/>
      <c r="L570" s="10"/>
      <c r="M570" s="10"/>
      <c r="N570" s="10"/>
      <c r="O570" s="21"/>
    </row>
    <row r="571" spans="1:15" x14ac:dyDescent="0.35">
      <c r="A571" s="15">
        <f t="shared" si="8"/>
        <v>569</v>
      </c>
      <c r="B571" s="16"/>
      <c r="C571" s="19"/>
      <c r="D571" s="10"/>
      <c r="E571" s="10"/>
      <c r="F571" s="47"/>
      <c r="G571" s="10"/>
      <c r="H571" s="20"/>
      <c r="I571" s="20"/>
      <c r="J571" s="10"/>
      <c r="K571" s="10"/>
      <c r="L571" s="10"/>
      <c r="M571" s="10"/>
      <c r="N571" s="10"/>
      <c r="O571" s="21"/>
    </row>
    <row r="572" spans="1:15" x14ac:dyDescent="0.35">
      <c r="A572" s="15">
        <f t="shared" si="8"/>
        <v>570</v>
      </c>
      <c r="B572" s="16"/>
      <c r="C572" s="19"/>
      <c r="D572" s="10"/>
      <c r="E572" s="10"/>
      <c r="F572" s="47"/>
      <c r="G572" s="10"/>
      <c r="H572" s="20"/>
      <c r="I572" s="20"/>
      <c r="J572" s="10"/>
      <c r="K572" s="10"/>
      <c r="L572" s="10"/>
      <c r="M572" s="10"/>
      <c r="N572" s="10"/>
      <c r="O572" s="21"/>
    </row>
    <row r="573" spans="1:15" x14ac:dyDescent="0.35">
      <c r="A573" s="15">
        <f t="shared" si="8"/>
        <v>571</v>
      </c>
      <c r="B573" s="16"/>
      <c r="C573" s="19"/>
      <c r="D573" s="10"/>
      <c r="E573" s="10"/>
      <c r="F573" s="47"/>
      <c r="G573" s="10"/>
      <c r="H573" s="20"/>
      <c r="I573" s="20"/>
      <c r="J573" s="10"/>
      <c r="K573" s="10"/>
      <c r="L573" s="10"/>
      <c r="M573" s="10"/>
      <c r="N573" s="10"/>
      <c r="O573" s="21"/>
    </row>
    <row r="574" spans="1:15" x14ac:dyDescent="0.35">
      <c r="A574" s="15">
        <f t="shared" si="8"/>
        <v>572</v>
      </c>
      <c r="B574" s="16"/>
      <c r="C574" s="19"/>
      <c r="D574" s="10"/>
      <c r="E574" s="10"/>
      <c r="F574" s="47"/>
      <c r="G574" s="10"/>
      <c r="H574" s="20"/>
      <c r="I574" s="20"/>
      <c r="J574" s="10"/>
      <c r="K574" s="10"/>
      <c r="L574" s="10"/>
      <c r="M574" s="10"/>
      <c r="N574" s="10"/>
      <c r="O574" s="21"/>
    </row>
    <row r="575" spans="1:15" x14ac:dyDescent="0.35">
      <c r="A575" s="15">
        <f t="shared" si="8"/>
        <v>573</v>
      </c>
      <c r="B575" s="16"/>
      <c r="C575" s="19"/>
      <c r="D575" s="10"/>
      <c r="E575" s="10"/>
      <c r="F575" s="47"/>
      <c r="G575" s="10"/>
      <c r="H575" s="20"/>
      <c r="I575" s="20"/>
      <c r="J575" s="10"/>
      <c r="K575" s="10"/>
      <c r="L575" s="10"/>
      <c r="M575" s="10"/>
      <c r="N575" s="10"/>
      <c r="O575" s="21"/>
    </row>
    <row r="576" spans="1:15" x14ac:dyDescent="0.35">
      <c r="A576" s="15">
        <f t="shared" si="8"/>
        <v>574</v>
      </c>
      <c r="B576" s="16"/>
      <c r="C576" s="19"/>
      <c r="D576" s="10"/>
      <c r="E576" s="10"/>
      <c r="F576" s="47"/>
      <c r="G576" s="10"/>
      <c r="H576" s="20"/>
      <c r="I576" s="20"/>
      <c r="J576" s="10"/>
      <c r="K576" s="10"/>
      <c r="L576" s="10"/>
      <c r="M576" s="10"/>
      <c r="N576" s="10"/>
      <c r="O576" s="21"/>
    </row>
    <row r="577" spans="1:15" x14ac:dyDescent="0.35">
      <c r="A577" s="15">
        <f t="shared" si="8"/>
        <v>575</v>
      </c>
      <c r="B577" s="16"/>
      <c r="C577" s="19"/>
      <c r="D577" s="10"/>
      <c r="E577" s="10"/>
      <c r="F577" s="47"/>
      <c r="G577" s="10"/>
      <c r="H577" s="20"/>
      <c r="I577" s="20"/>
      <c r="J577" s="10"/>
      <c r="K577" s="10"/>
      <c r="L577" s="10"/>
      <c r="M577" s="10"/>
      <c r="N577" s="10"/>
      <c r="O577" s="21"/>
    </row>
    <row r="578" spans="1:15" x14ac:dyDescent="0.35">
      <c r="A578" s="15">
        <f t="shared" si="8"/>
        <v>576</v>
      </c>
      <c r="B578" s="16"/>
      <c r="C578" s="19"/>
      <c r="D578" s="10"/>
      <c r="E578" s="10"/>
      <c r="F578" s="47"/>
      <c r="G578" s="10"/>
      <c r="H578" s="20"/>
      <c r="I578" s="20"/>
      <c r="J578" s="10"/>
      <c r="K578" s="10"/>
      <c r="L578" s="10"/>
      <c r="M578" s="10"/>
      <c r="N578" s="10"/>
      <c r="O578" s="21"/>
    </row>
    <row r="579" spans="1:15" x14ac:dyDescent="0.35">
      <c r="A579" s="15">
        <f t="shared" si="8"/>
        <v>577</v>
      </c>
      <c r="B579" s="16"/>
      <c r="C579" s="19"/>
      <c r="D579" s="10"/>
      <c r="E579" s="10"/>
      <c r="F579" s="47"/>
      <c r="G579" s="10"/>
      <c r="H579" s="20"/>
      <c r="I579" s="20"/>
      <c r="J579" s="10"/>
      <c r="K579" s="10"/>
      <c r="L579" s="10"/>
      <c r="M579" s="10"/>
      <c r="N579" s="10"/>
      <c r="O579" s="21"/>
    </row>
    <row r="580" spans="1:15" x14ac:dyDescent="0.35">
      <c r="A580" s="15">
        <f t="shared" si="8"/>
        <v>578</v>
      </c>
      <c r="B580" s="16"/>
      <c r="C580" s="19"/>
      <c r="D580" s="10"/>
      <c r="E580" s="10"/>
      <c r="F580" s="47"/>
      <c r="G580" s="10"/>
      <c r="H580" s="20"/>
      <c r="I580" s="20"/>
      <c r="J580" s="10"/>
      <c r="K580" s="10"/>
      <c r="L580" s="10"/>
      <c r="M580" s="10"/>
      <c r="N580" s="10"/>
      <c r="O580" s="21"/>
    </row>
    <row r="581" spans="1:15" x14ac:dyDescent="0.35">
      <c r="A581" s="15">
        <f t="shared" si="8"/>
        <v>579</v>
      </c>
      <c r="B581" s="16"/>
      <c r="C581" s="19"/>
      <c r="D581" s="10"/>
      <c r="E581" s="10"/>
      <c r="F581" s="47"/>
      <c r="G581" s="10"/>
      <c r="H581" s="20"/>
      <c r="I581" s="20"/>
      <c r="J581" s="10"/>
      <c r="K581" s="10"/>
      <c r="L581" s="10"/>
      <c r="M581" s="10"/>
      <c r="N581" s="10"/>
      <c r="O581" s="21"/>
    </row>
    <row r="582" spans="1:15" x14ac:dyDescent="0.35">
      <c r="A582" s="15">
        <f t="shared" si="8"/>
        <v>580</v>
      </c>
      <c r="B582" s="16"/>
      <c r="C582" s="19"/>
      <c r="D582" s="10"/>
      <c r="E582" s="10"/>
      <c r="F582" s="47"/>
      <c r="G582" s="10"/>
      <c r="H582" s="20"/>
      <c r="I582" s="20"/>
      <c r="J582" s="10"/>
      <c r="K582" s="10"/>
      <c r="L582" s="10"/>
      <c r="M582" s="10"/>
      <c r="N582" s="10"/>
      <c r="O582" s="21"/>
    </row>
    <row r="583" spans="1:15" x14ac:dyDescent="0.35">
      <c r="A583" s="15">
        <f t="shared" si="8"/>
        <v>581</v>
      </c>
      <c r="B583" s="16"/>
      <c r="C583" s="19"/>
      <c r="D583" s="10"/>
      <c r="E583" s="10"/>
      <c r="F583" s="47"/>
      <c r="G583" s="10"/>
      <c r="H583" s="20"/>
      <c r="I583" s="20"/>
      <c r="J583" s="10"/>
      <c r="K583" s="10"/>
      <c r="L583" s="10"/>
      <c r="M583" s="10"/>
      <c r="N583" s="10"/>
      <c r="O583" s="21"/>
    </row>
    <row r="584" spans="1:15" x14ac:dyDescent="0.35">
      <c r="A584" s="15">
        <f t="shared" si="8"/>
        <v>582</v>
      </c>
      <c r="B584" s="16"/>
      <c r="C584" s="19"/>
      <c r="D584" s="10"/>
      <c r="E584" s="10"/>
      <c r="F584" s="47"/>
      <c r="G584" s="10"/>
      <c r="H584" s="20"/>
      <c r="I584" s="20"/>
      <c r="J584" s="10"/>
      <c r="K584" s="10"/>
      <c r="L584" s="10"/>
      <c r="M584" s="10"/>
      <c r="N584" s="10"/>
      <c r="O584" s="21"/>
    </row>
    <row r="585" spans="1:15" x14ac:dyDescent="0.35">
      <c r="A585" s="15">
        <f t="shared" si="8"/>
        <v>583</v>
      </c>
      <c r="B585" s="16"/>
      <c r="C585" s="19"/>
      <c r="D585" s="10"/>
      <c r="E585" s="10"/>
      <c r="F585" s="47"/>
      <c r="G585" s="10"/>
      <c r="H585" s="20"/>
      <c r="I585" s="20"/>
      <c r="J585" s="10"/>
      <c r="K585" s="10"/>
      <c r="L585" s="10"/>
      <c r="M585" s="10"/>
      <c r="N585" s="10"/>
      <c r="O585" s="21"/>
    </row>
    <row r="586" spans="1:15" x14ac:dyDescent="0.35">
      <c r="A586" s="15">
        <f t="shared" si="8"/>
        <v>584</v>
      </c>
      <c r="B586" s="16"/>
      <c r="C586" s="19"/>
      <c r="D586" s="10"/>
      <c r="E586" s="10"/>
      <c r="F586" s="47"/>
      <c r="G586" s="10"/>
      <c r="H586" s="20"/>
      <c r="I586" s="20"/>
      <c r="J586" s="10"/>
      <c r="K586" s="10"/>
      <c r="L586" s="10"/>
      <c r="M586" s="10"/>
      <c r="N586" s="10"/>
      <c r="O586" s="21"/>
    </row>
    <row r="587" spans="1:15" x14ac:dyDescent="0.35">
      <c r="A587" s="15">
        <f t="shared" ref="A587:A650" si="9">+A586+1</f>
        <v>585</v>
      </c>
      <c r="B587" s="16"/>
      <c r="C587" s="19"/>
      <c r="D587" s="10"/>
      <c r="E587" s="10"/>
      <c r="F587" s="47"/>
      <c r="G587" s="10"/>
      <c r="H587" s="20"/>
      <c r="I587" s="20"/>
      <c r="J587" s="10"/>
      <c r="K587" s="10"/>
      <c r="L587" s="10"/>
      <c r="M587" s="10"/>
      <c r="N587" s="10"/>
      <c r="O587" s="21"/>
    </row>
    <row r="588" spans="1:15" x14ac:dyDescent="0.35">
      <c r="A588" s="15">
        <f t="shared" si="9"/>
        <v>586</v>
      </c>
      <c r="B588" s="16"/>
      <c r="C588" s="19"/>
      <c r="D588" s="10"/>
      <c r="E588" s="10"/>
      <c r="F588" s="47"/>
      <c r="G588" s="10"/>
      <c r="H588" s="20"/>
      <c r="I588" s="20"/>
      <c r="J588" s="10"/>
      <c r="K588" s="10"/>
      <c r="L588" s="10"/>
      <c r="M588" s="10"/>
      <c r="N588" s="10"/>
      <c r="O588" s="21"/>
    </row>
    <row r="589" spans="1:15" x14ac:dyDescent="0.35">
      <c r="A589" s="15">
        <f t="shared" si="9"/>
        <v>587</v>
      </c>
      <c r="B589" s="16"/>
      <c r="C589" s="19"/>
      <c r="D589" s="10"/>
      <c r="E589" s="10"/>
      <c r="F589" s="47"/>
      <c r="G589" s="10"/>
      <c r="H589" s="20"/>
      <c r="I589" s="20"/>
      <c r="J589" s="10"/>
      <c r="K589" s="10"/>
      <c r="L589" s="10"/>
      <c r="M589" s="10"/>
      <c r="N589" s="10"/>
      <c r="O589" s="21"/>
    </row>
    <row r="590" spans="1:15" x14ac:dyDescent="0.35">
      <c r="A590" s="15">
        <f t="shared" si="9"/>
        <v>588</v>
      </c>
      <c r="B590" s="16"/>
      <c r="C590" s="19"/>
      <c r="D590" s="10"/>
      <c r="E590" s="10"/>
      <c r="F590" s="47"/>
      <c r="G590" s="10"/>
      <c r="H590" s="20"/>
      <c r="I590" s="20"/>
      <c r="J590" s="10"/>
      <c r="K590" s="10"/>
      <c r="L590" s="10"/>
      <c r="M590" s="10"/>
      <c r="N590" s="10"/>
      <c r="O590" s="21"/>
    </row>
    <row r="591" spans="1:15" x14ac:dyDescent="0.35">
      <c r="A591" s="15">
        <f t="shared" si="9"/>
        <v>589</v>
      </c>
      <c r="B591" s="16"/>
      <c r="C591" s="19"/>
      <c r="D591" s="10"/>
      <c r="E591" s="10"/>
      <c r="F591" s="47"/>
      <c r="G591" s="10"/>
      <c r="H591" s="20"/>
      <c r="I591" s="20"/>
      <c r="J591" s="10"/>
      <c r="K591" s="10"/>
      <c r="L591" s="10"/>
      <c r="M591" s="10"/>
      <c r="N591" s="10"/>
      <c r="O591" s="21"/>
    </row>
    <row r="592" spans="1:15" x14ac:dyDescent="0.35">
      <c r="A592" s="15">
        <f t="shared" si="9"/>
        <v>590</v>
      </c>
      <c r="B592" s="16"/>
      <c r="C592" s="19"/>
      <c r="D592" s="10"/>
      <c r="E592" s="10"/>
      <c r="F592" s="47"/>
      <c r="G592" s="10"/>
      <c r="H592" s="20"/>
      <c r="I592" s="20"/>
      <c r="J592" s="10"/>
      <c r="K592" s="10"/>
      <c r="L592" s="10"/>
      <c r="M592" s="10"/>
      <c r="N592" s="10"/>
      <c r="O592" s="21"/>
    </row>
    <row r="593" spans="1:15" x14ac:dyDescent="0.35">
      <c r="A593" s="15">
        <f t="shared" si="9"/>
        <v>591</v>
      </c>
      <c r="B593" s="16"/>
      <c r="C593" s="19"/>
      <c r="D593" s="10"/>
      <c r="E593" s="10"/>
      <c r="F593" s="47"/>
      <c r="G593" s="10"/>
      <c r="H593" s="20"/>
      <c r="I593" s="20"/>
      <c r="J593" s="10"/>
      <c r="K593" s="10"/>
      <c r="L593" s="10"/>
      <c r="M593" s="10"/>
      <c r="N593" s="10"/>
      <c r="O593" s="21"/>
    </row>
    <row r="594" spans="1:15" x14ac:dyDescent="0.35">
      <c r="A594" s="15">
        <f t="shared" si="9"/>
        <v>592</v>
      </c>
      <c r="B594" s="16"/>
      <c r="C594" s="19"/>
      <c r="D594" s="10"/>
      <c r="E594" s="10"/>
      <c r="F594" s="47"/>
      <c r="G594" s="10"/>
      <c r="H594" s="20"/>
      <c r="I594" s="20"/>
      <c r="J594" s="10"/>
      <c r="K594" s="10"/>
      <c r="L594" s="10"/>
      <c r="M594" s="10"/>
      <c r="N594" s="10"/>
      <c r="O594" s="21"/>
    </row>
    <row r="595" spans="1:15" x14ac:dyDescent="0.35">
      <c r="A595" s="15">
        <f t="shared" si="9"/>
        <v>593</v>
      </c>
      <c r="B595" s="16"/>
      <c r="C595" s="19"/>
      <c r="D595" s="10"/>
      <c r="E595" s="10"/>
      <c r="F595" s="47"/>
      <c r="G595" s="10"/>
      <c r="H595" s="20"/>
      <c r="I595" s="20"/>
      <c r="J595" s="10"/>
      <c r="K595" s="10"/>
      <c r="L595" s="10"/>
      <c r="M595" s="10"/>
      <c r="N595" s="10"/>
      <c r="O595" s="21"/>
    </row>
    <row r="596" spans="1:15" x14ac:dyDescent="0.35">
      <c r="A596" s="15">
        <f t="shared" si="9"/>
        <v>594</v>
      </c>
      <c r="B596" s="16"/>
      <c r="C596" s="19"/>
      <c r="D596" s="10"/>
      <c r="E596" s="10"/>
      <c r="F596" s="47"/>
      <c r="G596" s="10"/>
      <c r="H596" s="20"/>
      <c r="I596" s="20"/>
      <c r="J596" s="10"/>
      <c r="K596" s="10"/>
      <c r="L596" s="10"/>
      <c r="M596" s="10"/>
      <c r="N596" s="10"/>
      <c r="O596" s="21"/>
    </row>
    <row r="597" spans="1:15" x14ac:dyDescent="0.35">
      <c r="A597" s="15">
        <f t="shared" si="9"/>
        <v>595</v>
      </c>
      <c r="B597" s="16"/>
      <c r="C597" s="19"/>
      <c r="D597" s="10"/>
      <c r="E597" s="10"/>
      <c r="F597" s="47"/>
      <c r="G597" s="10"/>
      <c r="H597" s="20"/>
      <c r="I597" s="20"/>
      <c r="J597" s="10"/>
      <c r="K597" s="10"/>
      <c r="L597" s="10"/>
      <c r="M597" s="10"/>
      <c r="N597" s="10"/>
      <c r="O597" s="21"/>
    </row>
    <row r="598" spans="1:15" x14ac:dyDescent="0.35">
      <c r="A598" s="15">
        <f t="shared" si="9"/>
        <v>596</v>
      </c>
      <c r="B598" s="16"/>
      <c r="C598" s="19"/>
      <c r="D598" s="10"/>
      <c r="E598" s="10"/>
      <c r="F598" s="47"/>
      <c r="G598" s="10"/>
      <c r="H598" s="20"/>
      <c r="I598" s="20"/>
      <c r="J598" s="10"/>
      <c r="K598" s="10"/>
      <c r="L598" s="10"/>
      <c r="M598" s="10"/>
      <c r="N598" s="10"/>
      <c r="O598" s="21"/>
    </row>
    <row r="599" spans="1:15" x14ac:dyDescent="0.35">
      <c r="A599" s="15">
        <f t="shared" si="9"/>
        <v>597</v>
      </c>
      <c r="B599" s="16"/>
      <c r="C599" s="19"/>
      <c r="D599" s="10"/>
      <c r="E599" s="10"/>
      <c r="F599" s="47"/>
      <c r="G599" s="10"/>
      <c r="H599" s="20"/>
      <c r="I599" s="20"/>
      <c r="J599" s="10"/>
      <c r="K599" s="10"/>
      <c r="L599" s="10"/>
      <c r="M599" s="10"/>
      <c r="N599" s="10"/>
      <c r="O599" s="21"/>
    </row>
    <row r="600" spans="1:15" x14ac:dyDescent="0.35">
      <c r="A600" s="15">
        <f t="shared" si="9"/>
        <v>598</v>
      </c>
      <c r="B600" s="16"/>
      <c r="C600" s="19"/>
      <c r="D600" s="10"/>
      <c r="E600" s="10"/>
      <c r="F600" s="47"/>
      <c r="G600" s="10"/>
      <c r="H600" s="20"/>
      <c r="I600" s="20"/>
      <c r="J600" s="10"/>
      <c r="K600" s="10"/>
      <c r="L600" s="10"/>
      <c r="M600" s="10"/>
      <c r="N600" s="10"/>
      <c r="O600" s="21"/>
    </row>
    <row r="601" spans="1:15" x14ac:dyDescent="0.35">
      <c r="A601" s="15">
        <f t="shared" si="9"/>
        <v>599</v>
      </c>
      <c r="B601" s="16"/>
      <c r="C601" s="19"/>
      <c r="D601" s="10"/>
      <c r="E601" s="10"/>
      <c r="F601" s="47"/>
      <c r="G601" s="10"/>
      <c r="H601" s="20"/>
      <c r="I601" s="20"/>
      <c r="J601" s="10"/>
      <c r="K601" s="10"/>
      <c r="L601" s="10"/>
      <c r="M601" s="10"/>
      <c r="N601" s="10"/>
      <c r="O601" s="21"/>
    </row>
    <row r="602" spans="1:15" x14ac:dyDescent="0.35">
      <c r="A602" s="15">
        <f t="shared" si="9"/>
        <v>600</v>
      </c>
      <c r="B602" s="16"/>
      <c r="C602" s="19"/>
      <c r="D602" s="10"/>
      <c r="E602" s="10"/>
      <c r="F602" s="47"/>
      <c r="G602" s="10"/>
      <c r="H602" s="20"/>
      <c r="I602" s="20"/>
      <c r="J602" s="10"/>
      <c r="K602" s="10"/>
      <c r="L602" s="10"/>
      <c r="M602" s="10"/>
      <c r="N602" s="10"/>
      <c r="O602" s="21"/>
    </row>
    <row r="603" spans="1:15" x14ac:dyDescent="0.35">
      <c r="A603" s="15">
        <f t="shared" si="9"/>
        <v>601</v>
      </c>
      <c r="B603" s="16"/>
      <c r="C603" s="19"/>
      <c r="D603" s="10"/>
      <c r="E603" s="10"/>
      <c r="F603" s="47"/>
      <c r="G603" s="10"/>
      <c r="H603" s="20"/>
      <c r="I603" s="20"/>
      <c r="J603" s="10"/>
      <c r="K603" s="10"/>
      <c r="L603" s="10"/>
      <c r="M603" s="10"/>
      <c r="N603" s="10"/>
      <c r="O603" s="21"/>
    </row>
    <row r="604" spans="1:15" x14ac:dyDescent="0.35">
      <c r="A604" s="15">
        <f t="shared" si="9"/>
        <v>602</v>
      </c>
      <c r="B604" s="16"/>
      <c r="C604" s="19"/>
      <c r="D604" s="10"/>
      <c r="E604" s="10"/>
      <c r="F604" s="47"/>
      <c r="G604" s="10"/>
      <c r="H604" s="20"/>
      <c r="I604" s="20"/>
      <c r="J604" s="10"/>
      <c r="K604" s="10"/>
      <c r="L604" s="10"/>
      <c r="M604" s="10"/>
      <c r="N604" s="10"/>
      <c r="O604" s="21"/>
    </row>
    <row r="605" spans="1:15" x14ac:dyDescent="0.35">
      <c r="A605" s="15">
        <f t="shared" si="9"/>
        <v>603</v>
      </c>
      <c r="B605" s="16"/>
      <c r="C605" s="19"/>
      <c r="D605" s="10"/>
      <c r="E605" s="10"/>
      <c r="F605" s="47"/>
      <c r="G605" s="10"/>
      <c r="H605" s="20"/>
      <c r="I605" s="20"/>
      <c r="J605" s="10"/>
      <c r="K605" s="10"/>
      <c r="L605" s="10"/>
      <c r="M605" s="10"/>
      <c r="N605" s="10"/>
      <c r="O605" s="21"/>
    </row>
    <row r="606" spans="1:15" x14ac:dyDescent="0.35">
      <c r="A606" s="15">
        <f t="shared" si="9"/>
        <v>604</v>
      </c>
      <c r="B606" s="16"/>
      <c r="C606" s="19"/>
      <c r="D606" s="10"/>
      <c r="E606" s="10"/>
      <c r="F606" s="47"/>
      <c r="G606" s="10"/>
      <c r="H606" s="20"/>
      <c r="I606" s="20"/>
      <c r="J606" s="10"/>
      <c r="K606" s="10"/>
      <c r="L606" s="10"/>
      <c r="M606" s="10"/>
      <c r="N606" s="10"/>
      <c r="O606" s="21"/>
    </row>
    <row r="607" spans="1:15" x14ac:dyDescent="0.35">
      <c r="A607" s="15">
        <f t="shared" si="9"/>
        <v>605</v>
      </c>
      <c r="B607" s="16"/>
      <c r="C607" s="19"/>
      <c r="D607" s="10"/>
      <c r="E607" s="10"/>
      <c r="F607" s="47"/>
      <c r="G607" s="10"/>
      <c r="H607" s="20"/>
      <c r="I607" s="20"/>
      <c r="J607" s="10"/>
      <c r="K607" s="10"/>
      <c r="L607" s="10"/>
      <c r="M607" s="10"/>
      <c r="N607" s="10"/>
      <c r="O607" s="21"/>
    </row>
    <row r="608" spans="1:15" x14ac:dyDescent="0.35">
      <c r="A608" s="15">
        <f t="shared" si="9"/>
        <v>606</v>
      </c>
      <c r="B608" s="16"/>
      <c r="C608" s="19"/>
      <c r="D608" s="10"/>
      <c r="E608" s="10"/>
      <c r="F608" s="47"/>
      <c r="G608" s="10"/>
      <c r="H608" s="20"/>
      <c r="I608" s="20"/>
      <c r="J608" s="10"/>
      <c r="K608" s="10"/>
      <c r="L608" s="10"/>
      <c r="M608" s="10"/>
      <c r="N608" s="10"/>
      <c r="O608" s="21"/>
    </row>
    <row r="609" spans="1:15" x14ac:dyDescent="0.35">
      <c r="A609" s="15">
        <f t="shared" si="9"/>
        <v>607</v>
      </c>
      <c r="B609" s="16"/>
      <c r="C609" s="19"/>
      <c r="D609" s="10"/>
      <c r="E609" s="10"/>
      <c r="F609" s="47"/>
      <c r="G609" s="10"/>
      <c r="H609" s="20"/>
      <c r="I609" s="20"/>
      <c r="J609" s="10"/>
      <c r="K609" s="10"/>
      <c r="L609" s="10"/>
      <c r="M609" s="10"/>
      <c r="N609" s="10"/>
      <c r="O609" s="21"/>
    </row>
    <row r="610" spans="1:15" x14ac:dyDescent="0.35">
      <c r="A610" s="15">
        <f t="shared" si="9"/>
        <v>608</v>
      </c>
      <c r="B610" s="16"/>
      <c r="C610" s="19"/>
      <c r="D610" s="10"/>
      <c r="E610" s="10"/>
      <c r="F610" s="47"/>
      <c r="G610" s="10"/>
      <c r="H610" s="20"/>
      <c r="I610" s="20"/>
      <c r="J610" s="10"/>
      <c r="K610" s="10"/>
      <c r="L610" s="10"/>
      <c r="M610" s="10"/>
      <c r="N610" s="10"/>
      <c r="O610" s="21"/>
    </row>
    <row r="611" spans="1:15" x14ac:dyDescent="0.35">
      <c r="A611" s="15">
        <f t="shared" si="9"/>
        <v>609</v>
      </c>
      <c r="B611" s="16"/>
      <c r="C611" s="19"/>
      <c r="D611" s="10"/>
      <c r="E611" s="10"/>
      <c r="F611" s="47"/>
      <c r="G611" s="10"/>
      <c r="H611" s="20"/>
      <c r="I611" s="20"/>
      <c r="J611" s="10"/>
      <c r="K611" s="10"/>
      <c r="L611" s="10"/>
      <c r="M611" s="10"/>
      <c r="N611" s="10"/>
      <c r="O611" s="21"/>
    </row>
    <row r="612" spans="1:15" x14ac:dyDescent="0.35">
      <c r="A612" s="15">
        <f t="shared" si="9"/>
        <v>610</v>
      </c>
      <c r="B612" s="16"/>
      <c r="C612" s="19"/>
      <c r="D612" s="10"/>
      <c r="E612" s="53"/>
      <c r="F612" s="54"/>
      <c r="G612" s="53"/>
      <c r="H612" s="55"/>
      <c r="I612" s="55"/>
      <c r="J612" s="10"/>
      <c r="K612" s="10"/>
      <c r="L612" s="10"/>
      <c r="M612" s="10"/>
      <c r="N612" s="10"/>
      <c r="O612" s="21"/>
    </row>
    <row r="613" spans="1:15" x14ac:dyDescent="0.35">
      <c r="A613" s="15">
        <f t="shared" si="9"/>
        <v>611</v>
      </c>
      <c r="B613" s="16"/>
      <c r="C613" s="19"/>
      <c r="D613" s="10"/>
      <c r="E613" s="10"/>
      <c r="F613" s="47"/>
      <c r="G613" s="10"/>
      <c r="H613" s="20"/>
      <c r="I613" s="20"/>
      <c r="J613" s="10"/>
      <c r="K613" s="10"/>
      <c r="L613" s="10"/>
      <c r="M613" s="10"/>
      <c r="N613" s="10"/>
      <c r="O613" s="21"/>
    </row>
    <row r="614" spans="1:15" x14ac:dyDescent="0.35">
      <c r="A614" s="15">
        <f t="shared" si="9"/>
        <v>612</v>
      </c>
      <c r="B614" s="16"/>
      <c r="C614" s="19"/>
      <c r="D614" s="10"/>
      <c r="E614" s="10"/>
      <c r="F614" s="47"/>
      <c r="G614" s="10"/>
      <c r="H614" s="20"/>
      <c r="I614" s="20"/>
      <c r="J614" s="10"/>
      <c r="K614" s="10"/>
      <c r="L614" s="10"/>
      <c r="M614" s="10"/>
      <c r="N614" s="10"/>
      <c r="O614" s="21"/>
    </row>
    <row r="615" spans="1:15" x14ac:dyDescent="0.35">
      <c r="A615" s="15">
        <f t="shared" si="9"/>
        <v>613</v>
      </c>
      <c r="B615" s="16"/>
      <c r="C615" s="19"/>
      <c r="D615" s="10"/>
      <c r="E615" s="10"/>
      <c r="F615" s="47"/>
      <c r="G615" s="10"/>
      <c r="H615" s="20"/>
      <c r="I615" s="20"/>
      <c r="J615" s="10"/>
      <c r="K615" s="10"/>
      <c r="L615" s="10"/>
      <c r="M615" s="10"/>
      <c r="N615" s="10"/>
      <c r="O615" s="21"/>
    </row>
    <row r="616" spans="1:15" x14ac:dyDescent="0.35">
      <c r="A616" s="15">
        <f t="shared" si="9"/>
        <v>614</v>
      </c>
      <c r="B616" s="16"/>
      <c r="C616" s="19"/>
      <c r="D616" s="10"/>
      <c r="E616" s="10"/>
      <c r="F616" s="47"/>
      <c r="G616" s="10"/>
      <c r="H616" s="20"/>
      <c r="I616" s="20"/>
      <c r="J616" s="10"/>
      <c r="K616" s="10"/>
      <c r="L616" s="10"/>
      <c r="M616" s="10"/>
      <c r="N616" s="10"/>
      <c r="O616" s="21"/>
    </row>
    <row r="617" spans="1:15" x14ac:dyDescent="0.35">
      <c r="A617" s="15">
        <f t="shared" si="9"/>
        <v>615</v>
      </c>
      <c r="B617" s="16"/>
      <c r="C617" s="19"/>
      <c r="D617" s="10"/>
      <c r="E617" s="10"/>
      <c r="F617" s="47"/>
      <c r="G617" s="10"/>
      <c r="H617" s="20"/>
      <c r="I617" s="20"/>
      <c r="J617" s="10"/>
      <c r="K617" s="10"/>
      <c r="L617" s="10"/>
      <c r="M617" s="10"/>
      <c r="N617" s="10"/>
      <c r="O617" s="21"/>
    </row>
    <row r="618" spans="1:15" x14ac:dyDescent="0.35">
      <c r="A618" s="15">
        <f t="shared" si="9"/>
        <v>616</v>
      </c>
      <c r="B618" s="16"/>
      <c r="C618" s="19"/>
      <c r="D618" s="10"/>
      <c r="E618" s="10"/>
      <c r="F618" s="47"/>
      <c r="G618" s="10"/>
      <c r="H618" s="20"/>
      <c r="I618" s="20"/>
      <c r="J618" s="10"/>
      <c r="K618" s="10"/>
      <c r="L618" s="10"/>
      <c r="M618" s="10"/>
      <c r="N618" s="10"/>
      <c r="O618" s="21"/>
    </row>
    <row r="619" spans="1:15" x14ac:dyDescent="0.35">
      <c r="A619" s="15">
        <f t="shared" si="9"/>
        <v>617</v>
      </c>
      <c r="B619" s="16"/>
      <c r="C619" s="19"/>
      <c r="D619" s="10"/>
      <c r="E619" s="10"/>
      <c r="F619" s="47"/>
      <c r="G619" s="10"/>
      <c r="H619" s="20"/>
      <c r="I619" s="20"/>
      <c r="J619" s="10"/>
      <c r="K619" s="10"/>
      <c r="L619" s="10"/>
      <c r="M619" s="10"/>
      <c r="N619" s="10"/>
      <c r="O619" s="21"/>
    </row>
    <row r="620" spans="1:15" x14ac:dyDescent="0.35">
      <c r="A620" s="15">
        <f t="shared" si="9"/>
        <v>618</v>
      </c>
      <c r="B620" s="16"/>
      <c r="C620" s="19"/>
      <c r="D620" s="10"/>
      <c r="E620" s="10"/>
      <c r="F620" s="47"/>
      <c r="G620" s="10"/>
      <c r="H620" s="20"/>
      <c r="I620" s="20"/>
      <c r="J620" s="10"/>
      <c r="K620" s="10"/>
      <c r="L620" s="10"/>
      <c r="M620" s="10"/>
      <c r="N620" s="10"/>
      <c r="O620" s="21"/>
    </row>
    <row r="621" spans="1:15" x14ac:dyDescent="0.35">
      <c r="A621" s="15">
        <f t="shared" si="9"/>
        <v>619</v>
      </c>
      <c r="B621" s="16"/>
      <c r="C621" s="19"/>
      <c r="D621" s="10"/>
      <c r="E621" s="10"/>
      <c r="F621" s="47"/>
      <c r="G621" s="10"/>
      <c r="H621" s="20"/>
      <c r="I621" s="20"/>
      <c r="J621" s="10"/>
      <c r="K621" s="10"/>
      <c r="L621" s="10"/>
      <c r="M621" s="10"/>
      <c r="N621" s="10"/>
      <c r="O621" s="21"/>
    </row>
    <row r="622" spans="1:15" x14ac:dyDescent="0.35">
      <c r="A622" s="15">
        <f t="shared" si="9"/>
        <v>620</v>
      </c>
      <c r="B622" s="16"/>
      <c r="C622" s="19"/>
      <c r="D622" s="10"/>
      <c r="E622" s="10"/>
      <c r="F622" s="47"/>
      <c r="G622" s="10"/>
      <c r="H622" s="20"/>
      <c r="I622" s="20"/>
      <c r="J622" s="10"/>
      <c r="K622" s="10"/>
      <c r="L622" s="10"/>
      <c r="M622" s="10"/>
      <c r="N622" s="10"/>
      <c r="O622" s="21"/>
    </row>
    <row r="623" spans="1:15" x14ac:dyDescent="0.35">
      <c r="A623" s="15">
        <f t="shared" si="9"/>
        <v>621</v>
      </c>
      <c r="B623" s="16"/>
      <c r="C623" s="19"/>
      <c r="D623" s="10"/>
      <c r="E623" s="10"/>
      <c r="F623" s="47"/>
      <c r="G623" s="10"/>
      <c r="H623" s="20"/>
      <c r="I623" s="20"/>
      <c r="J623" s="10"/>
      <c r="K623" s="10"/>
      <c r="L623" s="10"/>
      <c r="M623" s="10"/>
      <c r="N623" s="10"/>
      <c r="O623" s="21"/>
    </row>
    <row r="624" spans="1:15" x14ac:dyDescent="0.35">
      <c r="A624" s="15">
        <f t="shared" si="9"/>
        <v>622</v>
      </c>
      <c r="B624" s="16"/>
      <c r="C624" s="19"/>
      <c r="D624" s="10"/>
      <c r="E624" s="10"/>
      <c r="F624" s="47"/>
      <c r="G624" s="10"/>
      <c r="H624" s="20"/>
      <c r="I624" s="20"/>
      <c r="J624" s="10"/>
      <c r="K624" s="10"/>
      <c r="L624" s="10"/>
      <c r="M624" s="10"/>
      <c r="N624" s="10"/>
      <c r="O624" s="21"/>
    </row>
    <row r="625" spans="1:15" x14ac:dyDescent="0.35">
      <c r="A625" s="15">
        <f t="shared" si="9"/>
        <v>623</v>
      </c>
      <c r="B625" s="16"/>
      <c r="C625" s="19"/>
      <c r="D625" s="10"/>
      <c r="E625" s="10"/>
      <c r="F625" s="47"/>
      <c r="G625" s="10"/>
      <c r="H625" s="20"/>
      <c r="I625" s="20"/>
      <c r="J625" s="10"/>
      <c r="K625" s="10"/>
      <c r="L625" s="10"/>
      <c r="M625" s="10"/>
      <c r="N625" s="10"/>
      <c r="O625" s="21"/>
    </row>
    <row r="626" spans="1:15" x14ac:dyDescent="0.35">
      <c r="A626" s="15">
        <f t="shared" si="9"/>
        <v>624</v>
      </c>
      <c r="B626" s="16"/>
      <c r="C626" s="19"/>
      <c r="D626" s="10"/>
      <c r="E626" s="10"/>
      <c r="F626" s="47"/>
      <c r="G626" s="10"/>
      <c r="H626" s="20"/>
      <c r="I626" s="20"/>
      <c r="J626" s="10"/>
      <c r="K626" s="10"/>
      <c r="L626" s="10"/>
      <c r="M626" s="10"/>
      <c r="N626" s="10"/>
      <c r="O626" s="21"/>
    </row>
    <row r="627" spans="1:15" x14ac:dyDescent="0.35">
      <c r="A627" s="15">
        <f t="shared" si="9"/>
        <v>625</v>
      </c>
      <c r="B627" s="16"/>
      <c r="C627" s="19"/>
      <c r="D627" s="10"/>
      <c r="E627" s="10"/>
      <c r="F627" s="47"/>
      <c r="G627" s="10"/>
      <c r="H627" s="20"/>
      <c r="I627" s="20"/>
      <c r="J627" s="10"/>
      <c r="K627" s="10"/>
      <c r="L627" s="10"/>
      <c r="M627" s="10"/>
      <c r="N627" s="10"/>
      <c r="O627" s="21"/>
    </row>
    <row r="628" spans="1:15" x14ac:dyDescent="0.35">
      <c r="A628" s="15">
        <f t="shared" si="9"/>
        <v>626</v>
      </c>
      <c r="B628" s="16"/>
      <c r="C628" s="19"/>
      <c r="D628" s="10"/>
      <c r="E628" s="10"/>
      <c r="F628" s="47"/>
      <c r="G628" s="10"/>
      <c r="H628" s="20"/>
      <c r="I628" s="20"/>
      <c r="J628" s="10"/>
      <c r="K628" s="10"/>
      <c r="L628" s="10"/>
      <c r="M628" s="10"/>
      <c r="N628" s="10"/>
      <c r="O628" s="21"/>
    </row>
    <row r="629" spans="1:15" x14ac:dyDescent="0.35">
      <c r="A629" s="15">
        <f t="shared" si="9"/>
        <v>627</v>
      </c>
      <c r="B629" s="16"/>
      <c r="C629" s="19"/>
      <c r="D629" s="10"/>
      <c r="E629" s="10"/>
      <c r="F629" s="47"/>
      <c r="G629" s="10"/>
      <c r="H629" s="20"/>
      <c r="I629" s="20"/>
      <c r="J629" s="10"/>
      <c r="K629" s="10"/>
      <c r="L629" s="10"/>
      <c r="M629" s="10"/>
      <c r="N629" s="10"/>
      <c r="O629" s="21"/>
    </row>
    <row r="630" spans="1:15" x14ac:dyDescent="0.35">
      <c r="A630" s="15">
        <f t="shared" si="9"/>
        <v>628</v>
      </c>
      <c r="B630" s="16"/>
      <c r="C630" s="19"/>
      <c r="D630" s="10"/>
      <c r="E630" s="10"/>
      <c r="F630" s="47"/>
      <c r="G630" s="10"/>
      <c r="H630" s="20"/>
      <c r="I630" s="20"/>
      <c r="J630" s="10"/>
      <c r="K630" s="10"/>
      <c r="L630" s="10"/>
      <c r="M630" s="10"/>
      <c r="N630" s="10"/>
      <c r="O630" s="21"/>
    </row>
    <row r="631" spans="1:15" x14ac:dyDescent="0.35">
      <c r="A631" s="15">
        <f t="shared" si="9"/>
        <v>629</v>
      </c>
      <c r="B631" s="16"/>
      <c r="C631" s="19"/>
      <c r="D631" s="10"/>
      <c r="E631" s="10"/>
      <c r="F631" s="47"/>
      <c r="G631" s="10"/>
      <c r="H631" s="20"/>
      <c r="I631" s="20"/>
      <c r="J631" s="10"/>
      <c r="K631" s="10"/>
      <c r="L631" s="10"/>
      <c r="M631" s="10"/>
      <c r="N631" s="10"/>
      <c r="O631" s="21"/>
    </row>
    <row r="632" spans="1:15" x14ac:dyDescent="0.35">
      <c r="A632" s="15">
        <f t="shared" si="9"/>
        <v>630</v>
      </c>
      <c r="B632" s="51"/>
      <c r="C632" s="52"/>
      <c r="D632" s="53"/>
      <c r="E632" s="53"/>
      <c r="F632" s="54"/>
      <c r="G632" s="53"/>
      <c r="H632" s="55"/>
      <c r="I632" s="55"/>
      <c r="J632" s="53"/>
      <c r="K632" s="53"/>
      <c r="L632" s="53"/>
      <c r="M632" s="53"/>
      <c r="N632" s="53"/>
      <c r="O632" s="56"/>
    </row>
    <row r="633" spans="1:15" x14ac:dyDescent="0.35">
      <c r="A633" s="15">
        <f t="shared" si="9"/>
        <v>631</v>
      </c>
      <c r="B633" s="16"/>
      <c r="C633" s="19"/>
      <c r="D633" s="10"/>
      <c r="E633" s="10"/>
      <c r="F633" s="47"/>
      <c r="G633" s="10"/>
      <c r="H633" s="20"/>
      <c r="I633" s="20"/>
      <c r="J633" s="10"/>
      <c r="K633" s="10"/>
      <c r="L633" s="10"/>
      <c r="M633" s="10"/>
      <c r="N633" s="10"/>
      <c r="O633" s="21"/>
    </row>
    <row r="634" spans="1:15" x14ac:dyDescent="0.35">
      <c r="A634" s="15">
        <f t="shared" si="9"/>
        <v>632</v>
      </c>
      <c r="B634" s="16"/>
      <c r="C634" s="19"/>
      <c r="D634" s="10"/>
      <c r="E634" s="10"/>
      <c r="F634" s="47"/>
      <c r="G634" s="10"/>
      <c r="H634" s="20"/>
      <c r="I634" s="20"/>
      <c r="J634" s="10"/>
      <c r="K634" s="10"/>
      <c r="L634" s="10"/>
      <c r="M634" s="10"/>
      <c r="N634" s="10"/>
      <c r="O634" s="21"/>
    </row>
    <row r="635" spans="1:15" x14ac:dyDescent="0.35">
      <c r="A635" s="15">
        <f t="shared" si="9"/>
        <v>633</v>
      </c>
      <c r="B635" s="16"/>
      <c r="C635" s="19"/>
      <c r="D635" s="10"/>
      <c r="E635" s="10"/>
      <c r="F635" s="47"/>
      <c r="G635" s="10"/>
      <c r="H635" s="20"/>
      <c r="I635" s="20"/>
      <c r="J635" s="10"/>
      <c r="K635" s="10"/>
      <c r="L635" s="10"/>
      <c r="M635" s="10"/>
      <c r="N635" s="10"/>
      <c r="O635" s="21"/>
    </row>
    <row r="636" spans="1:15" x14ac:dyDescent="0.35">
      <c r="A636" s="15">
        <f t="shared" si="9"/>
        <v>634</v>
      </c>
      <c r="B636" s="16"/>
      <c r="C636" s="19"/>
      <c r="D636" s="10"/>
      <c r="E636" s="10"/>
      <c r="F636" s="47"/>
      <c r="G636" s="10"/>
      <c r="H636" s="20"/>
      <c r="I636" s="20"/>
      <c r="J636" s="10"/>
      <c r="K636" s="10"/>
      <c r="L636" s="10"/>
      <c r="M636" s="10"/>
      <c r="N636" s="10"/>
      <c r="O636" s="21"/>
    </row>
    <row r="637" spans="1:15" x14ac:dyDescent="0.35">
      <c r="A637" s="15">
        <f t="shared" si="9"/>
        <v>635</v>
      </c>
      <c r="B637" s="16"/>
      <c r="C637" s="19"/>
      <c r="D637" s="10"/>
      <c r="E637" s="10"/>
      <c r="F637" s="47"/>
      <c r="G637" s="10"/>
      <c r="H637" s="20"/>
      <c r="I637" s="20"/>
      <c r="J637" s="10"/>
      <c r="K637" s="10"/>
      <c r="L637" s="10"/>
      <c r="M637" s="10"/>
      <c r="N637" s="10"/>
      <c r="O637" s="21"/>
    </row>
    <row r="638" spans="1:15" x14ac:dyDescent="0.35">
      <c r="A638" s="15">
        <f t="shared" si="9"/>
        <v>636</v>
      </c>
      <c r="B638" s="16"/>
      <c r="C638" s="19"/>
      <c r="D638" s="10"/>
      <c r="E638" s="10"/>
      <c r="F638" s="47"/>
      <c r="G638" s="10"/>
      <c r="H638" s="20"/>
      <c r="I638" s="20"/>
      <c r="J638" s="10"/>
      <c r="K638" s="10"/>
      <c r="L638" s="10"/>
      <c r="M638" s="10"/>
      <c r="N638" s="10"/>
      <c r="O638" s="21"/>
    </row>
    <row r="639" spans="1:15" x14ac:dyDescent="0.35">
      <c r="A639" s="15">
        <f t="shared" si="9"/>
        <v>637</v>
      </c>
      <c r="B639" s="16"/>
      <c r="C639" s="19"/>
      <c r="D639" s="10"/>
      <c r="E639" s="10"/>
      <c r="F639" s="47"/>
      <c r="G639" s="10"/>
      <c r="H639" s="20"/>
      <c r="I639" s="20"/>
      <c r="J639" s="10"/>
      <c r="K639" s="10"/>
      <c r="L639" s="10"/>
      <c r="M639" s="10"/>
      <c r="N639" s="10"/>
      <c r="O639" s="21"/>
    </row>
    <row r="640" spans="1:15" x14ac:dyDescent="0.35">
      <c r="A640" s="15">
        <f t="shared" si="9"/>
        <v>638</v>
      </c>
      <c r="B640" s="16"/>
      <c r="C640" s="19"/>
      <c r="D640" s="10"/>
      <c r="E640" s="10"/>
      <c r="F640" s="47"/>
      <c r="G640" s="10"/>
      <c r="H640" s="20"/>
      <c r="I640" s="20"/>
      <c r="J640" s="10"/>
      <c r="K640" s="10"/>
      <c r="L640" s="10"/>
      <c r="M640" s="10"/>
      <c r="N640" s="10"/>
      <c r="O640" s="21"/>
    </row>
    <row r="641" spans="1:15" x14ac:dyDescent="0.35">
      <c r="A641" s="15">
        <f t="shared" si="9"/>
        <v>639</v>
      </c>
      <c r="B641" s="16"/>
      <c r="C641" s="19"/>
      <c r="D641" s="10"/>
      <c r="E641" s="10"/>
      <c r="F641" s="47"/>
      <c r="G641" s="10"/>
      <c r="H641" s="20"/>
      <c r="I641" s="20"/>
      <c r="J641" s="10"/>
      <c r="K641" s="10"/>
      <c r="L641" s="10"/>
      <c r="M641" s="10"/>
      <c r="N641" s="10"/>
      <c r="O641" s="21"/>
    </row>
    <row r="642" spans="1:15" x14ac:dyDescent="0.35">
      <c r="A642" s="15">
        <f t="shared" si="9"/>
        <v>640</v>
      </c>
      <c r="B642" s="16"/>
      <c r="C642" s="19"/>
      <c r="D642" s="10"/>
      <c r="E642" s="10"/>
      <c r="F642" s="47"/>
      <c r="G642" s="10"/>
      <c r="H642" s="20"/>
      <c r="I642" s="20"/>
      <c r="J642" s="10"/>
      <c r="K642" s="10"/>
      <c r="L642" s="10"/>
      <c r="M642" s="10"/>
      <c r="N642" s="10"/>
      <c r="O642" s="21"/>
    </row>
    <row r="643" spans="1:15" x14ac:dyDescent="0.35">
      <c r="A643" s="15">
        <f t="shared" si="9"/>
        <v>641</v>
      </c>
      <c r="B643" s="16"/>
      <c r="C643" s="19"/>
      <c r="D643" s="10"/>
      <c r="E643" s="10"/>
      <c r="F643" s="47"/>
      <c r="G643" s="10"/>
      <c r="H643" s="20"/>
      <c r="I643" s="20"/>
      <c r="J643" s="10"/>
      <c r="K643" s="10"/>
      <c r="L643" s="10"/>
      <c r="M643" s="10"/>
      <c r="N643" s="10"/>
      <c r="O643" s="21"/>
    </row>
    <row r="644" spans="1:15" x14ac:dyDescent="0.35">
      <c r="A644" s="15">
        <f t="shared" si="9"/>
        <v>642</v>
      </c>
      <c r="B644" s="16"/>
      <c r="C644" s="19"/>
      <c r="D644" s="10"/>
      <c r="E644" s="10"/>
      <c r="F644" s="47"/>
      <c r="G644" s="10"/>
      <c r="H644" s="20"/>
      <c r="I644" s="20"/>
      <c r="J644" s="10"/>
      <c r="K644" s="10"/>
      <c r="L644" s="10"/>
      <c r="M644" s="10"/>
      <c r="N644" s="10"/>
      <c r="O644" s="21"/>
    </row>
    <row r="645" spans="1:15" x14ac:dyDescent="0.35">
      <c r="A645" s="15">
        <f t="shared" si="9"/>
        <v>643</v>
      </c>
      <c r="B645" s="16"/>
      <c r="C645" s="19"/>
      <c r="D645" s="10"/>
      <c r="E645" s="10"/>
      <c r="F645" s="47"/>
      <c r="G645" s="10"/>
      <c r="H645" s="20"/>
      <c r="I645" s="20"/>
      <c r="J645" s="10"/>
      <c r="K645" s="10"/>
      <c r="L645" s="10"/>
      <c r="M645" s="10"/>
      <c r="N645" s="10"/>
      <c r="O645" s="21"/>
    </row>
    <row r="646" spans="1:15" x14ac:dyDescent="0.35">
      <c r="A646" s="15">
        <f t="shared" si="9"/>
        <v>644</v>
      </c>
      <c r="B646" s="16"/>
      <c r="C646" s="19"/>
      <c r="D646" s="10"/>
      <c r="E646" s="10"/>
      <c r="F646" s="47"/>
      <c r="G646" s="10"/>
      <c r="H646" s="20"/>
      <c r="I646" s="20"/>
      <c r="J646" s="10"/>
      <c r="K646" s="10"/>
      <c r="L646" s="10"/>
      <c r="M646" s="10"/>
      <c r="N646" s="10"/>
      <c r="O646" s="21"/>
    </row>
    <row r="647" spans="1:15" x14ac:dyDescent="0.35">
      <c r="A647" s="15">
        <f t="shared" si="9"/>
        <v>645</v>
      </c>
      <c r="B647" s="16"/>
      <c r="C647" s="19"/>
      <c r="D647" s="10"/>
      <c r="E647" s="10"/>
      <c r="F647" s="47"/>
      <c r="G647" s="10"/>
      <c r="H647" s="20"/>
      <c r="I647" s="20"/>
      <c r="J647" s="10"/>
      <c r="K647" s="10"/>
      <c r="L647" s="10"/>
      <c r="M647" s="10"/>
      <c r="N647" s="10"/>
      <c r="O647" s="21"/>
    </row>
    <row r="648" spans="1:15" x14ac:dyDescent="0.35">
      <c r="A648" s="15">
        <f t="shared" si="9"/>
        <v>646</v>
      </c>
      <c r="B648" s="16"/>
      <c r="C648" s="19"/>
      <c r="D648" s="10"/>
      <c r="E648" s="10"/>
      <c r="F648" s="47"/>
      <c r="G648" s="10"/>
      <c r="H648" s="20"/>
      <c r="I648" s="20"/>
      <c r="J648" s="10"/>
      <c r="K648" s="10"/>
      <c r="L648" s="10"/>
      <c r="M648" s="10"/>
      <c r="N648" s="10"/>
      <c r="O648" s="21"/>
    </row>
    <row r="649" spans="1:15" x14ac:dyDescent="0.35">
      <c r="A649" s="15">
        <f t="shared" si="9"/>
        <v>647</v>
      </c>
      <c r="B649" s="16"/>
      <c r="C649" s="19"/>
      <c r="D649" s="10"/>
      <c r="E649" s="10"/>
      <c r="F649" s="47"/>
      <c r="G649" s="10"/>
      <c r="H649" s="20"/>
      <c r="I649" s="20"/>
      <c r="J649" s="10"/>
      <c r="K649" s="10"/>
      <c r="L649" s="10"/>
      <c r="M649" s="10"/>
      <c r="N649" s="10"/>
      <c r="O649" s="21"/>
    </row>
    <row r="650" spans="1:15" x14ac:dyDescent="0.35">
      <c r="A650" s="15">
        <f t="shared" si="9"/>
        <v>648</v>
      </c>
      <c r="B650" s="16"/>
      <c r="C650" s="19"/>
      <c r="D650" s="10"/>
      <c r="E650" s="10"/>
      <c r="F650" s="47"/>
      <c r="G650" s="10"/>
      <c r="H650" s="20"/>
      <c r="I650" s="20"/>
      <c r="J650" s="10"/>
      <c r="K650" s="10"/>
      <c r="L650" s="10"/>
      <c r="M650" s="10"/>
      <c r="N650" s="10"/>
      <c r="O650" s="21"/>
    </row>
    <row r="651" spans="1:15" x14ac:dyDescent="0.35">
      <c r="A651" s="15">
        <f t="shared" ref="A651:A714" si="10">+A650+1</f>
        <v>649</v>
      </c>
      <c r="B651" s="16"/>
      <c r="C651" s="19"/>
      <c r="D651" s="10"/>
      <c r="E651" s="10"/>
      <c r="F651" s="47"/>
      <c r="G651" s="10"/>
      <c r="H651" s="20"/>
      <c r="I651" s="20"/>
      <c r="J651" s="10"/>
      <c r="K651" s="10"/>
      <c r="L651" s="10"/>
      <c r="M651" s="10"/>
      <c r="N651" s="10"/>
      <c r="O651" s="21"/>
    </row>
    <row r="652" spans="1:15" x14ac:dyDescent="0.35">
      <c r="A652" s="15">
        <f t="shared" si="10"/>
        <v>650</v>
      </c>
      <c r="B652" s="16"/>
      <c r="C652" s="19"/>
      <c r="D652" s="10"/>
      <c r="E652" s="10"/>
      <c r="F652" s="47"/>
      <c r="G652" s="10"/>
      <c r="H652" s="20"/>
      <c r="I652" s="20"/>
      <c r="J652" s="10"/>
      <c r="K652" s="10"/>
      <c r="L652" s="10"/>
      <c r="M652" s="10"/>
      <c r="N652" s="10"/>
      <c r="O652" s="21"/>
    </row>
    <row r="653" spans="1:15" x14ac:dyDescent="0.35">
      <c r="A653" s="15">
        <f t="shared" si="10"/>
        <v>651</v>
      </c>
      <c r="B653" s="16"/>
      <c r="C653" s="19"/>
      <c r="D653" s="10"/>
      <c r="E653" s="10"/>
      <c r="F653" s="47"/>
      <c r="G653" s="10"/>
      <c r="H653" s="20"/>
      <c r="I653" s="20"/>
      <c r="J653" s="10"/>
      <c r="K653" s="10"/>
      <c r="L653" s="10"/>
      <c r="M653" s="10"/>
      <c r="N653" s="10"/>
      <c r="O653" s="21"/>
    </row>
    <row r="654" spans="1:15" x14ac:dyDescent="0.35">
      <c r="A654" s="15">
        <f t="shared" si="10"/>
        <v>652</v>
      </c>
      <c r="B654" s="16"/>
      <c r="C654" s="19"/>
      <c r="D654" s="10"/>
      <c r="E654" s="10"/>
      <c r="F654" s="47"/>
      <c r="G654" s="10"/>
      <c r="H654" s="20"/>
      <c r="I654" s="20"/>
      <c r="J654" s="10"/>
      <c r="K654" s="10"/>
      <c r="L654" s="10"/>
      <c r="M654" s="10"/>
      <c r="N654" s="10"/>
      <c r="O654" s="21"/>
    </row>
    <row r="655" spans="1:15" x14ac:dyDescent="0.35">
      <c r="A655" s="15">
        <f t="shared" si="10"/>
        <v>653</v>
      </c>
      <c r="B655" s="16"/>
      <c r="C655" s="19"/>
      <c r="D655" s="10"/>
      <c r="E655" s="10"/>
      <c r="F655" s="47"/>
      <c r="G655" s="10"/>
      <c r="H655" s="20"/>
      <c r="I655" s="20"/>
      <c r="J655" s="10"/>
      <c r="K655" s="10"/>
      <c r="L655" s="10"/>
      <c r="M655" s="10"/>
      <c r="N655" s="10"/>
      <c r="O655" s="21"/>
    </row>
    <row r="656" spans="1:15" x14ac:dyDescent="0.35">
      <c r="A656" s="15">
        <f t="shared" si="10"/>
        <v>654</v>
      </c>
      <c r="B656" s="16"/>
      <c r="C656" s="19"/>
      <c r="D656" s="10"/>
      <c r="E656" s="10"/>
      <c r="F656" s="47"/>
      <c r="G656" s="10"/>
      <c r="H656" s="20"/>
      <c r="I656" s="20"/>
      <c r="J656" s="10"/>
      <c r="K656" s="10"/>
      <c r="L656" s="10"/>
      <c r="M656" s="10"/>
      <c r="N656" s="10"/>
      <c r="O656" s="21"/>
    </row>
    <row r="657" spans="1:15" x14ac:dyDescent="0.35">
      <c r="A657" s="15">
        <f t="shared" si="10"/>
        <v>655</v>
      </c>
      <c r="B657" s="16"/>
      <c r="C657" s="19"/>
      <c r="D657" s="10"/>
      <c r="E657" s="10"/>
      <c r="F657" s="47"/>
      <c r="G657" s="10"/>
      <c r="H657" s="20"/>
      <c r="I657" s="20"/>
      <c r="J657" s="10"/>
      <c r="K657" s="10"/>
      <c r="L657" s="10"/>
      <c r="M657" s="10"/>
      <c r="N657" s="10"/>
      <c r="O657" s="21"/>
    </row>
    <row r="658" spans="1:15" x14ac:dyDescent="0.35">
      <c r="A658" s="15">
        <f t="shared" si="10"/>
        <v>656</v>
      </c>
      <c r="B658" s="16"/>
      <c r="C658" s="19"/>
      <c r="D658" s="10"/>
      <c r="E658" s="10"/>
      <c r="F658" s="47"/>
      <c r="G658" s="10"/>
      <c r="H658" s="20"/>
      <c r="I658" s="20"/>
      <c r="J658" s="10"/>
      <c r="K658" s="10"/>
      <c r="L658" s="10"/>
      <c r="M658" s="10"/>
      <c r="N658" s="10"/>
      <c r="O658" s="21"/>
    </row>
    <row r="659" spans="1:15" x14ac:dyDescent="0.35">
      <c r="A659" s="15">
        <f t="shared" si="10"/>
        <v>657</v>
      </c>
      <c r="B659" s="16"/>
      <c r="C659" s="19"/>
      <c r="D659" s="10"/>
      <c r="E659" s="10"/>
      <c r="F659" s="47"/>
      <c r="G659" s="10"/>
      <c r="H659" s="20"/>
      <c r="I659" s="20"/>
      <c r="J659" s="10"/>
      <c r="K659" s="10"/>
      <c r="L659" s="10"/>
      <c r="M659" s="10"/>
      <c r="N659" s="10"/>
      <c r="O659" s="21"/>
    </row>
    <row r="660" spans="1:15" x14ac:dyDescent="0.35">
      <c r="A660" s="15">
        <f t="shared" si="10"/>
        <v>658</v>
      </c>
      <c r="B660" s="16"/>
      <c r="C660" s="19"/>
      <c r="D660" s="10"/>
      <c r="E660" s="10"/>
      <c r="F660" s="47"/>
      <c r="G660" s="10"/>
      <c r="H660" s="20"/>
      <c r="I660" s="20"/>
      <c r="J660" s="10"/>
      <c r="K660" s="10"/>
      <c r="L660" s="10"/>
      <c r="M660" s="10"/>
      <c r="N660" s="10"/>
      <c r="O660" s="21"/>
    </row>
    <row r="661" spans="1:15" x14ac:dyDescent="0.35">
      <c r="A661" s="15">
        <f t="shared" si="10"/>
        <v>659</v>
      </c>
      <c r="B661" s="16"/>
      <c r="C661" s="19"/>
      <c r="D661" s="10"/>
      <c r="E661" s="10"/>
      <c r="F661" s="47"/>
      <c r="G661" s="10"/>
      <c r="H661" s="20"/>
      <c r="I661" s="20"/>
      <c r="J661" s="10"/>
      <c r="K661" s="10"/>
      <c r="L661" s="10"/>
      <c r="M661" s="10"/>
      <c r="N661" s="10"/>
      <c r="O661" s="21"/>
    </row>
    <row r="662" spans="1:15" x14ac:dyDescent="0.35">
      <c r="A662" s="15">
        <f t="shared" si="10"/>
        <v>660</v>
      </c>
      <c r="B662" s="16"/>
      <c r="C662" s="19"/>
      <c r="D662" s="10"/>
      <c r="E662" s="10"/>
      <c r="F662" s="47"/>
      <c r="G662" s="10"/>
      <c r="H662" s="20"/>
      <c r="I662" s="20"/>
      <c r="J662" s="10"/>
      <c r="K662" s="10"/>
      <c r="L662" s="10"/>
      <c r="M662" s="10"/>
      <c r="N662" s="10"/>
      <c r="O662" s="21"/>
    </row>
    <row r="663" spans="1:15" x14ac:dyDescent="0.35">
      <c r="A663" s="15">
        <f t="shared" si="10"/>
        <v>661</v>
      </c>
      <c r="B663" s="16"/>
      <c r="C663" s="19"/>
      <c r="D663" s="10"/>
      <c r="E663" s="10"/>
      <c r="F663" s="47"/>
      <c r="G663" s="10"/>
      <c r="H663" s="20"/>
      <c r="I663" s="20"/>
      <c r="J663" s="10"/>
      <c r="K663" s="10"/>
      <c r="L663" s="10"/>
      <c r="M663" s="10"/>
      <c r="N663" s="10"/>
      <c r="O663" s="21"/>
    </row>
    <row r="664" spans="1:15" x14ac:dyDescent="0.35">
      <c r="A664" s="15">
        <f t="shared" si="10"/>
        <v>662</v>
      </c>
      <c r="B664" s="16"/>
      <c r="C664" s="19"/>
      <c r="D664" s="10"/>
      <c r="E664" s="10"/>
      <c r="F664" s="47"/>
      <c r="G664" s="10"/>
      <c r="H664" s="20"/>
      <c r="I664" s="20"/>
      <c r="J664" s="10"/>
      <c r="K664" s="10"/>
      <c r="L664" s="10"/>
      <c r="M664" s="10"/>
      <c r="N664" s="10"/>
      <c r="O664" s="21"/>
    </row>
    <row r="665" spans="1:15" x14ac:dyDescent="0.35">
      <c r="A665" s="15">
        <f t="shared" si="10"/>
        <v>663</v>
      </c>
      <c r="B665" s="16"/>
      <c r="C665" s="19"/>
      <c r="D665" s="10"/>
      <c r="E665" s="10"/>
      <c r="F665" s="47"/>
      <c r="G665" s="10"/>
      <c r="H665" s="20"/>
      <c r="I665" s="20"/>
      <c r="J665" s="10"/>
      <c r="K665" s="10"/>
      <c r="L665" s="10"/>
      <c r="M665" s="10"/>
      <c r="N665" s="10"/>
      <c r="O665" s="21"/>
    </row>
    <row r="666" spans="1:15" x14ac:dyDescent="0.35">
      <c r="A666" s="15">
        <f t="shared" si="10"/>
        <v>664</v>
      </c>
      <c r="B666" s="16"/>
      <c r="C666" s="19"/>
      <c r="D666" s="10"/>
      <c r="E666" s="10"/>
      <c r="F666" s="47"/>
      <c r="G666" s="10"/>
      <c r="H666" s="20"/>
      <c r="I666" s="20"/>
      <c r="J666" s="10"/>
      <c r="K666" s="10"/>
      <c r="L666" s="10"/>
      <c r="M666" s="10"/>
      <c r="N666" s="10"/>
      <c r="O666" s="21"/>
    </row>
    <row r="667" spans="1:15" x14ac:dyDescent="0.35">
      <c r="A667" s="15">
        <f t="shared" si="10"/>
        <v>665</v>
      </c>
      <c r="B667" s="16"/>
      <c r="C667" s="19"/>
      <c r="D667" s="10"/>
      <c r="E667" s="10"/>
      <c r="F667" s="47"/>
      <c r="G667" s="10"/>
      <c r="H667" s="20"/>
      <c r="I667" s="20"/>
      <c r="J667" s="10"/>
      <c r="K667" s="10"/>
      <c r="L667" s="10"/>
      <c r="M667" s="10"/>
      <c r="N667" s="10"/>
      <c r="O667" s="21"/>
    </row>
    <row r="668" spans="1:15" x14ac:dyDescent="0.35">
      <c r="A668" s="15">
        <f t="shared" si="10"/>
        <v>666</v>
      </c>
      <c r="B668" s="16"/>
      <c r="C668" s="19"/>
      <c r="D668" s="10"/>
      <c r="E668" s="10"/>
      <c r="F668" s="47"/>
      <c r="G668" s="10"/>
      <c r="H668" s="20"/>
      <c r="I668" s="20"/>
      <c r="J668" s="10"/>
      <c r="K668" s="10"/>
      <c r="L668" s="10"/>
      <c r="M668" s="10"/>
      <c r="N668" s="10"/>
      <c r="O668" s="21"/>
    </row>
    <row r="669" spans="1:15" x14ac:dyDescent="0.35">
      <c r="A669" s="15">
        <f t="shared" si="10"/>
        <v>667</v>
      </c>
      <c r="B669" s="16"/>
      <c r="C669" s="19"/>
      <c r="D669" s="10"/>
      <c r="E669" s="10"/>
      <c r="F669" s="47"/>
      <c r="G669" s="10"/>
      <c r="H669" s="20"/>
      <c r="I669" s="20"/>
      <c r="J669" s="10"/>
      <c r="K669" s="10"/>
      <c r="L669" s="10"/>
      <c r="M669" s="10"/>
      <c r="N669" s="10"/>
      <c r="O669" s="21"/>
    </row>
    <row r="670" spans="1:15" x14ac:dyDescent="0.35">
      <c r="A670" s="15">
        <f t="shared" si="10"/>
        <v>668</v>
      </c>
      <c r="B670" s="16"/>
      <c r="C670" s="19"/>
      <c r="D670" s="10"/>
      <c r="E670" s="10"/>
      <c r="F670" s="47"/>
      <c r="G670" s="10"/>
      <c r="H670" s="20"/>
      <c r="I670" s="20"/>
      <c r="J670" s="10"/>
      <c r="K670" s="10"/>
      <c r="L670" s="10"/>
      <c r="M670" s="10"/>
      <c r="N670" s="10"/>
      <c r="O670" s="21"/>
    </row>
    <row r="671" spans="1:15" x14ac:dyDescent="0.35">
      <c r="A671" s="15">
        <f t="shared" si="10"/>
        <v>669</v>
      </c>
      <c r="B671" s="16"/>
      <c r="C671" s="19"/>
      <c r="D671" s="10"/>
      <c r="E671" s="10"/>
      <c r="F671" s="47"/>
      <c r="G671" s="10"/>
      <c r="H671" s="20"/>
      <c r="I671" s="20"/>
      <c r="J671" s="10"/>
      <c r="K671" s="10"/>
      <c r="L671" s="10"/>
      <c r="M671" s="10"/>
      <c r="N671" s="10"/>
      <c r="O671" s="21"/>
    </row>
    <row r="672" spans="1:15" x14ac:dyDescent="0.35">
      <c r="A672" s="15">
        <f t="shared" si="10"/>
        <v>670</v>
      </c>
      <c r="B672" s="16"/>
      <c r="C672" s="19"/>
      <c r="D672" s="10"/>
      <c r="E672" s="10"/>
      <c r="F672" s="47"/>
      <c r="G672" s="10"/>
      <c r="H672" s="20"/>
      <c r="I672" s="20"/>
      <c r="J672" s="10"/>
      <c r="K672" s="10"/>
      <c r="L672" s="10"/>
      <c r="M672" s="10"/>
      <c r="N672" s="10"/>
      <c r="O672" s="21"/>
    </row>
    <row r="673" spans="1:15" x14ac:dyDescent="0.35">
      <c r="A673" s="15">
        <f t="shared" si="10"/>
        <v>671</v>
      </c>
      <c r="B673" s="16"/>
      <c r="C673" s="19"/>
      <c r="D673" s="10"/>
      <c r="E673" s="10"/>
      <c r="F673" s="47"/>
      <c r="G673" s="10"/>
      <c r="H673" s="20"/>
      <c r="I673" s="20"/>
      <c r="J673" s="10"/>
      <c r="K673" s="10"/>
      <c r="L673" s="10"/>
      <c r="M673" s="10"/>
      <c r="N673" s="10"/>
      <c r="O673" s="21"/>
    </row>
    <row r="674" spans="1:15" x14ac:dyDescent="0.35">
      <c r="A674" s="15">
        <f t="shared" si="10"/>
        <v>672</v>
      </c>
      <c r="B674" s="16"/>
      <c r="C674" s="19"/>
      <c r="D674" s="10"/>
      <c r="E674" s="10"/>
      <c r="F674" s="47"/>
      <c r="G674" s="10"/>
      <c r="H674" s="20"/>
      <c r="I674" s="20"/>
      <c r="J674" s="10"/>
      <c r="K674" s="10"/>
      <c r="L674" s="10"/>
      <c r="M674" s="10"/>
      <c r="N674" s="10"/>
      <c r="O674" s="21"/>
    </row>
    <row r="675" spans="1:15" x14ac:dyDescent="0.35">
      <c r="A675" s="15">
        <f t="shared" si="10"/>
        <v>673</v>
      </c>
      <c r="B675" s="16"/>
      <c r="C675" s="19"/>
      <c r="D675" s="10"/>
      <c r="E675" s="10"/>
      <c r="F675" s="47"/>
      <c r="G675" s="10"/>
      <c r="H675" s="20"/>
      <c r="I675" s="20"/>
      <c r="J675" s="10"/>
      <c r="K675" s="10"/>
      <c r="L675" s="10"/>
      <c r="M675" s="10"/>
      <c r="N675" s="10"/>
      <c r="O675" s="21"/>
    </row>
    <row r="676" spans="1:15" x14ac:dyDescent="0.35">
      <c r="A676" s="15">
        <f t="shared" si="10"/>
        <v>674</v>
      </c>
      <c r="B676" s="16"/>
      <c r="C676" s="19"/>
      <c r="D676" s="10"/>
      <c r="E676" s="10"/>
      <c r="F676" s="47"/>
      <c r="G676" s="10"/>
      <c r="H676" s="20"/>
      <c r="I676" s="20"/>
      <c r="J676" s="10"/>
      <c r="K676" s="10"/>
      <c r="L676" s="10"/>
      <c r="M676" s="10"/>
      <c r="N676" s="10"/>
      <c r="O676" s="21"/>
    </row>
    <row r="677" spans="1:15" x14ac:dyDescent="0.35">
      <c r="A677" s="15">
        <f t="shared" si="10"/>
        <v>675</v>
      </c>
      <c r="B677" s="16"/>
      <c r="C677" s="19"/>
      <c r="D677" s="10"/>
      <c r="E677" s="10"/>
      <c r="F677" s="47"/>
      <c r="G677" s="10"/>
      <c r="H677" s="20"/>
      <c r="I677" s="20"/>
      <c r="J677" s="10"/>
      <c r="K677" s="10"/>
      <c r="L677" s="10"/>
      <c r="M677" s="10"/>
      <c r="N677" s="10"/>
      <c r="O677" s="21"/>
    </row>
    <row r="678" spans="1:15" x14ac:dyDescent="0.35">
      <c r="A678" s="15">
        <f t="shared" si="10"/>
        <v>676</v>
      </c>
      <c r="B678" s="16"/>
      <c r="C678" s="19"/>
      <c r="D678" s="10"/>
      <c r="E678" s="10"/>
      <c r="F678" s="47"/>
      <c r="G678" s="10"/>
      <c r="H678" s="20"/>
      <c r="I678" s="20"/>
      <c r="J678" s="10"/>
      <c r="K678" s="10"/>
      <c r="L678" s="10"/>
      <c r="M678" s="10"/>
      <c r="N678" s="10"/>
      <c r="O678" s="21"/>
    </row>
    <row r="679" spans="1:15" x14ac:dyDescent="0.35">
      <c r="A679" s="15">
        <f t="shared" si="10"/>
        <v>677</v>
      </c>
      <c r="B679" s="16"/>
      <c r="C679" s="19"/>
      <c r="D679" s="10"/>
      <c r="E679" s="10"/>
      <c r="F679" s="47"/>
      <c r="G679" s="10"/>
      <c r="H679" s="20"/>
      <c r="I679" s="20"/>
      <c r="J679" s="10"/>
      <c r="K679" s="10"/>
      <c r="L679" s="10"/>
      <c r="M679" s="10"/>
      <c r="N679" s="10"/>
      <c r="O679" s="21"/>
    </row>
    <row r="680" spans="1:15" x14ac:dyDescent="0.35">
      <c r="A680" s="15">
        <f t="shared" si="10"/>
        <v>678</v>
      </c>
      <c r="B680" s="16"/>
      <c r="C680" s="19"/>
      <c r="D680" s="10"/>
      <c r="E680" s="10"/>
      <c r="F680" s="47"/>
      <c r="G680" s="10"/>
      <c r="H680" s="20"/>
      <c r="I680" s="20"/>
      <c r="J680" s="10"/>
      <c r="K680" s="10"/>
      <c r="L680" s="10"/>
      <c r="M680" s="10"/>
      <c r="N680" s="10"/>
      <c r="O680" s="21"/>
    </row>
    <row r="681" spans="1:15" x14ac:dyDescent="0.35">
      <c r="A681" s="15">
        <f t="shared" si="10"/>
        <v>679</v>
      </c>
      <c r="B681" s="16"/>
      <c r="C681" s="19"/>
      <c r="D681" s="10"/>
      <c r="E681" s="10"/>
      <c r="F681" s="47"/>
      <c r="G681" s="10"/>
      <c r="H681" s="20"/>
      <c r="I681" s="20"/>
      <c r="J681" s="10"/>
      <c r="K681" s="10"/>
      <c r="L681" s="10"/>
      <c r="M681" s="10"/>
      <c r="N681" s="10"/>
      <c r="O681" s="21"/>
    </row>
    <row r="682" spans="1:15" x14ac:dyDescent="0.35">
      <c r="A682" s="15">
        <f t="shared" si="10"/>
        <v>680</v>
      </c>
      <c r="B682" s="16"/>
      <c r="C682" s="19"/>
      <c r="D682" s="10"/>
      <c r="E682" s="10"/>
      <c r="F682" s="47"/>
      <c r="G682" s="10"/>
      <c r="H682" s="20"/>
      <c r="I682" s="20"/>
      <c r="J682" s="10"/>
      <c r="K682" s="10"/>
      <c r="L682" s="10"/>
      <c r="M682" s="10"/>
      <c r="N682" s="10"/>
      <c r="O682" s="21"/>
    </row>
    <row r="683" spans="1:15" x14ac:dyDescent="0.35">
      <c r="A683" s="15">
        <f t="shared" si="10"/>
        <v>681</v>
      </c>
      <c r="B683" s="16"/>
      <c r="C683" s="19"/>
      <c r="D683" s="10"/>
      <c r="E683" s="10"/>
      <c r="F683" s="47"/>
      <c r="G683" s="10"/>
      <c r="H683" s="20"/>
      <c r="I683" s="20"/>
      <c r="J683" s="10"/>
      <c r="K683" s="10"/>
      <c r="L683" s="10"/>
      <c r="M683" s="10"/>
      <c r="N683" s="10"/>
      <c r="O683" s="21"/>
    </row>
    <row r="684" spans="1:15" x14ac:dyDescent="0.35">
      <c r="A684" s="15">
        <f t="shared" si="10"/>
        <v>682</v>
      </c>
      <c r="B684" s="16"/>
      <c r="C684" s="19"/>
      <c r="D684" s="10"/>
      <c r="E684" s="10"/>
      <c r="F684" s="47"/>
      <c r="G684" s="10"/>
      <c r="H684" s="20"/>
      <c r="I684" s="20"/>
      <c r="J684" s="10"/>
      <c r="K684" s="10"/>
      <c r="L684" s="10"/>
      <c r="M684" s="10"/>
      <c r="N684" s="10"/>
      <c r="O684" s="21"/>
    </row>
    <row r="685" spans="1:15" x14ac:dyDescent="0.35">
      <c r="A685" s="15">
        <f t="shared" si="10"/>
        <v>683</v>
      </c>
      <c r="B685" s="16"/>
      <c r="C685" s="19"/>
      <c r="D685" s="10"/>
      <c r="E685" s="10"/>
      <c r="F685" s="47"/>
      <c r="G685" s="10"/>
      <c r="H685" s="20"/>
      <c r="I685" s="20"/>
      <c r="J685" s="10"/>
      <c r="K685" s="10"/>
      <c r="L685" s="10"/>
      <c r="M685" s="10"/>
      <c r="N685" s="10"/>
      <c r="O685" s="21"/>
    </row>
    <row r="686" spans="1:15" x14ac:dyDescent="0.35">
      <c r="A686" s="15">
        <f t="shared" si="10"/>
        <v>684</v>
      </c>
      <c r="B686" s="16"/>
      <c r="C686" s="19"/>
      <c r="D686" s="10"/>
      <c r="E686" s="10"/>
      <c r="F686" s="47"/>
      <c r="G686" s="10"/>
      <c r="H686" s="20"/>
      <c r="I686" s="20"/>
      <c r="J686" s="10"/>
      <c r="K686" s="10"/>
      <c r="L686" s="10"/>
      <c r="M686" s="10"/>
      <c r="N686" s="10"/>
      <c r="O686" s="21"/>
    </row>
    <row r="687" spans="1:15" x14ac:dyDescent="0.35">
      <c r="A687" s="15">
        <f t="shared" si="10"/>
        <v>685</v>
      </c>
      <c r="B687" s="16"/>
      <c r="C687" s="19"/>
      <c r="D687" s="10"/>
      <c r="E687" s="10"/>
      <c r="F687" s="47"/>
      <c r="G687" s="10"/>
      <c r="H687" s="20"/>
      <c r="I687" s="20"/>
      <c r="J687" s="10"/>
      <c r="K687" s="10"/>
      <c r="L687" s="10"/>
      <c r="M687" s="10"/>
      <c r="N687" s="10"/>
      <c r="O687" s="21"/>
    </row>
    <row r="688" spans="1:15" x14ac:dyDescent="0.35">
      <c r="A688" s="15">
        <f t="shared" si="10"/>
        <v>686</v>
      </c>
      <c r="B688" s="16"/>
      <c r="C688" s="19"/>
      <c r="D688" s="10"/>
      <c r="E688" s="10"/>
      <c r="F688" s="47"/>
      <c r="G688" s="10"/>
      <c r="H688" s="20"/>
      <c r="I688" s="20"/>
      <c r="J688" s="10"/>
      <c r="K688" s="10"/>
      <c r="L688" s="10"/>
      <c r="M688" s="10"/>
      <c r="N688" s="10"/>
      <c r="O688" s="21"/>
    </row>
    <row r="689" spans="1:15" x14ac:dyDescent="0.35">
      <c r="A689" s="15">
        <f t="shared" si="10"/>
        <v>687</v>
      </c>
      <c r="B689" s="16"/>
      <c r="C689" s="19"/>
      <c r="D689" s="10"/>
      <c r="E689" s="10"/>
      <c r="F689" s="47"/>
      <c r="G689" s="10"/>
      <c r="H689" s="20"/>
      <c r="I689" s="20"/>
      <c r="J689" s="10"/>
      <c r="K689" s="10"/>
      <c r="L689" s="10"/>
      <c r="M689" s="10"/>
      <c r="N689" s="10"/>
      <c r="O689" s="21"/>
    </row>
    <row r="690" spans="1:15" x14ac:dyDescent="0.35">
      <c r="A690" s="15">
        <f t="shared" si="10"/>
        <v>688</v>
      </c>
      <c r="B690" s="16"/>
      <c r="C690" s="19"/>
      <c r="D690" s="10"/>
      <c r="E690" s="10"/>
      <c r="F690" s="47"/>
      <c r="G690" s="10"/>
      <c r="H690" s="20"/>
      <c r="I690" s="20"/>
      <c r="J690" s="10"/>
      <c r="K690" s="10"/>
      <c r="L690" s="10"/>
      <c r="M690" s="10"/>
      <c r="N690" s="10"/>
      <c r="O690" s="21"/>
    </row>
    <row r="691" spans="1:15" x14ac:dyDescent="0.35">
      <c r="A691" s="15">
        <f t="shared" si="10"/>
        <v>689</v>
      </c>
      <c r="B691" s="16"/>
      <c r="C691" s="19"/>
      <c r="D691" s="10"/>
      <c r="E691" s="10"/>
      <c r="F691" s="47"/>
      <c r="G691" s="10"/>
      <c r="H691" s="20"/>
      <c r="I691" s="20"/>
      <c r="J691" s="10"/>
      <c r="K691" s="10"/>
      <c r="L691" s="10"/>
      <c r="M691" s="10"/>
      <c r="N691" s="10"/>
      <c r="O691" s="21"/>
    </row>
    <row r="692" spans="1:15" x14ac:dyDescent="0.35">
      <c r="A692" s="15">
        <f t="shared" si="10"/>
        <v>690</v>
      </c>
      <c r="B692" s="16"/>
      <c r="C692" s="19"/>
      <c r="D692" s="10"/>
      <c r="E692" s="10"/>
      <c r="F692" s="47"/>
      <c r="G692" s="10"/>
      <c r="H692" s="20"/>
      <c r="I692" s="20"/>
      <c r="J692" s="10"/>
      <c r="K692" s="10"/>
      <c r="L692" s="10"/>
      <c r="M692" s="10"/>
      <c r="N692" s="10"/>
      <c r="O692" s="21"/>
    </row>
    <row r="693" spans="1:15" x14ac:dyDescent="0.35">
      <c r="A693" s="15">
        <f t="shared" si="10"/>
        <v>691</v>
      </c>
      <c r="B693" s="16"/>
      <c r="C693" s="19"/>
      <c r="D693" s="10"/>
      <c r="E693" s="10"/>
      <c r="F693" s="47"/>
      <c r="G693" s="10"/>
      <c r="H693" s="20"/>
      <c r="I693" s="20"/>
      <c r="J693" s="10"/>
      <c r="K693" s="10"/>
      <c r="L693" s="10"/>
      <c r="M693" s="10"/>
      <c r="N693" s="10"/>
      <c r="O693" s="21"/>
    </row>
    <row r="694" spans="1:15" x14ac:dyDescent="0.35">
      <c r="A694" s="15">
        <f t="shared" si="10"/>
        <v>692</v>
      </c>
      <c r="B694" s="16"/>
      <c r="C694" s="19"/>
      <c r="D694" s="10"/>
      <c r="E694" s="10"/>
      <c r="F694" s="47"/>
      <c r="G694" s="10"/>
      <c r="H694" s="20"/>
      <c r="I694" s="20"/>
      <c r="J694" s="10"/>
      <c r="K694" s="10"/>
      <c r="L694" s="10"/>
      <c r="M694" s="10"/>
      <c r="N694" s="10"/>
      <c r="O694" s="21"/>
    </row>
    <row r="695" spans="1:15" x14ac:dyDescent="0.35">
      <c r="A695" s="15">
        <f t="shared" si="10"/>
        <v>693</v>
      </c>
      <c r="B695" s="16"/>
      <c r="C695" s="19"/>
      <c r="D695" s="10"/>
      <c r="E695" s="10"/>
      <c r="F695" s="47"/>
      <c r="G695" s="10"/>
      <c r="H695" s="20"/>
      <c r="I695" s="20"/>
      <c r="J695" s="10"/>
      <c r="K695" s="10"/>
      <c r="L695" s="10"/>
      <c r="M695" s="10"/>
      <c r="N695" s="10"/>
      <c r="O695" s="21"/>
    </row>
    <row r="696" spans="1:15" x14ac:dyDescent="0.35">
      <c r="A696" s="15">
        <f t="shared" si="10"/>
        <v>694</v>
      </c>
      <c r="B696" s="16"/>
      <c r="C696" s="19"/>
      <c r="D696" s="10"/>
      <c r="E696" s="10"/>
      <c r="F696" s="47"/>
      <c r="G696" s="10"/>
      <c r="H696" s="20"/>
      <c r="I696" s="20"/>
      <c r="J696" s="10"/>
      <c r="K696" s="10"/>
      <c r="L696" s="10"/>
      <c r="M696" s="10"/>
      <c r="N696" s="10"/>
      <c r="O696" s="21"/>
    </row>
    <row r="697" spans="1:15" x14ac:dyDescent="0.35">
      <c r="A697" s="15">
        <f t="shared" si="10"/>
        <v>695</v>
      </c>
      <c r="B697" s="16"/>
      <c r="C697" s="19"/>
      <c r="D697" s="10"/>
      <c r="E697" s="10"/>
      <c r="F697" s="47"/>
      <c r="G697" s="10"/>
      <c r="H697" s="20"/>
      <c r="I697" s="20"/>
      <c r="J697" s="10"/>
      <c r="K697" s="10"/>
      <c r="L697" s="10"/>
      <c r="M697" s="10"/>
      <c r="N697" s="10"/>
      <c r="O697" s="21"/>
    </row>
    <row r="698" spans="1:15" x14ac:dyDescent="0.35">
      <c r="A698" s="15">
        <f t="shared" si="10"/>
        <v>696</v>
      </c>
      <c r="B698" s="16"/>
      <c r="C698" s="19"/>
      <c r="D698" s="10"/>
      <c r="E698" s="10"/>
      <c r="F698" s="47"/>
      <c r="G698" s="10"/>
      <c r="H698" s="20"/>
      <c r="I698" s="20"/>
      <c r="J698" s="10"/>
      <c r="K698" s="10"/>
      <c r="L698" s="10"/>
      <c r="M698" s="10"/>
      <c r="N698" s="10"/>
      <c r="O698" s="21"/>
    </row>
    <row r="699" spans="1:15" x14ac:dyDescent="0.35">
      <c r="A699" s="15">
        <f t="shared" si="10"/>
        <v>697</v>
      </c>
      <c r="B699" s="16"/>
      <c r="C699" s="19"/>
      <c r="D699" s="10"/>
      <c r="E699" s="10"/>
      <c r="F699" s="47"/>
      <c r="G699" s="10"/>
      <c r="H699" s="20"/>
      <c r="I699" s="20"/>
      <c r="J699" s="10"/>
      <c r="K699" s="10"/>
      <c r="L699" s="10"/>
      <c r="M699" s="10"/>
      <c r="N699" s="10"/>
      <c r="O699" s="21"/>
    </row>
    <row r="700" spans="1:15" x14ac:dyDescent="0.35">
      <c r="A700" s="15">
        <f t="shared" si="10"/>
        <v>698</v>
      </c>
      <c r="B700" s="16"/>
      <c r="C700" s="19"/>
      <c r="D700" s="10"/>
      <c r="E700" s="10"/>
      <c r="F700" s="47"/>
      <c r="G700" s="10"/>
      <c r="H700" s="20"/>
      <c r="I700" s="20"/>
      <c r="J700" s="10"/>
      <c r="K700" s="10"/>
      <c r="L700" s="10"/>
      <c r="M700" s="10"/>
      <c r="N700" s="10"/>
      <c r="O700" s="21"/>
    </row>
    <row r="701" spans="1:15" x14ac:dyDescent="0.35">
      <c r="A701" s="15">
        <f t="shared" si="10"/>
        <v>699</v>
      </c>
      <c r="B701" s="16"/>
      <c r="C701" s="19"/>
      <c r="D701" s="10"/>
      <c r="E701" s="10"/>
      <c r="F701" s="47"/>
      <c r="G701" s="10"/>
      <c r="H701" s="20"/>
      <c r="I701" s="20"/>
      <c r="J701" s="10"/>
      <c r="K701" s="10"/>
      <c r="L701" s="10"/>
      <c r="M701" s="10"/>
      <c r="N701" s="10"/>
      <c r="O701" s="21"/>
    </row>
    <row r="702" spans="1:15" x14ac:dyDescent="0.35">
      <c r="A702" s="15">
        <f t="shared" si="10"/>
        <v>700</v>
      </c>
      <c r="B702" s="16"/>
      <c r="C702" s="19"/>
      <c r="D702" s="10"/>
      <c r="E702" s="10"/>
      <c r="F702" s="47"/>
      <c r="G702" s="10"/>
      <c r="H702" s="20"/>
      <c r="I702" s="20"/>
      <c r="J702" s="10"/>
      <c r="K702" s="10"/>
      <c r="L702" s="10"/>
      <c r="M702" s="10"/>
      <c r="N702" s="10"/>
      <c r="O702" s="21"/>
    </row>
    <row r="703" spans="1:15" x14ac:dyDescent="0.35">
      <c r="A703" s="15">
        <f t="shared" si="10"/>
        <v>701</v>
      </c>
      <c r="B703" s="16"/>
      <c r="C703" s="19"/>
      <c r="D703" s="10"/>
      <c r="E703" s="10"/>
      <c r="F703" s="47"/>
      <c r="G703" s="10"/>
      <c r="H703" s="20"/>
      <c r="I703" s="20"/>
      <c r="J703" s="10"/>
      <c r="K703" s="10"/>
      <c r="L703" s="10"/>
      <c r="M703" s="10"/>
      <c r="N703" s="10"/>
      <c r="O703" s="21"/>
    </row>
    <row r="704" spans="1:15" x14ac:dyDescent="0.35">
      <c r="A704" s="15">
        <f t="shared" si="10"/>
        <v>702</v>
      </c>
      <c r="B704" s="16"/>
      <c r="C704" s="19"/>
      <c r="D704" s="10"/>
      <c r="E704" s="10"/>
      <c r="F704" s="47"/>
      <c r="G704" s="10"/>
      <c r="H704" s="20"/>
      <c r="I704" s="20"/>
      <c r="J704" s="10"/>
      <c r="K704" s="10"/>
      <c r="L704" s="10"/>
      <c r="M704" s="10"/>
      <c r="N704" s="10"/>
      <c r="O704" s="21"/>
    </row>
    <row r="705" spans="1:15" x14ac:dyDescent="0.35">
      <c r="A705" s="15">
        <f t="shared" si="10"/>
        <v>703</v>
      </c>
      <c r="B705" s="16"/>
      <c r="C705" s="19"/>
      <c r="D705" s="10"/>
      <c r="E705" s="10"/>
      <c r="F705" s="47"/>
      <c r="G705" s="10"/>
      <c r="H705" s="20"/>
      <c r="I705" s="20"/>
      <c r="J705" s="10"/>
      <c r="K705" s="10"/>
      <c r="L705" s="10"/>
      <c r="M705" s="10"/>
      <c r="N705" s="10"/>
      <c r="O705" s="21"/>
    </row>
    <row r="706" spans="1:15" x14ac:dyDescent="0.35">
      <c r="A706" s="15">
        <f t="shared" si="10"/>
        <v>704</v>
      </c>
      <c r="B706" s="16"/>
      <c r="C706" s="19"/>
      <c r="D706" s="10"/>
      <c r="E706" s="10"/>
      <c r="F706" s="47"/>
      <c r="G706" s="10"/>
      <c r="H706" s="20"/>
      <c r="I706" s="20"/>
      <c r="J706" s="10"/>
      <c r="K706" s="10"/>
      <c r="L706" s="10"/>
      <c r="M706" s="10"/>
      <c r="N706" s="10"/>
      <c r="O706" s="21"/>
    </row>
    <row r="707" spans="1:15" x14ac:dyDescent="0.35">
      <c r="A707" s="15">
        <f t="shared" si="10"/>
        <v>705</v>
      </c>
      <c r="B707" s="16"/>
      <c r="C707" s="19"/>
      <c r="D707" s="10"/>
      <c r="E707" s="10"/>
      <c r="F707" s="47"/>
      <c r="G707" s="10"/>
      <c r="H707" s="20"/>
      <c r="I707" s="20"/>
      <c r="J707" s="10"/>
      <c r="K707" s="10"/>
      <c r="L707" s="10"/>
      <c r="M707" s="10"/>
      <c r="N707" s="10"/>
      <c r="O707" s="21"/>
    </row>
    <row r="708" spans="1:15" x14ac:dyDescent="0.35">
      <c r="A708" s="15">
        <f t="shared" si="10"/>
        <v>706</v>
      </c>
      <c r="B708" s="16"/>
      <c r="C708" s="19"/>
      <c r="D708" s="10"/>
      <c r="E708" s="10"/>
      <c r="F708" s="47"/>
      <c r="G708" s="10"/>
      <c r="H708" s="20"/>
      <c r="I708" s="20"/>
      <c r="J708" s="10"/>
      <c r="K708" s="10"/>
      <c r="L708" s="10"/>
      <c r="M708" s="10"/>
      <c r="N708" s="10"/>
      <c r="O708" s="21"/>
    </row>
    <row r="709" spans="1:15" x14ac:dyDescent="0.35">
      <c r="A709" s="15">
        <f t="shared" si="10"/>
        <v>707</v>
      </c>
      <c r="B709" s="16"/>
      <c r="C709" s="19"/>
      <c r="D709" s="10"/>
      <c r="E709" s="10"/>
      <c r="F709" s="47"/>
      <c r="G709" s="10"/>
      <c r="H709" s="20"/>
      <c r="I709" s="20"/>
      <c r="J709" s="10"/>
      <c r="K709" s="10"/>
      <c r="L709" s="10"/>
      <c r="M709" s="10"/>
      <c r="N709" s="10"/>
      <c r="O709" s="21"/>
    </row>
    <row r="710" spans="1:15" x14ac:dyDescent="0.35">
      <c r="A710" s="15">
        <f t="shared" si="10"/>
        <v>708</v>
      </c>
      <c r="B710" s="16"/>
      <c r="C710" s="19"/>
      <c r="D710" s="10"/>
      <c r="E710" s="10"/>
      <c r="F710" s="47"/>
      <c r="G710" s="10"/>
      <c r="H710" s="20"/>
      <c r="I710" s="20"/>
      <c r="J710" s="10"/>
      <c r="K710" s="10"/>
      <c r="L710" s="10"/>
      <c r="M710" s="10"/>
      <c r="N710" s="10"/>
      <c r="O710" s="21"/>
    </row>
    <row r="711" spans="1:15" x14ac:dyDescent="0.35">
      <c r="A711" s="15">
        <f t="shared" si="10"/>
        <v>709</v>
      </c>
      <c r="B711" s="16"/>
      <c r="C711" s="19"/>
      <c r="D711" s="10"/>
      <c r="E711" s="10"/>
      <c r="F711" s="47"/>
      <c r="G711" s="10"/>
      <c r="H711" s="20"/>
      <c r="I711" s="20"/>
      <c r="J711" s="10"/>
      <c r="K711" s="10"/>
      <c r="L711" s="10"/>
      <c r="M711" s="10"/>
      <c r="N711" s="10"/>
      <c r="O711" s="21"/>
    </row>
    <row r="712" spans="1:15" x14ac:dyDescent="0.35">
      <c r="A712" s="15">
        <f t="shared" si="10"/>
        <v>710</v>
      </c>
      <c r="B712" s="16"/>
      <c r="C712" s="19"/>
      <c r="D712" s="10"/>
      <c r="E712" s="10"/>
      <c r="F712" s="47"/>
      <c r="G712" s="10"/>
      <c r="H712" s="20"/>
      <c r="I712" s="20"/>
      <c r="J712" s="10"/>
      <c r="K712" s="10"/>
      <c r="L712" s="10"/>
      <c r="M712" s="10"/>
      <c r="N712" s="10"/>
      <c r="O712" s="21"/>
    </row>
    <row r="713" spans="1:15" x14ac:dyDescent="0.35">
      <c r="A713" s="15">
        <f t="shared" si="10"/>
        <v>711</v>
      </c>
      <c r="B713" s="16"/>
      <c r="C713" s="19"/>
      <c r="D713" s="10"/>
      <c r="E713" s="10"/>
      <c r="F713" s="47"/>
      <c r="G713" s="10"/>
      <c r="H713" s="20"/>
      <c r="I713" s="20"/>
      <c r="J713" s="10"/>
      <c r="K713" s="10"/>
      <c r="L713" s="10"/>
      <c r="M713" s="10"/>
      <c r="N713" s="10"/>
      <c r="O713" s="21"/>
    </row>
    <row r="714" spans="1:15" x14ac:dyDescent="0.35">
      <c r="A714" s="15">
        <f t="shared" si="10"/>
        <v>712</v>
      </c>
      <c r="B714" s="16"/>
      <c r="C714" s="19"/>
      <c r="D714" s="10"/>
      <c r="E714" s="10"/>
      <c r="F714" s="47"/>
      <c r="G714" s="10"/>
      <c r="H714" s="20"/>
      <c r="I714" s="20"/>
      <c r="J714" s="10"/>
      <c r="K714" s="10"/>
      <c r="L714" s="10"/>
      <c r="M714" s="10"/>
      <c r="N714" s="10"/>
      <c r="O714" s="21"/>
    </row>
    <row r="715" spans="1:15" x14ac:dyDescent="0.35">
      <c r="A715" s="15">
        <f t="shared" ref="A715:A778" si="11">+A714+1</f>
        <v>713</v>
      </c>
      <c r="B715" s="16"/>
      <c r="C715" s="19"/>
      <c r="D715" s="10"/>
      <c r="E715" s="10"/>
      <c r="F715" s="47"/>
      <c r="G715" s="10"/>
      <c r="H715" s="20"/>
      <c r="I715" s="20"/>
      <c r="J715" s="10"/>
      <c r="K715" s="10"/>
      <c r="L715" s="10"/>
      <c r="M715" s="10"/>
      <c r="N715" s="10"/>
      <c r="O715" s="21"/>
    </row>
    <row r="716" spans="1:15" x14ac:dyDescent="0.35">
      <c r="A716" s="15">
        <f t="shared" si="11"/>
        <v>714</v>
      </c>
      <c r="B716" s="16"/>
      <c r="C716" s="19"/>
      <c r="D716" s="10"/>
      <c r="E716" s="10"/>
      <c r="F716" s="47"/>
      <c r="G716" s="10"/>
      <c r="H716" s="20"/>
      <c r="I716" s="20"/>
      <c r="J716" s="10"/>
      <c r="K716" s="10"/>
      <c r="L716" s="10"/>
      <c r="M716" s="10"/>
      <c r="N716" s="10"/>
      <c r="O716" s="21"/>
    </row>
    <row r="717" spans="1:15" x14ac:dyDescent="0.35">
      <c r="A717" s="15">
        <f t="shared" si="11"/>
        <v>715</v>
      </c>
      <c r="B717" s="16"/>
      <c r="C717" s="19"/>
      <c r="D717" s="10"/>
      <c r="E717" s="10"/>
      <c r="F717" s="47"/>
      <c r="G717" s="10"/>
      <c r="H717" s="20"/>
      <c r="I717" s="20"/>
      <c r="J717" s="10"/>
      <c r="K717" s="10"/>
      <c r="L717" s="10"/>
      <c r="M717" s="10"/>
      <c r="N717" s="10"/>
      <c r="O717" s="21"/>
    </row>
    <row r="718" spans="1:15" x14ac:dyDescent="0.35">
      <c r="A718" s="15">
        <f t="shared" si="11"/>
        <v>716</v>
      </c>
      <c r="B718" s="16"/>
      <c r="C718" s="19"/>
      <c r="D718" s="10"/>
      <c r="E718" s="10"/>
      <c r="F718" s="47"/>
      <c r="G718" s="10"/>
      <c r="H718" s="20"/>
      <c r="I718" s="20"/>
      <c r="J718" s="10"/>
      <c r="K718" s="10"/>
      <c r="L718" s="10"/>
      <c r="M718" s="10"/>
      <c r="N718" s="10"/>
      <c r="O718" s="21"/>
    </row>
    <row r="719" spans="1:15" x14ac:dyDescent="0.35">
      <c r="A719" s="15">
        <f t="shared" si="11"/>
        <v>717</v>
      </c>
      <c r="B719" s="16"/>
      <c r="C719" s="19"/>
      <c r="D719" s="10"/>
      <c r="E719" s="10"/>
      <c r="F719" s="47"/>
      <c r="G719" s="10"/>
      <c r="H719" s="20"/>
      <c r="I719" s="20"/>
      <c r="J719" s="10"/>
      <c r="K719" s="10"/>
      <c r="L719" s="10"/>
      <c r="M719" s="10"/>
      <c r="N719" s="10"/>
      <c r="O719" s="21"/>
    </row>
    <row r="720" spans="1:15" x14ac:dyDescent="0.35">
      <c r="A720" s="15">
        <f t="shared" si="11"/>
        <v>718</v>
      </c>
      <c r="B720" s="16"/>
      <c r="C720" s="19"/>
      <c r="D720" s="10"/>
      <c r="E720" s="10"/>
      <c r="F720" s="47"/>
      <c r="G720" s="10"/>
      <c r="H720" s="20"/>
      <c r="I720" s="20"/>
      <c r="J720" s="10"/>
      <c r="K720" s="10"/>
      <c r="L720" s="10"/>
      <c r="M720" s="10"/>
      <c r="N720" s="10"/>
      <c r="O720" s="21"/>
    </row>
    <row r="721" spans="1:15" x14ac:dyDescent="0.35">
      <c r="A721" s="15">
        <f t="shared" si="11"/>
        <v>719</v>
      </c>
      <c r="B721" s="16"/>
      <c r="C721" s="19"/>
      <c r="D721" s="10"/>
      <c r="E721" s="10"/>
      <c r="F721" s="47"/>
      <c r="G721" s="10"/>
      <c r="H721" s="20"/>
      <c r="I721" s="20"/>
      <c r="J721" s="10"/>
      <c r="K721" s="10"/>
      <c r="L721" s="10"/>
      <c r="M721" s="10"/>
      <c r="N721" s="10"/>
      <c r="O721" s="21"/>
    </row>
    <row r="722" spans="1:15" x14ac:dyDescent="0.35">
      <c r="A722" s="15">
        <f t="shared" si="11"/>
        <v>720</v>
      </c>
      <c r="B722" s="16"/>
      <c r="C722" s="19"/>
      <c r="D722" s="10"/>
      <c r="E722" s="10"/>
      <c r="F722" s="47"/>
      <c r="G722" s="10"/>
      <c r="H722" s="20"/>
      <c r="I722" s="20"/>
      <c r="J722" s="10"/>
      <c r="K722" s="10"/>
      <c r="L722" s="10"/>
      <c r="M722" s="10"/>
      <c r="N722" s="10"/>
      <c r="O722" s="21"/>
    </row>
    <row r="723" spans="1:15" x14ac:dyDescent="0.35">
      <c r="A723" s="15">
        <f t="shared" si="11"/>
        <v>721</v>
      </c>
      <c r="B723" s="16"/>
      <c r="C723" s="19"/>
      <c r="D723" s="10"/>
      <c r="E723" s="10"/>
      <c r="F723" s="47"/>
      <c r="G723" s="10"/>
      <c r="H723" s="20"/>
      <c r="I723" s="20"/>
      <c r="J723" s="10"/>
      <c r="K723" s="10"/>
      <c r="L723" s="10"/>
      <c r="M723" s="10"/>
      <c r="N723" s="10"/>
      <c r="O723" s="21"/>
    </row>
    <row r="724" spans="1:15" x14ac:dyDescent="0.35">
      <c r="A724" s="15">
        <f t="shared" si="11"/>
        <v>722</v>
      </c>
      <c r="B724" s="16"/>
      <c r="C724" s="19"/>
      <c r="D724" s="10"/>
      <c r="E724" s="10"/>
      <c r="F724" s="47"/>
      <c r="G724" s="10"/>
      <c r="H724" s="20"/>
      <c r="I724" s="20"/>
      <c r="J724" s="10"/>
      <c r="K724" s="10"/>
      <c r="L724" s="10"/>
      <c r="M724" s="10"/>
      <c r="N724" s="10"/>
      <c r="O724" s="21"/>
    </row>
    <row r="725" spans="1:15" x14ac:dyDescent="0.35">
      <c r="A725" s="15">
        <f t="shared" si="11"/>
        <v>723</v>
      </c>
      <c r="B725" s="16"/>
      <c r="C725" s="19"/>
      <c r="D725" s="10"/>
      <c r="E725" s="10"/>
      <c r="F725" s="47"/>
      <c r="G725" s="10"/>
      <c r="H725" s="20"/>
      <c r="I725" s="20"/>
      <c r="J725" s="10"/>
      <c r="K725" s="10"/>
      <c r="L725" s="10"/>
      <c r="M725" s="10"/>
      <c r="N725" s="10"/>
      <c r="O725" s="21"/>
    </row>
    <row r="726" spans="1:15" x14ac:dyDescent="0.35">
      <c r="A726" s="15">
        <f t="shared" si="11"/>
        <v>724</v>
      </c>
      <c r="B726" s="16"/>
      <c r="C726" s="19"/>
      <c r="D726" s="10"/>
      <c r="E726" s="10"/>
      <c r="F726" s="47"/>
      <c r="G726" s="10"/>
      <c r="H726" s="20"/>
      <c r="I726" s="20"/>
      <c r="J726" s="10"/>
      <c r="K726" s="10"/>
      <c r="L726" s="10"/>
      <c r="M726" s="10"/>
      <c r="N726" s="10"/>
      <c r="O726" s="21"/>
    </row>
    <row r="727" spans="1:15" x14ac:dyDescent="0.35">
      <c r="A727" s="15">
        <f t="shared" si="11"/>
        <v>725</v>
      </c>
      <c r="B727" s="16"/>
      <c r="C727" s="19"/>
      <c r="D727" s="10"/>
      <c r="E727" s="10"/>
      <c r="F727" s="47"/>
      <c r="G727" s="10"/>
      <c r="H727" s="20"/>
      <c r="I727" s="20"/>
      <c r="J727" s="10"/>
      <c r="K727" s="10"/>
      <c r="L727" s="10"/>
      <c r="M727" s="10"/>
      <c r="N727" s="10"/>
      <c r="O727" s="21"/>
    </row>
    <row r="728" spans="1:15" x14ac:dyDescent="0.35">
      <c r="A728" s="15">
        <f t="shared" si="11"/>
        <v>726</v>
      </c>
      <c r="B728" s="16"/>
      <c r="C728" s="19"/>
      <c r="D728" s="10"/>
      <c r="E728" s="10"/>
      <c r="F728" s="47"/>
      <c r="G728" s="10"/>
      <c r="H728" s="20"/>
      <c r="I728" s="20"/>
      <c r="J728" s="10"/>
      <c r="K728" s="10"/>
      <c r="L728" s="10"/>
      <c r="M728" s="10"/>
      <c r="N728" s="10"/>
      <c r="O728" s="21"/>
    </row>
    <row r="729" spans="1:15" x14ac:dyDescent="0.35">
      <c r="A729" s="15">
        <f t="shared" si="11"/>
        <v>727</v>
      </c>
      <c r="B729" s="16"/>
      <c r="C729" s="19"/>
      <c r="D729" s="10"/>
      <c r="E729" s="10"/>
      <c r="F729" s="47"/>
      <c r="G729" s="10"/>
      <c r="H729" s="20"/>
      <c r="I729" s="20"/>
      <c r="J729" s="10"/>
      <c r="K729" s="10"/>
      <c r="L729" s="10"/>
      <c r="M729" s="10"/>
      <c r="N729" s="10"/>
      <c r="O729" s="21"/>
    </row>
    <row r="730" spans="1:15" x14ac:dyDescent="0.35">
      <c r="A730" s="15">
        <f t="shared" si="11"/>
        <v>728</v>
      </c>
      <c r="B730" s="16"/>
      <c r="C730" s="19"/>
      <c r="D730" s="10"/>
      <c r="E730" s="10"/>
      <c r="F730" s="47"/>
      <c r="G730" s="10"/>
      <c r="H730" s="20"/>
      <c r="I730" s="20"/>
      <c r="J730" s="10"/>
      <c r="K730" s="10"/>
      <c r="L730" s="10"/>
      <c r="M730" s="10"/>
      <c r="N730" s="10"/>
      <c r="O730" s="21"/>
    </row>
    <row r="731" spans="1:15" x14ac:dyDescent="0.35">
      <c r="A731" s="15">
        <f t="shared" si="11"/>
        <v>729</v>
      </c>
      <c r="B731" s="16"/>
      <c r="C731" s="19"/>
      <c r="D731" s="10"/>
      <c r="E731" s="10"/>
      <c r="F731" s="47"/>
      <c r="G731" s="10"/>
      <c r="H731" s="20"/>
      <c r="I731" s="20"/>
      <c r="J731" s="10"/>
      <c r="K731" s="10"/>
      <c r="L731" s="10"/>
      <c r="M731" s="10"/>
      <c r="N731" s="10"/>
      <c r="O731" s="21"/>
    </row>
    <row r="732" spans="1:15" x14ac:dyDescent="0.35">
      <c r="A732" s="15">
        <f t="shared" si="11"/>
        <v>730</v>
      </c>
      <c r="B732" s="16"/>
      <c r="C732" s="19"/>
      <c r="D732" s="10"/>
      <c r="E732" s="10"/>
      <c r="F732" s="47"/>
      <c r="G732" s="10"/>
      <c r="H732" s="20"/>
      <c r="I732" s="20"/>
      <c r="J732" s="10"/>
      <c r="K732" s="10"/>
      <c r="L732" s="10"/>
      <c r="M732" s="10"/>
      <c r="N732" s="10"/>
      <c r="O732" s="21"/>
    </row>
    <row r="733" spans="1:15" x14ac:dyDescent="0.35">
      <c r="A733" s="15">
        <f t="shared" si="11"/>
        <v>731</v>
      </c>
      <c r="B733" s="16"/>
      <c r="C733" s="19"/>
      <c r="D733" s="10"/>
      <c r="E733" s="10"/>
      <c r="F733" s="47"/>
      <c r="G733" s="10"/>
      <c r="H733" s="20"/>
      <c r="I733" s="20"/>
      <c r="J733" s="10"/>
      <c r="K733" s="10"/>
      <c r="L733" s="10"/>
      <c r="M733" s="10"/>
      <c r="N733" s="10"/>
      <c r="O733" s="21"/>
    </row>
    <row r="734" spans="1:15" x14ac:dyDescent="0.35">
      <c r="A734" s="15">
        <f t="shared" si="11"/>
        <v>732</v>
      </c>
      <c r="B734" s="16"/>
      <c r="C734" s="19"/>
      <c r="D734" s="10"/>
      <c r="E734" s="10"/>
      <c r="F734" s="47"/>
      <c r="G734" s="10"/>
      <c r="H734" s="20"/>
      <c r="I734" s="20"/>
      <c r="J734" s="10"/>
      <c r="K734" s="10"/>
      <c r="L734" s="10"/>
      <c r="M734" s="10"/>
      <c r="N734" s="10"/>
      <c r="O734" s="21"/>
    </row>
    <row r="735" spans="1:15" x14ac:dyDescent="0.35">
      <c r="A735" s="15">
        <f t="shared" si="11"/>
        <v>733</v>
      </c>
      <c r="B735" s="16"/>
      <c r="C735" s="19"/>
      <c r="D735" s="10"/>
      <c r="E735" s="10"/>
      <c r="F735" s="47"/>
      <c r="G735" s="10"/>
      <c r="H735" s="20"/>
      <c r="I735" s="20"/>
      <c r="J735" s="10"/>
      <c r="K735" s="10"/>
      <c r="L735" s="10"/>
      <c r="M735" s="10"/>
      <c r="N735" s="10"/>
      <c r="O735" s="21"/>
    </row>
    <row r="736" spans="1:15" x14ac:dyDescent="0.35">
      <c r="A736" s="15">
        <f t="shared" si="11"/>
        <v>734</v>
      </c>
      <c r="B736" s="16"/>
      <c r="C736" s="19"/>
      <c r="D736" s="10"/>
      <c r="E736" s="10"/>
      <c r="F736" s="47"/>
      <c r="G736" s="10"/>
      <c r="H736" s="20"/>
      <c r="I736" s="20"/>
      <c r="J736" s="10"/>
      <c r="K736" s="10"/>
      <c r="L736" s="10"/>
      <c r="M736" s="10"/>
      <c r="N736" s="10"/>
      <c r="O736" s="21"/>
    </row>
    <row r="737" spans="1:15" x14ac:dyDescent="0.35">
      <c r="A737" s="15">
        <f t="shared" si="11"/>
        <v>735</v>
      </c>
      <c r="B737" s="16"/>
      <c r="C737" s="19"/>
      <c r="D737" s="10"/>
      <c r="E737" s="10"/>
      <c r="F737" s="47"/>
      <c r="G737" s="10"/>
      <c r="H737" s="20"/>
      <c r="I737" s="20"/>
      <c r="J737" s="10"/>
      <c r="K737" s="10"/>
      <c r="L737" s="10"/>
      <c r="M737" s="10"/>
      <c r="N737" s="10"/>
      <c r="O737" s="21"/>
    </row>
    <row r="738" spans="1:15" x14ac:dyDescent="0.35">
      <c r="A738" s="15">
        <f t="shared" si="11"/>
        <v>736</v>
      </c>
      <c r="B738" s="16"/>
      <c r="C738" s="19"/>
      <c r="D738" s="10"/>
      <c r="E738" s="10"/>
      <c r="F738" s="47"/>
      <c r="G738" s="10"/>
      <c r="H738" s="20"/>
      <c r="I738" s="20"/>
      <c r="J738" s="10"/>
      <c r="K738" s="10"/>
      <c r="L738" s="10"/>
      <c r="M738" s="10"/>
      <c r="N738" s="10"/>
      <c r="O738" s="21"/>
    </row>
    <row r="739" spans="1:15" x14ac:dyDescent="0.35">
      <c r="A739" s="15">
        <f t="shared" si="11"/>
        <v>737</v>
      </c>
      <c r="B739" s="16"/>
      <c r="C739" s="19"/>
      <c r="D739" s="10"/>
      <c r="E739" s="10"/>
      <c r="F739" s="47"/>
      <c r="G739" s="10"/>
      <c r="H739" s="20"/>
      <c r="I739" s="20"/>
      <c r="J739" s="10"/>
      <c r="K739" s="10"/>
      <c r="L739" s="10"/>
      <c r="M739" s="10"/>
      <c r="N739" s="10"/>
      <c r="O739" s="21"/>
    </row>
    <row r="740" spans="1:15" x14ac:dyDescent="0.35">
      <c r="A740" s="15">
        <f t="shared" si="11"/>
        <v>738</v>
      </c>
      <c r="B740" s="16"/>
      <c r="C740" s="19"/>
      <c r="D740" s="10"/>
      <c r="E740" s="10"/>
      <c r="F740" s="47"/>
      <c r="G740" s="10"/>
      <c r="H740" s="20"/>
      <c r="I740" s="20"/>
      <c r="J740" s="10"/>
      <c r="K740" s="10"/>
      <c r="L740" s="10"/>
      <c r="M740" s="10"/>
      <c r="N740" s="10"/>
      <c r="O740" s="21"/>
    </row>
    <row r="741" spans="1:15" x14ac:dyDescent="0.35">
      <c r="A741" s="15">
        <f t="shared" si="11"/>
        <v>739</v>
      </c>
      <c r="B741" s="16"/>
      <c r="C741" s="19"/>
      <c r="D741" s="10"/>
      <c r="E741" s="10"/>
      <c r="F741" s="47"/>
      <c r="G741" s="10"/>
      <c r="H741" s="20"/>
      <c r="I741" s="20"/>
      <c r="J741" s="10"/>
      <c r="K741" s="10"/>
      <c r="L741" s="10"/>
      <c r="M741" s="10"/>
      <c r="N741" s="10"/>
      <c r="O741" s="21"/>
    </row>
    <row r="742" spans="1:15" x14ac:dyDescent="0.35">
      <c r="A742" s="15">
        <f t="shared" si="11"/>
        <v>740</v>
      </c>
      <c r="B742" s="16"/>
      <c r="C742" s="19"/>
      <c r="D742" s="10"/>
      <c r="E742" s="10"/>
      <c r="F742" s="47"/>
      <c r="G742" s="10"/>
      <c r="H742" s="20"/>
      <c r="I742" s="20"/>
      <c r="J742" s="10"/>
      <c r="K742" s="10"/>
      <c r="L742" s="10"/>
      <c r="M742" s="10"/>
      <c r="N742" s="10"/>
      <c r="O742" s="21"/>
    </row>
    <row r="743" spans="1:15" x14ac:dyDescent="0.35">
      <c r="A743" s="15">
        <f t="shared" si="11"/>
        <v>741</v>
      </c>
      <c r="B743" s="16"/>
      <c r="C743" s="19"/>
      <c r="D743" s="10"/>
      <c r="E743" s="10"/>
      <c r="F743" s="47"/>
      <c r="G743" s="10"/>
      <c r="H743" s="20"/>
      <c r="I743" s="20"/>
      <c r="J743" s="10"/>
      <c r="K743" s="10"/>
      <c r="L743" s="10"/>
      <c r="M743" s="10"/>
      <c r="N743" s="10"/>
      <c r="O743" s="21"/>
    </row>
    <row r="744" spans="1:15" x14ac:dyDescent="0.35">
      <c r="A744" s="15">
        <f t="shared" si="11"/>
        <v>742</v>
      </c>
      <c r="B744" s="16"/>
      <c r="C744" s="19"/>
      <c r="D744" s="10"/>
      <c r="E744" s="10"/>
      <c r="F744" s="47"/>
      <c r="G744" s="10"/>
      <c r="H744" s="20"/>
      <c r="I744" s="20"/>
      <c r="J744" s="10"/>
      <c r="K744" s="10"/>
      <c r="L744" s="10"/>
      <c r="M744" s="10"/>
      <c r="N744" s="10"/>
      <c r="O744" s="21"/>
    </row>
    <row r="745" spans="1:15" x14ac:dyDescent="0.35">
      <c r="A745" s="15">
        <f t="shared" si="11"/>
        <v>743</v>
      </c>
      <c r="B745" s="16"/>
      <c r="C745" s="19"/>
      <c r="D745" s="10"/>
      <c r="E745" s="10"/>
      <c r="F745" s="47"/>
      <c r="G745" s="10"/>
      <c r="H745" s="20"/>
      <c r="I745" s="20"/>
      <c r="J745" s="10"/>
      <c r="K745" s="10"/>
      <c r="L745" s="10"/>
      <c r="M745" s="10"/>
      <c r="N745" s="10"/>
      <c r="O745" s="21"/>
    </row>
    <row r="746" spans="1:15" x14ac:dyDescent="0.35">
      <c r="A746" s="15">
        <f t="shared" si="11"/>
        <v>744</v>
      </c>
      <c r="B746" s="16"/>
      <c r="C746" s="19"/>
      <c r="D746" s="10"/>
      <c r="E746" s="10"/>
      <c r="F746" s="47"/>
      <c r="G746" s="10"/>
      <c r="H746" s="20"/>
      <c r="I746" s="20"/>
      <c r="J746" s="10"/>
      <c r="K746" s="10"/>
      <c r="L746" s="10"/>
      <c r="M746" s="10"/>
      <c r="N746" s="10"/>
      <c r="O746" s="21"/>
    </row>
    <row r="747" spans="1:15" x14ac:dyDescent="0.35">
      <c r="A747" s="15">
        <f t="shared" si="11"/>
        <v>745</v>
      </c>
      <c r="B747" s="16"/>
      <c r="C747" s="19"/>
      <c r="D747" s="10"/>
      <c r="E747" s="10"/>
      <c r="F747" s="47"/>
      <c r="G747" s="10"/>
      <c r="H747" s="20"/>
      <c r="I747" s="20"/>
      <c r="J747" s="10"/>
      <c r="K747" s="10"/>
      <c r="L747" s="10"/>
      <c r="M747" s="10"/>
      <c r="N747" s="10"/>
      <c r="O747" s="21"/>
    </row>
    <row r="748" spans="1:15" x14ac:dyDescent="0.35">
      <c r="A748" s="15">
        <f t="shared" si="11"/>
        <v>746</v>
      </c>
      <c r="B748" s="16"/>
      <c r="C748" s="19"/>
      <c r="D748" s="10"/>
      <c r="E748" s="10"/>
      <c r="F748" s="47"/>
      <c r="G748" s="10"/>
      <c r="H748" s="20"/>
      <c r="I748" s="20"/>
      <c r="J748" s="10"/>
      <c r="K748" s="10"/>
      <c r="L748" s="10"/>
      <c r="M748" s="10"/>
      <c r="N748" s="10"/>
      <c r="O748" s="21"/>
    </row>
    <row r="749" spans="1:15" x14ac:dyDescent="0.35">
      <c r="A749" s="15">
        <f t="shared" si="11"/>
        <v>747</v>
      </c>
      <c r="B749" s="16"/>
      <c r="C749" s="19"/>
      <c r="D749" s="10"/>
      <c r="E749" s="10"/>
      <c r="F749" s="47"/>
      <c r="G749" s="10"/>
      <c r="H749" s="20"/>
      <c r="I749" s="20"/>
      <c r="J749" s="10"/>
      <c r="K749" s="10"/>
      <c r="L749" s="10"/>
      <c r="M749" s="10"/>
      <c r="N749" s="10"/>
      <c r="O749" s="21"/>
    </row>
    <row r="750" spans="1:15" x14ac:dyDescent="0.35">
      <c r="A750" s="15">
        <f t="shared" si="11"/>
        <v>748</v>
      </c>
      <c r="B750" s="16"/>
      <c r="C750" s="19"/>
      <c r="D750" s="10"/>
      <c r="E750" s="10"/>
      <c r="F750" s="47"/>
      <c r="G750" s="10"/>
      <c r="H750" s="20"/>
      <c r="I750" s="20"/>
      <c r="J750" s="10"/>
      <c r="K750" s="10"/>
      <c r="L750" s="10"/>
      <c r="M750" s="10"/>
      <c r="N750" s="10"/>
      <c r="O750" s="21"/>
    </row>
    <row r="751" spans="1:15" x14ac:dyDescent="0.35">
      <c r="A751" s="15">
        <f t="shared" si="11"/>
        <v>749</v>
      </c>
      <c r="B751" s="16"/>
      <c r="C751" s="19"/>
      <c r="D751" s="10"/>
      <c r="E751" s="10"/>
      <c r="F751" s="47"/>
      <c r="G751" s="10"/>
      <c r="H751" s="20"/>
      <c r="I751" s="20"/>
      <c r="J751" s="10"/>
      <c r="K751" s="10"/>
      <c r="L751" s="10"/>
      <c r="M751" s="10"/>
      <c r="N751" s="10"/>
      <c r="O751" s="21"/>
    </row>
    <row r="752" spans="1:15" x14ac:dyDescent="0.35">
      <c r="A752" s="15">
        <f t="shared" si="11"/>
        <v>750</v>
      </c>
      <c r="B752" s="16"/>
      <c r="C752" s="19"/>
      <c r="D752" s="10"/>
      <c r="E752" s="10"/>
      <c r="F752" s="47"/>
      <c r="G752" s="10"/>
      <c r="H752" s="20"/>
      <c r="I752" s="20"/>
      <c r="J752" s="10"/>
      <c r="K752" s="10"/>
      <c r="L752" s="10"/>
      <c r="M752" s="10"/>
      <c r="N752" s="10"/>
      <c r="O752" s="21"/>
    </row>
    <row r="753" spans="1:15" x14ac:dyDescent="0.35">
      <c r="A753" s="15">
        <f t="shared" si="11"/>
        <v>751</v>
      </c>
      <c r="B753" s="16"/>
      <c r="C753" s="19"/>
      <c r="D753" s="10"/>
      <c r="E753" s="10"/>
      <c r="F753" s="47"/>
      <c r="G753" s="10"/>
      <c r="H753" s="20"/>
      <c r="I753" s="20"/>
      <c r="J753" s="10"/>
      <c r="K753" s="10"/>
      <c r="L753" s="10"/>
      <c r="M753" s="10"/>
      <c r="N753" s="10"/>
      <c r="O753" s="21"/>
    </row>
    <row r="754" spans="1:15" x14ac:dyDescent="0.35">
      <c r="A754" s="15">
        <f t="shared" si="11"/>
        <v>752</v>
      </c>
      <c r="B754" s="16"/>
      <c r="C754" s="19"/>
      <c r="D754" s="10"/>
      <c r="E754" s="10"/>
      <c r="F754" s="47"/>
      <c r="G754" s="10"/>
      <c r="H754" s="20"/>
      <c r="I754" s="20"/>
      <c r="J754" s="10"/>
      <c r="K754" s="10"/>
      <c r="L754" s="10"/>
      <c r="M754" s="10"/>
      <c r="N754" s="10"/>
      <c r="O754" s="21"/>
    </row>
    <row r="755" spans="1:15" x14ac:dyDescent="0.35">
      <c r="A755" s="15">
        <f t="shared" si="11"/>
        <v>753</v>
      </c>
      <c r="B755" s="16"/>
      <c r="C755" s="19"/>
      <c r="D755" s="10"/>
      <c r="E755" s="10"/>
      <c r="F755" s="47"/>
      <c r="G755" s="10"/>
      <c r="H755" s="20"/>
      <c r="I755" s="20"/>
      <c r="J755" s="10"/>
      <c r="K755" s="10"/>
      <c r="L755" s="10"/>
      <c r="M755" s="10"/>
      <c r="N755" s="10"/>
      <c r="O755" s="21"/>
    </row>
    <row r="756" spans="1:15" x14ac:dyDescent="0.35">
      <c r="A756" s="15">
        <f t="shared" si="11"/>
        <v>754</v>
      </c>
      <c r="B756" s="16"/>
      <c r="C756" s="19"/>
      <c r="D756" s="10"/>
      <c r="E756" s="10"/>
      <c r="F756" s="47"/>
      <c r="G756" s="10"/>
      <c r="H756" s="20"/>
      <c r="I756" s="20"/>
      <c r="J756" s="10"/>
      <c r="K756" s="10"/>
      <c r="L756" s="10"/>
      <c r="M756" s="10"/>
      <c r="N756" s="10"/>
      <c r="O756" s="21"/>
    </row>
    <row r="757" spans="1:15" x14ac:dyDescent="0.35">
      <c r="A757" s="15">
        <f t="shared" si="11"/>
        <v>755</v>
      </c>
      <c r="B757" s="16"/>
      <c r="C757" s="19"/>
      <c r="D757" s="10"/>
      <c r="E757" s="10"/>
      <c r="F757" s="47"/>
      <c r="G757" s="10"/>
      <c r="H757" s="20"/>
      <c r="I757" s="20"/>
      <c r="J757" s="10"/>
      <c r="K757" s="10"/>
      <c r="L757" s="10"/>
      <c r="M757" s="10"/>
      <c r="N757" s="10"/>
      <c r="O757" s="21"/>
    </row>
    <row r="758" spans="1:15" x14ac:dyDescent="0.35">
      <c r="A758" s="15">
        <f t="shared" si="11"/>
        <v>756</v>
      </c>
      <c r="B758" s="16"/>
      <c r="C758" s="19"/>
      <c r="D758" s="10"/>
      <c r="E758" s="10"/>
      <c r="F758" s="47"/>
      <c r="G758" s="10"/>
      <c r="H758" s="20"/>
      <c r="I758" s="20"/>
      <c r="J758" s="10"/>
      <c r="K758" s="10"/>
      <c r="L758" s="10"/>
      <c r="M758" s="10"/>
      <c r="N758" s="10"/>
      <c r="O758" s="21"/>
    </row>
    <row r="759" spans="1:15" x14ac:dyDescent="0.35">
      <c r="A759" s="15">
        <f t="shared" si="11"/>
        <v>757</v>
      </c>
      <c r="B759" s="16"/>
      <c r="C759" s="19"/>
      <c r="D759" s="10"/>
      <c r="E759" s="10"/>
      <c r="F759" s="47"/>
      <c r="G759" s="10"/>
      <c r="H759" s="20"/>
      <c r="I759" s="20"/>
      <c r="J759" s="10"/>
      <c r="K759" s="10"/>
      <c r="L759" s="10"/>
      <c r="M759" s="10"/>
      <c r="N759" s="10"/>
      <c r="O759" s="21"/>
    </row>
    <row r="760" spans="1:15" x14ac:dyDescent="0.35">
      <c r="A760" s="15">
        <f t="shared" si="11"/>
        <v>758</v>
      </c>
      <c r="B760" s="16"/>
      <c r="C760" s="19"/>
      <c r="D760" s="10"/>
      <c r="E760" s="10"/>
      <c r="F760" s="47"/>
      <c r="G760" s="10"/>
      <c r="H760" s="20"/>
      <c r="I760" s="20"/>
      <c r="J760" s="10"/>
      <c r="K760" s="10"/>
      <c r="L760" s="10"/>
      <c r="M760" s="10"/>
      <c r="N760" s="10"/>
      <c r="O760" s="21"/>
    </row>
    <row r="761" spans="1:15" x14ac:dyDescent="0.35">
      <c r="A761" s="15">
        <f t="shared" si="11"/>
        <v>759</v>
      </c>
      <c r="B761" s="16"/>
      <c r="C761" s="19"/>
      <c r="D761" s="10"/>
      <c r="E761" s="10"/>
      <c r="F761" s="47"/>
      <c r="G761" s="10"/>
      <c r="H761" s="20"/>
      <c r="I761" s="20"/>
      <c r="J761" s="10"/>
      <c r="K761" s="10"/>
      <c r="L761" s="10"/>
      <c r="M761" s="10"/>
      <c r="N761" s="10"/>
      <c r="O761" s="21"/>
    </row>
    <row r="762" spans="1:15" x14ac:dyDescent="0.35">
      <c r="A762" s="15">
        <f t="shared" si="11"/>
        <v>760</v>
      </c>
      <c r="B762" s="16"/>
      <c r="C762" s="19"/>
      <c r="D762" s="10"/>
      <c r="E762" s="10"/>
      <c r="F762" s="47"/>
      <c r="G762" s="10"/>
      <c r="H762" s="20"/>
      <c r="I762" s="20"/>
      <c r="J762" s="10"/>
      <c r="K762" s="10"/>
      <c r="L762" s="10"/>
      <c r="M762" s="10"/>
      <c r="N762" s="10"/>
      <c r="O762" s="21"/>
    </row>
    <row r="763" spans="1:15" x14ac:dyDescent="0.35">
      <c r="A763" s="15">
        <f t="shared" si="11"/>
        <v>761</v>
      </c>
      <c r="B763" s="16"/>
      <c r="C763" s="19"/>
      <c r="D763" s="10"/>
      <c r="E763" s="10"/>
      <c r="F763" s="47"/>
      <c r="G763" s="10"/>
      <c r="H763" s="20"/>
      <c r="I763" s="20"/>
      <c r="J763" s="10"/>
      <c r="K763" s="10"/>
      <c r="L763" s="10"/>
      <c r="M763" s="10"/>
      <c r="N763" s="10"/>
      <c r="O763" s="21"/>
    </row>
    <row r="764" spans="1:15" x14ac:dyDescent="0.35">
      <c r="A764" s="15">
        <f t="shared" si="11"/>
        <v>762</v>
      </c>
      <c r="B764" s="16"/>
      <c r="C764" s="19"/>
      <c r="D764" s="10"/>
      <c r="E764" s="10"/>
      <c r="F764" s="47"/>
      <c r="G764" s="10"/>
      <c r="H764" s="20"/>
      <c r="I764" s="20"/>
      <c r="J764" s="10"/>
      <c r="K764" s="10"/>
      <c r="L764" s="10"/>
      <c r="M764" s="10"/>
      <c r="N764" s="10"/>
      <c r="O764" s="21"/>
    </row>
    <row r="765" spans="1:15" x14ac:dyDescent="0.35">
      <c r="A765" s="15">
        <f t="shared" si="11"/>
        <v>763</v>
      </c>
      <c r="B765" s="16"/>
      <c r="C765" s="19"/>
      <c r="D765" s="10"/>
      <c r="E765" s="10"/>
      <c r="F765" s="47"/>
      <c r="G765" s="10"/>
      <c r="H765" s="20"/>
      <c r="I765" s="20"/>
      <c r="J765" s="10"/>
      <c r="K765" s="10"/>
      <c r="L765" s="10"/>
      <c r="M765" s="10"/>
      <c r="N765" s="10"/>
      <c r="O765" s="21"/>
    </row>
    <row r="766" spans="1:15" x14ac:dyDescent="0.35">
      <c r="A766" s="15">
        <f t="shared" si="11"/>
        <v>764</v>
      </c>
      <c r="B766" s="16"/>
      <c r="C766" s="19"/>
      <c r="D766" s="10"/>
      <c r="E766" s="10"/>
      <c r="F766" s="47"/>
      <c r="G766" s="10"/>
      <c r="H766" s="20"/>
      <c r="I766" s="20"/>
      <c r="J766" s="10"/>
      <c r="K766" s="10"/>
      <c r="L766" s="10"/>
      <c r="M766" s="10"/>
      <c r="N766" s="10"/>
      <c r="O766" s="21"/>
    </row>
    <row r="767" spans="1:15" x14ac:dyDescent="0.35">
      <c r="A767" s="15">
        <f t="shared" si="11"/>
        <v>765</v>
      </c>
      <c r="B767" s="16"/>
      <c r="C767" s="19"/>
      <c r="D767" s="10"/>
      <c r="E767" s="10"/>
      <c r="F767" s="47"/>
      <c r="G767" s="10"/>
      <c r="H767" s="20"/>
      <c r="I767" s="20"/>
      <c r="J767" s="10"/>
      <c r="K767" s="10"/>
      <c r="L767" s="10"/>
      <c r="M767" s="10"/>
      <c r="N767" s="10"/>
      <c r="O767" s="21"/>
    </row>
    <row r="768" spans="1:15" x14ac:dyDescent="0.35">
      <c r="A768" s="15">
        <f t="shared" si="11"/>
        <v>766</v>
      </c>
      <c r="B768" s="16"/>
      <c r="C768" s="19"/>
      <c r="D768" s="10"/>
      <c r="E768" s="10"/>
      <c r="F768" s="47"/>
      <c r="G768" s="10"/>
      <c r="H768" s="20"/>
      <c r="I768" s="20"/>
      <c r="J768" s="10"/>
      <c r="K768" s="10"/>
      <c r="L768" s="10"/>
      <c r="M768" s="10"/>
      <c r="N768" s="10"/>
      <c r="O768" s="21"/>
    </row>
    <row r="769" spans="1:15" x14ac:dyDescent="0.35">
      <c r="A769" s="15">
        <f t="shared" si="11"/>
        <v>767</v>
      </c>
      <c r="B769" s="16"/>
      <c r="C769" s="19"/>
      <c r="D769" s="10"/>
      <c r="E769" s="10"/>
      <c r="F769" s="47"/>
      <c r="G769" s="10"/>
      <c r="H769" s="20"/>
      <c r="I769" s="20"/>
      <c r="J769" s="10"/>
      <c r="K769" s="10"/>
      <c r="L769" s="10"/>
      <c r="M769" s="10"/>
      <c r="N769" s="10"/>
      <c r="O769" s="21"/>
    </row>
    <row r="770" spans="1:15" x14ac:dyDescent="0.35">
      <c r="A770" s="15">
        <f t="shared" si="11"/>
        <v>768</v>
      </c>
      <c r="B770" s="16"/>
      <c r="C770" s="19"/>
      <c r="D770" s="10"/>
      <c r="E770" s="10"/>
      <c r="F770" s="47"/>
      <c r="G770" s="10"/>
      <c r="H770" s="20"/>
      <c r="I770" s="20"/>
      <c r="J770" s="10"/>
      <c r="K770" s="10"/>
      <c r="L770" s="10"/>
      <c r="M770" s="10"/>
      <c r="N770" s="10"/>
      <c r="O770" s="21"/>
    </row>
    <row r="771" spans="1:15" x14ac:dyDescent="0.35">
      <c r="A771" s="15">
        <f t="shared" si="11"/>
        <v>769</v>
      </c>
      <c r="B771" s="16"/>
      <c r="C771" s="19"/>
      <c r="D771" s="10"/>
      <c r="E771" s="10"/>
      <c r="F771" s="47"/>
      <c r="G771" s="10"/>
      <c r="H771" s="20"/>
      <c r="I771" s="20"/>
      <c r="J771" s="10"/>
      <c r="K771" s="10"/>
      <c r="L771" s="10"/>
      <c r="M771" s="10"/>
      <c r="N771" s="10"/>
      <c r="O771" s="21"/>
    </row>
    <row r="772" spans="1:15" x14ac:dyDescent="0.35">
      <c r="A772" s="15">
        <f t="shared" si="11"/>
        <v>770</v>
      </c>
      <c r="B772" s="16"/>
      <c r="C772" s="19"/>
      <c r="D772" s="10"/>
      <c r="E772" s="10"/>
      <c r="F772" s="47"/>
      <c r="G772" s="10"/>
      <c r="H772" s="20"/>
      <c r="I772" s="20"/>
      <c r="J772" s="10"/>
      <c r="K772" s="10"/>
      <c r="L772" s="10"/>
      <c r="M772" s="10"/>
      <c r="N772" s="10"/>
      <c r="O772" s="21"/>
    </row>
    <row r="773" spans="1:15" x14ac:dyDescent="0.35">
      <c r="A773" s="15">
        <f t="shared" si="11"/>
        <v>771</v>
      </c>
      <c r="B773" s="16"/>
      <c r="C773" s="19"/>
      <c r="D773" s="10"/>
      <c r="E773" s="10"/>
      <c r="F773" s="47"/>
      <c r="G773" s="10"/>
      <c r="H773" s="20"/>
      <c r="I773" s="20"/>
      <c r="J773" s="10"/>
      <c r="K773" s="10"/>
      <c r="L773" s="10"/>
      <c r="M773" s="10"/>
      <c r="N773" s="10"/>
      <c r="O773" s="21"/>
    </row>
    <row r="774" spans="1:15" x14ac:dyDescent="0.35">
      <c r="A774" s="15">
        <f t="shared" si="11"/>
        <v>772</v>
      </c>
      <c r="B774" s="16"/>
      <c r="C774" s="19"/>
      <c r="D774" s="10"/>
      <c r="E774" s="10"/>
      <c r="F774" s="47"/>
      <c r="G774" s="10"/>
      <c r="H774" s="20"/>
      <c r="I774" s="20"/>
      <c r="J774" s="10"/>
      <c r="K774" s="10"/>
      <c r="L774" s="10"/>
      <c r="M774" s="10"/>
      <c r="N774" s="10"/>
      <c r="O774" s="21"/>
    </row>
    <row r="775" spans="1:15" x14ac:dyDescent="0.35">
      <c r="A775" s="15">
        <f t="shared" si="11"/>
        <v>773</v>
      </c>
      <c r="B775" s="16"/>
      <c r="C775" s="19"/>
      <c r="D775" s="10"/>
      <c r="E775" s="10"/>
      <c r="F775" s="47"/>
      <c r="G775" s="10"/>
      <c r="H775" s="20"/>
      <c r="I775" s="20"/>
      <c r="J775" s="10"/>
      <c r="K775" s="10"/>
      <c r="L775" s="10"/>
      <c r="M775" s="10"/>
      <c r="N775" s="10"/>
      <c r="O775" s="21"/>
    </row>
    <row r="776" spans="1:15" x14ac:dyDescent="0.35">
      <c r="A776" s="15">
        <f t="shared" si="11"/>
        <v>774</v>
      </c>
      <c r="B776" s="16"/>
      <c r="C776" s="19"/>
      <c r="D776" s="10"/>
      <c r="E776" s="10"/>
      <c r="F776" s="47"/>
      <c r="G776" s="10"/>
      <c r="H776" s="20"/>
      <c r="I776" s="20"/>
      <c r="J776" s="10"/>
      <c r="K776" s="10"/>
      <c r="L776" s="10"/>
      <c r="M776" s="10"/>
      <c r="N776" s="10"/>
      <c r="O776" s="21"/>
    </row>
    <row r="777" spans="1:15" x14ac:dyDescent="0.35">
      <c r="A777" s="15">
        <f t="shared" si="11"/>
        <v>775</v>
      </c>
      <c r="B777" s="16"/>
      <c r="C777" s="19"/>
      <c r="D777" s="10"/>
      <c r="E777" s="10"/>
      <c r="F777" s="47"/>
      <c r="G777" s="10"/>
      <c r="H777" s="20"/>
      <c r="I777" s="20"/>
      <c r="J777" s="10"/>
      <c r="K777" s="10"/>
      <c r="L777" s="10"/>
      <c r="M777" s="10"/>
      <c r="N777" s="10"/>
      <c r="O777" s="21"/>
    </row>
    <row r="778" spans="1:15" x14ac:dyDescent="0.35">
      <c r="A778" s="15">
        <f t="shared" si="11"/>
        <v>776</v>
      </c>
      <c r="B778" s="16"/>
      <c r="C778" s="19"/>
      <c r="D778" s="10"/>
      <c r="E778" s="10"/>
      <c r="F778" s="47"/>
      <c r="G778" s="10"/>
      <c r="H778" s="20"/>
      <c r="I778" s="20"/>
      <c r="J778" s="10"/>
      <c r="K778" s="10"/>
      <c r="L778" s="10"/>
      <c r="M778" s="10"/>
      <c r="N778" s="10"/>
      <c r="O778" s="21"/>
    </row>
    <row r="779" spans="1:15" x14ac:dyDescent="0.35">
      <c r="A779" s="15">
        <f t="shared" ref="A779:A842" si="12">+A778+1</f>
        <v>777</v>
      </c>
      <c r="B779" s="16"/>
      <c r="C779" s="19"/>
      <c r="D779" s="10"/>
      <c r="E779" s="10"/>
      <c r="F779" s="47"/>
      <c r="G779" s="10"/>
      <c r="H779" s="20"/>
      <c r="I779" s="20"/>
      <c r="J779" s="10"/>
      <c r="K779" s="10"/>
      <c r="L779" s="10"/>
      <c r="M779" s="10"/>
      <c r="N779" s="10"/>
      <c r="O779" s="21"/>
    </row>
    <row r="780" spans="1:15" x14ac:dyDescent="0.35">
      <c r="A780" s="15">
        <f t="shared" si="12"/>
        <v>778</v>
      </c>
      <c r="B780" s="16"/>
      <c r="C780" s="19"/>
      <c r="D780" s="10"/>
      <c r="E780" s="10"/>
      <c r="F780" s="47"/>
      <c r="G780" s="10"/>
      <c r="H780" s="20"/>
      <c r="I780" s="20"/>
      <c r="J780" s="10"/>
      <c r="K780" s="10"/>
      <c r="L780" s="10"/>
      <c r="M780" s="10"/>
      <c r="N780" s="10"/>
      <c r="O780" s="21"/>
    </row>
    <row r="781" spans="1:15" x14ac:dyDescent="0.35">
      <c r="A781" s="15">
        <f t="shared" si="12"/>
        <v>779</v>
      </c>
      <c r="B781" s="16"/>
      <c r="C781" s="19"/>
      <c r="D781" s="10"/>
      <c r="E781" s="10"/>
      <c r="F781" s="47"/>
      <c r="G781" s="10"/>
      <c r="H781" s="20"/>
      <c r="I781" s="20"/>
      <c r="J781" s="10"/>
      <c r="K781" s="10"/>
      <c r="L781" s="10"/>
      <c r="M781" s="10"/>
      <c r="N781" s="10"/>
      <c r="O781" s="21"/>
    </row>
    <row r="782" spans="1:15" x14ac:dyDescent="0.35">
      <c r="A782" s="15">
        <f t="shared" si="12"/>
        <v>780</v>
      </c>
      <c r="B782" s="16"/>
      <c r="C782" s="19"/>
      <c r="D782" s="10"/>
      <c r="E782" s="10"/>
      <c r="F782" s="47"/>
      <c r="G782" s="10"/>
      <c r="H782" s="20"/>
      <c r="I782" s="20"/>
      <c r="J782" s="10"/>
      <c r="K782" s="10"/>
      <c r="L782" s="10"/>
      <c r="M782" s="10"/>
      <c r="N782" s="10"/>
      <c r="O782" s="21"/>
    </row>
    <row r="783" spans="1:15" x14ac:dyDescent="0.35">
      <c r="A783" s="15">
        <f t="shared" si="12"/>
        <v>781</v>
      </c>
      <c r="B783" s="16"/>
      <c r="C783" s="19"/>
      <c r="D783" s="10"/>
      <c r="E783" s="10"/>
      <c r="F783" s="47"/>
      <c r="G783" s="10"/>
      <c r="H783" s="20"/>
      <c r="I783" s="20"/>
      <c r="J783" s="10"/>
      <c r="K783" s="10"/>
      <c r="L783" s="10"/>
      <c r="M783" s="10"/>
      <c r="N783" s="10"/>
      <c r="O783" s="21"/>
    </row>
    <row r="784" spans="1:15" x14ac:dyDescent="0.35">
      <c r="A784" s="15">
        <f t="shared" si="12"/>
        <v>782</v>
      </c>
      <c r="B784" s="16"/>
      <c r="C784" s="19"/>
      <c r="D784" s="10"/>
      <c r="E784" s="10"/>
      <c r="F784" s="47"/>
      <c r="G784" s="10"/>
      <c r="H784" s="20"/>
      <c r="I784" s="20"/>
      <c r="J784" s="10"/>
      <c r="K784" s="10"/>
      <c r="L784" s="10"/>
      <c r="M784" s="10"/>
      <c r="N784" s="10"/>
      <c r="O784" s="21"/>
    </row>
    <row r="785" spans="1:15" x14ac:dyDescent="0.35">
      <c r="A785" s="15">
        <f t="shared" si="12"/>
        <v>783</v>
      </c>
      <c r="B785" s="16"/>
      <c r="C785" s="19"/>
      <c r="D785" s="10"/>
      <c r="E785" s="10"/>
      <c r="F785" s="47"/>
      <c r="G785" s="10"/>
      <c r="H785" s="20"/>
      <c r="I785" s="20"/>
      <c r="J785" s="10"/>
      <c r="K785" s="10"/>
      <c r="L785" s="10"/>
      <c r="M785" s="10"/>
      <c r="N785" s="10"/>
      <c r="O785" s="21"/>
    </row>
    <row r="786" spans="1:15" x14ac:dyDescent="0.35">
      <c r="A786" s="15">
        <f t="shared" si="12"/>
        <v>784</v>
      </c>
      <c r="B786" s="16"/>
      <c r="C786" s="19"/>
      <c r="D786" s="10"/>
      <c r="E786" s="10"/>
      <c r="F786" s="47"/>
      <c r="G786" s="10"/>
      <c r="H786" s="20"/>
      <c r="I786" s="20"/>
      <c r="J786" s="10"/>
      <c r="K786" s="10"/>
      <c r="L786" s="10"/>
      <c r="M786" s="10"/>
      <c r="N786" s="10"/>
      <c r="O786" s="21"/>
    </row>
    <row r="787" spans="1:15" x14ac:dyDescent="0.35">
      <c r="A787" s="15">
        <f t="shared" si="12"/>
        <v>785</v>
      </c>
      <c r="B787" s="16"/>
      <c r="C787" s="19"/>
      <c r="D787" s="10"/>
      <c r="E787" s="10"/>
      <c r="F787" s="47"/>
      <c r="G787" s="10"/>
      <c r="H787" s="20"/>
      <c r="I787" s="20"/>
      <c r="J787" s="10"/>
      <c r="K787" s="10"/>
      <c r="L787" s="10"/>
      <c r="M787" s="10"/>
      <c r="N787" s="10"/>
      <c r="O787" s="21"/>
    </row>
    <row r="788" spans="1:15" x14ac:dyDescent="0.35">
      <c r="A788" s="15">
        <f t="shared" si="12"/>
        <v>786</v>
      </c>
      <c r="B788" s="16"/>
      <c r="C788" s="19"/>
      <c r="D788" s="10"/>
      <c r="E788" s="10"/>
      <c r="F788" s="47"/>
      <c r="G788" s="10"/>
      <c r="H788" s="20"/>
      <c r="I788" s="20"/>
      <c r="J788" s="10"/>
      <c r="K788" s="10"/>
      <c r="L788" s="10"/>
      <c r="M788" s="10"/>
      <c r="N788" s="10"/>
      <c r="O788" s="21"/>
    </row>
    <row r="789" spans="1:15" x14ac:dyDescent="0.35">
      <c r="A789" s="15">
        <f t="shared" si="12"/>
        <v>787</v>
      </c>
      <c r="B789" s="16"/>
      <c r="C789" s="19"/>
      <c r="D789" s="10"/>
      <c r="E789" s="10"/>
      <c r="F789" s="47"/>
      <c r="G789" s="10"/>
      <c r="H789" s="20"/>
      <c r="I789" s="20"/>
      <c r="J789" s="10"/>
      <c r="K789" s="10"/>
      <c r="L789" s="10"/>
      <c r="M789" s="10"/>
      <c r="N789" s="10"/>
      <c r="O789" s="21"/>
    </row>
    <row r="790" spans="1:15" x14ac:dyDescent="0.35">
      <c r="A790" s="15">
        <f t="shared" si="12"/>
        <v>788</v>
      </c>
      <c r="B790" s="16"/>
      <c r="C790" s="19"/>
      <c r="D790" s="10"/>
      <c r="E790" s="10"/>
      <c r="F790" s="47"/>
      <c r="G790" s="10"/>
      <c r="H790" s="20"/>
      <c r="I790" s="20"/>
      <c r="J790" s="10"/>
      <c r="K790" s="10"/>
      <c r="L790" s="10"/>
      <c r="M790" s="10"/>
      <c r="N790" s="10"/>
      <c r="O790" s="21"/>
    </row>
    <row r="791" spans="1:15" x14ac:dyDescent="0.35">
      <c r="A791" s="15">
        <f t="shared" si="12"/>
        <v>789</v>
      </c>
      <c r="B791" s="16"/>
      <c r="C791" s="19"/>
      <c r="D791" s="10"/>
      <c r="E791" s="10"/>
      <c r="F791" s="47"/>
      <c r="G791" s="10"/>
      <c r="H791" s="20"/>
      <c r="I791" s="20"/>
      <c r="J791" s="10"/>
      <c r="K791" s="10"/>
      <c r="L791" s="10"/>
      <c r="M791" s="10"/>
      <c r="N791" s="10"/>
      <c r="O791" s="21"/>
    </row>
    <row r="792" spans="1:15" x14ac:dyDescent="0.35">
      <c r="A792" s="15">
        <f t="shared" si="12"/>
        <v>790</v>
      </c>
      <c r="B792" s="16"/>
      <c r="C792" s="19"/>
      <c r="D792" s="10"/>
      <c r="E792" s="10"/>
      <c r="F792" s="47"/>
      <c r="G792" s="10"/>
      <c r="H792" s="20"/>
      <c r="I792" s="20"/>
      <c r="J792" s="10"/>
      <c r="K792" s="10"/>
      <c r="L792" s="10"/>
      <c r="M792" s="10"/>
      <c r="N792" s="10"/>
      <c r="O792" s="21"/>
    </row>
    <row r="793" spans="1:15" x14ac:dyDescent="0.35">
      <c r="A793" s="15">
        <f t="shared" si="12"/>
        <v>791</v>
      </c>
      <c r="B793" s="16"/>
      <c r="C793" s="19"/>
      <c r="D793" s="10"/>
      <c r="E793" s="10"/>
      <c r="F793" s="47"/>
      <c r="G793" s="10"/>
      <c r="H793" s="20"/>
      <c r="I793" s="20"/>
      <c r="J793" s="10"/>
      <c r="K793" s="10"/>
      <c r="L793" s="10"/>
      <c r="M793" s="10"/>
      <c r="N793" s="10"/>
      <c r="O793" s="21"/>
    </row>
    <row r="794" spans="1:15" x14ac:dyDescent="0.35">
      <c r="A794" s="15">
        <f t="shared" si="12"/>
        <v>792</v>
      </c>
      <c r="B794" s="16"/>
      <c r="C794" s="19"/>
      <c r="D794" s="10"/>
      <c r="E794" s="10"/>
      <c r="F794" s="47"/>
      <c r="G794" s="10"/>
      <c r="H794" s="20"/>
      <c r="I794" s="20"/>
      <c r="J794" s="10"/>
      <c r="K794" s="10"/>
      <c r="L794" s="10"/>
      <c r="M794" s="10"/>
      <c r="N794" s="10"/>
      <c r="O794" s="21"/>
    </row>
    <row r="795" spans="1:15" x14ac:dyDescent="0.35">
      <c r="A795" s="15">
        <f t="shared" si="12"/>
        <v>793</v>
      </c>
      <c r="B795" s="16"/>
      <c r="C795" s="19"/>
      <c r="D795" s="10"/>
      <c r="E795" s="10"/>
      <c r="F795" s="47"/>
      <c r="G795" s="10"/>
      <c r="H795" s="20"/>
      <c r="I795" s="20"/>
      <c r="J795" s="10"/>
      <c r="K795" s="10"/>
      <c r="L795" s="10"/>
      <c r="M795" s="10"/>
      <c r="N795" s="10"/>
      <c r="O795" s="21"/>
    </row>
    <row r="796" spans="1:15" x14ac:dyDescent="0.35">
      <c r="A796" s="15">
        <f t="shared" si="12"/>
        <v>794</v>
      </c>
      <c r="B796" s="16"/>
      <c r="C796" s="19"/>
      <c r="D796" s="10"/>
      <c r="E796" s="10"/>
      <c r="F796" s="47"/>
      <c r="G796" s="10"/>
      <c r="H796" s="20"/>
      <c r="I796" s="20"/>
      <c r="J796" s="10"/>
      <c r="K796" s="10"/>
      <c r="L796" s="10"/>
      <c r="M796" s="10"/>
      <c r="N796" s="10"/>
      <c r="O796" s="21"/>
    </row>
    <row r="797" spans="1:15" x14ac:dyDescent="0.35">
      <c r="A797" s="15">
        <f t="shared" si="12"/>
        <v>795</v>
      </c>
      <c r="B797" s="16"/>
      <c r="C797" s="19"/>
      <c r="D797" s="10"/>
      <c r="E797" s="10"/>
      <c r="F797" s="47"/>
      <c r="G797" s="10"/>
      <c r="H797" s="20"/>
      <c r="I797" s="20"/>
      <c r="J797" s="10"/>
      <c r="K797" s="10"/>
      <c r="L797" s="10"/>
      <c r="M797" s="10"/>
      <c r="N797" s="10"/>
      <c r="O797" s="21"/>
    </row>
    <row r="798" spans="1:15" x14ac:dyDescent="0.35">
      <c r="A798" s="15">
        <f t="shared" si="12"/>
        <v>796</v>
      </c>
      <c r="B798" s="16"/>
      <c r="C798" s="19"/>
      <c r="D798" s="10"/>
      <c r="E798" s="10"/>
      <c r="F798" s="47"/>
      <c r="G798" s="10"/>
      <c r="H798" s="20"/>
      <c r="I798" s="20"/>
      <c r="J798" s="10"/>
      <c r="K798" s="10"/>
      <c r="L798" s="10"/>
      <c r="M798" s="10"/>
      <c r="N798" s="10"/>
      <c r="O798" s="21"/>
    </row>
    <row r="799" spans="1:15" x14ac:dyDescent="0.35">
      <c r="A799" s="15">
        <f t="shared" si="12"/>
        <v>797</v>
      </c>
      <c r="B799" s="16"/>
      <c r="C799" s="19"/>
      <c r="D799" s="10"/>
      <c r="E799" s="10"/>
      <c r="F799" s="47"/>
      <c r="G799" s="10"/>
      <c r="H799" s="20"/>
      <c r="I799" s="20"/>
      <c r="J799" s="10"/>
      <c r="K799" s="10"/>
      <c r="L799" s="10"/>
      <c r="M799" s="10"/>
      <c r="N799" s="10"/>
      <c r="O799" s="21"/>
    </row>
    <row r="800" spans="1:15" x14ac:dyDescent="0.35">
      <c r="A800" s="15">
        <f t="shared" si="12"/>
        <v>798</v>
      </c>
      <c r="B800" s="16"/>
      <c r="C800" s="19"/>
      <c r="D800" s="10"/>
      <c r="E800" s="10"/>
      <c r="F800" s="47"/>
      <c r="G800" s="10"/>
      <c r="H800" s="20"/>
      <c r="I800" s="20"/>
      <c r="J800" s="10"/>
      <c r="K800" s="10"/>
      <c r="L800" s="10"/>
      <c r="M800" s="10"/>
      <c r="N800" s="10"/>
      <c r="O800" s="21"/>
    </row>
    <row r="801" spans="1:15" x14ac:dyDescent="0.35">
      <c r="A801" s="15">
        <f t="shared" si="12"/>
        <v>799</v>
      </c>
      <c r="B801" s="16"/>
      <c r="C801" s="19"/>
      <c r="D801" s="10"/>
      <c r="E801" s="10"/>
      <c r="F801" s="47"/>
      <c r="G801" s="10"/>
      <c r="H801" s="20"/>
      <c r="I801" s="20"/>
      <c r="J801" s="10"/>
      <c r="K801" s="10"/>
      <c r="L801" s="10"/>
      <c r="M801" s="10"/>
      <c r="N801" s="10"/>
      <c r="O801" s="21"/>
    </row>
    <row r="802" spans="1:15" x14ac:dyDescent="0.35">
      <c r="A802" s="15">
        <f t="shared" si="12"/>
        <v>800</v>
      </c>
      <c r="B802" s="16"/>
      <c r="C802" s="19"/>
      <c r="D802" s="10"/>
      <c r="E802" s="10"/>
      <c r="F802" s="47"/>
      <c r="G802" s="10"/>
      <c r="H802" s="20"/>
      <c r="I802" s="20"/>
      <c r="J802" s="10"/>
      <c r="K802" s="10"/>
      <c r="L802" s="10"/>
      <c r="M802" s="10"/>
      <c r="N802" s="10"/>
      <c r="O802" s="21"/>
    </row>
    <row r="803" spans="1:15" x14ac:dyDescent="0.35">
      <c r="A803" s="15">
        <f t="shared" si="12"/>
        <v>801</v>
      </c>
      <c r="B803" s="16"/>
      <c r="C803" s="19"/>
      <c r="D803" s="10"/>
      <c r="E803" s="10"/>
      <c r="F803" s="47"/>
      <c r="G803" s="10"/>
      <c r="H803" s="20"/>
      <c r="I803" s="20"/>
      <c r="J803" s="10"/>
      <c r="K803" s="10"/>
      <c r="L803" s="10"/>
      <c r="M803" s="10"/>
      <c r="N803" s="10"/>
      <c r="O803" s="21"/>
    </row>
    <row r="804" spans="1:15" x14ac:dyDescent="0.35">
      <c r="A804" s="15">
        <f t="shared" si="12"/>
        <v>802</v>
      </c>
      <c r="B804" s="16"/>
      <c r="C804" s="19"/>
      <c r="D804" s="10"/>
      <c r="E804" s="10"/>
      <c r="F804" s="47"/>
      <c r="G804" s="10"/>
      <c r="H804" s="20"/>
      <c r="I804" s="20"/>
      <c r="J804" s="10"/>
      <c r="K804" s="10"/>
      <c r="L804" s="10"/>
      <c r="M804" s="10"/>
      <c r="N804" s="10"/>
      <c r="O804" s="21"/>
    </row>
    <row r="805" spans="1:15" x14ac:dyDescent="0.35">
      <c r="A805" s="15">
        <f t="shared" si="12"/>
        <v>803</v>
      </c>
      <c r="B805" s="16"/>
      <c r="C805" s="19"/>
      <c r="D805" s="10"/>
      <c r="E805" s="10"/>
      <c r="F805" s="47"/>
      <c r="G805" s="10"/>
      <c r="H805" s="20"/>
      <c r="I805" s="20"/>
      <c r="J805" s="10"/>
      <c r="K805" s="10"/>
      <c r="L805" s="10"/>
      <c r="M805" s="10"/>
      <c r="N805" s="10"/>
      <c r="O805" s="21"/>
    </row>
    <row r="806" spans="1:15" x14ac:dyDescent="0.35">
      <c r="A806" s="15">
        <f t="shared" si="12"/>
        <v>804</v>
      </c>
      <c r="B806" s="16"/>
      <c r="C806" s="19"/>
      <c r="D806" s="10"/>
      <c r="E806" s="10"/>
      <c r="F806" s="47"/>
      <c r="G806" s="10"/>
      <c r="H806" s="20"/>
      <c r="I806" s="20"/>
      <c r="J806" s="10"/>
      <c r="K806" s="10"/>
      <c r="L806" s="10"/>
      <c r="M806" s="10"/>
      <c r="N806" s="10"/>
      <c r="O806" s="21"/>
    </row>
    <row r="807" spans="1:15" x14ac:dyDescent="0.35">
      <c r="A807" s="15">
        <f t="shared" si="12"/>
        <v>805</v>
      </c>
      <c r="B807" s="16"/>
      <c r="C807" s="19"/>
      <c r="D807" s="10"/>
      <c r="E807" s="10"/>
      <c r="F807" s="47"/>
      <c r="G807" s="10"/>
      <c r="H807" s="20"/>
      <c r="I807" s="20"/>
      <c r="J807" s="10"/>
      <c r="K807" s="10"/>
      <c r="L807" s="10"/>
      <c r="M807" s="10"/>
      <c r="N807" s="10"/>
      <c r="O807" s="21"/>
    </row>
    <row r="808" spans="1:15" x14ac:dyDescent="0.35">
      <c r="A808" s="15">
        <f t="shared" si="12"/>
        <v>806</v>
      </c>
      <c r="B808" s="16"/>
      <c r="C808" s="19"/>
      <c r="D808" s="10"/>
      <c r="E808" s="10"/>
      <c r="F808" s="47"/>
      <c r="G808" s="10"/>
      <c r="H808" s="20"/>
      <c r="I808" s="20"/>
      <c r="J808" s="10"/>
      <c r="K808" s="10"/>
      <c r="L808" s="10"/>
      <c r="M808" s="10"/>
      <c r="N808" s="10"/>
      <c r="O808" s="21"/>
    </row>
    <row r="809" spans="1:15" x14ac:dyDescent="0.35">
      <c r="A809" s="15">
        <f t="shared" si="12"/>
        <v>807</v>
      </c>
      <c r="B809" s="16"/>
      <c r="C809" s="19"/>
      <c r="D809" s="10"/>
      <c r="E809" s="10"/>
      <c r="F809" s="47"/>
      <c r="G809" s="10"/>
      <c r="H809" s="20"/>
      <c r="I809" s="20"/>
      <c r="J809" s="10"/>
      <c r="K809" s="10"/>
      <c r="L809" s="10"/>
      <c r="M809" s="10"/>
      <c r="N809" s="10"/>
      <c r="O809" s="21"/>
    </row>
    <row r="810" spans="1:15" x14ac:dyDescent="0.35">
      <c r="A810" s="15">
        <f t="shared" si="12"/>
        <v>808</v>
      </c>
      <c r="B810" s="16"/>
      <c r="C810" s="19"/>
      <c r="D810" s="10"/>
      <c r="E810" s="10"/>
      <c r="F810" s="47"/>
      <c r="G810" s="10"/>
      <c r="H810" s="20"/>
      <c r="I810" s="20"/>
      <c r="J810" s="10"/>
      <c r="K810" s="10"/>
      <c r="L810" s="10"/>
      <c r="M810" s="10"/>
      <c r="N810" s="10"/>
      <c r="O810" s="21"/>
    </row>
    <row r="811" spans="1:15" x14ac:dyDescent="0.35">
      <c r="A811" s="15">
        <f t="shared" si="12"/>
        <v>809</v>
      </c>
      <c r="B811" s="16"/>
      <c r="C811" s="19"/>
      <c r="D811" s="10"/>
      <c r="E811" s="10"/>
      <c r="F811" s="47"/>
      <c r="G811" s="10"/>
      <c r="H811" s="20"/>
      <c r="I811" s="20"/>
      <c r="J811" s="10"/>
      <c r="K811" s="10"/>
      <c r="L811" s="10"/>
      <c r="M811" s="10"/>
      <c r="N811" s="10"/>
      <c r="O811" s="21"/>
    </row>
    <row r="812" spans="1:15" x14ac:dyDescent="0.35">
      <c r="A812" s="15">
        <f t="shared" si="12"/>
        <v>810</v>
      </c>
      <c r="B812" s="16"/>
      <c r="C812" s="19"/>
      <c r="D812" s="10"/>
      <c r="E812" s="10"/>
      <c r="F812" s="47"/>
      <c r="G812" s="10"/>
      <c r="H812" s="20"/>
      <c r="I812" s="20"/>
      <c r="J812" s="10"/>
      <c r="K812" s="10"/>
      <c r="L812" s="10"/>
      <c r="M812" s="10"/>
      <c r="N812" s="10"/>
      <c r="O812" s="21"/>
    </row>
    <row r="813" spans="1:15" x14ac:dyDescent="0.35">
      <c r="A813" s="15">
        <f t="shared" si="12"/>
        <v>811</v>
      </c>
      <c r="B813" s="16"/>
      <c r="C813" s="19"/>
      <c r="D813" s="10"/>
      <c r="E813" s="10"/>
      <c r="F813" s="47"/>
      <c r="G813" s="10"/>
      <c r="H813" s="20"/>
      <c r="I813" s="20"/>
      <c r="J813" s="10"/>
      <c r="K813" s="10"/>
      <c r="L813" s="10"/>
      <c r="M813" s="10"/>
      <c r="N813" s="10"/>
      <c r="O813" s="21"/>
    </row>
    <row r="814" spans="1:15" x14ac:dyDescent="0.35">
      <c r="A814" s="15">
        <f t="shared" si="12"/>
        <v>812</v>
      </c>
      <c r="B814" s="16"/>
      <c r="C814" s="19"/>
      <c r="D814" s="10"/>
      <c r="E814" s="10"/>
      <c r="F814" s="47"/>
      <c r="G814" s="10"/>
      <c r="H814" s="20"/>
      <c r="I814" s="20"/>
      <c r="J814" s="10"/>
      <c r="K814" s="10"/>
      <c r="L814" s="10"/>
      <c r="M814" s="10"/>
      <c r="N814" s="10"/>
      <c r="O814" s="21"/>
    </row>
    <row r="815" spans="1:15" x14ac:dyDescent="0.35">
      <c r="A815" s="15">
        <f t="shared" si="12"/>
        <v>813</v>
      </c>
      <c r="B815" s="16"/>
      <c r="C815" s="19"/>
      <c r="D815" s="10"/>
      <c r="E815" s="10"/>
      <c r="F815" s="47"/>
      <c r="G815" s="10"/>
      <c r="H815" s="20"/>
      <c r="I815" s="20"/>
      <c r="J815" s="10"/>
      <c r="K815" s="10"/>
      <c r="L815" s="10"/>
      <c r="M815" s="10"/>
      <c r="N815" s="10"/>
      <c r="O815" s="21"/>
    </row>
    <row r="816" spans="1:15" x14ac:dyDescent="0.35">
      <c r="A816" s="15">
        <f t="shared" si="12"/>
        <v>814</v>
      </c>
      <c r="B816" s="16"/>
      <c r="C816" s="19"/>
      <c r="D816" s="10"/>
      <c r="E816" s="10"/>
      <c r="F816" s="47"/>
      <c r="G816" s="10"/>
      <c r="H816" s="20"/>
      <c r="I816" s="20"/>
      <c r="J816" s="10"/>
      <c r="K816" s="10"/>
      <c r="L816" s="10"/>
      <c r="M816" s="10"/>
      <c r="N816" s="10"/>
      <c r="O816" s="21"/>
    </row>
    <row r="817" spans="1:15" x14ac:dyDescent="0.35">
      <c r="A817" s="15">
        <f t="shared" si="12"/>
        <v>815</v>
      </c>
      <c r="B817" s="16"/>
      <c r="C817" s="19"/>
      <c r="D817" s="10"/>
      <c r="E817" s="10"/>
      <c r="F817" s="47"/>
      <c r="G817" s="10"/>
      <c r="H817" s="20"/>
      <c r="I817" s="20"/>
      <c r="J817" s="10"/>
      <c r="K817" s="10"/>
      <c r="L817" s="10"/>
      <c r="M817" s="10"/>
      <c r="N817" s="10"/>
      <c r="O817" s="21"/>
    </row>
    <row r="818" spans="1:15" x14ac:dyDescent="0.35">
      <c r="A818" s="15">
        <f t="shared" si="12"/>
        <v>816</v>
      </c>
      <c r="B818" s="16"/>
      <c r="C818" s="19"/>
      <c r="D818" s="10"/>
      <c r="E818" s="10"/>
      <c r="F818" s="47"/>
      <c r="G818" s="10"/>
      <c r="H818" s="20"/>
      <c r="I818" s="20"/>
      <c r="J818" s="10"/>
      <c r="K818" s="10"/>
      <c r="L818" s="10"/>
      <c r="M818" s="10"/>
      <c r="N818" s="10"/>
      <c r="O818" s="21"/>
    </row>
    <row r="819" spans="1:15" x14ac:dyDescent="0.35">
      <c r="A819" s="15">
        <f t="shared" si="12"/>
        <v>817</v>
      </c>
      <c r="B819" s="16"/>
      <c r="C819" s="19"/>
      <c r="D819" s="10"/>
      <c r="E819" s="10"/>
      <c r="F819" s="47"/>
      <c r="G819" s="10"/>
      <c r="H819" s="20"/>
      <c r="I819" s="20"/>
      <c r="J819" s="10"/>
      <c r="K819" s="10"/>
      <c r="L819" s="10"/>
      <c r="M819" s="10"/>
      <c r="N819" s="10"/>
      <c r="O819" s="21"/>
    </row>
    <row r="820" spans="1:15" x14ac:dyDescent="0.35">
      <c r="A820" s="15">
        <f t="shared" si="12"/>
        <v>818</v>
      </c>
      <c r="B820" s="16"/>
      <c r="C820" s="19"/>
      <c r="D820" s="10"/>
      <c r="E820" s="10"/>
      <c r="F820" s="47"/>
      <c r="G820" s="10"/>
      <c r="H820" s="20"/>
      <c r="I820" s="20"/>
      <c r="J820" s="10"/>
      <c r="K820" s="10"/>
      <c r="L820" s="10"/>
      <c r="M820" s="10"/>
      <c r="N820" s="10"/>
      <c r="O820" s="21"/>
    </row>
    <row r="821" spans="1:15" x14ac:dyDescent="0.35">
      <c r="A821" s="15">
        <f t="shared" si="12"/>
        <v>819</v>
      </c>
      <c r="B821" s="16"/>
      <c r="C821" s="19"/>
      <c r="D821" s="10"/>
      <c r="E821" s="10"/>
      <c r="F821" s="47"/>
      <c r="G821" s="10"/>
      <c r="H821" s="20"/>
      <c r="I821" s="20"/>
      <c r="J821" s="10"/>
      <c r="K821" s="10"/>
      <c r="L821" s="10"/>
      <c r="M821" s="10"/>
      <c r="N821" s="10"/>
      <c r="O821" s="21"/>
    </row>
    <row r="822" spans="1:15" x14ac:dyDescent="0.35">
      <c r="A822" s="15">
        <f t="shared" si="12"/>
        <v>820</v>
      </c>
      <c r="B822" s="16"/>
      <c r="C822" s="19"/>
      <c r="D822" s="10"/>
      <c r="E822" s="10"/>
      <c r="F822" s="47"/>
      <c r="G822" s="10"/>
      <c r="H822" s="20"/>
      <c r="I822" s="20"/>
      <c r="J822" s="10"/>
      <c r="K822" s="10"/>
      <c r="L822" s="10"/>
      <c r="M822" s="10"/>
      <c r="N822" s="10"/>
      <c r="O822" s="21"/>
    </row>
    <row r="823" spans="1:15" x14ac:dyDescent="0.35">
      <c r="A823" s="15">
        <f t="shared" si="12"/>
        <v>821</v>
      </c>
      <c r="B823" s="16"/>
      <c r="C823" s="19"/>
      <c r="D823" s="10"/>
      <c r="E823" s="10"/>
      <c r="F823" s="47"/>
      <c r="G823" s="10"/>
      <c r="H823" s="20"/>
      <c r="I823" s="20"/>
      <c r="J823" s="10"/>
      <c r="K823" s="10"/>
      <c r="L823" s="10"/>
      <c r="M823" s="10"/>
      <c r="N823" s="10"/>
      <c r="O823" s="21"/>
    </row>
    <row r="824" spans="1:15" x14ac:dyDescent="0.35">
      <c r="A824" s="15">
        <f t="shared" si="12"/>
        <v>822</v>
      </c>
      <c r="B824" s="16"/>
      <c r="C824" s="19"/>
      <c r="D824" s="10"/>
      <c r="E824" s="10"/>
      <c r="F824" s="47"/>
      <c r="G824" s="10"/>
      <c r="H824" s="20"/>
      <c r="I824" s="20"/>
      <c r="J824" s="10"/>
      <c r="K824" s="10"/>
      <c r="L824" s="10"/>
      <c r="M824" s="10"/>
      <c r="N824" s="10"/>
      <c r="O824" s="21"/>
    </row>
    <row r="825" spans="1:15" x14ac:dyDescent="0.35">
      <c r="A825" s="15">
        <f t="shared" si="12"/>
        <v>823</v>
      </c>
      <c r="B825" s="16"/>
      <c r="C825" s="19"/>
      <c r="D825" s="10"/>
      <c r="E825" s="10"/>
      <c r="F825" s="47"/>
      <c r="G825" s="10"/>
      <c r="H825" s="20"/>
      <c r="I825" s="20"/>
      <c r="J825" s="10"/>
      <c r="K825" s="10"/>
      <c r="L825" s="10"/>
      <c r="M825" s="10"/>
      <c r="N825" s="10"/>
      <c r="O825" s="21"/>
    </row>
    <row r="826" spans="1:15" x14ac:dyDescent="0.35">
      <c r="A826" s="15">
        <f t="shared" si="12"/>
        <v>824</v>
      </c>
      <c r="B826" s="16"/>
      <c r="C826" s="19"/>
      <c r="D826" s="10"/>
      <c r="E826" s="10"/>
      <c r="F826" s="47"/>
      <c r="G826" s="10"/>
      <c r="H826" s="20"/>
      <c r="I826" s="20"/>
      <c r="J826" s="10"/>
      <c r="K826" s="10"/>
      <c r="L826" s="10"/>
      <c r="M826" s="10"/>
      <c r="N826" s="10"/>
      <c r="O826" s="21"/>
    </row>
    <row r="827" spans="1:15" x14ac:dyDescent="0.35">
      <c r="A827" s="15">
        <f t="shared" si="12"/>
        <v>825</v>
      </c>
      <c r="B827" s="16"/>
      <c r="C827" s="19"/>
      <c r="D827" s="10"/>
      <c r="E827" s="10"/>
      <c r="F827" s="47"/>
      <c r="G827" s="10"/>
      <c r="H827" s="20"/>
      <c r="I827" s="20"/>
      <c r="J827" s="10"/>
      <c r="K827" s="10"/>
      <c r="L827" s="10"/>
      <c r="M827" s="10"/>
      <c r="N827" s="10"/>
      <c r="O827" s="21"/>
    </row>
    <row r="828" spans="1:15" x14ac:dyDescent="0.35">
      <c r="A828" s="15">
        <f t="shared" si="12"/>
        <v>826</v>
      </c>
      <c r="B828" s="16"/>
      <c r="C828" s="19"/>
      <c r="D828" s="10"/>
      <c r="E828" s="10"/>
      <c r="F828" s="47"/>
      <c r="G828" s="10"/>
      <c r="H828" s="20"/>
      <c r="I828" s="20"/>
      <c r="J828" s="10"/>
      <c r="K828" s="10"/>
      <c r="L828" s="10"/>
      <c r="M828" s="10"/>
      <c r="N828" s="10"/>
      <c r="O828" s="21"/>
    </row>
    <row r="829" spans="1:15" x14ac:dyDescent="0.35">
      <c r="A829" s="15">
        <f t="shared" si="12"/>
        <v>827</v>
      </c>
      <c r="B829" s="16"/>
      <c r="C829" s="19"/>
      <c r="D829" s="10"/>
      <c r="E829" s="10"/>
      <c r="F829" s="47"/>
      <c r="G829" s="10"/>
      <c r="H829" s="20"/>
      <c r="I829" s="20"/>
      <c r="J829" s="10"/>
      <c r="K829" s="10"/>
      <c r="L829" s="10"/>
      <c r="M829" s="10"/>
      <c r="N829" s="10"/>
      <c r="O829" s="21"/>
    </row>
    <row r="830" spans="1:15" x14ac:dyDescent="0.35">
      <c r="A830" s="15">
        <f t="shared" si="12"/>
        <v>828</v>
      </c>
      <c r="B830" s="16"/>
      <c r="C830" s="19"/>
      <c r="D830" s="10"/>
      <c r="E830" s="10"/>
      <c r="F830" s="47"/>
      <c r="G830" s="10"/>
      <c r="H830" s="20"/>
      <c r="I830" s="20"/>
      <c r="J830" s="10"/>
      <c r="K830" s="10"/>
      <c r="L830" s="10"/>
      <c r="M830" s="10"/>
      <c r="N830" s="10"/>
      <c r="O830" s="21"/>
    </row>
    <row r="831" spans="1:15" x14ac:dyDescent="0.35">
      <c r="A831" s="15">
        <f t="shared" si="12"/>
        <v>829</v>
      </c>
      <c r="B831" s="16"/>
      <c r="C831" s="19"/>
      <c r="D831" s="10"/>
      <c r="E831" s="10"/>
      <c r="F831" s="47"/>
      <c r="G831" s="10"/>
      <c r="H831" s="20"/>
      <c r="I831" s="20"/>
      <c r="J831" s="10"/>
      <c r="K831" s="10"/>
      <c r="L831" s="10"/>
      <c r="M831" s="10"/>
      <c r="N831" s="10"/>
      <c r="O831" s="21"/>
    </row>
    <row r="832" spans="1:15" x14ac:dyDescent="0.35">
      <c r="A832" s="15">
        <f t="shared" si="12"/>
        <v>830</v>
      </c>
      <c r="B832" s="16"/>
      <c r="C832" s="19"/>
      <c r="D832" s="10"/>
      <c r="E832" s="10"/>
      <c r="F832" s="47"/>
      <c r="G832" s="10"/>
      <c r="H832" s="20"/>
      <c r="I832" s="20"/>
      <c r="J832" s="10"/>
      <c r="K832" s="10"/>
      <c r="L832" s="10"/>
      <c r="M832" s="10"/>
      <c r="N832" s="10"/>
      <c r="O832" s="21"/>
    </row>
    <row r="833" spans="1:15" x14ac:dyDescent="0.35">
      <c r="A833" s="15">
        <f t="shared" si="12"/>
        <v>831</v>
      </c>
      <c r="B833" s="16"/>
      <c r="C833" s="19"/>
      <c r="D833" s="10"/>
      <c r="E833" s="10"/>
      <c r="F833" s="47"/>
      <c r="G833" s="10"/>
      <c r="H833" s="20"/>
      <c r="I833" s="20"/>
      <c r="J833" s="10"/>
      <c r="K833" s="10"/>
      <c r="L833" s="10"/>
      <c r="M833" s="10"/>
      <c r="N833" s="10"/>
      <c r="O833" s="21"/>
    </row>
    <row r="834" spans="1:15" x14ac:dyDescent="0.35">
      <c r="A834" s="15">
        <f t="shared" si="12"/>
        <v>832</v>
      </c>
      <c r="B834" s="16"/>
      <c r="C834" s="19"/>
      <c r="D834" s="10"/>
      <c r="E834" s="10"/>
      <c r="F834" s="47"/>
      <c r="G834" s="10"/>
      <c r="H834" s="20"/>
      <c r="I834" s="20"/>
      <c r="J834" s="10"/>
      <c r="K834" s="10"/>
      <c r="L834" s="10"/>
      <c r="M834" s="10"/>
      <c r="N834" s="10"/>
      <c r="O834" s="21"/>
    </row>
    <row r="835" spans="1:15" x14ac:dyDescent="0.35">
      <c r="A835" s="15">
        <f t="shared" si="12"/>
        <v>833</v>
      </c>
      <c r="B835" s="16"/>
      <c r="C835" s="19"/>
      <c r="D835" s="10"/>
      <c r="E835" s="10"/>
      <c r="F835" s="47"/>
      <c r="G835" s="10"/>
      <c r="H835" s="20"/>
      <c r="I835" s="20"/>
      <c r="J835" s="10"/>
      <c r="K835" s="10"/>
      <c r="L835" s="10"/>
      <c r="M835" s="10"/>
      <c r="N835" s="10"/>
      <c r="O835" s="21"/>
    </row>
    <row r="836" spans="1:15" x14ac:dyDescent="0.35">
      <c r="A836" s="15">
        <f t="shared" si="12"/>
        <v>834</v>
      </c>
      <c r="B836" s="16"/>
      <c r="C836" s="19"/>
      <c r="D836" s="10"/>
      <c r="E836" s="10"/>
      <c r="F836" s="47"/>
      <c r="G836" s="10"/>
      <c r="H836" s="20"/>
      <c r="I836" s="20"/>
      <c r="J836" s="10"/>
      <c r="K836" s="10"/>
      <c r="L836" s="10"/>
      <c r="M836" s="10"/>
      <c r="N836" s="10"/>
      <c r="O836" s="21"/>
    </row>
    <row r="837" spans="1:15" x14ac:dyDescent="0.35">
      <c r="A837" s="15">
        <f t="shared" si="12"/>
        <v>835</v>
      </c>
      <c r="B837" s="16"/>
      <c r="C837" s="19"/>
      <c r="D837" s="10"/>
      <c r="E837" s="10"/>
      <c r="F837" s="47"/>
      <c r="G837" s="10"/>
      <c r="H837" s="20"/>
      <c r="I837" s="20"/>
      <c r="J837" s="10"/>
      <c r="K837" s="10"/>
      <c r="L837" s="10"/>
      <c r="M837" s="10"/>
      <c r="N837" s="10"/>
      <c r="O837" s="21"/>
    </row>
    <row r="838" spans="1:15" x14ac:dyDescent="0.35">
      <c r="A838" s="15">
        <f t="shared" si="12"/>
        <v>836</v>
      </c>
      <c r="B838" s="16"/>
      <c r="C838" s="19"/>
      <c r="D838" s="10"/>
      <c r="E838" s="10"/>
      <c r="F838" s="47"/>
      <c r="G838" s="10"/>
      <c r="H838" s="20"/>
      <c r="I838" s="20"/>
      <c r="J838" s="10"/>
      <c r="K838" s="10"/>
      <c r="L838" s="10"/>
      <c r="M838" s="10"/>
      <c r="N838" s="10"/>
      <c r="O838" s="21"/>
    </row>
    <row r="839" spans="1:15" x14ac:dyDescent="0.35">
      <c r="A839" s="15">
        <f t="shared" si="12"/>
        <v>837</v>
      </c>
      <c r="B839" s="16"/>
      <c r="C839" s="19"/>
      <c r="D839" s="10"/>
      <c r="E839" s="10"/>
      <c r="F839" s="47"/>
      <c r="G839" s="10"/>
      <c r="H839" s="20"/>
      <c r="I839" s="20"/>
      <c r="J839" s="10"/>
      <c r="K839" s="10"/>
      <c r="L839" s="10"/>
      <c r="M839" s="10"/>
      <c r="N839" s="10"/>
      <c r="O839" s="21"/>
    </row>
    <row r="840" spans="1:15" x14ac:dyDescent="0.35">
      <c r="A840" s="15">
        <f t="shared" si="12"/>
        <v>838</v>
      </c>
      <c r="B840" s="16"/>
      <c r="C840" s="19"/>
      <c r="D840" s="10"/>
      <c r="E840" s="10"/>
      <c r="F840" s="47"/>
      <c r="G840" s="10"/>
      <c r="H840" s="20"/>
      <c r="I840" s="20"/>
      <c r="J840" s="10"/>
      <c r="K840" s="10"/>
      <c r="L840" s="10"/>
      <c r="M840" s="10"/>
      <c r="N840" s="10"/>
      <c r="O840" s="21"/>
    </row>
    <row r="841" spans="1:15" x14ac:dyDescent="0.35">
      <c r="A841" s="15">
        <f t="shared" si="12"/>
        <v>839</v>
      </c>
      <c r="B841" s="16"/>
      <c r="C841" s="19"/>
      <c r="D841" s="10"/>
      <c r="E841" s="10"/>
      <c r="F841" s="47"/>
      <c r="G841" s="10"/>
      <c r="H841" s="20"/>
      <c r="I841" s="20"/>
      <c r="J841" s="10"/>
      <c r="K841" s="10"/>
      <c r="L841" s="10"/>
      <c r="M841" s="10"/>
      <c r="N841" s="10"/>
      <c r="O841" s="21"/>
    </row>
    <row r="842" spans="1:15" x14ac:dyDescent="0.35">
      <c r="A842" s="15">
        <f t="shared" si="12"/>
        <v>840</v>
      </c>
      <c r="B842" s="16"/>
      <c r="C842" s="19"/>
      <c r="D842" s="10"/>
      <c r="E842" s="10"/>
      <c r="F842" s="47"/>
      <c r="G842" s="10"/>
      <c r="H842" s="20"/>
      <c r="I842" s="20"/>
      <c r="J842" s="10"/>
      <c r="K842" s="10"/>
      <c r="L842" s="10"/>
      <c r="M842" s="10"/>
      <c r="N842" s="10"/>
      <c r="O842" s="21"/>
    </row>
    <row r="843" spans="1:15" x14ac:dyDescent="0.35">
      <c r="A843" s="15">
        <f t="shared" ref="A843:A906" si="13">+A842+1</f>
        <v>841</v>
      </c>
      <c r="B843" s="16"/>
      <c r="C843" s="19"/>
      <c r="D843" s="10"/>
      <c r="E843" s="10"/>
      <c r="F843" s="47"/>
      <c r="G843" s="10"/>
      <c r="H843" s="20"/>
      <c r="I843" s="20"/>
      <c r="J843" s="10"/>
      <c r="K843" s="10"/>
      <c r="L843" s="10"/>
      <c r="M843" s="10"/>
      <c r="N843" s="10"/>
      <c r="O843" s="21"/>
    </row>
    <row r="844" spans="1:15" x14ac:dyDescent="0.35">
      <c r="A844" s="15">
        <f t="shared" si="13"/>
        <v>842</v>
      </c>
      <c r="B844" s="16"/>
      <c r="C844" s="19"/>
      <c r="D844" s="10"/>
      <c r="E844" s="10"/>
      <c r="F844" s="47"/>
      <c r="G844" s="10"/>
      <c r="H844" s="20"/>
      <c r="I844" s="20"/>
      <c r="J844" s="10"/>
      <c r="K844" s="10"/>
      <c r="L844" s="10"/>
      <c r="M844" s="10"/>
      <c r="N844" s="10"/>
      <c r="O844" s="21"/>
    </row>
    <row r="845" spans="1:15" x14ac:dyDescent="0.35">
      <c r="A845" s="15">
        <f t="shared" si="13"/>
        <v>843</v>
      </c>
      <c r="B845" s="16"/>
      <c r="C845" s="19"/>
      <c r="D845" s="10"/>
      <c r="E845" s="10"/>
      <c r="F845" s="47"/>
      <c r="G845" s="10"/>
      <c r="H845" s="20"/>
      <c r="I845" s="20"/>
      <c r="J845" s="10"/>
      <c r="K845" s="10"/>
      <c r="L845" s="10"/>
      <c r="M845" s="10"/>
      <c r="N845" s="10"/>
      <c r="O845" s="21"/>
    </row>
    <row r="846" spans="1:15" x14ac:dyDescent="0.35">
      <c r="A846" s="15">
        <f t="shared" si="13"/>
        <v>844</v>
      </c>
      <c r="B846" s="16"/>
      <c r="C846" s="19"/>
      <c r="D846" s="10"/>
      <c r="E846" s="10"/>
      <c r="F846" s="47"/>
      <c r="G846" s="10"/>
      <c r="H846" s="20"/>
      <c r="I846" s="20"/>
      <c r="J846" s="10"/>
      <c r="K846" s="10"/>
      <c r="L846" s="10"/>
      <c r="M846" s="10"/>
      <c r="N846" s="10"/>
      <c r="O846" s="21"/>
    </row>
    <row r="847" spans="1:15" x14ac:dyDescent="0.35">
      <c r="A847" s="15">
        <f t="shared" si="13"/>
        <v>845</v>
      </c>
      <c r="B847" s="16"/>
      <c r="C847" s="19"/>
      <c r="D847" s="10"/>
      <c r="E847" s="10"/>
      <c r="F847" s="47"/>
      <c r="G847" s="10"/>
      <c r="H847" s="20"/>
      <c r="I847" s="20"/>
      <c r="J847" s="10"/>
      <c r="K847" s="10"/>
      <c r="L847" s="10"/>
      <c r="M847" s="10"/>
      <c r="N847" s="10"/>
      <c r="O847" s="21"/>
    </row>
    <row r="848" spans="1:15" x14ac:dyDescent="0.35">
      <c r="A848" s="15">
        <f t="shared" si="13"/>
        <v>846</v>
      </c>
      <c r="B848" s="16"/>
      <c r="C848" s="19"/>
      <c r="D848" s="10"/>
      <c r="E848" s="10"/>
      <c r="F848" s="47"/>
      <c r="G848" s="10"/>
      <c r="H848" s="20"/>
      <c r="I848" s="20"/>
      <c r="J848" s="10"/>
      <c r="K848" s="10"/>
      <c r="L848" s="10"/>
      <c r="M848" s="10"/>
      <c r="N848" s="10"/>
      <c r="O848" s="21"/>
    </row>
    <row r="849" spans="1:15" x14ac:dyDescent="0.35">
      <c r="A849" s="15">
        <f t="shared" si="13"/>
        <v>847</v>
      </c>
      <c r="B849" s="16"/>
      <c r="C849" s="19"/>
      <c r="D849" s="10"/>
      <c r="E849" s="10"/>
      <c r="F849" s="47"/>
      <c r="G849" s="10"/>
      <c r="H849" s="20"/>
      <c r="I849" s="20"/>
      <c r="J849" s="10"/>
      <c r="K849" s="10"/>
      <c r="L849" s="10"/>
      <c r="M849" s="10"/>
      <c r="N849" s="10"/>
      <c r="O849" s="21"/>
    </row>
    <row r="850" spans="1:15" x14ac:dyDescent="0.35">
      <c r="A850" s="15">
        <f t="shared" si="13"/>
        <v>848</v>
      </c>
      <c r="B850" s="16"/>
      <c r="C850" s="19"/>
      <c r="D850" s="10"/>
      <c r="E850" s="10"/>
      <c r="F850" s="47"/>
      <c r="G850" s="10"/>
      <c r="H850" s="20"/>
      <c r="I850" s="20"/>
      <c r="J850" s="10"/>
      <c r="K850" s="10"/>
      <c r="L850" s="10"/>
      <c r="M850" s="10"/>
      <c r="N850" s="10"/>
      <c r="O850" s="21"/>
    </row>
    <row r="851" spans="1:15" x14ac:dyDescent="0.35">
      <c r="A851" s="15">
        <f t="shared" si="13"/>
        <v>849</v>
      </c>
      <c r="B851" s="16"/>
      <c r="C851" s="19"/>
      <c r="D851" s="10"/>
      <c r="E851" s="10"/>
      <c r="F851" s="47"/>
      <c r="G851" s="10"/>
      <c r="H851" s="20"/>
      <c r="I851" s="20"/>
      <c r="J851" s="10"/>
      <c r="K851" s="10"/>
      <c r="L851" s="10"/>
      <c r="M851" s="10"/>
      <c r="N851" s="10"/>
      <c r="O851" s="21"/>
    </row>
    <row r="852" spans="1:15" x14ac:dyDescent="0.35">
      <c r="A852" s="15">
        <f t="shared" si="13"/>
        <v>850</v>
      </c>
      <c r="B852" s="16"/>
      <c r="C852" s="19"/>
      <c r="D852" s="10"/>
      <c r="E852" s="10"/>
      <c r="F852" s="47"/>
      <c r="G852" s="10"/>
      <c r="H852" s="20"/>
      <c r="I852" s="20"/>
      <c r="J852" s="10"/>
      <c r="K852" s="10"/>
      <c r="L852" s="10"/>
      <c r="M852" s="10"/>
      <c r="N852" s="10"/>
      <c r="O852" s="21"/>
    </row>
    <row r="853" spans="1:15" x14ac:dyDescent="0.35">
      <c r="A853" s="15">
        <f t="shared" si="13"/>
        <v>851</v>
      </c>
      <c r="B853" s="16"/>
      <c r="C853" s="19"/>
      <c r="D853" s="10"/>
      <c r="E853" s="10"/>
      <c r="F853" s="47"/>
      <c r="G853" s="10"/>
      <c r="H853" s="20"/>
      <c r="I853" s="20"/>
      <c r="J853" s="10"/>
      <c r="K853" s="10"/>
      <c r="L853" s="10"/>
      <c r="M853" s="10"/>
      <c r="N853" s="10"/>
      <c r="O853" s="21"/>
    </row>
    <row r="854" spans="1:15" x14ac:dyDescent="0.35">
      <c r="A854" s="15">
        <f t="shared" si="13"/>
        <v>852</v>
      </c>
      <c r="B854" s="16"/>
      <c r="C854" s="19"/>
      <c r="D854" s="10"/>
      <c r="E854" s="10"/>
      <c r="F854" s="47"/>
      <c r="G854" s="10"/>
      <c r="H854" s="20"/>
      <c r="I854" s="20"/>
      <c r="J854" s="10"/>
      <c r="K854" s="10"/>
      <c r="L854" s="10"/>
      <c r="M854" s="10"/>
      <c r="N854" s="10"/>
      <c r="O854" s="21"/>
    </row>
    <row r="855" spans="1:15" x14ac:dyDescent="0.35">
      <c r="A855" s="15">
        <f t="shared" si="13"/>
        <v>853</v>
      </c>
      <c r="B855" s="16"/>
      <c r="C855" s="19"/>
      <c r="D855" s="10"/>
      <c r="E855" s="10"/>
      <c r="F855" s="47"/>
      <c r="G855" s="10"/>
      <c r="H855" s="20"/>
      <c r="I855" s="20"/>
      <c r="J855" s="10"/>
      <c r="K855" s="10"/>
      <c r="L855" s="10"/>
      <c r="M855" s="10"/>
      <c r="N855" s="10"/>
      <c r="O855" s="21"/>
    </row>
    <row r="856" spans="1:15" x14ac:dyDescent="0.35">
      <c r="A856" s="15">
        <f t="shared" si="13"/>
        <v>854</v>
      </c>
      <c r="B856" s="16"/>
      <c r="C856" s="19"/>
      <c r="D856" s="10"/>
      <c r="E856" s="10"/>
      <c r="F856" s="47"/>
      <c r="G856" s="10"/>
      <c r="H856" s="20"/>
      <c r="I856" s="20"/>
      <c r="J856" s="10"/>
      <c r="K856" s="10"/>
      <c r="L856" s="10"/>
      <c r="M856" s="10"/>
      <c r="N856" s="10"/>
      <c r="O856" s="21"/>
    </row>
    <row r="857" spans="1:15" x14ac:dyDescent="0.35">
      <c r="A857" s="15">
        <f t="shared" si="13"/>
        <v>855</v>
      </c>
      <c r="B857" s="16"/>
      <c r="C857" s="19"/>
      <c r="D857" s="10"/>
      <c r="E857" s="10"/>
      <c r="F857" s="47"/>
      <c r="G857" s="10"/>
      <c r="H857" s="20"/>
      <c r="I857" s="20"/>
      <c r="J857" s="10"/>
      <c r="K857" s="10"/>
      <c r="L857" s="10"/>
      <c r="M857" s="10"/>
      <c r="N857" s="10"/>
      <c r="O857" s="21"/>
    </row>
    <row r="858" spans="1:15" x14ac:dyDescent="0.35">
      <c r="A858" s="15">
        <f t="shared" si="13"/>
        <v>856</v>
      </c>
      <c r="B858" s="16"/>
      <c r="C858" s="19"/>
      <c r="D858" s="10"/>
      <c r="E858" s="10"/>
      <c r="F858" s="47"/>
      <c r="G858" s="10"/>
      <c r="H858" s="20"/>
      <c r="I858" s="20"/>
      <c r="J858" s="10"/>
      <c r="K858" s="10"/>
      <c r="L858" s="10"/>
      <c r="M858" s="10"/>
      <c r="N858" s="10"/>
      <c r="O858" s="21"/>
    </row>
    <row r="859" spans="1:15" x14ac:dyDescent="0.35">
      <c r="A859" s="15">
        <f t="shared" si="13"/>
        <v>857</v>
      </c>
      <c r="B859" s="16"/>
      <c r="C859" s="19"/>
      <c r="D859" s="10"/>
      <c r="E859" s="10"/>
      <c r="F859" s="47"/>
      <c r="G859" s="10"/>
      <c r="H859" s="20"/>
      <c r="I859" s="20"/>
      <c r="J859" s="10"/>
      <c r="K859" s="10"/>
      <c r="L859" s="10"/>
      <c r="M859" s="10"/>
      <c r="N859" s="10"/>
      <c r="O859" s="21"/>
    </row>
    <row r="860" spans="1:15" x14ac:dyDescent="0.35">
      <c r="A860" s="15">
        <f t="shared" si="13"/>
        <v>858</v>
      </c>
      <c r="B860" s="16"/>
      <c r="C860" s="19"/>
      <c r="D860" s="10"/>
      <c r="E860" s="10"/>
      <c r="F860" s="47"/>
      <c r="G860" s="10"/>
      <c r="H860" s="20"/>
      <c r="I860" s="20"/>
      <c r="J860" s="10"/>
      <c r="K860" s="10"/>
      <c r="L860" s="10"/>
      <c r="M860" s="10"/>
      <c r="N860" s="10"/>
      <c r="O860" s="21"/>
    </row>
    <row r="861" spans="1:15" x14ac:dyDescent="0.35">
      <c r="A861" s="15">
        <f t="shared" si="13"/>
        <v>859</v>
      </c>
      <c r="B861" s="16"/>
      <c r="C861" s="19"/>
      <c r="D861" s="10"/>
      <c r="E861" s="10"/>
      <c r="F861" s="47"/>
      <c r="G861" s="10"/>
      <c r="H861" s="20"/>
      <c r="I861" s="20"/>
      <c r="J861" s="10"/>
      <c r="K861" s="10"/>
      <c r="L861" s="10"/>
      <c r="M861" s="10"/>
      <c r="N861" s="10"/>
      <c r="O861" s="21"/>
    </row>
    <row r="862" spans="1:15" x14ac:dyDescent="0.35">
      <c r="A862" s="15">
        <f t="shared" si="13"/>
        <v>860</v>
      </c>
      <c r="B862" s="16"/>
      <c r="C862" s="19"/>
      <c r="D862" s="10"/>
      <c r="E862" s="10"/>
      <c r="F862" s="47"/>
      <c r="G862" s="10"/>
      <c r="H862" s="20"/>
      <c r="I862" s="20"/>
      <c r="J862" s="10"/>
      <c r="K862" s="10"/>
      <c r="L862" s="10"/>
      <c r="M862" s="10"/>
      <c r="N862" s="10"/>
      <c r="O862" s="21"/>
    </row>
    <row r="863" spans="1:15" x14ac:dyDescent="0.35">
      <c r="A863" s="15">
        <f t="shared" si="13"/>
        <v>861</v>
      </c>
      <c r="B863" s="16"/>
      <c r="C863" s="19"/>
      <c r="D863" s="10"/>
      <c r="E863" s="10"/>
      <c r="F863" s="47"/>
      <c r="G863" s="10"/>
      <c r="H863" s="20"/>
      <c r="I863" s="20"/>
      <c r="J863" s="10"/>
      <c r="K863" s="10"/>
      <c r="L863" s="10"/>
      <c r="M863" s="10"/>
      <c r="N863" s="10"/>
      <c r="O863" s="21"/>
    </row>
    <row r="864" spans="1:15" x14ac:dyDescent="0.35">
      <c r="A864" s="15">
        <f t="shared" si="13"/>
        <v>862</v>
      </c>
      <c r="B864" s="16"/>
      <c r="C864" s="19"/>
      <c r="D864" s="10"/>
      <c r="E864" s="10"/>
      <c r="F864" s="47"/>
      <c r="G864" s="10"/>
      <c r="H864" s="20"/>
      <c r="I864" s="20"/>
      <c r="J864" s="10"/>
      <c r="K864" s="10"/>
      <c r="L864" s="10"/>
      <c r="M864" s="10"/>
      <c r="N864" s="10"/>
      <c r="O864" s="21"/>
    </row>
    <row r="865" spans="1:15" x14ac:dyDescent="0.35">
      <c r="A865" s="15">
        <f t="shared" si="13"/>
        <v>863</v>
      </c>
      <c r="B865" s="16"/>
      <c r="C865" s="19"/>
      <c r="D865" s="10"/>
      <c r="E865" s="10"/>
      <c r="F865" s="47"/>
      <c r="G865" s="10"/>
      <c r="H865" s="20"/>
      <c r="I865" s="20"/>
      <c r="J865" s="10"/>
      <c r="K865" s="10"/>
      <c r="L865" s="10"/>
      <c r="M865" s="10"/>
      <c r="N865" s="10"/>
      <c r="O865" s="21"/>
    </row>
    <row r="866" spans="1:15" x14ac:dyDescent="0.35">
      <c r="A866" s="15">
        <f t="shared" si="13"/>
        <v>864</v>
      </c>
      <c r="B866" s="16"/>
      <c r="C866" s="19"/>
      <c r="D866" s="10"/>
      <c r="E866" s="10"/>
      <c r="F866" s="47"/>
      <c r="G866" s="10"/>
      <c r="H866" s="20"/>
      <c r="I866" s="20"/>
      <c r="J866" s="10"/>
      <c r="K866" s="10"/>
      <c r="L866" s="10"/>
      <c r="M866" s="10"/>
      <c r="N866" s="10"/>
      <c r="O866" s="21"/>
    </row>
    <row r="867" spans="1:15" x14ac:dyDescent="0.35">
      <c r="A867" s="15">
        <f t="shared" si="13"/>
        <v>865</v>
      </c>
      <c r="B867" s="16"/>
      <c r="C867" s="19"/>
      <c r="D867" s="10"/>
      <c r="E867" s="10"/>
      <c r="F867" s="47"/>
      <c r="G867" s="10"/>
      <c r="H867" s="20"/>
      <c r="I867" s="20"/>
      <c r="J867" s="10"/>
      <c r="K867" s="10"/>
      <c r="L867" s="10"/>
      <c r="M867" s="10"/>
      <c r="N867" s="10"/>
      <c r="O867" s="21"/>
    </row>
    <row r="868" spans="1:15" x14ac:dyDescent="0.35">
      <c r="A868" s="15">
        <f t="shared" si="13"/>
        <v>866</v>
      </c>
      <c r="B868" s="16"/>
      <c r="C868" s="19"/>
      <c r="D868" s="10"/>
      <c r="E868" s="10"/>
      <c r="F868" s="47"/>
      <c r="G868" s="10"/>
      <c r="H868" s="20"/>
      <c r="I868" s="20"/>
      <c r="J868" s="10"/>
      <c r="K868" s="10"/>
      <c r="L868" s="10"/>
      <c r="M868" s="10"/>
      <c r="N868" s="10"/>
      <c r="O868" s="21"/>
    </row>
    <row r="869" spans="1:15" x14ac:dyDescent="0.35">
      <c r="A869" s="15">
        <f t="shared" si="13"/>
        <v>867</v>
      </c>
      <c r="B869" s="16"/>
      <c r="C869" s="19"/>
      <c r="D869" s="10"/>
      <c r="E869" s="10"/>
      <c r="F869" s="47"/>
      <c r="G869" s="10"/>
      <c r="H869" s="20"/>
      <c r="I869" s="20"/>
      <c r="J869" s="10"/>
      <c r="K869" s="10"/>
      <c r="L869" s="10"/>
      <c r="M869" s="10"/>
      <c r="N869" s="10"/>
      <c r="O869" s="21"/>
    </row>
    <row r="870" spans="1:15" x14ac:dyDescent="0.35">
      <c r="A870" s="15">
        <f t="shared" si="13"/>
        <v>868</v>
      </c>
      <c r="B870" s="16"/>
      <c r="C870" s="19"/>
      <c r="D870" s="10"/>
      <c r="E870" s="10"/>
      <c r="F870" s="47"/>
      <c r="G870" s="10"/>
      <c r="H870" s="20"/>
      <c r="I870" s="20"/>
      <c r="J870" s="10"/>
      <c r="K870" s="10"/>
      <c r="L870" s="10"/>
      <c r="M870" s="10"/>
      <c r="N870" s="10"/>
      <c r="O870" s="21"/>
    </row>
    <row r="871" spans="1:15" x14ac:dyDescent="0.35">
      <c r="A871" s="15">
        <f t="shared" si="13"/>
        <v>869</v>
      </c>
      <c r="B871" s="16"/>
      <c r="C871" s="19"/>
      <c r="D871" s="10"/>
      <c r="E871" s="10"/>
      <c r="F871" s="47"/>
      <c r="G871" s="10"/>
      <c r="H871" s="20"/>
      <c r="I871" s="20"/>
      <c r="J871" s="10"/>
      <c r="K871" s="10"/>
      <c r="L871" s="10"/>
      <c r="M871" s="10"/>
      <c r="N871" s="10"/>
      <c r="O871" s="21"/>
    </row>
    <row r="872" spans="1:15" x14ac:dyDescent="0.35">
      <c r="A872" s="15">
        <f t="shared" si="13"/>
        <v>870</v>
      </c>
      <c r="B872" s="16"/>
      <c r="C872" s="19"/>
      <c r="D872" s="10"/>
      <c r="E872" s="10"/>
      <c r="F872" s="47"/>
      <c r="G872" s="10"/>
      <c r="H872" s="20"/>
      <c r="I872" s="20"/>
      <c r="J872" s="10"/>
      <c r="K872" s="10"/>
      <c r="L872" s="10"/>
      <c r="M872" s="10"/>
      <c r="N872" s="10"/>
      <c r="O872" s="21"/>
    </row>
    <row r="873" spans="1:15" x14ac:dyDescent="0.35">
      <c r="A873" s="15">
        <f t="shared" si="13"/>
        <v>871</v>
      </c>
      <c r="B873" s="16"/>
      <c r="C873" s="19"/>
      <c r="D873" s="10"/>
      <c r="E873" s="10"/>
      <c r="F873" s="47"/>
      <c r="G873" s="10"/>
      <c r="H873" s="20"/>
      <c r="I873" s="20"/>
      <c r="J873" s="10"/>
      <c r="K873" s="10"/>
      <c r="L873" s="10"/>
      <c r="M873" s="10"/>
      <c r="N873" s="10"/>
      <c r="O873" s="21"/>
    </row>
    <row r="874" spans="1:15" x14ac:dyDescent="0.35">
      <c r="A874" s="15">
        <f t="shared" si="13"/>
        <v>872</v>
      </c>
      <c r="B874" s="16"/>
      <c r="C874" s="19"/>
      <c r="D874" s="10"/>
      <c r="E874" s="10"/>
      <c r="F874" s="47"/>
      <c r="G874" s="10"/>
      <c r="H874" s="20"/>
      <c r="I874" s="20"/>
      <c r="J874" s="10"/>
      <c r="K874" s="10"/>
      <c r="L874" s="10"/>
      <c r="M874" s="10"/>
      <c r="N874" s="10"/>
      <c r="O874" s="21"/>
    </row>
    <row r="875" spans="1:15" x14ac:dyDescent="0.35">
      <c r="A875" s="15">
        <f t="shared" si="13"/>
        <v>873</v>
      </c>
      <c r="B875" s="16"/>
      <c r="C875" s="19"/>
      <c r="D875" s="10"/>
      <c r="E875" s="10"/>
      <c r="F875" s="47"/>
      <c r="G875" s="10"/>
      <c r="H875" s="20"/>
      <c r="I875" s="20"/>
      <c r="J875" s="10"/>
      <c r="K875" s="10"/>
      <c r="L875" s="10"/>
      <c r="M875" s="10"/>
      <c r="N875" s="10"/>
      <c r="O875" s="21"/>
    </row>
    <row r="876" spans="1:15" x14ac:dyDescent="0.35">
      <c r="A876" s="15">
        <f t="shared" si="13"/>
        <v>874</v>
      </c>
      <c r="B876" s="16"/>
      <c r="C876" s="19"/>
      <c r="D876" s="10"/>
      <c r="E876" s="10"/>
      <c r="F876" s="47"/>
      <c r="G876" s="10"/>
      <c r="H876" s="20"/>
      <c r="I876" s="20"/>
      <c r="J876" s="10"/>
      <c r="K876" s="10"/>
      <c r="L876" s="10"/>
      <c r="M876" s="10"/>
      <c r="N876" s="10"/>
      <c r="O876" s="21"/>
    </row>
    <row r="877" spans="1:15" x14ac:dyDescent="0.35">
      <c r="A877" s="15">
        <f t="shared" si="13"/>
        <v>875</v>
      </c>
      <c r="B877" s="16"/>
      <c r="C877" s="19"/>
      <c r="D877" s="10"/>
      <c r="E877" s="10"/>
      <c r="F877" s="47"/>
      <c r="G877" s="10"/>
      <c r="H877" s="20"/>
      <c r="I877" s="20"/>
      <c r="J877" s="10"/>
      <c r="K877" s="10"/>
      <c r="L877" s="10"/>
      <c r="M877" s="10"/>
      <c r="N877" s="10"/>
      <c r="O877" s="21"/>
    </row>
    <row r="878" spans="1:15" x14ac:dyDescent="0.35">
      <c r="A878" s="15">
        <f t="shared" si="13"/>
        <v>876</v>
      </c>
      <c r="B878" s="16"/>
      <c r="C878" s="19"/>
      <c r="D878" s="10"/>
      <c r="E878" s="10"/>
      <c r="F878" s="47"/>
      <c r="G878" s="10"/>
      <c r="H878" s="20"/>
      <c r="I878" s="20"/>
      <c r="J878" s="10"/>
      <c r="K878" s="10"/>
      <c r="L878" s="10"/>
      <c r="M878" s="10"/>
      <c r="N878" s="10"/>
      <c r="O878" s="21"/>
    </row>
    <row r="879" spans="1:15" x14ac:dyDescent="0.35">
      <c r="A879" s="15">
        <f t="shared" si="13"/>
        <v>877</v>
      </c>
      <c r="B879" s="16"/>
      <c r="C879" s="19"/>
      <c r="D879" s="10"/>
      <c r="E879" s="10"/>
      <c r="F879" s="47"/>
      <c r="G879" s="10"/>
      <c r="H879" s="20"/>
      <c r="I879" s="20"/>
      <c r="J879" s="10"/>
      <c r="K879" s="10"/>
      <c r="L879" s="10"/>
      <c r="M879" s="10"/>
      <c r="N879" s="10"/>
      <c r="O879" s="21"/>
    </row>
    <row r="880" spans="1:15" x14ac:dyDescent="0.35">
      <c r="A880" s="15">
        <f t="shared" si="13"/>
        <v>878</v>
      </c>
      <c r="B880" s="16"/>
      <c r="C880" s="19"/>
      <c r="D880" s="10"/>
      <c r="E880" s="10"/>
      <c r="F880" s="47"/>
      <c r="G880" s="10"/>
      <c r="H880" s="20"/>
      <c r="I880" s="20"/>
      <c r="J880" s="10"/>
      <c r="K880" s="10"/>
      <c r="L880" s="10"/>
      <c r="M880" s="10"/>
      <c r="N880" s="10"/>
      <c r="O880" s="21"/>
    </row>
    <row r="881" spans="1:15" x14ac:dyDescent="0.35">
      <c r="A881" s="15">
        <f t="shared" si="13"/>
        <v>879</v>
      </c>
      <c r="B881" s="16"/>
      <c r="C881" s="19"/>
      <c r="D881" s="10"/>
      <c r="E881" s="10"/>
      <c r="F881" s="47"/>
      <c r="G881" s="10"/>
      <c r="H881" s="20"/>
      <c r="I881" s="20"/>
      <c r="J881" s="10"/>
      <c r="K881" s="10"/>
      <c r="L881" s="10"/>
      <c r="M881" s="10"/>
      <c r="N881" s="10"/>
      <c r="O881" s="21"/>
    </row>
    <row r="882" spans="1:15" x14ac:dyDescent="0.35">
      <c r="A882" s="15">
        <f t="shared" si="13"/>
        <v>880</v>
      </c>
      <c r="B882" s="16"/>
      <c r="C882" s="19"/>
      <c r="D882" s="10"/>
      <c r="E882" s="10"/>
      <c r="F882" s="47"/>
      <c r="G882" s="10"/>
      <c r="H882" s="20"/>
      <c r="I882" s="20"/>
      <c r="J882" s="10"/>
      <c r="K882" s="10"/>
      <c r="L882" s="10"/>
      <c r="M882" s="10"/>
      <c r="N882" s="10"/>
      <c r="O882" s="21"/>
    </row>
    <row r="883" spans="1:15" x14ac:dyDescent="0.35">
      <c r="A883" s="15">
        <f t="shared" si="13"/>
        <v>881</v>
      </c>
      <c r="B883" s="16"/>
      <c r="C883" s="19"/>
      <c r="D883" s="10"/>
      <c r="E883" s="10"/>
      <c r="F883" s="47"/>
      <c r="G883" s="10"/>
      <c r="H883" s="20"/>
      <c r="I883" s="20"/>
      <c r="J883" s="10"/>
      <c r="K883" s="10"/>
      <c r="L883" s="10"/>
      <c r="M883" s="10"/>
      <c r="N883" s="10"/>
      <c r="O883" s="21"/>
    </row>
    <row r="884" spans="1:15" x14ac:dyDescent="0.35">
      <c r="A884" s="15">
        <f t="shared" si="13"/>
        <v>882</v>
      </c>
      <c r="B884" s="16"/>
      <c r="C884" s="19"/>
      <c r="D884" s="10"/>
      <c r="E884" s="10"/>
      <c r="F884" s="47"/>
      <c r="G884" s="10"/>
      <c r="H884" s="20"/>
      <c r="I884" s="20"/>
      <c r="J884" s="10"/>
      <c r="K884" s="10"/>
      <c r="L884" s="10"/>
      <c r="M884" s="10"/>
      <c r="N884" s="10"/>
      <c r="O884" s="21"/>
    </row>
    <row r="885" spans="1:15" x14ac:dyDescent="0.35">
      <c r="A885" s="15">
        <f t="shared" si="13"/>
        <v>883</v>
      </c>
      <c r="B885" s="16"/>
      <c r="C885" s="19"/>
      <c r="D885" s="10"/>
      <c r="E885" s="10"/>
      <c r="F885" s="47"/>
      <c r="G885" s="10"/>
      <c r="H885" s="20"/>
      <c r="I885" s="20"/>
      <c r="J885" s="10"/>
      <c r="K885" s="10"/>
      <c r="L885" s="10"/>
      <c r="M885" s="10"/>
      <c r="N885" s="10"/>
      <c r="O885" s="21"/>
    </row>
    <row r="886" spans="1:15" x14ac:dyDescent="0.35">
      <c r="A886" s="15">
        <f t="shared" si="13"/>
        <v>884</v>
      </c>
      <c r="B886" s="16"/>
      <c r="C886" s="19"/>
      <c r="D886" s="10"/>
      <c r="E886" s="10"/>
      <c r="F886" s="47"/>
      <c r="G886" s="10"/>
      <c r="H886" s="20"/>
      <c r="I886" s="20"/>
      <c r="J886" s="10"/>
      <c r="K886" s="10"/>
      <c r="L886" s="10"/>
      <c r="M886" s="10"/>
      <c r="N886" s="10"/>
      <c r="O886" s="21"/>
    </row>
    <row r="887" spans="1:15" x14ac:dyDescent="0.35">
      <c r="A887" s="15">
        <f t="shared" si="13"/>
        <v>885</v>
      </c>
      <c r="B887" s="16"/>
      <c r="C887" s="19"/>
      <c r="D887" s="10"/>
      <c r="E887" s="10"/>
      <c r="F887" s="47"/>
      <c r="G887" s="10"/>
      <c r="H887" s="20"/>
      <c r="I887" s="20"/>
      <c r="J887" s="10"/>
      <c r="K887" s="10"/>
      <c r="L887" s="10"/>
      <c r="M887" s="10"/>
      <c r="N887" s="10"/>
      <c r="O887" s="21"/>
    </row>
    <row r="888" spans="1:15" x14ac:dyDescent="0.35">
      <c r="A888" s="15">
        <f t="shared" si="13"/>
        <v>886</v>
      </c>
      <c r="B888" s="16"/>
      <c r="C888" s="19"/>
      <c r="D888" s="10"/>
      <c r="E888" s="10"/>
      <c r="F888" s="47"/>
      <c r="G888" s="10"/>
      <c r="H888" s="20"/>
      <c r="I888" s="20"/>
      <c r="J888" s="10"/>
      <c r="K888" s="10"/>
      <c r="L888" s="10"/>
      <c r="M888" s="10"/>
      <c r="N888" s="10"/>
      <c r="O888" s="21"/>
    </row>
    <row r="889" spans="1:15" x14ac:dyDescent="0.35">
      <c r="A889" s="15">
        <f t="shared" si="13"/>
        <v>887</v>
      </c>
      <c r="B889" s="16"/>
      <c r="C889" s="19"/>
      <c r="D889" s="10"/>
      <c r="E889" s="10"/>
      <c r="F889" s="47"/>
      <c r="G889" s="10"/>
      <c r="H889" s="20"/>
      <c r="I889" s="20"/>
      <c r="J889" s="10"/>
      <c r="K889" s="10"/>
      <c r="L889" s="10"/>
      <c r="M889" s="10"/>
      <c r="N889" s="10"/>
      <c r="O889" s="21"/>
    </row>
    <row r="890" spans="1:15" x14ac:dyDescent="0.35">
      <c r="A890" s="15">
        <f t="shared" si="13"/>
        <v>888</v>
      </c>
      <c r="B890" s="16"/>
      <c r="C890" s="19"/>
      <c r="D890" s="10"/>
      <c r="E890" s="10"/>
      <c r="F890" s="47"/>
      <c r="G890" s="10"/>
      <c r="H890" s="20"/>
      <c r="I890" s="20"/>
      <c r="J890" s="10"/>
      <c r="K890" s="10"/>
      <c r="L890" s="10"/>
      <c r="M890" s="10"/>
      <c r="N890" s="10"/>
      <c r="O890" s="21"/>
    </row>
    <row r="891" spans="1:15" x14ac:dyDescent="0.35">
      <c r="A891" s="15">
        <f t="shared" si="13"/>
        <v>889</v>
      </c>
      <c r="B891" s="16"/>
      <c r="C891" s="19"/>
      <c r="D891" s="10"/>
      <c r="E891" s="10"/>
      <c r="F891" s="47"/>
      <c r="G891" s="10"/>
      <c r="H891" s="20"/>
      <c r="I891" s="20"/>
      <c r="J891" s="10"/>
      <c r="K891" s="10"/>
      <c r="L891" s="10"/>
      <c r="M891" s="10"/>
      <c r="N891" s="10"/>
      <c r="O891" s="21"/>
    </row>
    <row r="892" spans="1:15" x14ac:dyDescent="0.35">
      <c r="A892" s="15">
        <f t="shared" si="13"/>
        <v>890</v>
      </c>
      <c r="B892" s="16"/>
      <c r="C892" s="19"/>
      <c r="D892" s="10"/>
      <c r="E892" s="10"/>
      <c r="F892" s="47"/>
      <c r="G892" s="10"/>
      <c r="H892" s="20"/>
      <c r="I892" s="20"/>
      <c r="J892" s="10"/>
      <c r="K892" s="10"/>
      <c r="L892" s="10"/>
      <c r="M892" s="10"/>
      <c r="N892" s="10"/>
      <c r="O892" s="21"/>
    </row>
    <row r="893" spans="1:15" x14ac:dyDescent="0.35">
      <c r="A893" s="15">
        <f t="shared" si="13"/>
        <v>891</v>
      </c>
      <c r="B893" s="16"/>
      <c r="C893" s="19"/>
      <c r="D893" s="10"/>
      <c r="E893" s="10"/>
      <c r="F893" s="47"/>
      <c r="G893" s="10"/>
      <c r="H893" s="20"/>
      <c r="I893" s="20"/>
      <c r="J893" s="10"/>
      <c r="K893" s="10"/>
      <c r="L893" s="10"/>
      <c r="M893" s="10"/>
      <c r="N893" s="10"/>
      <c r="O893" s="21"/>
    </row>
    <row r="894" spans="1:15" x14ac:dyDescent="0.35">
      <c r="A894" s="15">
        <f t="shared" si="13"/>
        <v>892</v>
      </c>
      <c r="B894" s="16"/>
      <c r="C894" s="19"/>
      <c r="D894" s="10"/>
      <c r="E894" s="10"/>
      <c r="F894" s="47"/>
      <c r="G894" s="10"/>
      <c r="H894" s="20"/>
      <c r="I894" s="20"/>
      <c r="J894" s="10"/>
      <c r="K894" s="10"/>
      <c r="L894" s="10"/>
      <c r="M894" s="10"/>
      <c r="N894" s="10"/>
      <c r="O894" s="21"/>
    </row>
    <row r="895" spans="1:15" x14ac:dyDescent="0.35">
      <c r="A895" s="15">
        <f t="shared" si="13"/>
        <v>893</v>
      </c>
      <c r="B895" s="16"/>
      <c r="C895" s="19"/>
      <c r="D895" s="10"/>
      <c r="E895" s="10"/>
      <c r="F895" s="47"/>
      <c r="G895" s="10"/>
      <c r="H895" s="20"/>
      <c r="I895" s="20"/>
      <c r="J895" s="10"/>
      <c r="K895" s="10"/>
      <c r="L895" s="10"/>
      <c r="M895" s="10"/>
      <c r="N895" s="10"/>
      <c r="O895" s="21"/>
    </row>
    <row r="896" spans="1:15" x14ac:dyDescent="0.35">
      <c r="A896" s="15">
        <f t="shared" si="13"/>
        <v>894</v>
      </c>
      <c r="B896" s="16"/>
      <c r="C896" s="19"/>
      <c r="D896" s="10"/>
      <c r="E896" s="10"/>
      <c r="F896" s="47"/>
      <c r="G896" s="10"/>
      <c r="H896" s="20"/>
      <c r="I896" s="20"/>
      <c r="J896" s="10"/>
      <c r="K896" s="10"/>
      <c r="L896" s="10"/>
      <c r="M896" s="10"/>
      <c r="N896" s="10"/>
      <c r="O896" s="21"/>
    </row>
    <row r="897" spans="1:15" x14ac:dyDescent="0.35">
      <c r="A897" s="15">
        <f t="shared" si="13"/>
        <v>895</v>
      </c>
      <c r="B897" s="16"/>
      <c r="C897" s="19"/>
      <c r="D897" s="10"/>
      <c r="E897" s="10"/>
      <c r="F897" s="47"/>
      <c r="G897" s="10"/>
      <c r="H897" s="20"/>
      <c r="I897" s="20"/>
      <c r="J897" s="10"/>
      <c r="K897" s="10"/>
      <c r="L897" s="10"/>
      <c r="M897" s="10"/>
      <c r="N897" s="10"/>
      <c r="O897" s="21"/>
    </row>
    <row r="898" spans="1:15" x14ac:dyDescent="0.35">
      <c r="A898" s="15">
        <f t="shared" si="13"/>
        <v>896</v>
      </c>
      <c r="B898" s="16"/>
      <c r="C898" s="19"/>
      <c r="D898" s="10"/>
      <c r="E898" s="10"/>
      <c r="F898" s="47"/>
      <c r="G898" s="10"/>
      <c r="H898" s="20"/>
      <c r="I898" s="20"/>
      <c r="J898" s="10"/>
      <c r="K898" s="10"/>
      <c r="L898" s="10"/>
      <c r="M898" s="10"/>
      <c r="N898" s="10"/>
      <c r="O898" s="21"/>
    </row>
    <row r="899" spans="1:15" x14ac:dyDescent="0.35">
      <c r="A899" s="15">
        <f t="shared" si="13"/>
        <v>897</v>
      </c>
      <c r="B899" s="16"/>
      <c r="C899" s="19"/>
      <c r="D899" s="10"/>
      <c r="E899" s="10"/>
      <c r="F899" s="47"/>
      <c r="G899" s="10"/>
      <c r="H899" s="20"/>
      <c r="I899" s="20"/>
      <c r="J899" s="10"/>
      <c r="K899" s="10"/>
      <c r="L899" s="10"/>
      <c r="M899" s="10"/>
      <c r="N899" s="10"/>
      <c r="O899" s="21"/>
    </row>
    <row r="900" spans="1:15" x14ac:dyDescent="0.35">
      <c r="A900" s="15">
        <f t="shared" si="13"/>
        <v>898</v>
      </c>
      <c r="B900" s="16"/>
      <c r="C900" s="19"/>
      <c r="D900" s="10"/>
      <c r="E900" s="10"/>
      <c r="F900" s="47"/>
      <c r="G900" s="10"/>
      <c r="H900" s="20"/>
      <c r="I900" s="20"/>
      <c r="J900" s="10"/>
      <c r="K900" s="10"/>
      <c r="L900" s="10"/>
      <c r="M900" s="10"/>
      <c r="N900" s="10"/>
      <c r="O900" s="21"/>
    </row>
    <row r="901" spans="1:15" x14ac:dyDescent="0.35">
      <c r="A901" s="15">
        <f t="shared" si="13"/>
        <v>899</v>
      </c>
      <c r="B901" s="16"/>
      <c r="C901" s="19"/>
      <c r="D901" s="10"/>
      <c r="E901" s="10"/>
      <c r="F901" s="47"/>
      <c r="G901" s="10"/>
      <c r="H901" s="20"/>
      <c r="I901" s="20"/>
      <c r="J901" s="10"/>
      <c r="K901" s="10"/>
      <c r="L901" s="10"/>
      <c r="M901" s="10"/>
      <c r="N901" s="10"/>
      <c r="O901" s="21"/>
    </row>
    <row r="902" spans="1:15" x14ac:dyDescent="0.35">
      <c r="A902" s="15">
        <f t="shared" si="13"/>
        <v>900</v>
      </c>
      <c r="B902" s="16"/>
      <c r="C902" s="19"/>
      <c r="D902" s="10"/>
      <c r="E902" s="10"/>
      <c r="F902" s="47"/>
      <c r="G902" s="10"/>
      <c r="H902" s="20"/>
      <c r="I902" s="20"/>
      <c r="J902" s="10"/>
      <c r="K902" s="10"/>
      <c r="L902" s="10"/>
      <c r="M902" s="10"/>
      <c r="N902" s="10"/>
      <c r="O902" s="21"/>
    </row>
    <row r="903" spans="1:15" x14ac:dyDescent="0.35">
      <c r="A903" s="15">
        <f t="shared" si="13"/>
        <v>901</v>
      </c>
      <c r="B903" s="16"/>
      <c r="C903" s="19"/>
      <c r="D903" s="10"/>
      <c r="E903" s="10"/>
      <c r="F903" s="47"/>
      <c r="G903" s="10"/>
      <c r="H903" s="20"/>
      <c r="I903" s="20"/>
      <c r="J903" s="10"/>
      <c r="K903" s="10"/>
      <c r="L903" s="10"/>
      <c r="M903" s="10"/>
      <c r="N903" s="10"/>
      <c r="O903" s="21"/>
    </row>
    <row r="904" spans="1:15" x14ac:dyDescent="0.35">
      <c r="A904" s="15">
        <f t="shared" si="13"/>
        <v>902</v>
      </c>
      <c r="B904" s="16"/>
      <c r="C904" s="19"/>
      <c r="D904" s="10"/>
      <c r="E904" s="10"/>
      <c r="F904" s="47"/>
      <c r="G904" s="10"/>
      <c r="H904" s="20"/>
      <c r="I904" s="20"/>
      <c r="J904" s="10"/>
      <c r="K904" s="10"/>
      <c r="L904" s="10"/>
      <c r="M904" s="10"/>
      <c r="N904" s="10"/>
      <c r="O904" s="21"/>
    </row>
    <row r="905" spans="1:15" x14ac:dyDescent="0.35">
      <c r="A905" s="15">
        <f t="shared" si="13"/>
        <v>903</v>
      </c>
      <c r="B905" s="16"/>
      <c r="C905" s="19"/>
      <c r="D905" s="10"/>
      <c r="E905" s="10"/>
      <c r="F905" s="47"/>
      <c r="G905" s="10"/>
      <c r="H905" s="20"/>
      <c r="I905" s="20"/>
      <c r="J905" s="10"/>
      <c r="K905" s="10"/>
      <c r="L905" s="10"/>
      <c r="M905" s="10"/>
      <c r="N905" s="10"/>
      <c r="O905" s="21"/>
    </row>
    <row r="906" spans="1:15" x14ac:dyDescent="0.35">
      <c r="A906" s="15">
        <f t="shared" si="13"/>
        <v>904</v>
      </c>
      <c r="B906" s="16"/>
      <c r="C906" s="19"/>
      <c r="D906" s="10"/>
      <c r="E906" s="10"/>
      <c r="F906" s="47"/>
      <c r="G906" s="10"/>
      <c r="H906" s="20"/>
      <c r="I906" s="20"/>
      <c r="J906" s="10"/>
      <c r="K906" s="10"/>
      <c r="L906" s="10"/>
      <c r="M906" s="10"/>
      <c r="N906" s="10"/>
      <c r="O906" s="21"/>
    </row>
    <row r="907" spans="1:15" x14ac:dyDescent="0.35">
      <c r="A907" s="15">
        <f t="shared" ref="A907:A970" si="14">+A906+1</f>
        <v>905</v>
      </c>
      <c r="B907" s="16"/>
      <c r="C907" s="19"/>
      <c r="D907" s="10"/>
      <c r="E907" s="10"/>
      <c r="F907" s="47"/>
      <c r="G907" s="10"/>
      <c r="H907" s="20"/>
      <c r="I907" s="20"/>
      <c r="J907" s="10"/>
      <c r="K907" s="10"/>
      <c r="L907" s="10"/>
      <c r="M907" s="10"/>
      <c r="N907" s="10"/>
      <c r="O907" s="21"/>
    </row>
    <row r="908" spans="1:15" x14ac:dyDescent="0.35">
      <c r="A908" s="15">
        <f t="shared" si="14"/>
        <v>906</v>
      </c>
      <c r="B908" s="16"/>
      <c r="C908" s="19"/>
      <c r="D908" s="10"/>
      <c r="E908" s="10"/>
      <c r="F908" s="47"/>
      <c r="G908" s="10"/>
      <c r="H908" s="20"/>
      <c r="I908" s="20"/>
      <c r="J908" s="10"/>
      <c r="K908" s="10"/>
      <c r="L908" s="10"/>
      <c r="M908" s="10"/>
      <c r="N908" s="10"/>
      <c r="O908" s="21"/>
    </row>
    <row r="909" spans="1:15" x14ac:dyDescent="0.35">
      <c r="A909" s="15">
        <f t="shared" si="14"/>
        <v>907</v>
      </c>
      <c r="B909" s="16"/>
      <c r="C909" s="19"/>
      <c r="D909" s="10"/>
      <c r="E909" s="10"/>
      <c r="F909" s="47"/>
      <c r="G909" s="10"/>
      <c r="H909" s="20"/>
      <c r="I909" s="20"/>
      <c r="J909" s="10"/>
      <c r="K909" s="10"/>
      <c r="L909" s="10"/>
      <c r="M909" s="10"/>
      <c r="N909" s="10"/>
      <c r="O909" s="21"/>
    </row>
    <row r="910" spans="1:15" x14ac:dyDescent="0.35">
      <c r="A910" s="15">
        <f t="shared" si="14"/>
        <v>908</v>
      </c>
      <c r="B910" s="16"/>
      <c r="C910" s="19"/>
      <c r="D910" s="10"/>
      <c r="E910" s="10"/>
      <c r="F910" s="47"/>
      <c r="G910" s="10"/>
      <c r="H910" s="20"/>
      <c r="I910" s="20"/>
      <c r="J910" s="10"/>
      <c r="K910" s="10"/>
      <c r="L910" s="10"/>
      <c r="M910" s="10"/>
      <c r="N910" s="10"/>
      <c r="O910" s="21"/>
    </row>
    <row r="911" spans="1:15" x14ac:dyDescent="0.35">
      <c r="A911" s="15">
        <f t="shared" si="14"/>
        <v>909</v>
      </c>
      <c r="B911" s="16"/>
      <c r="C911" s="19"/>
      <c r="D911" s="10"/>
      <c r="E911" s="10"/>
      <c r="F911" s="47"/>
      <c r="G911" s="10"/>
      <c r="H911" s="20"/>
      <c r="I911" s="20"/>
      <c r="J911" s="10"/>
      <c r="K911" s="10"/>
      <c r="L911" s="10"/>
      <c r="M911" s="10"/>
      <c r="N911" s="10"/>
      <c r="O911" s="21"/>
    </row>
    <row r="912" spans="1:15" x14ac:dyDescent="0.35">
      <c r="A912" s="15">
        <f t="shared" si="14"/>
        <v>910</v>
      </c>
      <c r="B912" s="16"/>
      <c r="C912" s="19"/>
      <c r="D912" s="10"/>
      <c r="E912" s="10"/>
      <c r="F912" s="47"/>
      <c r="G912" s="10"/>
      <c r="H912" s="20"/>
      <c r="I912" s="20"/>
      <c r="J912" s="10"/>
      <c r="K912" s="10"/>
      <c r="L912" s="10"/>
      <c r="M912" s="10"/>
      <c r="N912" s="10"/>
      <c r="O912" s="21"/>
    </row>
    <row r="913" spans="1:15" x14ac:dyDescent="0.35">
      <c r="A913" s="15">
        <f t="shared" si="14"/>
        <v>911</v>
      </c>
      <c r="B913" s="16"/>
      <c r="C913" s="19"/>
      <c r="D913" s="10"/>
      <c r="E913" s="10"/>
      <c r="F913" s="47"/>
      <c r="G913" s="10"/>
      <c r="H913" s="20"/>
      <c r="I913" s="20"/>
      <c r="J913" s="10"/>
      <c r="K913" s="10"/>
      <c r="L913" s="10"/>
      <c r="M913" s="10"/>
      <c r="N913" s="10"/>
      <c r="O913" s="21"/>
    </row>
    <row r="914" spans="1:15" x14ac:dyDescent="0.35">
      <c r="A914" s="15">
        <f t="shared" si="14"/>
        <v>912</v>
      </c>
      <c r="B914" s="16"/>
      <c r="C914" s="19"/>
      <c r="D914" s="10"/>
      <c r="E914" s="10"/>
      <c r="F914" s="47"/>
      <c r="G914" s="10"/>
      <c r="H914" s="20"/>
      <c r="I914" s="20"/>
      <c r="J914" s="10"/>
      <c r="K914" s="10"/>
      <c r="L914" s="10"/>
      <c r="M914" s="10"/>
      <c r="N914" s="10"/>
      <c r="O914" s="21"/>
    </row>
    <row r="915" spans="1:15" x14ac:dyDescent="0.35">
      <c r="A915" s="15">
        <f t="shared" si="14"/>
        <v>913</v>
      </c>
      <c r="B915" s="16"/>
      <c r="C915" s="19"/>
      <c r="D915" s="10"/>
      <c r="E915" s="10"/>
      <c r="F915" s="47"/>
      <c r="G915" s="10"/>
      <c r="H915" s="20"/>
      <c r="I915" s="20"/>
      <c r="J915" s="10"/>
      <c r="K915" s="10"/>
      <c r="L915" s="10"/>
      <c r="M915" s="10"/>
      <c r="N915" s="10"/>
      <c r="O915" s="21"/>
    </row>
    <row r="916" spans="1:15" x14ac:dyDescent="0.35">
      <c r="A916" s="15">
        <f t="shared" si="14"/>
        <v>914</v>
      </c>
      <c r="B916" s="16"/>
      <c r="C916" s="19"/>
      <c r="D916" s="10"/>
      <c r="E916" s="10"/>
      <c r="F916" s="47"/>
      <c r="G916" s="10"/>
      <c r="H916" s="20"/>
      <c r="I916" s="20"/>
      <c r="J916" s="10"/>
      <c r="K916" s="10"/>
      <c r="L916" s="10"/>
      <c r="M916" s="10"/>
      <c r="N916" s="10"/>
      <c r="O916" s="21"/>
    </row>
    <row r="917" spans="1:15" x14ac:dyDescent="0.35">
      <c r="A917" s="15">
        <f t="shared" si="14"/>
        <v>915</v>
      </c>
      <c r="B917" s="16"/>
      <c r="C917" s="19"/>
      <c r="D917" s="10"/>
      <c r="E917" s="10"/>
      <c r="F917" s="47"/>
      <c r="G917" s="10"/>
      <c r="H917" s="20"/>
      <c r="I917" s="20"/>
      <c r="J917" s="10"/>
      <c r="K917" s="10"/>
      <c r="L917" s="10"/>
      <c r="M917" s="10"/>
      <c r="N917" s="10"/>
      <c r="O917" s="21"/>
    </row>
    <row r="918" spans="1:15" x14ac:dyDescent="0.35">
      <c r="A918" s="15">
        <f t="shared" si="14"/>
        <v>916</v>
      </c>
      <c r="B918" s="16"/>
      <c r="C918" s="19"/>
      <c r="D918" s="10"/>
      <c r="E918" s="10"/>
      <c r="F918" s="47"/>
      <c r="G918" s="10"/>
      <c r="H918" s="20"/>
      <c r="I918" s="20"/>
      <c r="J918" s="10"/>
      <c r="K918" s="10"/>
      <c r="L918" s="10"/>
      <c r="M918" s="10"/>
      <c r="N918" s="10"/>
      <c r="O918" s="21"/>
    </row>
    <row r="919" spans="1:15" x14ac:dyDescent="0.35">
      <c r="A919" s="15">
        <f t="shared" si="14"/>
        <v>917</v>
      </c>
      <c r="B919" s="16"/>
      <c r="C919" s="19"/>
      <c r="D919" s="10"/>
      <c r="E919" s="10"/>
      <c r="F919" s="47"/>
      <c r="G919" s="10"/>
      <c r="H919" s="20"/>
      <c r="I919" s="20"/>
      <c r="J919" s="10"/>
      <c r="K919" s="10"/>
      <c r="L919" s="10"/>
      <c r="M919" s="10"/>
      <c r="N919" s="10"/>
      <c r="O919" s="21"/>
    </row>
    <row r="920" spans="1:15" x14ac:dyDescent="0.35">
      <c r="A920" s="15">
        <f t="shared" si="14"/>
        <v>918</v>
      </c>
      <c r="B920" s="16"/>
      <c r="C920" s="19"/>
      <c r="D920" s="10"/>
      <c r="E920" s="10"/>
      <c r="F920" s="47"/>
      <c r="G920" s="10"/>
      <c r="H920" s="20"/>
      <c r="I920" s="20"/>
      <c r="J920" s="10"/>
      <c r="K920" s="10"/>
      <c r="L920" s="10"/>
      <c r="M920" s="10"/>
      <c r="N920" s="10"/>
      <c r="O920" s="21"/>
    </row>
    <row r="921" spans="1:15" x14ac:dyDescent="0.35">
      <c r="A921" s="15">
        <f t="shared" si="14"/>
        <v>919</v>
      </c>
      <c r="B921" s="16"/>
      <c r="C921" s="19"/>
      <c r="D921" s="10"/>
      <c r="E921" s="10"/>
      <c r="F921" s="47"/>
      <c r="G921" s="10"/>
      <c r="H921" s="20"/>
      <c r="I921" s="20"/>
      <c r="J921" s="10"/>
      <c r="K921" s="10"/>
      <c r="L921" s="10"/>
      <c r="M921" s="10"/>
      <c r="N921" s="10"/>
      <c r="O921" s="21"/>
    </row>
    <row r="922" spans="1:15" x14ac:dyDescent="0.35">
      <c r="A922" s="15">
        <f t="shared" si="14"/>
        <v>920</v>
      </c>
      <c r="B922" s="16"/>
      <c r="C922" s="19"/>
      <c r="D922" s="10"/>
      <c r="E922" s="10"/>
      <c r="F922" s="47"/>
      <c r="G922" s="10"/>
      <c r="H922" s="20"/>
      <c r="I922" s="20"/>
      <c r="J922" s="10"/>
      <c r="K922" s="10"/>
      <c r="L922" s="10"/>
      <c r="M922" s="10"/>
      <c r="N922" s="10"/>
      <c r="O922" s="21"/>
    </row>
    <row r="923" spans="1:15" x14ac:dyDescent="0.35">
      <c r="A923" s="15">
        <f t="shared" si="14"/>
        <v>921</v>
      </c>
      <c r="B923" s="16"/>
      <c r="C923" s="19"/>
      <c r="D923" s="10"/>
      <c r="E923" s="10"/>
      <c r="F923" s="47"/>
      <c r="G923" s="10"/>
      <c r="H923" s="20"/>
      <c r="I923" s="20"/>
      <c r="J923" s="10"/>
      <c r="K923" s="10"/>
      <c r="L923" s="10"/>
      <c r="M923" s="10"/>
      <c r="N923" s="10"/>
      <c r="O923" s="21"/>
    </row>
    <row r="924" spans="1:15" x14ac:dyDescent="0.35">
      <c r="A924" s="15">
        <f t="shared" si="14"/>
        <v>922</v>
      </c>
      <c r="B924" s="16"/>
      <c r="C924" s="19"/>
      <c r="D924" s="10"/>
      <c r="E924" s="10"/>
      <c r="F924" s="47"/>
      <c r="G924" s="10"/>
      <c r="H924" s="20"/>
      <c r="I924" s="20"/>
      <c r="J924" s="10"/>
      <c r="K924" s="10"/>
      <c r="L924" s="10"/>
      <c r="M924" s="10"/>
      <c r="N924" s="10"/>
      <c r="O924" s="21"/>
    </row>
    <row r="925" spans="1:15" x14ac:dyDescent="0.35">
      <c r="A925" s="15">
        <f t="shared" si="14"/>
        <v>923</v>
      </c>
      <c r="B925" s="16"/>
      <c r="C925" s="19"/>
      <c r="D925" s="10"/>
      <c r="E925" s="10"/>
      <c r="F925" s="47"/>
      <c r="G925" s="10"/>
      <c r="H925" s="20"/>
      <c r="I925" s="20"/>
      <c r="J925" s="10"/>
      <c r="K925" s="10"/>
      <c r="L925" s="10"/>
      <c r="M925" s="10"/>
      <c r="N925" s="10"/>
      <c r="O925" s="21"/>
    </row>
    <row r="926" spans="1:15" x14ac:dyDescent="0.35">
      <c r="A926" s="15">
        <f t="shared" si="14"/>
        <v>924</v>
      </c>
      <c r="B926" s="16"/>
      <c r="C926" s="19"/>
      <c r="D926" s="10"/>
      <c r="E926" s="10"/>
      <c r="F926" s="47"/>
      <c r="G926" s="10"/>
      <c r="H926" s="20"/>
      <c r="I926" s="20"/>
      <c r="J926" s="10"/>
      <c r="K926" s="10"/>
      <c r="L926" s="10"/>
      <c r="M926" s="10"/>
      <c r="N926" s="10"/>
      <c r="O926" s="21"/>
    </row>
    <row r="927" spans="1:15" x14ac:dyDescent="0.35">
      <c r="A927" s="15">
        <f t="shared" si="14"/>
        <v>925</v>
      </c>
      <c r="B927" s="16"/>
      <c r="C927" s="19"/>
      <c r="D927" s="10"/>
      <c r="E927" s="10"/>
      <c r="F927" s="47"/>
      <c r="G927" s="10"/>
      <c r="H927" s="20"/>
      <c r="I927" s="20"/>
      <c r="J927" s="10"/>
      <c r="K927" s="10"/>
      <c r="L927" s="10"/>
      <c r="M927" s="10"/>
      <c r="N927" s="10"/>
      <c r="O927" s="21"/>
    </row>
    <row r="928" spans="1:15" x14ac:dyDescent="0.35">
      <c r="A928" s="15">
        <f t="shared" si="14"/>
        <v>926</v>
      </c>
      <c r="B928" s="16"/>
      <c r="C928" s="19"/>
      <c r="D928" s="10"/>
      <c r="E928" s="10"/>
      <c r="F928" s="47"/>
      <c r="G928" s="10"/>
      <c r="H928" s="20"/>
      <c r="I928" s="20"/>
      <c r="J928" s="10"/>
      <c r="K928" s="10"/>
      <c r="L928" s="10"/>
      <c r="M928" s="10"/>
      <c r="N928" s="10"/>
      <c r="O928" s="21"/>
    </row>
    <row r="929" spans="1:15" x14ac:dyDescent="0.35">
      <c r="A929" s="15">
        <f t="shared" si="14"/>
        <v>927</v>
      </c>
      <c r="B929" s="16"/>
      <c r="C929" s="19"/>
      <c r="D929" s="10"/>
      <c r="E929" s="10"/>
      <c r="F929" s="47"/>
      <c r="G929" s="10"/>
      <c r="H929" s="20"/>
      <c r="I929" s="20"/>
      <c r="J929" s="10"/>
      <c r="K929" s="10"/>
      <c r="L929" s="10"/>
      <c r="M929" s="10"/>
      <c r="N929" s="10"/>
      <c r="O929" s="21"/>
    </row>
    <row r="930" spans="1:15" x14ac:dyDescent="0.35">
      <c r="A930" s="15">
        <f t="shared" si="14"/>
        <v>928</v>
      </c>
      <c r="B930" s="16"/>
      <c r="C930" s="19"/>
      <c r="D930" s="10"/>
      <c r="E930" s="10"/>
      <c r="F930" s="47"/>
      <c r="G930" s="10"/>
      <c r="H930" s="20"/>
      <c r="I930" s="20"/>
      <c r="J930" s="10"/>
      <c r="K930" s="10"/>
      <c r="L930" s="10"/>
      <c r="M930" s="10"/>
      <c r="N930" s="10"/>
      <c r="O930" s="21"/>
    </row>
    <row r="931" spans="1:15" x14ac:dyDescent="0.35">
      <c r="A931" s="15">
        <f t="shared" si="14"/>
        <v>929</v>
      </c>
      <c r="B931" s="16"/>
      <c r="C931" s="19"/>
      <c r="D931" s="10"/>
      <c r="E931" s="10"/>
      <c r="F931" s="47"/>
      <c r="G931" s="10"/>
      <c r="H931" s="20"/>
      <c r="I931" s="20"/>
      <c r="J931" s="10"/>
      <c r="K931" s="10"/>
      <c r="L931" s="10"/>
      <c r="M931" s="10"/>
      <c r="N931" s="10"/>
      <c r="O931" s="21"/>
    </row>
    <row r="932" spans="1:15" x14ac:dyDescent="0.35">
      <c r="A932" s="15">
        <f t="shared" si="14"/>
        <v>930</v>
      </c>
      <c r="B932" s="16"/>
      <c r="C932" s="19"/>
      <c r="D932" s="10"/>
      <c r="E932" s="10"/>
      <c r="F932" s="47"/>
      <c r="G932" s="10"/>
      <c r="H932" s="20"/>
      <c r="I932" s="20"/>
      <c r="J932" s="10"/>
      <c r="K932" s="10"/>
      <c r="L932" s="10"/>
      <c r="M932" s="10"/>
      <c r="N932" s="10"/>
      <c r="O932" s="21"/>
    </row>
    <row r="933" spans="1:15" x14ac:dyDescent="0.35">
      <c r="A933" s="15">
        <f t="shared" si="14"/>
        <v>931</v>
      </c>
      <c r="B933" s="16"/>
      <c r="C933" s="19"/>
      <c r="D933" s="10"/>
      <c r="E933" s="10"/>
      <c r="F933" s="47"/>
      <c r="G933" s="10"/>
      <c r="H933" s="20"/>
      <c r="I933" s="20"/>
      <c r="J933" s="10"/>
      <c r="K933" s="10"/>
      <c r="L933" s="10"/>
      <c r="M933" s="10"/>
      <c r="N933" s="10"/>
      <c r="O933" s="21"/>
    </row>
    <row r="934" spans="1:15" x14ac:dyDescent="0.35">
      <c r="A934" s="15">
        <f t="shared" si="14"/>
        <v>932</v>
      </c>
      <c r="B934" s="16"/>
      <c r="C934" s="19"/>
      <c r="D934" s="10"/>
      <c r="E934" s="10"/>
      <c r="F934" s="47"/>
      <c r="G934" s="10"/>
      <c r="H934" s="20"/>
      <c r="I934" s="20"/>
      <c r="J934" s="10"/>
      <c r="K934" s="10"/>
      <c r="L934" s="10"/>
      <c r="M934" s="10"/>
      <c r="N934" s="10"/>
      <c r="O934" s="21"/>
    </row>
    <row r="935" spans="1:15" x14ac:dyDescent="0.35">
      <c r="A935" s="15">
        <f t="shared" si="14"/>
        <v>933</v>
      </c>
      <c r="B935" s="16"/>
      <c r="C935" s="19"/>
      <c r="D935" s="10"/>
      <c r="E935" s="10"/>
      <c r="F935" s="47"/>
      <c r="G935" s="10"/>
      <c r="H935" s="20"/>
      <c r="I935" s="20"/>
      <c r="J935" s="10"/>
      <c r="K935" s="10"/>
      <c r="L935" s="10"/>
      <c r="M935" s="10"/>
      <c r="N935" s="10"/>
      <c r="O935" s="21"/>
    </row>
    <row r="936" spans="1:15" x14ac:dyDescent="0.35">
      <c r="A936" s="15">
        <f t="shared" si="14"/>
        <v>934</v>
      </c>
      <c r="B936" s="16"/>
      <c r="C936" s="19"/>
      <c r="D936" s="10"/>
      <c r="E936" s="10"/>
      <c r="F936" s="47"/>
      <c r="G936" s="10"/>
      <c r="H936" s="20"/>
      <c r="I936" s="20"/>
      <c r="J936" s="10"/>
      <c r="K936" s="10"/>
      <c r="L936" s="10"/>
      <c r="M936" s="10"/>
      <c r="N936" s="10"/>
      <c r="O936" s="21"/>
    </row>
    <row r="937" spans="1:15" x14ac:dyDescent="0.35">
      <c r="A937" s="15">
        <f t="shared" si="14"/>
        <v>935</v>
      </c>
      <c r="B937" s="16"/>
      <c r="C937" s="19"/>
      <c r="D937" s="10"/>
      <c r="E937" s="10"/>
      <c r="F937" s="47"/>
      <c r="G937" s="10"/>
      <c r="H937" s="20"/>
      <c r="I937" s="20"/>
      <c r="J937" s="10"/>
      <c r="K937" s="10"/>
      <c r="L937" s="10"/>
      <c r="M937" s="10"/>
      <c r="N937" s="10"/>
      <c r="O937" s="21"/>
    </row>
    <row r="938" spans="1:15" x14ac:dyDescent="0.35">
      <c r="A938" s="15">
        <f t="shared" si="14"/>
        <v>936</v>
      </c>
      <c r="B938" s="16"/>
      <c r="C938" s="19"/>
      <c r="D938" s="10"/>
      <c r="E938" s="10"/>
      <c r="F938" s="47"/>
      <c r="G938" s="10"/>
      <c r="H938" s="20"/>
      <c r="I938" s="20"/>
      <c r="J938" s="10"/>
      <c r="K938" s="10"/>
      <c r="L938" s="10"/>
      <c r="M938" s="10"/>
      <c r="N938" s="10"/>
      <c r="O938" s="21"/>
    </row>
    <row r="939" spans="1:15" x14ac:dyDescent="0.35">
      <c r="A939" s="15">
        <f t="shared" si="14"/>
        <v>937</v>
      </c>
      <c r="B939" s="16"/>
      <c r="C939" s="19"/>
      <c r="D939" s="10"/>
      <c r="E939" s="10"/>
      <c r="F939" s="47"/>
      <c r="G939" s="10"/>
      <c r="H939" s="20"/>
      <c r="I939" s="20"/>
      <c r="J939" s="10"/>
      <c r="K939" s="10"/>
      <c r="L939" s="10"/>
      <c r="M939" s="10"/>
      <c r="N939" s="10"/>
      <c r="O939" s="21"/>
    </row>
    <row r="940" spans="1:15" x14ac:dyDescent="0.35">
      <c r="A940" s="15">
        <f t="shared" si="14"/>
        <v>938</v>
      </c>
      <c r="B940" s="16"/>
      <c r="C940" s="19"/>
      <c r="D940" s="10"/>
      <c r="E940" s="10"/>
      <c r="F940" s="47"/>
      <c r="G940" s="10"/>
      <c r="H940" s="20"/>
      <c r="I940" s="20"/>
      <c r="J940" s="10"/>
      <c r="K940" s="10"/>
      <c r="L940" s="10"/>
      <c r="M940" s="10"/>
      <c r="N940" s="10"/>
      <c r="O940" s="21"/>
    </row>
    <row r="941" spans="1:15" x14ac:dyDescent="0.35">
      <c r="A941" s="15">
        <f t="shared" si="14"/>
        <v>939</v>
      </c>
      <c r="B941" s="16"/>
      <c r="C941" s="19"/>
      <c r="D941" s="10"/>
      <c r="E941" s="10"/>
      <c r="F941" s="47"/>
      <c r="G941" s="10"/>
      <c r="H941" s="20"/>
      <c r="I941" s="20"/>
      <c r="J941" s="10"/>
      <c r="K941" s="10"/>
      <c r="L941" s="10"/>
      <c r="M941" s="10"/>
      <c r="N941" s="10"/>
      <c r="O941" s="21"/>
    </row>
    <row r="942" spans="1:15" x14ac:dyDescent="0.35">
      <c r="A942" s="15">
        <f t="shared" si="14"/>
        <v>940</v>
      </c>
      <c r="B942" s="16"/>
      <c r="C942" s="19"/>
      <c r="D942" s="10"/>
      <c r="E942" s="10"/>
      <c r="F942" s="47"/>
      <c r="G942" s="10"/>
      <c r="H942" s="20"/>
      <c r="I942" s="20"/>
      <c r="J942" s="10"/>
      <c r="K942" s="10"/>
      <c r="L942" s="10"/>
      <c r="M942" s="10"/>
      <c r="N942" s="10"/>
      <c r="O942" s="21"/>
    </row>
    <row r="943" spans="1:15" x14ac:dyDescent="0.35">
      <c r="A943" s="15">
        <f t="shared" si="14"/>
        <v>941</v>
      </c>
      <c r="B943" s="16"/>
      <c r="C943" s="19"/>
      <c r="D943" s="10"/>
      <c r="E943" s="10"/>
      <c r="F943" s="47"/>
      <c r="G943" s="10"/>
      <c r="H943" s="20"/>
      <c r="I943" s="20"/>
      <c r="J943" s="10"/>
      <c r="K943" s="10"/>
      <c r="L943" s="10"/>
      <c r="M943" s="10"/>
      <c r="N943" s="10"/>
      <c r="O943" s="21"/>
    </row>
    <row r="944" spans="1:15" x14ac:dyDescent="0.35">
      <c r="A944" s="15">
        <f t="shared" si="14"/>
        <v>942</v>
      </c>
      <c r="B944" s="16"/>
      <c r="C944" s="19"/>
      <c r="D944" s="10"/>
      <c r="E944" s="10"/>
      <c r="F944" s="47"/>
      <c r="G944" s="10"/>
      <c r="H944" s="20"/>
      <c r="I944" s="20"/>
      <c r="J944" s="10"/>
      <c r="K944" s="10"/>
      <c r="L944" s="10"/>
      <c r="M944" s="10"/>
      <c r="N944" s="10"/>
      <c r="O944" s="21"/>
    </row>
    <row r="945" spans="1:15" x14ac:dyDescent="0.35">
      <c r="A945" s="15">
        <f t="shared" si="14"/>
        <v>943</v>
      </c>
      <c r="B945" s="16"/>
      <c r="C945" s="19"/>
      <c r="D945" s="10"/>
      <c r="E945" s="10"/>
      <c r="F945" s="47"/>
      <c r="G945" s="10"/>
      <c r="H945" s="20"/>
      <c r="I945" s="20"/>
      <c r="J945" s="10"/>
      <c r="K945" s="10"/>
      <c r="L945" s="10"/>
      <c r="M945" s="10"/>
      <c r="N945" s="10"/>
      <c r="O945" s="21"/>
    </row>
    <row r="946" spans="1:15" x14ac:dyDescent="0.35">
      <c r="A946" s="15">
        <f t="shared" si="14"/>
        <v>944</v>
      </c>
      <c r="B946" s="16"/>
      <c r="C946" s="19"/>
      <c r="D946" s="10"/>
      <c r="E946" s="10"/>
      <c r="F946" s="47"/>
      <c r="G946" s="10"/>
      <c r="H946" s="20"/>
      <c r="I946" s="20"/>
      <c r="J946" s="10"/>
      <c r="K946" s="10"/>
      <c r="L946" s="10"/>
      <c r="M946" s="10"/>
      <c r="N946" s="10"/>
      <c r="O946" s="21"/>
    </row>
    <row r="947" spans="1:15" x14ac:dyDescent="0.35">
      <c r="A947" s="15">
        <f t="shared" si="14"/>
        <v>945</v>
      </c>
      <c r="B947" s="16"/>
      <c r="C947" s="19"/>
      <c r="D947" s="10"/>
      <c r="E947" s="10"/>
      <c r="F947" s="47"/>
      <c r="G947" s="10"/>
      <c r="H947" s="20"/>
      <c r="I947" s="20"/>
      <c r="J947" s="10"/>
      <c r="K947" s="10"/>
      <c r="L947" s="10"/>
      <c r="M947" s="10"/>
      <c r="N947" s="10"/>
      <c r="O947" s="21"/>
    </row>
    <row r="948" spans="1:15" x14ac:dyDescent="0.35">
      <c r="A948" s="15">
        <f t="shared" si="14"/>
        <v>946</v>
      </c>
      <c r="B948" s="16"/>
      <c r="C948" s="19"/>
      <c r="D948" s="10"/>
      <c r="E948" s="10"/>
      <c r="F948" s="47"/>
      <c r="G948" s="10"/>
      <c r="H948" s="20"/>
      <c r="I948" s="20"/>
      <c r="J948" s="10"/>
      <c r="K948" s="10"/>
      <c r="L948" s="10"/>
      <c r="M948" s="10"/>
      <c r="N948" s="10"/>
      <c r="O948" s="21"/>
    </row>
    <row r="949" spans="1:15" x14ac:dyDescent="0.35">
      <c r="A949" s="15">
        <f t="shared" si="14"/>
        <v>947</v>
      </c>
      <c r="B949" s="16"/>
      <c r="C949" s="19"/>
      <c r="D949" s="10"/>
      <c r="E949" s="10"/>
      <c r="F949" s="47"/>
      <c r="G949" s="10"/>
      <c r="H949" s="20"/>
      <c r="I949" s="20"/>
      <c r="J949" s="10"/>
      <c r="K949" s="10"/>
      <c r="L949" s="10"/>
      <c r="M949" s="10"/>
      <c r="N949" s="10"/>
      <c r="O949" s="21"/>
    </row>
    <row r="950" spans="1:15" x14ac:dyDescent="0.35">
      <c r="A950" s="15">
        <f t="shared" si="14"/>
        <v>948</v>
      </c>
      <c r="B950" s="16"/>
      <c r="C950" s="19"/>
      <c r="D950" s="10"/>
      <c r="E950" s="10"/>
      <c r="F950" s="47"/>
      <c r="G950" s="10"/>
      <c r="H950" s="20"/>
      <c r="I950" s="20"/>
      <c r="J950" s="10"/>
      <c r="K950" s="10"/>
      <c r="L950" s="10"/>
      <c r="M950" s="10"/>
      <c r="N950" s="10"/>
      <c r="O950" s="21"/>
    </row>
    <row r="951" spans="1:15" x14ac:dyDescent="0.35">
      <c r="A951" s="15">
        <f t="shared" si="14"/>
        <v>949</v>
      </c>
      <c r="B951" s="16"/>
      <c r="C951" s="19"/>
      <c r="D951" s="10"/>
      <c r="E951" s="10"/>
      <c r="F951" s="47"/>
      <c r="G951" s="10"/>
      <c r="H951" s="20"/>
      <c r="I951" s="20"/>
      <c r="J951" s="10"/>
      <c r="K951" s="10"/>
      <c r="L951" s="10"/>
      <c r="M951" s="10"/>
      <c r="N951" s="10"/>
      <c r="O951" s="21"/>
    </row>
    <row r="952" spans="1:15" x14ac:dyDescent="0.35">
      <c r="A952" s="15">
        <f t="shared" si="14"/>
        <v>950</v>
      </c>
      <c r="B952" s="16"/>
      <c r="C952" s="19"/>
      <c r="D952" s="10"/>
      <c r="E952" s="10"/>
      <c r="F952" s="47"/>
      <c r="G952" s="10"/>
      <c r="H952" s="20"/>
      <c r="I952" s="20"/>
      <c r="J952" s="10"/>
      <c r="K952" s="10"/>
      <c r="L952" s="10"/>
      <c r="M952" s="10"/>
      <c r="N952" s="10"/>
      <c r="O952" s="21"/>
    </row>
    <row r="953" spans="1:15" x14ac:dyDescent="0.35">
      <c r="A953" s="15">
        <f t="shared" si="14"/>
        <v>951</v>
      </c>
      <c r="B953" s="16"/>
      <c r="C953" s="19"/>
      <c r="D953" s="10"/>
      <c r="E953" s="10"/>
      <c r="F953" s="47"/>
      <c r="G953" s="10"/>
      <c r="H953" s="20"/>
      <c r="I953" s="20"/>
      <c r="J953" s="10"/>
      <c r="K953" s="10"/>
      <c r="L953" s="10"/>
      <c r="M953" s="10"/>
      <c r="N953" s="10"/>
      <c r="O953" s="21"/>
    </row>
    <row r="954" spans="1:15" x14ac:dyDescent="0.35">
      <c r="A954" s="15">
        <f t="shared" si="14"/>
        <v>952</v>
      </c>
      <c r="B954" s="16"/>
      <c r="C954" s="19"/>
      <c r="D954" s="10"/>
      <c r="E954" s="10"/>
      <c r="F954" s="47"/>
      <c r="G954" s="10"/>
      <c r="H954" s="20"/>
      <c r="I954" s="20"/>
      <c r="J954" s="10"/>
      <c r="K954" s="10"/>
      <c r="L954" s="10"/>
      <c r="M954" s="10"/>
      <c r="N954" s="10"/>
      <c r="O954" s="21"/>
    </row>
    <row r="955" spans="1:15" x14ac:dyDescent="0.35">
      <c r="A955" s="15">
        <f t="shared" si="14"/>
        <v>953</v>
      </c>
      <c r="B955" s="16"/>
      <c r="C955" s="19"/>
      <c r="D955" s="10"/>
      <c r="E955" s="10"/>
      <c r="F955" s="47"/>
      <c r="G955" s="10"/>
      <c r="H955" s="20"/>
      <c r="I955" s="20"/>
      <c r="J955" s="10"/>
      <c r="K955" s="10"/>
      <c r="L955" s="10"/>
      <c r="M955" s="10"/>
      <c r="N955" s="10"/>
      <c r="O955" s="21"/>
    </row>
    <row r="956" spans="1:15" x14ac:dyDescent="0.35">
      <c r="A956" s="15">
        <f t="shared" si="14"/>
        <v>954</v>
      </c>
      <c r="B956" s="16"/>
      <c r="C956" s="19"/>
      <c r="D956" s="10"/>
      <c r="E956" s="10"/>
      <c r="F956" s="47"/>
      <c r="G956" s="10"/>
      <c r="H956" s="20"/>
      <c r="I956" s="20"/>
      <c r="J956" s="10"/>
      <c r="K956" s="10"/>
      <c r="L956" s="10"/>
      <c r="M956" s="10"/>
      <c r="N956" s="10"/>
      <c r="O956" s="21"/>
    </row>
    <row r="957" spans="1:15" x14ac:dyDescent="0.35">
      <c r="A957" s="15">
        <f t="shared" si="14"/>
        <v>955</v>
      </c>
      <c r="B957" s="16"/>
      <c r="C957" s="19"/>
      <c r="D957" s="10"/>
      <c r="E957" s="10"/>
      <c r="F957" s="47"/>
      <c r="G957" s="10"/>
      <c r="H957" s="20"/>
      <c r="I957" s="20"/>
      <c r="J957" s="10"/>
      <c r="K957" s="10"/>
      <c r="L957" s="10"/>
      <c r="M957" s="10"/>
      <c r="N957" s="10"/>
      <c r="O957" s="21"/>
    </row>
    <row r="958" spans="1:15" x14ac:dyDescent="0.35">
      <c r="A958" s="15">
        <f t="shared" si="14"/>
        <v>956</v>
      </c>
      <c r="B958" s="16"/>
      <c r="C958" s="19"/>
      <c r="D958" s="10"/>
      <c r="E958" s="10"/>
      <c r="F958" s="47"/>
      <c r="G958" s="10"/>
      <c r="H958" s="20"/>
      <c r="I958" s="20"/>
      <c r="J958" s="10"/>
      <c r="K958" s="10"/>
      <c r="L958" s="10"/>
      <c r="M958" s="10"/>
      <c r="N958" s="10"/>
      <c r="O958" s="21"/>
    </row>
    <row r="959" spans="1:15" x14ac:dyDescent="0.35">
      <c r="A959" s="15">
        <f t="shared" si="14"/>
        <v>957</v>
      </c>
      <c r="B959" s="16"/>
      <c r="C959" s="19"/>
      <c r="D959" s="10"/>
      <c r="E959" s="10"/>
      <c r="F959" s="47"/>
      <c r="G959" s="10"/>
      <c r="H959" s="20"/>
      <c r="I959" s="20"/>
      <c r="J959" s="10"/>
      <c r="K959" s="10"/>
      <c r="L959" s="10"/>
      <c r="M959" s="10"/>
      <c r="N959" s="10"/>
      <c r="O959" s="21"/>
    </row>
    <row r="960" spans="1:15" x14ac:dyDescent="0.35">
      <c r="A960" s="15">
        <f t="shared" si="14"/>
        <v>958</v>
      </c>
      <c r="B960" s="16"/>
      <c r="C960" s="19"/>
      <c r="D960" s="10"/>
      <c r="E960" s="10"/>
      <c r="F960" s="47"/>
      <c r="G960" s="10"/>
      <c r="H960" s="20"/>
      <c r="I960" s="20"/>
      <c r="J960" s="10"/>
      <c r="K960" s="10"/>
      <c r="L960" s="10"/>
      <c r="M960" s="10"/>
      <c r="N960" s="10"/>
      <c r="O960" s="21"/>
    </row>
    <row r="961" spans="1:15" x14ac:dyDescent="0.35">
      <c r="A961" s="15">
        <f t="shared" si="14"/>
        <v>959</v>
      </c>
      <c r="B961" s="16"/>
      <c r="C961" s="19"/>
      <c r="D961" s="10"/>
      <c r="E961" s="10"/>
      <c r="F961" s="47"/>
      <c r="G961" s="10"/>
      <c r="H961" s="20"/>
      <c r="I961" s="20"/>
      <c r="J961" s="10"/>
      <c r="K961" s="10"/>
      <c r="L961" s="10"/>
      <c r="M961" s="10"/>
      <c r="N961" s="10"/>
      <c r="O961" s="21"/>
    </row>
    <row r="962" spans="1:15" x14ac:dyDescent="0.35">
      <c r="A962" s="15">
        <f t="shared" si="14"/>
        <v>960</v>
      </c>
      <c r="B962" s="16"/>
      <c r="C962" s="19"/>
      <c r="D962" s="10"/>
      <c r="E962" s="10"/>
      <c r="F962" s="47"/>
      <c r="G962" s="10"/>
      <c r="H962" s="20"/>
      <c r="I962" s="20"/>
      <c r="J962" s="10"/>
      <c r="K962" s="10"/>
      <c r="L962" s="10"/>
      <c r="M962" s="10"/>
      <c r="N962" s="10"/>
      <c r="O962" s="21"/>
    </row>
    <row r="963" spans="1:15" x14ac:dyDescent="0.35">
      <c r="A963" s="15">
        <f t="shared" si="14"/>
        <v>961</v>
      </c>
      <c r="B963" s="16"/>
      <c r="C963" s="19"/>
      <c r="D963" s="10"/>
      <c r="E963" s="10"/>
      <c r="F963" s="47"/>
      <c r="G963" s="10"/>
      <c r="H963" s="20"/>
      <c r="I963" s="20"/>
      <c r="J963" s="10"/>
      <c r="K963" s="10"/>
      <c r="L963" s="10"/>
      <c r="M963" s="10"/>
      <c r="N963" s="10"/>
      <c r="O963" s="21"/>
    </row>
    <row r="964" spans="1:15" x14ac:dyDescent="0.35">
      <c r="A964" s="15">
        <f t="shared" si="14"/>
        <v>962</v>
      </c>
      <c r="B964" s="16"/>
      <c r="C964" s="19"/>
      <c r="D964" s="10"/>
      <c r="E964" s="10"/>
      <c r="F964" s="47"/>
      <c r="G964" s="10"/>
      <c r="H964" s="20"/>
      <c r="I964" s="20"/>
      <c r="J964" s="10"/>
      <c r="K964" s="10"/>
      <c r="L964" s="10"/>
      <c r="M964" s="10"/>
      <c r="N964" s="10"/>
      <c r="O964" s="21"/>
    </row>
    <row r="965" spans="1:15" x14ac:dyDescent="0.35">
      <c r="A965" s="15">
        <f t="shared" si="14"/>
        <v>963</v>
      </c>
      <c r="B965" s="16"/>
      <c r="C965" s="19"/>
      <c r="D965" s="10"/>
      <c r="E965" s="10"/>
      <c r="F965" s="47"/>
      <c r="G965" s="10"/>
      <c r="H965" s="20"/>
      <c r="I965" s="20"/>
      <c r="J965" s="10"/>
      <c r="K965" s="10"/>
      <c r="L965" s="10"/>
      <c r="M965" s="10"/>
      <c r="N965" s="10"/>
      <c r="O965" s="21"/>
    </row>
    <row r="966" spans="1:15" x14ac:dyDescent="0.35">
      <c r="A966" s="15">
        <f t="shared" si="14"/>
        <v>964</v>
      </c>
      <c r="B966" s="16"/>
      <c r="C966" s="19"/>
      <c r="D966" s="10"/>
      <c r="E966" s="10"/>
      <c r="F966" s="47"/>
      <c r="G966" s="10"/>
      <c r="H966" s="20"/>
      <c r="I966" s="20"/>
      <c r="J966" s="10"/>
      <c r="K966" s="10"/>
      <c r="L966" s="10"/>
      <c r="M966" s="10"/>
      <c r="N966" s="10"/>
      <c r="O966" s="21"/>
    </row>
    <row r="967" spans="1:15" x14ac:dyDescent="0.35">
      <c r="A967" s="15">
        <f t="shared" si="14"/>
        <v>965</v>
      </c>
      <c r="B967" s="16"/>
      <c r="C967" s="19"/>
      <c r="D967" s="10"/>
      <c r="E967" s="10"/>
      <c r="F967" s="47"/>
      <c r="G967" s="10"/>
      <c r="H967" s="20"/>
      <c r="I967" s="20"/>
      <c r="J967" s="10"/>
      <c r="K967" s="10"/>
      <c r="L967" s="10"/>
      <c r="M967" s="10"/>
      <c r="N967" s="10"/>
      <c r="O967" s="21"/>
    </row>
    <row r="968" spans="1:15" x14ac:dyDescent="0.35">
      <c r="A968" s="15">
        <f t="shared" si="14"/>
        <v>966</v>
      </c>
      <c r="B968" s="16"/>
      <c r="C968" s="19"/>
      <c r="D968" s="10"/>
      <c r="E968" s="10"/>
      <c r="F968" s="47"/>
      <c r="G968" s="10"/>
      <c r="H968" s="20"/>
      <c r="I968" s="20"/>
      <c r="J968" s="10"/>
      <c r="K968" s="10"/>
      <c r="L968" s="10"/>
      <c r="M968" s="10"/>
      <c r="N968" s="10"/>
      <c r="O968" s="21"/>
    </row>
    <row r="969" spans="1:15" x14ac:dyDescent="0.35">
      <c r="A969" s="15">
        <f t="shared" si="14"/>
        <v>967</v>
      </c>
      <c r="B969" s="16"/>
      <c r="C969" s="19"/>
      <c r="D969" s="10"/>
      <c r="E969" s="10"/>
      <c r="F969" s="47"/>
      <c r="G969" s="10"/>
      <c r="H969" s="20"/>
      <c r="I969" s="20"/>
      <c r="J969" s="10"/>
      <c r="K969" s="10"/>
      <c r="L969" s="10"/>
      <c r="M969" s="10"/>
      <c r="N969" s="10"/>
      <c r="O969" s="21"/>
    </row>
    <row r="970" spans="1:15" x14ac:dyDescent="0.35">
      <c r="A970" s="15">
        <f t="shared" si="14"/>
        <v>968</v>
      </c>
      <c r="B970" s="16"/>
      <c r="C970" s="19"/>
      <c r="D970" s="10"/>
      <c r="E970" s="10"/>
      <c r="F970" s="47"/>
      <c r="G970" s="10"/>
      <c r="H970" s="20"/>
      <c r="I970" s="20"/>
      <c r="J970" s="10"/>
      <c r="K970" s="10"/>
      <c r="L970" s="10"/>
      <c r="M970" s="10"/>
      <c r="N970" s="10"/>
      <c r="O970" s="21"/>
    </row>
    <row r="971" spans="1:15" x14ac:dyDescent="0.35">
      <c r="A971" s="15">
        <f t="shared" ref="A971:A1034" si="15">+A970+1</f>
        <v>969</v>
      </c>
      <c r="B971" s="16"/>
      <c r="C971" s="19"/>
      <c r="D971" s="10"/>
      <c r="E971" s="10"/>
      <c r="F971" s="47"/>
      <c r="G971" s="10"/>
      <c r="H971" s="20"/>
      <c r="I971" s="20"/>
      <c r="J971" s="10"/>
      <c r="K971" s="10"/>
      <c r="L971" s="10"/>
      <c r="M971" s="10"/>
      <c r="N971" s="10"/>
      <c r="O971" s="21"/>
    </row>
    <row r="972" spans="1:15" x14ac:dyDescent="0.35">
      <c r="A972" s="15">
        <f t="shared" si="15"/>
        <v>970</v>
      </c>
      <c r="B972" s="16"/>
      <c r="C972" s="19"/>
      <c r="D972" s="10"/>
      <c r="E972" s="10"/>
      <c r="F972" s="47"/>
      <c r="G972" s="10"/>
      <c r="H972" s="20"/>
      <c r="I972" s="20"/>
      <c r="J972" s="10"/>
      <c r="K972" s="10"/>
      <c r="L972" s="10"/>
      <c r="M972" s="10"/>
      <c r="N972" s="10"/>
      <c r="O972" s="21"/>
    </row>
    <row r="973" spans="1:15" x14ac:dyDescent="0.35">
      <c r="A973" s="15">
        <f t="shared" si="15"/>
        <v>971</v>
      </c>
      <c r="B973" s="16"/>
      <c r="C973" s="19"/>
      <c r="D973" s="10"/>
      <c r="E973" s="10"/>
      <c r="F973" s="47"/>
      <c r="G973" s="10"/>
      <c r="H973" s="20"/>
      <c r="I973" s="20"/>
      <c r="J973" s="10"/>
      <c r="K973" s="10"/>
      <c r="L973" s="10"/>
      <c r="M973" s="10"/>
      <c r="N973" s="10"/>
      <c r="O973" s="21"/>
    </row>
    <row r="974" spans="1:15" x14ac:dyDescent="0.35">
      <c r="A974" s="15">
        <f t="shared" si="15"/>
        <v>972</v>
      </c>
      <c r="B974" s="16"/>
      <c r="C974" s="19"/>
      <c r="D974" s="10"/>
      <c r="E974" s="10"/>
      <c r="F974" s="47"/>
      <c r="G974" s="10"/>
      <c r="H974" s="20"/>
      <c r="I974" s="20"/>
      <c r="J974" s="10"/>
      <c r="K974" s="10"/>
      <c r="L974" s="10"/>
      <c r="M974" s="10"/>
      <c r="N974" s="10"/>
      <c r="O974" s="21"/>
    </row>
    <row r="975" spans="1:15" x14ac:dyDescent="0.35">
      <c r="A975" s="15">
        <f t="shared" si="15"/>
        <v>973</v>
      </c>
      <c r="B975" s="16"/>
      <c r="C975" s="19"/>
      <c r="D975" s="10"/>
      <c r="E975" s="10"/>
      <c r="F975" s="47"/>
      <c r="G975" s="10"/>
      <c r="H975" s="20"/>
      <c r="I975" s="20"/>
      <c r="J975" s="10"/>
      <c r="K975" s="10"/>
      <c r="L975" s="10"/>
      <c r="M975" s="10"/>
      <c r="N975" s="10"/>
      <c r="O975" s="21"/>
    </row>
    <row r="976" spans="1:15" x14ac:dyDescent="0.35">
      <c r="A976" s="15">
        <f t="shared" si="15"/>
        <v>974</v>
      </c>
      <c r="B976" s="16"/>
      <c r="C976" s="19"/>
      <c r="D976" s="10"/>
      <c r="E976" s="10"/>
      <c r="F976" s="47"/>
      <c r="G976" s="10"/>
      <c r="H976" s="20"/>
      <c r="I976" s="20"/>
      <c r="J976" s="10"/>
      <c r="K976" s="10"/>
      <c r="L976" s="10"/>
      <c r="M976" s="10"/>
      <c r="N976" s="10"/>
      <c r="O976" s="21"/>
    </row>
    <row r="977" spans="1:15" x14ac:dyDescent="0.35">
      <c r="A977" s="15">
        <f t="shared" si="15"/>
        <v>975</v>
      </c>
      <c r="B977" s="16"/>
      <c r="C977" s="19"/>
      <c r="D977" s="10"/>
      <c r="E977" s="10"/>
      <c r="F977" s="47"/>
      <c r="G977" s="10"/>
      <c r="H977" s="20"/>
      <c r="I977" s="20"/>
      <c r="J977" s="10"/>
      <c r="K977" s="10"/>
      <c r="L977" s="10"/>
      <c r="M977" s="10"/>
      <c r="N977" s="10"/>
      <c r="O977" s="21"/>
    </row>
    <row r="978" spans="1:15" x14ac:dyDescent="0.35">
      <c r="A978" s="15">
        <f t="shared" si="15"/>
        <v>976</v>
      </c>
      <c r="B978" s="16"/>
      <c r="C978" s="19"/>
      <c r="D978" s="10"/>
      <c r="E978" s="10"/>
      <c r="F978" s="47"/>
      <c r="G978" s="10"/>
      <c r="H978" s="20"/>
      <c r="I978" s="20"/>
      <c r="J978" s="10"/>
      <c r="K978" s="10"/>
      <c r="L978" s="10"/>
      <c r="M978" s="10"/>
      <c r="N978" s="10"/>
      <c r="O978" s="21"/>
    </row>
    <row r="979" spans="1:15" x14ac:dyDescent="0.35">
      <c r="A979" s="15">
        <f t="shared" si="15"/>
        <v>977</v>
      </c>
      <c r="B979" s="16"/>
      <c r="C979" s="19"/>
      <c r="D979" s="10"/>
      <c r="E979" s="10"/>
      <c r="F979" s="47"/>
      <c r="G979" s="10"/>
      <c r="H979" s="20"/>
      <c r="I979" s="20"/>
      <c r="J979" s="10"/>
      <c r="K979" s="10"/>
      <c r="L979" s="10"/>
      <c r="M979" s="10"/>
      <c r="N979" s="10"/>
      <c r="O979" s="21"/>
    </row>
    <row r="980" spans="1:15" x14ac:dyDescent="0.35">
      <c r="A980" s="15">
        <f t="shared" si="15"/>
        <v>978</v>
      </c>
      <c r="B980" s="16"/>
      <c r="C980" s="19"/>
      <c r="D980" s="10"/>
      <c r="E980" s="10"/>
      <c r="F980" s="47"/>
      <c r="G980" s="10"/>
      <c r="H980" s="20"/>
      <c r="I980" s="20"/>
      <c r="J980" s="10"/>
      <c r="K980" s="10"/>
      <c r="L980" s="10"/>
      <c r="M980" s="10"/>
      <c r="N980" s="10"/>
      <c r="O980" s="21"/>
    </row>
    <row r="981" spans="1:15" x14ac:dyDescent="0.35">
      <c r="A981" s="15">
        <f t="shared" si="15"/>
        <v>979</v>
      </c>
      <c r="B981" s="16"/>
      <c r="C981" s="19"/>
      <c r="D981" s="10"/>
      <c r="E981" s="10"/>
      <c r="F981" s="47"/>
      <c r="G981" s="10"/>
      <c r="H981" s="20"/>
      <c r="I981" s="20"/>
      <c r="J981" s="10"/>
      <c r="K981" s="10"/>
      <c r="L981" s="10"/>
      <c r="M981" s="10"/>
      <c r="N981" s="10"/>
      <c r="O981" s="21"/>
    </row>
    <row r="982" spans="1:15" x14ac:dyDescent="0.35">
      <c r="A982" s="15">
        <f t="shared" si="15"/>
        <v>980</v>
      </c>
      <c r="B982" s="16"/>
      <c r="C982" s="19"/>
      <c r="D982" s="10"/>
      <c r="E982" s="10"/>
      <c r="F982" s="47"/>
      <c r="G982" s="10"/>
      <c r="H982" s="20"/>
      <c r="I982" s="20"/>
      <c r="J982" s="10"/>
      <c r="K982" s="10"/>
      <c r="L982" s="10"/>
      <c r="M982" s="10"/>
      <c r="N982" s="10"/>
      <c r="O982" s="21"/>
    </row>
    <row r="983" spans="1:15" x14ac:dyDescent="0.35">
      <c r="A983" s="15">
        <f t="shared" si="15"/>
        <v>981</v>
      </c>
      <c r="B983" s="16"/>
      <c r="C983" s="19"/>
      <c r="D983" s="10"/>
      <c r="E983" s="10"/>
      <c r="F983" s="47"/>
      <c r="G983" s="10"/>
      <c r="H983" s="20"/>
      <c r="I983" s="20"/>
      <c r="J983" s="10"/>
      <c r="K983" s="10"/>
      <c r="L983" s="10"/>
      <c r="M983" s="10"/>
      <c r="N983" s="10"/>
      <c r="O983" s="21"/>
    </row>
    <row r="984" spans="1:15" x14ac:dyDescent="0.35">
      <c r="A984" s="15">
        <f t="shared" si="15"/>
        <v>982</v>
      </c>
      <c r="B984" s="16"/>
      <c r="C984" s="19"/>
      <c r="D984" s="10"/>
      <c r="E984" s="10"/>
      <c r="F984" s="47"/>
      <c r="G984" s="10"/>
      <c r="H984" s="20"/>
      <c r="I984" s="20"/>
      <c r="J984" s="10"/>
      <c r="K984" s="10"/>
      <c r="L984" s="10"/>
      <c r="M984" s="10"/>
      <c r="N984" s="10"/>
      <c r="O984" s="21"/>
    </row>
    <row r="985" spans="1:15" x14ac:dyDescent="0.35">
      <c r="A985" s="15">
        <f t="shared" si="15"/>
        <v>983</v>
      </c>
      <c r="B985" s="16"/>
      <c r="C985" s="19"/>
      <c r="D985" s="10"/>
      <c r="E985" s="10"/>
      <c r="F985" s="47"/>
      <c r="G985" s="10"/>
      <c r="H985" s="20"/>
      <c r="I985" s="20"/>
      <c r="J985" s="10"/>
      <c r="K985" s="10"/>
      <c r="L985" s="10"/>
      <c r="M985" s="10"/>
      <c r="N985" s="10"/>
      <c r="O985" s="21"/>
    </row>
    <row r="986" spans="1:15" x14ac:dyDescent="0.35">
      <c r="A986" s="15">
        <f t="shared" si="15"/>
        <v>984</v>
      </c>
      <c r="B986" s="16"/>
      <c r="C986" s="19"/>
      <c r="D986" s="10"/>
      <c r="E986" s="10"/>
      <c r="F986" s="47"/>
      <c r="G986" s="10"/>
      <c r="H986" s="20"/>
      <c r="I986" s="20"/>
      <c r="J986" s="10"/>
      <c r="K986" s="10"/>
      <c r="L986" s="10"/>
      <c r="M986" s="10"/>
      <c r="N986" s="10"/>
      <c r="O986" s="21"/>
    </row>
    <row r="987" spans="1:15" x14ac:dyDescent="0.35">
      <c r="A987" s="15">
        <f t="shared" si="15"/>
        <v>985</v>
      </c>
      <c r="B987" s="16"/>
      <c r="C987" s="19"/>
      <c r="D987" s="10"/>
      <c r="E987" s="10"/>
      <c r="F987" s="47"/>
      <c r="G987" s="10"/>
      <c r="H987" s="20"/>
      <c r="I987" s="20"/>
      <c r="J987" s="10"/>
      <c r="K987" s="10"/>
      <c r="L987" s="10"/>
      <c r="M987" s="10"/>
      <c r="N987" s="10"/>
      <c r="O987" s="21"/>
    </row>
    <row r="988" spans="1:15" x14ac:dyDescent="0.35">
      <c r="A988" s="15">
        <f t="shared" si="15"/>
        <v>986</v>
      </c>
      <c r="B988" s="16"/>
      <c r="C988" s="19"/>
      <c r="D988" s="10"/>
      <c r="E988" s="10"/>
      <c r="F988" s="47"/>
      <c r="G988" s="10"/>
      <c r="H988" s="20"/>
      <c r="I988" s="20"/>
      <c r="J988" s="10"/>
      <c r="K988" s="10"/>
      <c r="L988" s="10"/>
      <c r="M988" s="10"/>
      <c r="N988" s="10"/>
      <c r="O988" s="21"/>
    </row>
    <row r="989" spans="1:15" x14ac:dyDescent="0.35">
      <c r="A989" s="15">
        <f t="shared" si="15"/>
        <v>987</v>
      </c>
      <c r="B989" s="16"/>
      <c r="C989" s="19"/>
      <c r="D989" s="10"/>
      <c r="E989" s="10"/>
      <c r="F989" s="47"/>
      <c r="G989" s="10"/>
      <c r="H989" s="20"/>
      <c r="I989" s="20"/>
      <c r="J989" s="10"/>
      <c r="K989" s="10"/>
      <c r="L989" s="10"/>
      <c r="M989" s="10"/>
      <c r="N989" s="10"/>
      <c r="O989" s="21"/>
    </row>
    <row r="990" spans="1:15" x14ac:dyDescent="0.35">
      <c r="A990" s="15">
        <f t="shared" si="15"/>
        <v>988</v>
      </c>
      <c r="B990" s="16"/>
      <c r="C990" s="19"/>
      <c r="D990" s="10"/>
      <c r="E990" s="10"/>
      <c r="F990" s="47"/>
      <c r="G990" s="10"/>
      <c r="H990" s="20"/>
      <c r="I990" s="20"/>
      <c r="J990" s="10"/>
      <c r="K990" s="10"/>
      <c r="L990" s="10"/>
      <c r="M990" s="10"/>
      <c r="N990" s="10"/>
      <c r="O990" s="21"/>
    </row>
    <row r="991" spans="1:15" x14ac:dyDescent="0.35">
      <c r="A991" s="15">
        <f t="shared" si="15"/>
        <v>989</v>
      </c>
      <c r="B991" s="16"/>
      <c r="C991" s="19"/>
      <c r="D991" s="10"/>
      <c r="E991" s="10"/>
      <c r="F991" s="47"/>
      <c r="G991" s="10"/>
      <c r="H991" s="20"/>
      <c r="I991" s="20"/>
      <c r="J991" s="10"/>
      <c r="K991" s="10"/>
      <c r="L991" s="10"/>
      <c r="M991" s="10"/>
      <c r="N991" s="10"/>
      <c r="O991" s="21"/>
    </row>
    <row r="992" spans="1:15" x14ac:dyDescent="0.35">
      <c r="A992" s="15">
        <f t="shared" si="15"/>
        <v>990</v>
      </c>
      <c r="B992" s="16"/>
      <c r="C992" s="19"/>
      <c r="D992" s="10"/>
      <c r="E992" s="10"/>
      <c r="F992" s="47"/>
      <c r="G992" s="10"/>
      <c r="H992" s="20"/>
      <c r="I992" s="20"/>
      <c r="J992" s="10"/>
      <c r="K992" s="10"/>
      <c r="L992" s="10"/>
      <c r="M992" s="10"/>
      <c r="N992" s="10"/>
      <c r="O992" s="21"/>
    </row>
    <row r="993" spans="1:15" x14ac:dyDescent="0.35">
      <c r="A993" s="15">
        <f t="shared" si="15"/>
        <v>991</v>
      </c>
      <c r="B993" s="16"/>
      <c r="C993" s="19"/>
      <c r="D993" s="10"/>
      <c r="E993" s="10"/>
      <c r="F993" s="47"/>
      <c r="G993" s="10"/>
      <c r="H993" s="20"/>
      <c r="I993" s="20"/>
      <c r="J993" s="10"/>
      <c r="K993" s="10"/>
      <c r="L993" s="10"/>
      <c r="M993" s="10"/>
      <c r="N993" s="10"/>
      <c r="O993" s="21"/>
    </row>
    <row r="994" spans="1:15" x14ac:dyDescent="0.35">
      <c r="A994" s="15">
        <f t="shared" si="15"/>
        <v>992</v>
      </c>
      <c r="B994" s="16"/>
      <c r="C994" s="19"/>
      <c r="D994" s="10"/>
      <c r="E994" s="10"/>
      <c r="F994" s="47"/>
      <c r="G994" s="10"/>
      <c r="H994" s="20"/>
      <c r="I994" s="20"/>
      <c r="J994" s="10"/>
      <c r="K994" s="10"/>
      <c r="L994" s="10"/>
      <c r="M994" s="10"/>
      <c r="N994" s="10"/>
      <c r="O994" s="21"/>
    </row>
    <row r="995" spans="1:15" x14ac:dyDescent="0.35">
      <c r="A995" s="15">
        <f t="shared" si="15"/>
        <v>993</v>
      </c>
      <c r="B995" s="16"/>
      <c r="C995" s="19"/>
      <c r="D995" s="10"/>
      <c r="E995" s="10"/>
      <c r="F995" s="47"/>
      <c r="G995" s="10"/>
      <c r="H995" s="20"/>
      <c r="I995" s="20"/>
      <c r="J995" s="10"/>
      <c r="K995" s="10"/>
      <c r="L995" s="10"/>
      <c r="M995" s="10"/>
      <c r="N995" s="10"/>
      <c r="O995" s="21"/>
    </row>
    <row r="996" spans="1:15" x14ac:dyDescent="0.35">
      <c r="A996" s="15">
        <f t="shared" si="15"/>
        <v>994</v>
      </c>
      <c r="B996" s="16"/>
      <c r="C996" s="19"/>
      <c r="D996" s="10"/>
      <c r="E996" s="10"/>
      <c r="F996" s="47"/>
      <c r="G996" s="10"/>
      <c r="H996" s="20"/>
      <c r="I996" s="20"/>
      <c r="J996" s="10"/>
      <c r="K996" s="10"/>
      <c r="L996" s="10"/>
      <c r="M996" s="10"/>
      <c r="N996" s="10"/>
      <c r="O996" s="21"/>
    </row>
    <row r="997" spans="1:15" x14ac:dyDescent="0.35">
      <c r="A997" s="15">
        <f t="shared" si="15"/>
        <v>995</v>
      </c>
      <c r="B997" s="16"/>
      <c r="C997" s="19"/>
      <c r="D997" s="10"/>
      <c r="E997" s="10"/>
      <c r="F997" s="47"/>
      <c r="G997" s="10"/>
      <c r="H997" s="20"/>
      <c r="I997" s="20"/>
      <c r="J997" s="10"/>
      <c r="K997" s="10"/>
      <c r="L997" s="10"/>
      <c r="M997" s="10"/>
      <c r="N997" s="10"/>
      <c r="O997" s="21"/>
    </row>
    <row r="998" spans="1:15" x14ac:dyDescent="0.35">
      <c r="A998" s="15">
        <f t="shared" si="15"/>
        <v>996</v>
      </c>
      <c r="B998" s="16"/>
      <c r="C998" s="19"/>
      <c r="D998" s="10"/>
      <c r="E998" s="10"/>
      <c r="F998" s="47"/>
      <c r="G998" s="10"/>
      <c r="H998" s="20"/>
      <c r="I998" s="20"/>
      <c r="J998" s="10"/>
      <c r="K998" s="10"/>
      <c r="L998" s="10"/>
      <c r="M998" s="10"/>
      <c r="N998" s="10"/>
      <c r="O998" s="21"/>
    </row>
    <row r="999" spans="1:15" x14ac:dyDescent="0.35">
      <c r="A999" s="15">
        <f t="shared" si="15"/>
        <v>997</v>
      </c>
      <c r="B999" s="16"/>
      <c r="C999" s="19"/>
      <c r="D999" s="10"/>
      <c r="E999" s="10"/>
      <c r="F999" s="47"/>
      <c r="G999" s="10"/>
      <c r="H999" s="20"/>
      <c r="I999" s="20"/>
      <c r="J999" s="10"/>
      <c r="K999" s="10"/>
      <c r="L999" s="10"/>
      <c r="M999" s="10"/>
      <c r="N999" s="10"/>
      <c r="O999" s="21"/>
    </row>
    <row r="1000" spans="1:15" x14ac:dyDescent="0.35">
      <c r="A1000" s="15">
        <f t="shared" si="15"/>
        <v>998</v>
      </c>
      <c r="B1000" s="16"/>
      <c r="C1000" s="19"/>
      <c r="D1000" s="10"/>
      <c r="E1000" s="10"/>
      <c r="F1000" s="47"/>
      <c r="G1000" s="10"/>
      <c r="H1000" s="20"/>
      <c r="I1000" s="20"/>
      <c r="J1000" s="10"/>
      <c r="K1000" s="10"/>
      <c r="L1000" s="10"/>
      <c r="M1000" s="10"/>
      <c r="N1000" s="10"/>
      <c r="O1000" s="21"/>
    </row>
    <row r="1001" spans="1:15" x14ac:dyDescent="0.35">
      <c r="A1001" s="15">
        <f t="shared" si="15"/>
        <v>999</v>
      </c>
      <c r="B1001" s="16"/>
      <c r="C1001" s="19"/>
      <c r="D1001" s="10"/>
      <c r="E1001" s="10"/>
      <c r="F1001" s="47"/>
      <c r="G1001" s="10"/>
      <c r="H1001" s="20"/>
      <c r="I1001" s="20"/>
      <c r="J1001" s="10"/>
      <c r="K1001" s="10"/>
      <c r="L1001" s="10"/>
      <c r="M1001" s="10"/>
      <c r="N1001" s="10"/>
      <c r="O1001" s="21"/>
    </row>
    <row r="1002" spans="1:15" x14ac:dyDescent="0.35">
      <c r="A1002" s="15">
        <f t="shared" si="15"/>
        <v>1000</v>
      </c>
      <c r="B1002" s="16"/>
      <c r="C1002" s="19"/>
      <c r="D1002" s="10"/>
      <c r="E1002" s="10"/>
      <c r="F1002" s="47"/>
      <c r="G1002" s="10"/>
      <c r="H1002" s="20"/>
      <c r="I1002" s="20"/>
      <c r="J1002" s="10"/>
      <c r="K1002" s="10"/>
      <c r="L1002" s="10"/>
      <c r="M1002" s="10"/>
      <c r="N1002" s="10"/>
      <c r="O1002" s="21"/>
    </row>
    <row r="1003" spans="1:15" x14ac:dyDescent="0.35">
      <c r="A1003" s="15">
        <f t="shared" si="15"/>
        <v>1001</v>
      </c>
      <c r="B1003" s="16"/>
      <c r="C1003" s="19"/>
      <c r="D1003" s="10"/>
      <c r="E1003" s="10"/>
      <c r="F1003" s="47"/>
      <c r="G1003" s="10"/>
      <c r="H1003" s="20"/>
      <c r="I1003" s="20"/>
      <c r="J1003" s="10"/>
      <c r="K1003" s="10"/>
      <c r="L1003" s="10"/>
      <c r="M1003" s="10"/>
      <c r="N1003" s="10"/>
      <c r="O1003" s="21"/>
    </row>
    <row r="1004" spans="1:15" x14ac:dyDescent="0.35">
      <c r="A1004" s="15">
        <f t="shared" si="15"/>
        <v>1002</v>
      </c>
      <c r="B1004" s="16"/>
      <c r="C1004" s="19"/>
      <c r="D1004" s="10"/>
      <c r="E1004" s="10"/>
      <c r="F1004" s="47"/>
      <c r="G1004" s="10"/>
      <c r="H1004" s="20"/>
      <c r="I1004" s="20"/>
      <c r="J1004" s="10"/>
      <c r="K1004" s="10"/>
      <c r="L1004" s="10"/>
      <c r="M1004" s="10"/>
      <c r="N1004" s="10"/>
      <c r="O1004" s="21"/>
    </row>
    <row r="1005" spans="1:15" x14ac:dyDescent="0.35">
      <c r="A1005" s="15">
        <f t="shared" si="15"/>
        <v>1003</v>
      </c>
      <c r="B1005" s="16"/>
      <c r="C1005" s="19"/>
      <c r="D1005" s="10"/>
      <c r="E1005" s="10"/>
      <c r="F1005" s="47"/>
      <c r="G1005" s="10"/>
      <c r="H1005" s="20"/>
      <c r="I1005" s="20"/>
      <c r="J1005" s="10"/>
      <c r="K1005" s="10"/>
      <c r="L1005" s="10"/>
      <c r="M1005" s="10"/>
      <c r="N1005" s="10"/>
      <c r="O1005" s="21"/>
    </row>
    <row r="1006" spans="1:15" x14ac:dyDescent="0.35">
      <c r="A1006" s="15">
        <f t="shared" si="15"/>
        <v>1004</v>
      </c>
      <c r="B1006" s="16"/>
      <c r="C1006" s="19"/>
      <c r="D1006" s="10"/>
      <c r="E1006" s="10"/>
      <c r="F1006" s="47"/>
      <c r="G1006" s="10"/>
      <c r="H1006" s="20"/>
      <c r="I1006" s="20"/>
      <c r="J1006" s="10"/>
      <c r="K1006" s="10"/>
      <c r="L1006" s="10"/>
      <c r="M1006" s="10"/>
      <c r="N1006" s="10"/>
      <c r="O1006" s="21"/>
    </row>
    <row r="1007" spans="1:15" x14ac:dyDescent="0.35">
      <c r="A1007" s="15">
        <f t="shared" si="15"/>
        <v>1005</v>
      </c>
      <c r="B1007" s="16"/>
      <c r="C1007" s="19"/>
      <c r="D1007" s="10"/>
      <c r="E1007" s="10"/>
      <c r="F1007" s="47"/>
      <c r="G1007" s="10"/>
      <c r="H1007" s="20"/>
      <c r="I1007" s="20"/>
      <c r="J1007" s="10"/>
      <c r="K1007" s="10"/>
      <c r="L1007" s="10"/>
      <c r="M1007" s="10"/>
      <c r="N1007" s="10"/>
      <c r="O1007" s="21"/>
    </row>
    <row r="1008" spans="1:15" x14ac:dyDescent="0.35">
      <c r="A1008" s="15">
        <f t="shared" si="15"/>
        <v>1006</v>
      </c>
      <c r="B1008" s="16"/>
      <c r="C1008" s="19"/>
      <c r="D1008" s="10"/>
      <c r="E1008" s="10"/>
      <c r="F1008" s="47"/>
      <c r="G1008" s="10"/>
      <c r="H1008" s="20"/>
      <c r="I1008" s="20"/>
      <c r="J1008" s="10"/>
      <c r="K1008" s="10"/>
      <c r="L1008" s="10"/>
      <c r="M1008" s="10"/>
      <c r="N1008" s="10"/>
      <c r="O1008" s="21"/>
    </row>
    <row r="1009" spans="1:15" x14ac:dyDescent="0.35">
      <c r="A1009" s="15">
        <f t="shared" si="15"/>
        <v>1007</v>
      </c>
      <c r="B1009" s="16"/>
      <c r="C1009" s="19"/>
      <c r="D1009" s="10"/>
      <c r="E1009" s="10"/>
      <c r="F1009" s="47"/>
      <c r="G1009" s="10"/>
      <c r="H1009" s="20"/>
      <c r="I1009" s="20"/>
      <c r="J1009" s="10"/>
      <c r="K1009" s="10"/>
      <c r="L1009" s="10"/>
      <c r="M1009" s="10"/>
      <c r="N1009" s="10"/>
      <c r="O1009" s="21"/>
    </row>
    <row r="1010" spans="1:15" x14ac:dyDescent="0.35">
      <c r="A1010" s="15">
        <f t="shared" si="15"/>
        <v>1008</v>
      </c>
      <c r="B1010" s="16"/>
      <c r="C1010" s="19"/>
      <c r="D1010" s="10"/>
      <c r="E1010" s="10"/>
      <c r="F1010" s="47"/>
      <c r="G1010" s="10"/>
      <c r="H1010" s="20"/>
      <c r="I1010" s="20"/>
      <c r="J1010" s="10"/>
      <c r="K1010" s="10"/>
      <c r="L1010" s="10"/>
      <c r="M1010" s="10"/>
      <c r="N1010" s="10"/>
      <c r="O1010" s="21"/>
    </row>
    <row r="1011" spans="1:15" x14ac:dyDescent="0.35">
      <c r="A1011" s="15">
        <f t="shared" si="15"/>
        <v>1009</v>
      </c>
      <c r="B1011" s="16"/>
      <c r="C1011" s="19"/>
      <c r="D1011" s="10"/>
      <c r="E1011" s="10"/>
      <c r="F1011" s="47"/>
      <c r="G1011" s="10"/>
      <c r="H1011" s="20"/>
      <c r="I1011" s="20"/>
      <c r="J1011" s="10"/>
      <c r="K1011" s="10"/>
      <c r="L1011" s="10"/>
      <c r="M1011" s="10"/>
      <c r="N1011" s="10"/>
      <c r="O1011" s="21"/>
    </row>
    <row r="1012" spans="1:15" x14ac:dyDescent="0.35">
      <c r="A1012" s="15">
        <f t="shared" si="15"/>
        <v>1010</v>
      </c>
      <c r="B1012" s="16"/>
      <c r="C1012" s="19"/>
      <c r="D1012" s="10"/>
      <c r="E1012" s="10"/>
      <c r="F1012" s="47"/>
      <c r="G1012" s="10"/>
      <c r="H1012" s="20"/>
      <c r="I1012" s="20"/>
      <c r="J1012" s="10"/>
      <c r="K1012" s="10"/>
      <c r="L1012" s="10"/>
      <c r="M1012" s="10"/>
      <c r="N1012" s="10"/>
      <c r="O1012" s="21"/>
    </row>
    <row r="1013" spans="1:15" x14ac:dyDescent="0.35">
      <c r="A1013" s="15">
        <f t="shared" si="15"/>
        <v>1011</v>
      </c>
      <c r="B1013" s="16"/>
      <c r="C1013" s="19"/>
      <c r="D1013" s="10"/>
      <c r="E1013" s="10"/>
      <c r="F1013" s="47"/>
      <c r="G1013" s="10"/>
      <c r="H1013" s="20"/>
      <c r="I1013" s="20"/>
      <c r="J1013" s="10"/>
      <c r="K1013" s="10"/>
      <c r="L1013" s="10"/>
      <c r="M1013" s="10"/>
      <c r="N1013" s="10"/>
      <c r="O1013" s="21"/>
    </row>
    <row r="1014" spans="1:15" x14ac:dyDescent="0.35">
      <c r="A1014" s="15">
        <f t="shared" si="15"/>
        <v>1012</v>
      </c>
      <c r="B1014" s="16"/>
      <c r="C1014" s="19"/>
      <c r="D1014" s="10"/>
      <c r="E1014" s="10"/>
      <c r="F1014" s="47"/>
      <c r="G1014" s="10"/>
      <c r="H1014" s="20"/>
      <c r="I1014" s="20"/>
      <c r="J1014" s="10"/>
      <c r="K1014" s="10"/>
      <c r="L1014" s="10"/>
      <c r="M1014" s="10"/>
      <c r="N1014" s="10"/>
      <c r="O1014" s="21"/>
    </row>
    <row r="1015" spans="1:15" x14ac:dyDescent="0.35">
      <c r="A1015" s="15">
        <f t="shared" si="15"/>
        <v>1013</v>
      </c>
      <c r="B1015" s="16"/>
      <c r="C1015" s="19"/>
      <c r="D1015" s="10"/>
      <c r="E1015" s="10"/>
      <c r="F1015" s="47"/>
      <c r="G1015" s="10"/>
      <c r="H1015" s="20"/>
      <c r="I1015" s="20"/>
      <c r="J1015" s="10"/>
      <c r="K1015" s="10"/>
      <c r="L1015" s="10"/>
      <c r="M1015" s="10"/>
      <c r="N1015" s="10"/>
      <c r="O1015" s="21"/>
    </row>
    <row r="1016" spans="1:15" x14ac:dyDescent="0.35">
      <c r="A1016" s="15">
        <f t="shared" si="15"/>
        <v>1014</v>
      </c>
      <c r="B1016" s="16"/>
      <c r="C1016" s="19"/>
      <c r="D1016" s="10"/>
      <c r="E1016" s="10"/>
      <c r="F1016" s="47"/>
      <c r="G1016" s="10"/>
      <c r="H1016" s="20"/>
      <c r="I1016" s="20"/>
      <c r="J1016" s="10"/>
      <c r="K1016" s="10"/>
      <c r="L1016" s="10"/>
      <c r="M1016" s="10"/>
      <c r="N1016" s="10"/>
      <c r="O1016" s="21"/>
    </row>
    <row r="1017" spans="1:15" x14ac:dyDescent="0.35">
      <c r="A1017" s="15">
        <f t="shared" si="15"/>
        <v>1015</v>
      </c>
      <c r="B1017" s="16"/>
      <c r="C1017" s="19"/>
      <c r="D1017" s="10"/>
      <c r="E1017" s="10"/>
      <c r="F1017" s="47"/>
      <c r="G1017" s="10"/>
      <c r="H1017" s="20"/>
      <c r="I1017" s="20"/>
      <c r="J1017" s="10"/>
      <c r="K1017" s="10"/>
      <c r="L1017" s="10"/>
      <c r="M1017" s="10"/>
      <c r="N1017" s="10"/>
      <c r="O1017" s="21"/>
    </row>
    <row r="1018" spans="1:15" x14ac:dyDescent="0.35">
      <c r="A1018" s="15">
        <f t="shared" si="15"/>
        <v>1016</v>
      </c>
      <c r="B1018" s="16"/>
      <c r="C1018" s="19"/>
      <c r="D1018" s="10"/>
      <c r="E1018" s="10"/>
      <c r="F1018" s="47"/>
      <c r="G1018" s="10"/>
      <c r="H1018" s="20"/>
      <c r="I1018" s="20"/>
      <c r="J1018" s="10"/>
      <c r="K1018" s="10"/>
      <c r="L1018" s="10"/>
      <c r="M1018" s="10"/>
      <c r="N1018" s="10"/>
      <c r="O1018" s="21"/>
    </row>
    <row r="1019" spans="1:15" x14ac:dyDescent="0.35">
      <c r="A1019" s="15">
        <f t="shared" si="15"/>
        <v>1017</v>
      </c>
      <c r="B1019" s="16"/>
      <c r="C1019" s="19"/>
      <c r="D1019" s="10"/>
      <c r="E1019" s="10"/>
      <c r="F1019" s="47"/>
      <c r="G1019" s="10"/>
      <c r="H1019" s="20"/>
      <c r="I1019" s="20"/>
      <c r="J1019" s="10"/>
      <c r="K1019" s="10"/>
      <c r="L1019" s="10"/>
      <c r="M1019" s="10"/>
      <c r="N1019" s="10"/>
      <c r="O1019" s="21"/>
    </row>
    <row r="1020" spans="1:15" x14ac:dyDescent="0.35">
      <c r="A1020" s="15">
        <f t="shared" si="15"/>
        <v>1018</v>
      </c>
      <c r="B1020" s="16"/>
      <c r="C1020" s="19"/>
      <c r="D1020" s="10"/>
      <c r="E1020" s="10"/>
      <c r="F1020" s="47"/>
      <c r="G1020" s="10"/>
      <c r="H1020" s="20"/>
      <c r="I1020" s="20"/>
      <c r="J1020" s="10"/>
      <c r="K1020" s="10"/>
      <c r="L1020" s="10"/>
      <c r="M1020" s="10"/>
      <c r="N1020" s="10"/>
      <c r="O1020" s="21"/>
    </row>
    <row r="1021" spans="1:15" x14ac:dyDescent="0.35">
      <c r="A1021" s="15">
        <f t="shared" si="15"/>
        <v>1019</v>
      </c>
      <c r="B1021" s="16"/>
      <c r="C1021" s="19"/>
      <c r="D1021" s="10"/>
      <c r="E1021" s="10"/>
      <c r="F1021" s="47"/>
      <c r="G1021" s="10"/>
      <c r="H1021" s="20"/>
      <c r="I1021" s="20"/>
      <c r="J1021" s="10"/>
      <c r="K1021" s="10"/>
      <c r="L1021" s="10"/>
      <c r="M1021" s="10"/>
      <c r="N1021" s="10"/>
      <c r="O1021" s="21"/>
    </row>
    <row r="1022" spans="1:15" x14ac:dyDescent="0.35">
      <c r="A1022" s="15">
        <f t="shared" si="15"/>
        <v>1020</v>
      </c>
      <c r="B1022" s="16"/>
      <c r="C1022" s="19"/>
      <c r="D1022" s="10"/>
      <c r="E1022" s="10"/>
      <c r="F1022" s="47"/>
      <c r="G1022" s="10"/>
      <c r="H1022" s="20"/>
      <c r="I1022" s="20"/>
      <c r="J1022" s="10"/>
      <c r="K1022" s="10"/>
      <c r="L1022" s="10"/>
      <c r="M1022" s="10"/>
      <c r="N1022" s="10"/>
      <c r="O1022" s="21"/>
    </row>
    <row r="1023" spans="1:15" x14ac:dyDescent="0.35">
      <c r="A1023" s="15">
        <f t="shared" si="15"/>
        <v>1021</v>
      </c>
      <c r="B1023" s="16"/>
      <c r="C1023" s="19"/>
      <c r="D1023" s="10"/>
      <c r="E1023" s="10"/>
      <c r="F1023" s="47"/>
      <c r="G1023" s="10"/>
      <c r="H1023" s="20"/>
      <c r="I1023" s="20"/>
      <c r="J1023" s="10"/>
      <c r="K1023" s="10"/>
      <c r="L1023" s="10"/>
      <c r="M1023" s="10"/>
      <c r="N1023" s="10"/>
      <c r="O1023" s="21"/>
    </row>
    <row r="1024" spans="1:15" x14ac:dyDescent="0.35">
      <c r="A1024" s="15">
        <f t="shared" si="15"/>
        <v>1022</v>
      </c>
      <c r="B1024" s="16"/>
      <c r="C1024" s="19"/>
      <c r="D1024" s="10"/>
      <c r="E1024" s="10"/>
      <c r="F1024" s="47"/>
      <c r="G1024" s="10"/>
      <c r="H1024" s="20"/>
      <c r="I1024" s="20"/>
      <c r="J1024" s="10"/>
      <c r="K1024" s="10"/>
      <c r="L1024" s="10"/>
      <c r="M1024" s="10"/>
      <c r="N1024" s="10"/>
      <c r="O1024" s="21"/>
    </row>
    <row r="1025" spans="1:15" x14ac:dyDescent="0.35">
      <c r="A1025" s="15">
        <f t="shared" si="15"/>
        <v>1023</v>
      </c>
      <c r="B1025" s="16"/>
      <c r="C1025" s="19"/>
      <c r="D1025" s="10"/>
      <c r="E1025" s="10"/>
      <c r="F1025" s="47"/>
      <c r="G1025" s="10"/>
      <c r="H1025" s="20"/>
      <c r="I1025" s="20"/>
      <c r="J1025" s="10"/>
      <c r="K1025" s="10"/>
      <c r="L1025" s="10"/>
      <c r="M1025" s="10"/>
      <c r="N1025" s="10"/>
      <c r="O1025" s="21"/>
    </row>
    <row r="1026" spans="1:15" x14ac:dyDescent="0.35">
      <c r="A1026" s="15">
        <f t="shared" si="15"/>
        <v>1024</v>
      </c>
      <c r="B1026" s="16"/>
      <c r="C1026" s="19"/>
      <c r="D1026" s="10"/>
      <c r="E1026" s="10"/>
      <c r="F1026" s="47"/>
      <c r="G1026" s="10"/>
      <c r="H1026" s="20"/>
      <c r="I1026" s="20"/>
      <c r="J1026" s="10"/>
      <c r="K1026" s="10"/>
      <c r="L1026" s="10"/>
      <c r="M1026" s="10"/>
      <c r="N1026" s="10"/>
      <c r="O1026" s="21"/>
    </row>
    <row r="1027" spans="1:15" x14ac:dyDescent="0.35">
      <c r="A1027" s="15">
        <f t="shared" si="15"/>
        <v>1025</v>
      </c>
      <c r="B1027" s="16"/>
      <c r="C1027" s="19"/>
      <c r="D1027" s="10"/>
      <c r="E1027" s="10"/>
      <c r="F1027" s="47"/>
      <c r="G1027" s="10"/>
      <c r="H1027" s="20"/>
      <c r="I1027" s="20"/>
      <c r="J1027" s="10"/>
      <c r="K1027" s="10"/>
      <c r="L1027" s="10"/>
      <c r="M1027" s="10"/>
      <c r="N1027" s="10"/>
      <c r="O1027" s="21"/>
    </row>
    <row r="1028" spans="1:15" x14ac:dyDescent="0.35">
      <c r="A1028" s="15">
        <f t="shared" si="15"/>
        <v>1026</v>
      </c>
      <c r="B1028" s="16"/>
      <c r="C1028" s="19"/>
      <c r="D1028" s="10"/>
      <c r="E1028" s="10"/>
      <c r="F1028" s="47"/>
      <c r="G1028" s="10"/>
      <c r="H1028" s="20"/>
      <c r="I1028" s="20"/>
      <c r="J1028" s="10"/>
      <c r="K1028" s="10"/>
      <c r="L1028" s="10"/>
      <c r="M1028" s="10"/>
      <c r="N1028" s="10"/>
      <c r="O1028" s="21"/>
    </row>
    <row r="1029" spans="1:15" x14ac:dyDescent="0.35">
      <c r="A1029" s="15">
        <f t="shared" si="15"/>
        <v>1027</v>
      </c>
      <c r="B1029" s="16"/>
      <c r="C1029" s="19"/>
      <c r="D1029" s="10"/>
      <c r="E1029" s="10"/>
      <c r="F1029" s="47"/>
      <c r="G1029" s="10"/>
      <c r="H1029" s="20"/>
      <c r="I1029" s="20"/>
      <c r="J1029" s="10"/>
      <c r="K1029" s="10"/>
      <c r="L1029" s="10"/>
      <c r="M1029" s="10"/>
      <c r="N1029" s="10"/>
      <c r="O1029" s="21"/>
    </row>
    <row r="1030" spans="1:15" x14ac:dyDescent="0.35">
      <c r="A1030" s="15">
        <f t="shared" si="15"/>
        <v>1028</v>
      </c>
      <c r="B1030" s="16"/>
      <c r="C1030" s="19"/>
      <c r="D1030" s="10"/>
      <c r="E1030" s="10"/>
      <c r="F1030" s="47"/>
      <c r="G1030" s="10"/>
      <c r="H1030" s="20"/>
      <c r="I1030" s="20"/>
      <c r="J1030" s="10"/>
      <c r="K1030" s="10"/>
      <c r="L1030" s="10"/>
      <c r="M1030" s="10"/>
      <c r="N1030" s="10"/>
      <c r="O1030" s="21"/>
    </row>
    <row r="1031" spans="1:15" x14ac:dyDescent="0.35">
      <c r="A1031" s="15">
        <f t="shared" si="15"/>
        <v>1029</v>
      </c>
      <c r="B1031" s="16"/>
      <c r="C1031" s="19"/>
      <c r="D1031" s="10"/>
      <c r="E1031" s="10"/>
      <c r="F1031" s="47"/>
      <c r="G1031" s="10"/>
      <c r="H1031" s="20"/>
      <c r="I1031" s="20"/>
      <c r="J1031" s="10"/>
      <c r="K1031" s="10"/>
      <c r="L1031" s="10"/>
      <c r="M1031" s="10"/>
      <c r="N1031" s="10"/>
      <c r="O1031" s="21"/>
    </row>
    <row r="1032" spans="1:15" x14ac:dyDescent="0.35">
      <c r="A1032" s="15">
        <f t="shared" si="15"/>
        <v>1030</v>
      </c>
      <c r="B1032" s="16"/>
      <c r="C1032" s="19"/>
      <c r="D1032" s="10"/>
      <c r="E1032" s="10"/>
      <c r="F1032" s="47"/>
      <c r="G1032" s="10"/>
      <c r="H1032" s="20"/>
      <c r="I1032" s="20"/>
      <c r="J1032" s="10"/>
      <c r="K1032" s="10"/>
      <c r="L1032" s="10"/>
      <c r="M1032" s="10"/>
      <c r="N1032" s="10"/>
      <c r="O1032" s="21"/>
    </row>
    <row r="1033" spans="1:15" x14ac:dyDescent="0.35">
      <c r="A1033" s="15">
        <f t="shared" si="15"/>
        <v>1031</v>
      </c>
      <c r="B1033" s="16"/>
      <c r="C1033" s="19"/>
      <c r="D1033" s="10"/>
      <c r="E1033" s="10"/>
      <c r="F1033" s="47"/>
      <c r="G1033" s="10"/>
      <c r="H1033" s="20"/>
      <c r="I1033" s="20"/>
      <c r="J1033" s="10"/>
      <c r="K1033" s="10"/>
      <c r="L1033" s="10"/>
      <c r="M1033" s="10"/>
      <c r="N1033" s="10"/>
      <c r="O1033" s="21"/>
    </row>
    <row r="1034" spans="1:15" x14ac:dyDescent="0.35">
      <c r="A1034" s="15">
        <f t="shared" si="15"/>
        <v>1032</v>
      </c>
      <c r="B1034" s="16"/>
      <c r="C1034" s="19"/>
      <c r="D1034" s="10"/>
      <c r="E1034" s="10"/>
      <c r="F1034" s="47"/>
      <c r="G1034" s="10"/>
      <c r="H1034" s="20"/>
      <c r="I1034" s="20"/>
      <c r="J1034" s="10"/>
      <c r="K1034" s="10"/>
      <c r="L1034" s="10"/>
      <c r="M1034" s="10"/>
      <c r="N1034" s="10"/>
      <c r="O1034" s="21"/>
    </row>
    <row r="1035" spans="1:15" x14ac:dyDescent="0.35">
      <c r="A1035" s="15">
        <f t="shared" ref="A1035:A1098" si="16">+A1034+1</f>
        <v>1033</v>
      </c>
      <c r="B1035" s="16"/>
      <c r="C1035" s="19"/>
      <c r="D1035" s="10"/>
      <c r="E1035" s="10"/>
      <c r="F1035" s="47"/>
      <c r="G1035" s="10"/>
      <c r="H1035" s="20"/>
      <c r="I1035" s="20"/>
      <c r="J1035" s="10"/>
      <c r="K1035" s="10"/>
      <c r="L1035" s="10"/>
      <c r="M1035" s="10"/>
      <c r="N1035" s="10"/>
      <c r="O1035" s="21"/>
    </row>
    <row r="1036" spans="1:15" x14ac:dyDescent="0.35">
      <c r="A1036" s="15">
        <f t="shared" si="16"/>
        <v>1034</v>
      </c>
      <c r="B1036" s="16"/>
      <c r="C1036" s="19"/>
      <c r="D1036" s="10"/>
      <c r="E1036" s="10"/>
      <c r="F1036" s="47"/>
      <c r="G1036" s="10"/>
      <c r="H1036" s="20"/>
      <c r="I1036" s="20"/>
      <c r="J1036" s="10"/>
      <c r="K1036" s="10"/>
      <c r="L1036" s="10"/>
      <c r="M1036" s="10"/>
      <c r="N1036" s="10"/>
      <c r="O1036" s="21"/>
    </row>
    <row r="1037" spans="1:15" x14ac:dyDescent="0.35">
      <c r="A1037" s="15">
        <f t="shared" si="16"/>
        <v>1035</v>
      </c>
      <c r="B1037" s="16"/>
      <c r="C1037" s="19"/>
      <c r="D1037" s="10"/>
      <c r="E1037" s="10"/>
      <c r="F1037" s="47"/>
      <c r="G1037" s="10"/>
      <c r="H1037" s="20"/>
      <c r="I1037" s="20"/>
      <c r="J1037" s="10"/>
      <c r="K1037" s="10"/>
      <c r="L1037" s="10"/>
      <c r="M1037" s="10"/>
      <c r="N1037" s="10"/>
      <c r="O1037" s="21"/>
    </row>
    <row r="1038" spans="1:15" x14ac:dyDescent="0.35">
      <c r="A1038" s="15">
        <f t="shared" si="16"/>
        <v>1036</v>
      </c>
      <c r="B1038" s="16"/>
      <c r="C1038" s="19"/>
      <c r="D1038" s="10"/>
      <c r="E1038" s="10"/>
      <c r="F1038" s="47"/>
      <c r="G1038" s="10"/>
      <c r="H1038" s="20"/>
      <c r="I1038" s="20"/>
      <c r="J1038" s="10"/>
      <c r="K1038" s="10"/>
      <c r="L1038" s="10"/>
      <c r="M1038" s="10"/>
      <c r="N1038" s="10"/>
      <c r="O1038" s="21"/>
    </row>
    <row r="1039" spans="1:15" x14ac:dyDescent="0.35">
      <c r="A1039" s="15">
        <f t="shared" si="16"/>
        <v>1037</v>
      </c>
      <c r="B1039" s="16"/>
      <c r="C1039" s="19"/>
      <c r="D1039" s="10"/>
      <c r="E1039" s="10"/>
      <c r="F1039" s="47"/>
      <c r="G1039" s="10"/>
      <c r="H1039" s="20"/>
      <c r="I1039" s="20"/>
      <c r="J1039" s="10"/>
      <c r="K1039" s="10"/>
      <c r="L1039" s="10"/>
      <c r="M1039" s="10"/>
      <c r="N1039" s="10"/>
      <c r="O1039" s="21"/>
    </row>
    <row r="1040" spans="1:15" x14ac:dyDescent="0.35">
      <c r="A1040" s="15">
        <f t="shared" si="16"/>
        <v>1038</v>
      </c>
      <c r="B1040" s="16"/>
      <c r="C1040" s="19"/>
      <c r="D1040" s="10"/>
      <c r="E1040" s="10"/>
      <c r="F1040" s="47"/>
      <c r="G1040" s="10"/>
      <c r="H1040" s="20"/>
      <c r="I1040" s="20"/>
      <c r="J1040" s="10"/>
      <c r="K1040" s="10"/>
      <c r="L1040" s="10"/>
      <c r="M1040" s="10"/>
      <c r="N1040" s="10"/>
      <c r="O1040" s="21"/>
    </row>
    <row r="1041" spans="1:15" x14ac:dyDescent="0.35">
      <c r="A1041" s="15">
        <f t="shared" si="16"/>
        <v>1039</v>
      </c>
      <c r="B1041" s="16"/>
      <c r="C1041" s="19"/>
      <c r="D1041" s="10"/>
      <c r="E1041" s="10"/>
      <c r="F1041" s="47"/>
      <c r="G1041" s="10"/>
      <c r="H1041" s="20"/>
      <c r="I1041" s="20"/>
      <c r="J1041" s="10"/>
      <c r="K1041" s="10"/>
      <c r="L1041" s="10"/>
      <c r="M1041" s="10"/>
      <c r="N1041" s="10"/>
      <c r="O1041" s="21"/>
    </row>
    <row r="1042" spans="1:15" x14ac:dyDescent="0.35">
      <c r="A1042" s="15">
        <f t="shared" si="16"/>
        <v>1040</v>
      </c>
      <c r="B1042" s="16"/>
      <c r="C1042" s="19"/>
      <c r="D1042" s="10"/>
      <c r="E1042" s="10"/>
      <c r="F1042" s="47"/>
      <c r="G1042" s="10"/>
      <c r="H1042" s="20"/>
      <c r="I1042" s="20"/>
      <c r="J1042" s="10"/>
      <c r="K1042" s="10"/>
      <c r="L1042" s="10"/>
      <c r="M1042" s="10"/>
      <c r="N1042" s="10"/>
      <c r="O1042" s="21"/>
    </row>
    <row r="1043" spans="1:15" x14ac:dyDescent="0.35">
      <c r="A1043" s="15">
        <f t="shared" si="16"/>
        <v>1041</v>
      </c>
      <c r="B1043" s="16"/>
      <c r="C1043" s="19"/>
      <c r="D1043" s="10"/>
      <c r="E1043" s="10"/>
      <c r="F1043" s="47"/>
      <c r="G1043" s="10"/>
      <c r="H1043" s="20"/>
      <c r="I1043" s="20"/>
      <c r="J1043" s="10"/>
      <c r="K1043" s="10"/>
      <c r="L1043" s="10"/>
      <c r="M1043" s="10"/>
      <c r="N1043" s="10"/>
      <c r="O1043" s="21"/>
    </row>
    <row r="1044" spans="1:15" x14ac:dyDescent="0.35">
      <c r="A1044" s="15">
        <f t="shared" si="16"/>
        <v>1042</v>
      </c>
      <c r="B1044" s="16"/>
      <c r="C1044" s="19"/>
      <c r="D1044" s="10"/>
      <c r="E1044" s="10"/>
      <c r="F1044" s="47"/>
      <c r="G1044" s="10"/>
      <c r="H1044" s="20"/>
      <c r="I1044" s="20"/>
      <c r="J1044" s="10"/>
      <c r="K1044" s="10"/>
      <c r="L1044" s="10"/>
      <c r="M1044" s="10"/>
      <c r="N1044" s="10"/>
      <c r="O1044" s="21"/>
    </row>
    <row r="1045" spans="1:15" x14ac:dyDescent="0.35">
      <c r="A1045" s="15">
        <f t="shared" si="16"/>
        <v>1043</v>
      </c>
      <c r="B1045" s="16"/>
      <c r="C1045" s="19"/>
      <c r="D1045" s="10"/>
      <c r="E1045" s="10"/>
      <c r="F1045" s="47"/>
      <c r="G1045" s="10"/>
      <c r="H1045" s="20"/>
      <c r="I1045" s="20"/>
      <c r="J1045" s="10"/>
      <c r="K1045" s="10"/>
      <c r="L1045" s="10"/>
      <c r="M1045" s="10"/>
      <c r="N1045" s="10"/>
      <c r="O1045" s="21"/>
    </row>
    <row r="1046" spans="1:15" x14ac:dyDescent="0.35">
      <c r="A1046" s="15">
        <f t="shared" si="16"/>
        <v>1044</v>
      </c>
      <c r="B1046" s="16"/>
      <c r="C1046" s="19"/>
      <c r="D1046" s="10"/>
      <c r="E1046" s="10"/>
      <c r="F1046" s="47"/>
      <c r="G1046" s="10"/>
      <c r="H1046" s="20"/>
      <c r="I1046" s="20"/>
      <c r="J1046" s="10"/>
      <c r="K1046" s="10"/>
      <c r="L1046" s="10"/>
      <c r="M1046" s="10"/>
      <c r="N1046" s="10"/>
      <c r="O1046" s="21"/>
    </row>
    <row r="1047" spans="1:15" x14ac:dyDescent="0.35">
      <c r="A1047" s="15">
        <f t="shared" si="16"/>
        <v>1045</v>
      </c>
      <c r="B1047" s="16"/>
      <c r="C1047" s="19"/>
      <c r="D1047" s="10"/>
      <c r="E1047" s="10"/>
      <c r="F1047" s="47"/>
      <c r="G1047" s="10"/>
      <c r="H1047" s="20"/>
      <c r="I1047" s="20"/>
      <c r="J1047" s="10"/>
      <c r="K1047" s="10"/>
      <c r="L1047" s="10"/>
      <c r="M1047" s="10"/>
      <c r="N1047" s="10"/>
      <c r="O1047" s="21"/>
    </row>
    <row r="1048" spans="1:15" x14ac:dyDescent="0.35">
      <c r="A1048" s="15">
        <f t="shared" si="16"/>
        <v>1046</v>
      </c>
      <c r="B1048" s="16"/>
      <c r="C1048" s="19"/>
      <c r="D1048" s="10"/>
      <c r="E1048" s="10"/>
      <c r="F1048" s="47"/>
      <c r="G1048" s="10"/>
      <c r="H1048" s="20"/>
      <c r="I1048" s="20"/>
      <c r="J1048" s="10"/>
      <c r="K1048" s="10"/>
      <c r="L1048" s="10"/>
      <c r="M1048" s="10"/>
      <c r="N1048" s="10"/>
      <c r="O1048" s="21"/>
    </row>
    <row r="1049" spans="1:15" x14ac:dyDescent="0.35">
      <c r="A1049" s="15">
        <f t="shared" si="16"/>
        <v>1047</v>
      </c>
      <c r="B1049" s="16"/>
      <c r="C1049" s="19"/>
      <c r="D1049" s="10"/>
      <c r="E1049" s="10"/>
      <c r="F1049" s="47"/>
      <c r="G1049" s="10"/>
      <c r="H1049" s="20"/>
      <c r="I1049" s="20"/>
      <c r="J1049" s="10"/>
      <c r="K1049" s="10"/>
      <c r="L1049" s="10"/>
      <c r="M1049" s="10"/>
      <c r="N1049" s="10"/>
      <c r="O1049" s="21"/>
    </row>
    <row r="1050" spans="1:15" x14ac:dyDescent="0.35">
      <c r="A1050" s="15">
        <f t="shared" si="16"/>
        <v>1048</v>
      </c>
      <c r="B1050" s="16"/>
      <c r="C1050" s="19"/>
      <c r="D1050" s="10"/>
      <c r="E1050" s="10"/>
      <c r="F1050" s="47"/>
      <c r="G1050" s="10"/>
      <c r="H1050" s="20"/>
      <c r="I1050" s="20"/>
      <c r="J1050" s="10"/>
      <c r="K1050" s="10"/>
      <c r="L1050" s="10"/>
      <c r="M1050" s="10"/>
      <c r="N1050" s="10"/>
      <c r="O1050" s="21"/>
    </row>
    <row r="1051" spans="1:15" x14ac:dyDescent="0.35">
      <c r="A1051" s="15">
        <f t="shared" si="16"/>
        <v>1049</v>
      </c>
      <c r="B1051" s="16"/>
      <c r="C1051" s="19"/>
      <c r="D1051" s="10"/>
      <c r="E1051" s="10"/>
      <c r="F1051" s="47"/>
      <c r="G1051" s="10"/>
      <c r="H1051" s="20"/>
      <c r="I1051" s="20"/>
      <c r="J1051" s="10"/>
      <c r="K1051" s="10"/>
      <c r="L1051" s="10"/>
      <c r="M1051" s="10"/>
      <c r="N1051" s="10"/>
      <c r="O1051" s="21"/>
    </row>
    <row r="1052" spans="1:15" x14ac:dyDescent="0.35">
      <c r="A1052" s="15">
        <f t="shared" si="16"/>
        <v>1050</v>
      </c>
      <c r="B1052" s="16"/>
      <c r="C1052" s="19"/>
      <c r="D1052" s="10"/>
      <c r="E1052" s="10"/>
      <c r="F1052" s="47"/>
      <c r="G1052" s="10"/>
      <c r="H1052" s="20"/>
      <c r="I1052" s="20"/>
      <c r="J1052" s="10"/>
      <c r="K1052" s="10"/>
      <c r="L1052" s="10"/>
      <c r="M1052" s="10"/>
      <c r="N1052" s="10"/>
      <c r="O1052" s="21"/>
    </row>
    <row r="1053" spans="1:15" x14ac:dyDescent="0.35">
      <c r="A1053" s="15">
        <f t="shared" si="16"/>
        <v>1051</v>
      </c>
      <c r="B1053" s="16"/>
      <c r="C1053" s="19"/>
      <c r="D1053" s="10"/>
      <c r="E1053" s="10"/>
      <c r="F1053" s="47"/>
      <c r="G1053" s="10"/>
      <c r="H1053" s="20"/>
      <c r="I1053" s="20"/>
      <c r="J1053" s="10"/>
      <c r="K1053" s="10"/>
      <c r="L1053" s="10"/>
      <c r="M1053" s="10"/>
      <c r="N1053" s="10"/>
      <c r="O1053" s="21"/>
    </row>
    <row r="1054" spans="1:15" x14ac:dyDescent="0.35">
      <c r="A1054" s="15">
        <f t="shared" si="16"/>
        <v>1052</v>
      </c>
      <c r="B1054" s="16"/>
      <c r="C1054" s="19"/>
      <c r="D1054" s="10"/>
      <c r="E1054" s="10"/>
      <c r="F1054" s="47"/>
      <c r="G1054" s="10"/>
      <c r="H1054" s="20"/>
      <c r="I1054" s="20"/>
      <c r="J1054" s="10"/>
      <c r="K1054" s="10"/>
      <c r="L1054" s="10"/>
      <c r="M1054" s="10"/>
      <c r="N1054" s="10"/>
      <c r="O1054" s="21"/>
    </row>
    <row r="1055" spans="1:15" x14ac:dyDescent="0.35">
      <c r="A1055" s="15">
        <f t="shared" si="16"/>
        <v>1053</v>
      </c>
      <c r="B1055" s="16"/>
      <c r="C1055" s="19"/>
      <c r="D1055" s="10"/>
      <c r="E1055" s="10"/>
      <c r="F1055" s="47"/>
      <c r="G1055" s="10"/>
      <c r="H1055" s="20"/>
      <c r="I1055" s="20"/>
      <c r="J1055" s="10"/>
      <c r="K1055" s="10"/>
      <c r="L1055" s="10"/>
      <c r="M1055" s="10"/>
      <c r="N1055" s="10"/>
      <c r="O1055" s="21"/>
    </row>
    <row r="1056" spans="1:15" x14ac:dyDescent="0.35">
      <c r="A1056" s="15">
        <f t="shared" si="16"/>
        <v>1054</v>
      </c>
      <c r="B1056" s="16"/>
      <c r="C1056" s="19"/>
      <c r="D1056" s="10"/>
      <c r="E1056" s="10"/>
      <c r="F1056" s="47"/>
      <c r="G1056" s="10"/>
      <c r="H1056" s="20"/>
      <c r="I1056" s="20"/>
      <c r="J1056" s="10"/>
      <c r="K1056" s="10"/>
      <c r="L1056" s="10"/>
      <c r="M1056" s="10"/>
      <c r="N1056" s="10"/>
      <c r="O1056" s="21"/>
    </row>
    <row r="1057" spans="1:15" x14ac:dyDescent="0.35">
      <c r="A1057" s="15">
        <f t="shared" si="16"/>
        <v>1055</v>
      </c>
      <c r="B1057" s="16"/>
      <c r="C1057" s="19"/>
      <c r="D1057" s="10"/>
      <c r="E1057" s="10"/>
      <c r="F1057" s="47"/>
      <c r="G1057" s="10"/>
      <c r="H1057" s="20"/>
      <c r="I1057" s="20"/>
      <c r="J1057" s="10"/>
      <c r="K1057" s="10"/>
      <c r="L1057" s="10"/>
      <c r="M1057" s="10"/>
      <c r="N1057" s="10"/>
      <c r="O1057" s="21"/>
    </row>
    <row r="1058" spans="1:15" x14ac:dyDescent="0.35">
      <c r="A1058" s="15">
        <f t="shared" si="16"/>
        <v>1056</v>
      </c>
      <c r="B1058" s="16"/>
      <c r="C1058" s="19"/>
      <c r="D1058" s="10"/>
      <c r="E1058" s="10"/>
      <c r="F1058" s="47"/>
      <c r="G1058" s="10"/>
      <c r="H1058" s="20"/>
      <c r="I1058" s="20"/>
      <c r="J1058" s="10"/>
      <c r="K1058" s="10"/>
      <c r="L1058" s="10"/>
      <c r="M1058" s="10"/>
      <c r="N1058" s="10"/>
      <c r="O1058" s="21"/>
    </row>
    <row r="1059" spans="1:15" x14ac:dyDescent="0.35">
      <c r="A1059" s="15">
        <f t="shared" si="16"/>
        <v>1057</v>
      </c>
      <c r="B1059" s="16"/>
      <c r="C1059" s="19"/>
      <c r="D1059" s="10"/>
      <c r="E1059" s="10"/>
      <c r="F1059" s="47"/>
      <c r="G1059" s="10"/>
      <c r="H1059" s="20"/>
      <c r="I1059" s="20"/>
      <c r="J1059" s="10"/>
      <c r="K1059" s="10"/>
      <c r="L1059" s="10"/>
      <c r="M1059" s="10"/>
      <c r="N1059" s="10"/>
      <c r="O1059" s="21"/>
    </row>
    <row r="1060" spans="1:15" x14ac:dyDescent="0.35">
      <c r="A1060" s="15">
        <f t="shared" si="16"/>
        <v>1058</v>
      </c>
      <c r="B1060" s="16"/>
      <c r="C1060" s="19"/>
      <c r="D1060" s="10"/>
      <c r="E1060" s="10"/>
      <c r="F1060" s="47"/>
      <c r="G1060" s="10"/>
      <c r="H1060" s="20"/>
      <c r="I1060" s="20"/>
      <c r="J1060" s="10"/>
      <c r="K1060" s="10"/>
      <c r="L1060" s="10"/>
      <c r="M1060" s="10"/>
      <c r="N1060" s="10"/>
      <c r="O1060" s="21"/>
    </row>
    <row r="1061" spans="1:15" x14ac:dyDescent="0.35">
      <c r="A1061" s="15">
        <f t="shared" si="16"/>
        <v>1059</v>
      </c>
      <c r="B1061" s="16"/>
      <c r="C1061" s="19"/>
      <c r="D1061" s="10"/>
      <c r="E1061" s="10"/>
      <c r="F1061" s="47"/>
      <c r="G1061" s="10"/>
      <c r="H1061" s="20"/>
      <c r="I1061" s="20"/>
      <c r="J1061" s="10"/>
      <c r="K1061" s="10"/>
      <c r="L1061" s="10"/>
      <c r="M1061" s="10"/>
      <c r="N1061" s="10"/>
      <c r="O1061" s="21"/>
    </row>
    <row r="1062" spans="1:15" x14ac:dyDescent="0.35">
      <c r="A1062" s="15">
        <f t="shared" si="16"/>
        <v>1060</v>
      </c>
      <c r="B1062" s="16"/>
      <c r="C1062" s="19"/>
      <c r="D1062" s="10"/>
      <c r="E1062" s="10"/>
      <c r="F1062" s="47"/>
      <c r="G1062" s="10"/>
      <c r="H1062" s="20"/>
      <c r="I1062" s="20"/>
      <c r="J1062" s="10"/>
      <c r="K1062" s="10"/>
      <c r="L1062" s="10"/>
      <c r="M1062" s="10"/>
      <c r="N1062" s="10"/>
      <c r="O1062" s="21"/>
    </row>
    <row r="1063" spans="1:15" x14ac:dyDescent="0.35">
      <c r="A1063" s="15">
        <f t="shared" si="16"/>
        <v>1061</v>
      </c>
      <c r="B1063" s="16"/>
      <c r="C1063" s="19"/>
      <c r="D1063" s="10"/>
      <c r="E1063" s="10"/>
      <c r="F1063" s="47"/>
      <c r="G1063" s="10"/>
      <c r="H1063" s="20"/>
      <c r="I1063" s="20"/>
      <c r="J1063" s="10"/>
      <c r="K1063" s="10"/>
      <c r="L1063" s="10"/>
      <c r="M1063" s="10"/>
      <c r="N1063" s="10"/>
      <c r="O1063" s="21"/>
    </row>
    <row r="1064" spans="1:15" x14ac:dyDescent="0.35">
      <c r="A1064" s="15">
        <f t="shared" si="16"/>
        <v>1062</v>
      </c>
      <c r="B1064" s="16"/>
      <c r="C1064" s="19"/>
      <c r="D1064" s="10"/>
      <c r="E1064" s="10"/>
      <c r="F1064" s="47"/>
      <c r="G1064" s="10"/>
      <c r="H1064" s="20"/>
      <c r="I1064" s="20"/>
      <c r="J1064" s="10"/>
      <c r="K1064" s="10"/>
      <c r="L1064" s="10"/>
      <c r="M1064" s="10"/>
      <c r="N1064" s="10"/>
      <c r="O1064" s="21"/>
    </row>
    <row r="1065" spans="1:15" x14ac:dyDescent="0.35">
      <c r="A1065" s="15">
        <f t="shared" si="16"/>
        <v>1063</v>
      </c>
      <c r="B1065" s="16"/>
      <c r="C1065" s="19"/>
      <c r="D1065" s="10"/>
      <c r="E1065" s="10"/>
      <c r="F1065" s="47"/>
      <c r="G1065" s="10"/>
      <c r="H1065" s="20"/>
      <c r="I1065" s="20"/>
      <c r="J1065" s="10"/>
      <c r="K1065" s="10"/>
      <c r="L1065" s="10"/>
      <c r="M1065" s="10"/>
      <c r="N1065" s="10"/>
      <c r="O1065" s="21"/>
    </row>
    <row r="1066" spans="1:15" x14ac:dyDescent="0.35">
      <c r="A1066" s="15">
        <f t="shared" si="16"/>
        <v>1064</v>
      </c>
      <c r="B1066" s="16"/>
      <c r="C1066" s="19"/>
      <c r="D1066" s="10"/>
      <c r="E1066" s="10"/>
      <c r="F1066" s="47"/>
      <c r="G1066" s="10"/>
      <c r="H1066" s="20"/>
      <c r="I1066" s="20"/>
      <c r="J1066" s="10"/>
      <c r="K1066" s="10"/>
      <c r="L1066" s="10"/>
      <c r="M1066" s="10"/>
      <c r="N1066" s="10"/>
      <c r="O1066" s="21"/>
    </row>
    <row r="1067" spans="1:15" x14ac:dyDescent="0.35">
      <c r="A1067" s="15">
        <f t="shared" si="16"/>
        <v>1065</v>
      </c>
      <c r="B1067" s="16"/>
      <c r="C1067" s="19"/>
      <c r="D1067" s="10"/>
      <c r="E1067" s="10"/>
      <c r="F1067" s="47"/>
      <c r="G1067" s="10"/>
      <c r="H1067" s="20"/>
      <c r="I1067" s="20"/>
      <c r="J1067" s="10"/>
      <c r="K1067" s="10"/>
      <c r="L1067" s="10"/>
      <c r="M1067" s="10"/>
      <c r="N1067" s="10"/>
      <c r="O1067" s="21"/>
    </row>
    <row r="1068" spans="1:15" x14ac:dyDescent="0.35">
      <c r="A1068" s="15">
        <f t="shared" si="16"/>
        <v>1066</v>
      </c>
      <c r="B1068" s="16"/>
      <c r="C1068" s="19"/>
      <c r="D1068" s="10"/>
      <c r="E1068" s="10"/>
      <c r="F1068" s="47"/>
      <c r="G1068" s="10"/>
      <c r="H1068" s="20"/>
      <c r="I1068" s="20"/>
      <c r="J1068" s="10"/>
      <c r="K1068" s="10"/>
      <c r="L1068" s="10"/>
      <c r="M1068" s="10"/>
      <c r="N1068" s="10"/>
      <c r="O1068" s="21"/>
    </row>
    <row r="1069" spans="1:15" x14ac:dyDescent="0.35">
      <c r="A1069" s="15">
        <f t="shared" si="16"/>
        <v>1067</v>
      </c>
      <c r="B1069" s="16"/>
      <c r="C1069" s="19"/>
      <c r="D1069" s="10"/>
      <c r="E1069" s="10"/>
      <c r="F1069" s="47"/>
      <c r="G1069" s="10"/>
      <c r="H1069" s="20"/>
      <c r="I1069" s="20"/>
      <c r="J1069" s="10"/>
      <c r="K1069" s="10"/>
      <c r="L1069" s="10"/>
      <c r="M1069" s="10"/>
      <c r="N1069" s="10"/>
      <c r="O1069" s="21"/>
    </row>
    <row r="1070" spans="1:15" x14ac:dyDescent="0.35">
      <c r="A1070" s="15">
        <f t="shared" si="16"/>
        <v>1068</v>
      </c>
      <c r="B1070" s="16"/>
      <c r="C1070" s="19"/>
      <c r="D1070" s="10"/>
      <c r="E1070" s="10"/>
      <c r="F1070" s="47"/>
      <c r="G1070" s="10"/>
      <c r="H1070" s="20"/>
      <c r="I1070" s="20"/>
      <c r="J1070" s="10"/>
      <c r="K1070" s="10"/>
      <c r="L1070" s="10"/>
      <c r="M1070" s="10"/>
      <c r="N1070" s="10"/>
      <c r="O1070" s="21"/>
    </row>
    <row r="1071" spans="1:15" x14ac:dyDescent="0.35">
      <c r="A1071" s="15">
        <f t="shared" si="16"/>
        <v>1069</v>
      </c>
      <c r="B1071" s="16"/>
      <c r="C1071" s="19"/>
      <c r="D1071" s="10"/>
      <c r="E1071" s="10"/>
      <c r="F1071" s="47"/>
      <c r="G1071" s="10"/>
      <c r="H1071" s="20"/>
      <c r="I1071" s="20"/>
      <c r="J1071" s="10"/>
      <c r="K1071" s="10"/>
      <c r="L1071" s="10"/>
      <c r="M1071" s="10"/>
      <c r="N1071" s="10"/>
      <c r="O1071" s="21"/>
    </row>
    <row r="1072" spans="1:15" x14ac:dyDescent="0.35">
      <c r="A1072" s="15">
        <f t="shared" si="16"/>
        <v>1070</v>
      </c>
      <c r="B1072" s="16"/>
      <c r="C1072" s="19"/>
      <c r="D1072" s="10"/>
      <c r="E1072" s="10"/>
      <c r="F1072" s="47"/>
      <c r="G1072" s="10"/>
      <c r="H1072" s="20"/>
      <c r="I1072" s="20"/>
      <c r="J1072" s="10"/>
      <c r="K1072" s="10"/>
      <c r="L1072" s="10"/>
      <c r="M1072" s="10"/>
      <c r="N1072" s="10"/>
      <c r="O1072" s="21"/>
    </row>
    <row r="1073" spans="1:15" x14ac:dyDescent="0.35">
      <c r="A1073" s="15">
        <f t="shared" si="16"/>
        <v>1071</v>
      </c>
      <c r="B1073" s="16"/>
      <c r="C1073" s="19"/>
      <c r="D1073" s="10"/>
      <c r="E1073" s="10"/>
      <c r="F1073" s="47"/>
      <c r="G1073" s="10"/>
      <c r="H1073" s="20"/>
      <c r="I1073" s="20"/>
      <c r="J1073" s="10"/>
      <c r="K1073" s="10"/>
      <c r="L1073" s="10"/>
      <c r="M1073" s="10"/>
      <c r="N1073" s="10"/>
      <c r="O1073" s="21"/>
    </row>
    <row r="1074" spans="1:15" x14ac:dyDescent="0.35">
      <c r="A1074" s="15">
        <f t="shared" si="16"/>
        <v>1072</v>
      </c>
      <c r="B1074" s="16"/>
      <c r="C1074" s="19"/>
      <c r="D1074" s="10"/>
      <c r="E1074" s="10"/>
      <c r="F1074" s="47"/>
      <c r="G1074" s="10"/>
      <c r="H1074" s="20"/>
      <c r="I1074" s="20"/>
      <c r="J1074" s="10"/>
      <c r="K1074" s="10"/>
      <c r="L1074" s="10"/>
      <c r="M1074" s="10"/>
      <c r="N1074" s="10"/>
      <c r="O1074" s="21"/>
    </row>
    <row r="1075" spans="1:15" x14ac:dyDescent="0.35">
      <c r="A1075" s="15">
        <f t="shared" si="16"/>
        <v>1073</v>
      </c>
      <c r="B1075" s="16"/>
      <c r="C1075" s="19"/>
      <c r="D1075" s="10"/>
      <c r="E1075" s="10"/>
      <c r="F1075" s="47"/>
      <c r="G1075" s="10"/>
      <c r="H1075" s="20"/>
      <c r="I1075" s="20"/>
      <c r="J1075" s="10"/>
      <c r="K1075" s="10"/>
      <c r="L1075" s="10"/>
      <c r="M1075" s="10"/>
      <c r="N1075" s="10"/>
      <c r="O1075" s="21"/>
    </row>
    <row r="1076" spans="1:15" x14ac:dyDescent="0.35">
      <c r="A1076" s="15">
        <f t="shared" si="16"/>
        <v>1074</v>
      </c>
      <c r="B1076" s="16"/>
      <c r="C1076" s="19"/>
      <c r="D1076" s="10"/>
      <c r="E1076" s="10"/>
      <c r="F1076" s="47"/>
      <c r="G1076" s="10"/>
      <c r="H1076" s="20"/>
      <c r="I1076" s="20"/>
      <c r="J1076" s="10"/>
      <c r="K1076" s="10"/>
      <c r="L1076" s="10"/>
      <c r="M1076" s="10"/>
      <c r="N1076" s="10"/>
      <c r="O1076" s="21"/>
    </row>
    <row r="1077" spans="1:15" x14ac:dyDescent="0.35">
      <c r="A1077" s="15">
        <f t="shared" si="16"/>
        <v>1075</v>
      </c>
      <c r="B1077" s="16"/>
      <c r="C1077" s="19"/>
      <c r="D1077" s="10"/>
      <c r="E1077" s="10"/>
      <c r="F1077" s="47"/>
      <c r="G1077" s="10"/>
      <c r="H1077" s="20"/>
      <c r="I1077" s="20"/>
      <c r="J1077" s="10"/>
      <c r="K1077" s="10"/>
      <c r="L1077" s="10"/>
      <c r="M1077" s="10"/>
      <c r="N1077" s="10"/>
      <c r="O1077" s="21"/>
    </row>
    <row r="1078" spans="1:15" x14ac:dyDescent="0.35">
      <c r="A1078" s="15">
        <f t="shared" si="16"/>
        <v>1076</v>
      </c>
      <c r="B1078" s="16"/>
      <c r="C1078" s="19"/>
      <c r="D1078" s="10"/>
      <c r="E1078" s="10"/>
      <c r="F1078" s="47"/>
      <c r="G1078" s="10"/>
      <c r="H1078" s="20"/>
      <c r="I1078" s="20"/>
      <c r="J1078" s="10"/>
      <c r="K1078" s="10"/>
      <c r="L1078" s="10"/>
      <c r="M1078" s="10"/>
      <c r="N1078" s="10"/>
      <c r="O1078" s="21"/>
    </row>
    <row r="1079" spans="1:15" x14ac:dyDescent="0.35">
      <c r="A1079" s="15">
        <f t="shared" si="16"/>
        <v>1077</v>
      </c>
      <c r="B1079" s="16"/>
      <c r="C1079" s="19"/>
      <c r="D1079" s="10"/>
      <c r="E1079" s="10"/>
      <c r="F1079" s="47"/>
      <c r="G1079" s="10"/>
      <c r="H1079" s="20"/>
      <c r="I1079" s="20"/>
      <c r="J1079" s="10"/>
      <c r="K1079" s="10"/>
      <c r="L1079" s="10"/>
      <c r="M1079" s="10"/>
      <c r="N1079" s="10"/>
      <c r="O1079" s="21"/>
    </row>
    <row r="1080" spans="1:15" x14ac:dyDescent="0.35">
      <c r="A1080" s="15">
        <f t="shared" si="16"/>
        <v>1078</v>
      </c>
      <c r="B1080" s="16"/>
      <c r="C1080" s="19"/>
      <c r="D1080" s="10"/>
      <c r="E1080" s="10"/>
      <c r="F1080" s="47"/>
      <c r="G1080" s="10"/>
      <c r="H1080" s="20"/>
      <c r="I1080" s="20"/>
      <c r="J1080" s="10"/>
      <c r="K1080" s="10"/>
      <c r="L1080" s="10"/>
      <c r="M1080" s="10"/>
      <c r="N1080" s="10"/>
      <c r="O1080" s="21"/>
    </row>
    <row r="1081" spans="1:15" x14ac:dyDescent="0.35">
      <c r="A1081" s="15">
        <f t="shared" si="16"/>
        <v>1079</v>
      </c>
      <c r="B1081" s="16"/>
      <c r="C1081" s="19"/>
      <c r="D1081" s="10"/>
      <c r="E1081" s="10"/>
      <c r="F1081" s="47"/>
      <c r="G1081" s="10"/>
      <c r="H1081" s="20"/>
      <c r="I1081" s="20"/>
      <c r="J1081" s="10"/>
      <c r="K1081" s="10"/>
      <c r="L1081" s="10"/>
      <c r="M1081" s="10"/>
      <c r="N1081" s="10"/>
      <c r="O1081" s="21"/>
    </row>
    <row r="1082" spans="1:15" x14ac:dyDescent="0.35">
      <c r="A1082" s="15">
        <f t="shared" si="16"/>
        <v>1080</v>
      </c>
      <c r="B1082" s="16"/>
      <c r="C1082" s="19"/>
      <c r="D1082" s="10"/>
      <c r="E1082" s="10"/>
      <c r="F1082" s="47"/>
      <c r="G1082" s="10"/>
      <c r="H1082" s="20"/>
      <c r="I1082" s="20"/>
      <c r="J1082" s="10"/>
      <c r="K1082" s="10"/>
      <c r="L1082" s="10"/>
      <c r="M1082" s="10"/>
      <c r="N1082" s="10"/>
      <c r="O1082" s="21"/>
    </row>
    <row r="1083" spans="1:15" x14ac:dyDescent="0.35">
      <c r="A1083" s="15">
        <f t="shared" si="16"/>
        <v>1081</v>
      </c>
      <c r="B1083" s="16"/>
      <c r="C1083" s="19"/>
      <c r="D1083" s="10"/>
      <c r="E1083" s="10"/>
      <c r="F1083" s="47"/>
      <c r="G1083" s="10"/>
      <c r="H1083" s="20"/>
      <c r="I1083" s="20"/>
      <c r="J1083" s="10"/>
      <c r="K1083" s="10"/>
      <c r="L1083" s="10"/>
      <c r="M1083" s="10"/>
      <c r="N1083" s="10"/>
      <c r="O1083" s="21"/>
    </row>
    <row r="1084" spans="1:15" x14ac:dyDescent="0.35">
      <c r="A1084" s="15">
        <f t="shared" si="16"/>
        <v>1082</v>
      </c>
      <c r="B1084" s="16"/>
      <c r="C1084" s="19"/>
      <c r="D1084" s="10"/>
      <c r="E1084" s="10"/>
      <c r="F1084" s="47"/>
      <c r="G1084" s="10"/>
      <c r="H1084" s="20"/>
      <c r="I1084" s="20"/>
      <c r="J1084" s="10"/>
      <c r="K1084" s="10"/>
      <c r="L1084" s="10"/>
      <c r="M1084" s="10"/>
      <c r="N1084" s="10"/>
      <c r="O1084" s="21"/>
    </row>
    <row r="1085" spans="1:15" x14ac:dyDescent="0.35">
      <c r="A1085" s="15">
        <f t="shared" si="16"/>
        <v>1083</v>
      </c>
      <c r="B1085" s="16"/>
      <c r="C1085" s="19"/>
      <c r="D1085" s="10"/>
      <c r="E1085" s="10"/>
      <c r="F1085" s="47"/>
      <c r="G1085" s="10"/>
      <c r="H1085" s="20"/>
      <c r="I1085" s="20"/>
      <c r="J1085" s="10"/>
      <c r="K1085" s="10"/>
      <c r="L1085" s="10"/>
      <c r="M1085" s="10"/>
      <c r="N1085" s="10"/>
      <c r="O1085" s="21"/>
    </row>
    <row r="1086" spans="1:15" x14ac:dyDescent="0.35">
      <c r="A1086" s="15">
        <f t="shared" si="16"/>
        <v>1084</v>
      </c>
      <c r="B1086" s="16"/>
      <c r="C1086" s="19"/>
      <c r="D1086" s="10"/>
      <c r="E1086" s="10"/>
      <c r="F1086" s="47"/>
      <c r="G1086" s="10"/>
      <c r="H1086" s="20"/>
      <c r="I1086" s="20"/>
      <c r="J1086" s="10"/>
      <c r="K1086" s="10"/>
      <c r="L1086" s="10"/>
      <c r="M1086" s="10"/>
      <c r="N1086" s="10"/>
      <c r="O1086" s="21"/>
    </row>
    <row r="1087" spans="1:15" x14ac:dyDescent="0.35">
      <c r="A1087" s="15">
        <f t="shared" si="16"/>
        <v>1085</v>
      </c>
      <c r="B1087" s="16"/>
      <c r="C1087" s="19"/>
      <c r="D1087" s="10"/>
      <c r="E1087" s="10"/>
      <c r="F1087" s="47"/>
      <c r="G1087" s="10"/>
      <c r="H1087" s="20"/>
      <c r="I1087" s="20"/>
      <c r="J1087" s="10"/>
      <c r="K1087" s="10"/>
      <c r="L1087" s="10"/>
      <c r="M1087" s="10"/>
      <c r="N1087" s="10"/>
      <c r="O1087" s="21"/>
    </row>
    <row r="1088" spans="1:15" x14ac:dyDescent="0.35">
      <c r="A1088" s="15">
        <f t="shared" si="16"/>
        <v>1086</v>
      </c>
      <c r="B1088" s="16"/>
      <c r="C1088" s="19"/>
      <c r="D1088" s="10"/>
      <c r="E1088" s="10"/>
      <c r="F1088" s="47"/>
      <c r="G1088" s="10"/>
      <c r="H1088" s="20"/>
      <c r="I1088" s="20"/>
      <c r="J1088" s="10"/>
      <c r="K1088" s="10"/>
      <c r="L1088" s="10"/>
      <c r="M1088" s="10"/>
      <c r="N1088" s="10"/>
      <c r="O1088" s="21"/>
    </row>
    <row r="1089" spans="1:15" x14ac:dyDescent="0.35">
      <c r="A1089" s="15">
        <f t="shared" si="16"/>
        <v>1087</v>
      </c>
      <c r="B1089" s="16"/>
      <c r="C1089" s="19"/>
      <c r="D1089" s="10"/>
      <c r="E1089" s="10"/>
      <c r="F1089" s="47"/>
      <c r="G1089" s="10"/>
      <c r="H1089" s="20"/>
      <c r="I1089" s="20"/>
      <c r="J1089" s="10"/>
      <c r="K1089" s="10"/>
      <c r="L1089" s="10"/>
      <c r="M1089" s="10"/>
      <c r="N1089" s="10"/>
      <c r="O1089" s="21"/>
    </row>
    <row r="1090" spans="1:15" x14ac:dyDescent="0.35">
      <c r="A1090" s="15">
        <f t="shared" si="16"/>
        <v>1088</v>
      </c>
      <c r="B1090" s="16"/>
      <c r="C1090" s="19"/>
      <c r="D1090" s="10"/>
      <c r="E1090" s="10"/>
      <c r="F1090" s="47"/>
      <c r="G1090" s="10"/>
      <c r="H1090" s="20"/>
      <c r="I1090" s="20"/>
      <c r="J1090" s="10"/>
      <c r="K1090" s="10"/>
      <c r="L1090" s="10"/>
      <c r="M1090" s="10"/>
      <c r="N1090" s="10"/>
      <c r="O1090" s="21"/>
    </row>
    <row r="1091" spans="1:15" x14ac:dyDescent="0.35">
      <c r="A1091" s="15">
        <f t="shared" si="16"/>
        <v>1089</v>
      </c>
      <c r="B1091" s="16"/>
      <c r="C1091" s="19"/>
      <c r="D1091" s="10"/>
      <c r="E1091" s="10"/>
      <c r="F1091" s="47"/>
      <c r="G1091" s="10"/>
      <c r="H1091" s="20"/>
      <c r="I1091" s="20"/>
      <c r="J1091" s="10"/>
      <c r="K1091" s="10"/>
      <c r="L1091" s="10"/>
      <c r="M1091" s="10"/>
      <c r="N1091" s="10"/>
      <c r="O1091" s="21"/>
    </row>
    <row r="1092" spans="1:15" x14ac:dyDescent="0.35">
      <c r="A1092" s="15">
        <f t="shared" si="16"/>
        <v>1090</v>
      </c>
      <c r="B1092" s="16"/>
      <c r="C1092" s="19"/>
      <c r="D1092" s="10"/>
      <c r="E1092" s="10"/>
      <c r="F1092" s="47"/>
      <c r="G1092" s="10"/>
      <c r="H1092" s="20"/>
      <c r="I1092" s="20"/>
      <c r="J1092" s="10"/>
      <c r="K1092" s="10"/>
      <c r="L1092" s="10"/>
      <c r="M1092" s="10"/>
      <c r="N1092" s="10"/>
      <c r="O1092" s="21"/>
    </row>
    <row r="1093" spans="1:15" x14ac:dyDescent="0.35">
      <c r="A1093" s="15">
        <f t="shared" si="16"/>
        <v>1091</v>
      </c>
      <c r="B1093" s="16"/>
      <c r="C1093" s="19"/>
      <c r="D1093" s="10"/>
      <c r="E1093" s="10"/>
      <c r="F1093" s="47"/>
      <c r="G1093" s="10"/>
      <c r="H1093" s="20"/>
      <c r="I1093" s="20"/>
      <c r="J1093" s="10"/>
      <c r="K1093" s="10"/>
      <c r="L1093" s="10"/>
      <c r="M1093" s="10"/>
      <c r="N1093" s="10"/>
      <c r="O1093" s="21"/>
    </row>
    <row r="1094" spans="1:15" x14ac:dyDescent="0.35">
      <c r="A1094" s="15">
        <f t="shared" si="16"/>
        <v>1092</v>
      </c>
      <c r="B1094" s="16"/>
      <c r="C1094" s="19"/>
      <c r="D1094" s="10"/>
      <c r="E1094" s="10"/>
      <c r="F1094" s="47"/>
      <c r="G1094" s="10"/>
      <c r="H1094" s="20"/>
      <c r="I1094" s="20"/>
      <c r="J1094" s="10"/>
      <c r="K1094" s="10"/>
      <c r="L1094" s="10"/>
      <c r="M1094" s="10"/>
      <c r="N1094" s="10"/>
      <c r="O1094" s="21"/>
    </row>
    <row r="1095" spans="1:15" x14ac:dyDescent="0.35">
      <c r="A1095" s="15">
        <f t="shared" si="16"/>
        <v>1093</v>
      </c>
      <c r="B1095" s="16"/>
      <c r="C1095" s="19"/>
      <c r="D1095" s="10"/>
      <c r="E1095" s="10"/>
      <c r="F1095" s="47"/>
      <c r="G1095" s="10"/>
      <c r="H1095" s="20"/>
      <c r="I1095" s="20"/>
      <c r="J1095" s="10"/>
      <c r="K1095" s="10"/>
      <c r="L1095" s="10"/>
      <c r="M1095" s="10"/>
      <c r="N1095" s="10"/>
      <c r="O1095" s="21"/>
    </row>
    <row r="1096" spans="1:15" x14ac:dyDescent="0.35">
      <c r="A1096" s="15">
        <f t="shared" si="16"/>
        <v>1094</v>
      </c>
      <c r="B1096" s="16"/>
      <c r="C1096" s="19"/>
      <c r="D1096" s="10"/>
      <c r="E1096" s="10"/>
      <c r="F1096" s="47"/>
      <c r="G1096" s="10"/>
      <c r="H1096" s="20"/>
      <c r="I1096" s="20"/>
      <c r="J1096" s="10"/>
      <c r="K1096" s="10"/>
      <c r="L1096" s="10"/>
      <c r="M1096" s="10"/>
      <c r="N1096" s="10"/>
      <c r="O1096" s="21"/>
    </row>
    <row r="1097" spans="1:15" x14ac:dyDescent="0.35">
      <c r="A1097" s="15">
        <f t="shared" si="16"/>
        <v>1095</v>
      </c>
      <c r="B1097" s="16"/>
      <c r="C1097" s="19"/>
      <c r="D1097" s="10"/>
      <c r="E1097" s="10"/>
      <c r="F1097" s="47"/>
      <c r="G1097" s="10"/>
      <c r="H1097" s="20"/>
      <c r="I1097" s="20"/>
      <c r="J1097" s="10"/>
      <c r="K1097" s="10"/>
      <c r="L1097" s="10"/>
      <c r="M1097" s="10"/>
      <c r="N1097" s="10"/>
      <c r="O1097" s="21"/>
    </row>
    <row r="1098" spans="1:15" x14ac:dyDescent="0.35">
      <c r="A1098" s="15">
        <f t="shared" si="16"/>
        <v>1096</v>
      </c>
      <c r="B1098" s="16"/>
      <c r="C1098" s="19"/>
      <c r="D1098" s="10"/>
      <c r="E1098" s="10"/>
      <c r="F1098" s="47"/>
      <c r="G1098" s="10"/>
      <c r="H1098" s="20"/>
      <c r="I1098" s="20"/>
      <c r="J1098" s="10"/>
      <c r="K1098" s="10"/>
      <c r="L1098" s="10"/>
      <c r="M1098" s="10"/>
      <c r="N1098" s="10"/>
      <c r="O1098" s="21"/>
    </row>
    <row r="1099" spans="1:15" x14ac:dyDescent="0.35">
      <c r="A1099" s="15">
        <f t="shared" ref="A1099:A1162" si="17">+A1098+1</f>
        <v>1097</v>
      </c>
      <c r="B1099" s="16"/>
      <c r="C1099" s="19"/>
      <c r="D1099" s="10"/>
      <c r="E1099" s="10"/>
      <c r="F1099" s="47"/>
      <c r="G1099" s="10"/>
      <c r="H1099" s="20"/>
      <c r="I1099" s="20"/>
      <c r="J1099" s="10"/>
      <c r="K1099" s="10"/>
      <c r="L1099" s="10"/>
      <c r="M1099" s="10"/>
      <c r="N1099" s="10"/>
      <c r="O1099" s="21"/>
    </row>
    <row r="1100" spans="1:15" x14ac:dyDescent="0.35">
      <c r="A1100" s="15">
        <f t="shared" si="17"/>
        <v>1098</v>
      </c>
      <c r="B1100" s="16"/>
      <c r="C1100" s="19"/>
      <c r="D1100" s="10"/>
      <c r="E1100" s="10"/>
      <c r="F1100" s="47"/>
      <c r="G1100" s="10"/>
      <c r="H1100" s="20"/>
      <c r="I1100" s="20"/>
      <c r="J1100" s="10"/>
      <c r="K1100" s="10"/>
      <c r="L1100" s="10"/>
      <c r="M1100" s="10"/>
      <c r="N1100" s="10"/>
      <c r="O1100" s="21"/>
    </row>
    <row r="1101" spans="1:15" x14ac:dyDescent="0.35">
      <c r="A1101" s="15">
        <f t="shared" si="17"/>
        <v>1099</v>
      </c>
      <c r="B1101" s="16"/>
      <c r="C1101" s="19"/>
      <c r="D1101" s="10"/>
      <c r="E1101" s="10"/>
      <c r="F1101" s="47"/>
      <c r="G1101" s="10"/>
      <c r="H1101" s="20"/>
      <c r="I1101" s="20"/>
      <c r="J1101" s="10"/>
      <c r="K1101" s="10"/>
      <c r="L1101" s="10"/>
      <c r="M1101" s="10"/>
      <c r="N1101" s="10"/>
      <c r="O1101" s="21"/>
    </row>
    <row r="1102" spans="1:15" x14ac:dyDescent="0.35">
      <c r="A1102" s="15">
        <f t="shared" si="17"/>
        <v>1100</v>
      </c>
      <c r="B1102" s="16"/>
      <c r="C1102" s="19"/>
      <c r="D1102" s="10"/>
      <c r="E1102" s="10"/>
      <c r="F1102" s="47"/>
      <c r="G1102" s="10"/>
      <c r="H1102" s="20"/>
      <c r="I1102" s="20"/>
      <c r="J1102" s="10"/>
      <c r="K1102" s="10"/>
      <c r="L1102" s="10"/>
      <c r="M1102" s="10"/>
      <c r="N1102" s="10"/>
      <c r="O1102" s="21"/>
    </row>
    <row r="1103" spans="1:15" x14ac:dyDescent="0.35">
      <c r="A1103" s="15">
        <f t="shared" si="17"/>
        <v>1101</v>
      </c>
      <c r="B1103" s="16"/>
      <c r="C1103" s="19"/>
      <c r="D1103" s="10"/>
      <c r="E1103" s="10"/>
      <c r="F1103" s="47"/>
      <c r="G1103" s="10"/>
      <c r="H1103" s="20"/>
      <c r="I1103" s="20"/>
      <c r="J1103" s="10"/>
      <c r="K1103" s="10"/>
      <c r="L1103" s="10"/>
      <c r="M1103" s="10"/>
      <c r="N1103" s="10"/>
      <c r="O1103" s="21"/>
    </row>
    <row r="1104" spans="1:15" x14ac:dyDescent="0.35">
      <c r="A1104" s="15">
        <f t="shared" si="17"/>
        <v>1102</v>
      </c>
      <c r="B1104" s="16"/>
      <c r="C1104" s="19"/>
      <c r="D1104" s="10"/>
      <c r="E1104" s="10"/>
      <c r="F1104" s="47"/>
      <c r="G1104" s="10"/>
      <c r="H1104" s="20"/>
      <c r="I1104" s="20"/>
      <c r="J1104" s="10"/>
      <c r="K1104" s="10"/>
      <c r="L1104" s="10"/>
      <c r="M1104" s="10"/>
      <c r="N1104" s="10"/>
      <c r="O1104" s="21"/>
    </row>
    <row r="1105" spans="1:15" x14ac:dyDescent="0.35">
      <c r="A1105" s="15">
        <f t="shared" si="17"/>
        <v>1103</v>
      </c>
      <c r="B1105" s="16"/>
      <c r="C1105" s="19"/>
      <c r="D1105" s="10"/>
      <c r="E1105" s="10"/>
      <c r="F1105" s="47"/>
      <c r="G1105" s="10"/>
      <c r="H1105" s="20"/>
      <c r="I1105" s="20"/>
      <c r="J1105" s="10"/>
      <c r="K1105" s="10"/>
      <c r="L1105" s="10"/>
      <c r="M1105" s="10"/>
      <c r="N1105" s="10"/>
      <c r="O1105" s="21"/>
    </row>
    <row r="1106" spans="1:15" x14ac:dyDescent="0.35">
      <c r="A1106" s="15">
        <f t="shared" si="17"/>
        <v>1104</v>
      </c>
      <c r="B1106" s="16"/>
      <c r="C1106" s="19"/>
      <c r="D1106" s="10"/>
      <c r="E1106" s="10"/>
      <c r="F1106" s="47"/>
      <c r="G1106" s="10"/>
      <c r="H1106" s="20"/>
      <c r="I1106" s="20"/>
      <c r="J1106" s="10"/>
      <c r="K1106" s="10"/>
      <c r="L1106" s="10"/>
      <c r="M1106" s="10"/>
      <c r="N1106" s="10"/>
      <c r="O1106" s="21"/>
    </row>
    <row r="1107" spans="1:15" x14ac:dyDescent="0.35">
      <c r="A1107" s="15">
        <f t="shared" si="17"/>
        <v>1105</v>
      </c>
      <c r="B1107" s="16"/>
      <c r="C1107" s="19"/>
      <c r="D1107" s="10"/>
      <c r="E1107" s="10"/>
      <c r="F1107" s="47"/>
      <c r="G1107" s="10"/>
      <c r="H1107" s="20"/>
      <c r="I1107" s="20"/>
      <c r="J1107" s="10"/>
      <c r="K1107" s="10"/>
      <c r="L1107" s="10"/>
      <c r="M1107" s="10"/>
      <c r="N1107" s="10"/>
      <c r="O1107" s="21"/>
    </row>
    <row r="1108" spans="1:15" x14ac:dyDescent="0.35">
      <c r="A1108" s="15">
        <f t="shared" si="17"/>
        <v>1106</v>
      </c>
      <c r="B1108" s="16"/>
      <c r="C1108" s="19"/>
      <c r="D1108" s="10"/>
      <c r="E1108" s="10"/>
      <c r="F1108" s="47"/>
      <c r="G1108" s="10"/>
      <c r="H1108" s="20"/>
      <c r="I1108" s="20"/>
      <c r="J1108" s="10"/>
      <c r="K1108" s="10"/>
      <c r="L1108" s="10"/>
      <c r="M1108" s="10"/>
      <c r="N1108" s="10"/>
      <c r="O1108" s="21"/>
    </row>
    <row r="1109" spans="1:15" x14ac:dyDescent="0.35">
      <c r="A1109" s="15">
        <f t="shared" si="17"/>
        <v>1107</v>
      </c>
      <c r="B1109" s="16"/>
      <c r="C1109" s="19"/>
      <c r="D1109" s="10"/>
      <c r="E1109" s="10"/>
      <c r="F1109" s="47"/>
      <c r="G1109" s="10"/>
      <c r="H1109" s="20"/>
      <c r="I1109" s="20"/>
      <c r="J1109" s="10"/>
      <c r="K1109" s="10"/>
      <c r="L1109" s="10"/>
      <c r="M1109" s="10"/>
      <c r="N1109" s="10"/>
      <c r="O1109" s="21"/>
    </row>
    <row r="1110" spans="1:15" x14ac:dyDescent="0.35">
      <c r="A1110" s="15">
        <f t="shared" si="17"/>
        <v>1108</v>
      </c>
      <c r="B1110" s="16"/>
      <c r="C1110" s="19"/>
      <c r="D1110" s="10"/>
      <c r="E1110" s="10"/>
      <c r="F1110" s="47"/>
      <c r="G1110" s="10"/>
      <c r="H1110" s="20"/>
      <c r="I1110" s="20"/>
      <c r="J1110" s="10"/>
      <c r="K1110" s="10"/>
      <c r="L1110" s="10"/>
      <c r="M1110" s="10"/>
      <c r="N1110" s="10"/>
      <c r="O1110" s="21"/>
    </row>
    <row r="1111" spans="1:15" x14ac:dyDescent="0.35">
      <c r="A1111" s="15">
        <f t="shared" si="17"/>
        <v>1109</v>
      </c>
      <c r="B1111" s="16"/>
      <c r="C1111" s="19"/>
      <c r="D1111" s="10"/>
      <c r="E1111" s="10"/>
      <c r="F1111" s="47"/>
      <c r="G1111" s="10"/>
      <c r="H1111" s="20"/>
      <c r="I1111" s="20"/>
      <c r="J1111" s="10"/>
      <c r="K1111" s="10"/>
      <c r="L1111" s="10"/>
      <c r="M1111" s="10"/>
      <c r="N1111" s="10"/>
      <c r="O1111" s="21"/>
    </row>
    <row r="1112" spans="1:15" x14ac:dyDescent="0.35">
      <c r="A1112" s="15">
        <f t="shared" si="17"/>
        <v>1110</v>
      </c>
      <c r="B1112" s="16"/>
      <c r="C1112" s="19"/>
      <c r="D1112" s="10"/>
      <c r="E1112" s="10"/>
      <c r="F1112" s="47"/>
      <c r="G1112" s="10"/>
      <c r="H1112" s="20"/>
      <c r="I1112" s="20"/>
      <c r="J1112" s="10"/>
      <c r="K1112" s="10"/>
      <c r="L1112" s="10"/>
      <c r="M1112" s="10"/>
      <c r="N1112" s="10"/>
      <c r="O1112" s="21"/>
    </row>
    <row r="1113" spans="1:15" x14ac:dyDescent="0.35">
      <c r="A1113" s="15">
        <f t="shared" si="17"/>
        <v>1111</v>
      </c>
      <c r="B1113" s="16"/>
      <c r="C1113" s="19"/>
      <c r="D1113" s="10"/>
      <c r="E1113" s="10"/>
      <c r="F1113" s="47"/>
      <c r="G1113" s="10"/>
      <c r="H1113" s="20"/>
      <c r="I1113" s="20"/>
      <c r="J1113" s="10"/>
      <c r="K1113" s="10"/>
      <c r="L1113" s="10"/>
      <c r="M1113" s="10"/>
      <c r="N1113" s="10"/>
      <c r="O1113" s="21"/>
    </row>
    <row r="1114" spans="1:15" x14ac:dyDescent="0.35">
      <c r="A1114" s="15">
        <f t="shared" si="17"/>
        <v>1112</v>
      </c>
      <c r="B1114" s="16"/>
      <c r="C1114" s="19"/>
      <c r="D1114" s="10"/>
      <c r="E1114" s="10"/>
      <c r="F1114" s="47"/>
      <c r="G1114" s="10"/>
      <c r="H1114" s="20"/>
      <c r="I1114" s="20"/>
      <c r="J1114" s="10"/>
      <c r="K1114" s="10"/>
      <c r="L1114" s="10"/>
      <c r="M1114" s="10"/>
      <c r="N1114" s="10"/>
      <c r="O1114" s="21"/>
    </row>
    <row r="1115" spans="1:15" x14ac:dyDescent="0.35">
      <c r="A1115" s="15">
        <f t="shared" si="17"/>
        <v>1113</v>
      </c>
      <c r="B1115" s="16"/>
      <c r="C1115" s="19"/>
      <c r="D1115" s="10"/>
      <c r="E1115" s="10"/>
      <c r="F1115" s="47"/>
      <c r="G1115" s="10"/>
      <c r="H1115" s="20"/>
      <c r="I1115" s="20"/>
      <c r="J1115" s="10"/>
      <c r="K1115" s="10"/>
      <c r="L1115" s="10"/>
      <c r="M1115" s="10"/>
      <c r="N1115" s="10"/>
      <c r="O1115" s="21"/>
    </row>
    <row r="1116" spans="1:15" x14ac:dyDescent="0.35">
      <c r="A1116" s="15">
        <f t="shared" si="17"/>
        <v>1114</v>
      </c>
      <c r="B1116" s="16"/>
      <c r="C1116" s="19"/>
      <c r="D1116" s="10"/>
      <c r="E1116" s="10"/>
      <c r="F1116" s="47"/>
      <c r="G1116" s="10"/>
      <c r="H1116" s="20"/>
      <c r="I1116" s="20"/>
      <c r="J1116" s="10"/>
      <c r="K1116" s="10"/>
      <c r="L1116" s="10"/>
      <c r="M1116" s="10"/>
      <c r="N1116" s="10"/>
      <c r="O1116" s="21"/>
    </row>
    <row r="1117" spans="1:15" x14ac:dyDescent="0.35">
      <c r="A1117" s="15">
        <f t="shared" si="17"/>
        <v>1115</v>
      </c>
      <c r="B1117" s="16"/>
      <c r="C1117" s="19"/>
      <c r="D1117" s="10"/>
      <c r="E1117" s="10"/>
      <c r="F1117" s="47"/>
      <c r="G1117" s="10"/>
      <c r="H1117" s="20"/>
      <c r="I1117" s="20"/>
      <c r="J1117" s="10"/>
      <c r="K1117" s="10"/>
      <c r="L1117" s="10"/>
      <c r="M1117" s="10"/>
      <c r="N1117" s="10"/>
      <c r="O1117" s="21"/>
    </row>
    <row r="1118" spans="1:15" x14ac:dyDescent="0.35">
      <c r="A1118" s="15">
        <f t="shared" si="17"/>
        <v>1116</v>
      </c>
      <c r="B1118" s="16"/>
      <c r="C1118" s="19"/>
      <c r="D1118" s="10"/>
      <c r="E1118" s="10"/>
      <c r="F1118" s="47"/>
      <c r="G1118" s="10"/>
      <c r="H1118" s="20"/>
      <c r="I1118" s="20"/>
      <c r="J1118" s="10"/>
      <c r="K1118" s="10"/>
      <c r="L1118" s="10"/>
      <c r="M1118" s="10"/>
      <c r="N1118" s="10"/>
      <c r="O1118" s="21"/>
    </row>
    <row r="1119" spans="1:15" x14ac:dyDescent="0.35">
      <c r="A1119" s="15">
        <f t="shared" si="17"/>
        <v>1117</v>
      </c>
      <c r="B1119" s="16"/>
      <c r="C1119" s="19"/>
      <c r="D1119" s="10"/>
      <c r="E1119" s="10"/>
      <c r="F1119" s="47"/>
      <c r="G1119" s="10"/>
      <c r="H1119" s="20"/>
      <c r="I1119" s="20"/>
      <c r="J1119" s="10"/>
      <c r="K1119" s="10"/>
      <c r="L1119" s="10"/>
      <c r="M1119" s="10"/>
      <c r="N1119" s="10"/>
      <c r="O1119" s="21"/>
    </row>
    <row r="1120" spans="1:15" x14ac:dyDescent="0.35">
      <c r="A1120" s="15">
        <f t="shared" si="17"/>
        <v>1118</v>
      </c>
      <c r="B1120" s="16"/>
      <c r="C1120" s="19"/>
      <c r="D1120" s="10"/>
      <c r="E1120" s="10"/>
      <c r="F1120" s="47"/>
      <c r="G1120" s="10"/>
      <c r="H1120" s="20"/>
      <c r="I1120" s="20"/>
      <c r="J1120" s="10"/>
      <c r="K1120" s="10"/>
      <c r="L1120" s="10"/>
      <c r="M1120" s="10"/>
      <c r="N1120" s="10"/>
      <c r="O1120" s="21"/>
    </row>
    <row r="1121" spans="1:15" x14ac:dyDescent="0.35">
      <c r="A1121" s="15">
        <f t="shared" si="17"/>
        <v>1119</v>
      </c>
      <c r="B1121" s="16"/>
      <c r="C1121" s="19"/>
      <c r="D1121" s="10"/>
      <c r="E1121" s="10"/>
      <c r="F1121" s="47"/>
      <c r="G1121" s="10"/>
      <c r="H1121" s="20"/>
      <c r="I1121" s="20"/>
      <c r="J1121" s="10"/>
      <c r="K1121" s="10"/>
      <c r="L1121" s="10"/>
      <c r="M1121" s="10"/>
      <c r="N1121" s="10"/>
      <c r="O1121" s="21"/>
    </row>
    <row r="1122" spans="1:15" x14ac:dyDescent="0.35">
      <c r="A1122" s="15">
        <f t="shared" si="17"/>
        <v>1120</v>
      </c>
      <c r="B1122" s="16"/>
      <c r="C1122" s="19"/>
      <c r="D1122" s="10"/>
      <c r="E1122" s="10"/>
      <c r="F1122" s="47"/>
      <c r="G1122" s="10"/>
      <c r="H1122" s="20"/>
      <c r="I1122" s="20"/>
      <c r="J1122" s="10"/>
      <c r="K1122" s="10"/>
      <c r="L1122" s="10"/>
      <c r="M1122" s="10"/>
      <c r="N1122" s="10"/>
      <c r="O1122" s="21"/>
    </row>
    <row r="1123" spans="1:15" x14ac:dyDescent="0.35">
      <c r="A1123" s="15">
        <f t="shared" si="17"/>
        <v>1121</v>
      </c>
      <c r="B1123" s="16"/>
      <c r="C1123" s="19"/>
      <c r="D1123" s="10"/>
      <c r="E1123" s="10"/>
      <c r="F1123" s="47"/>
      <c r="G1123" s="10"/>
      <c r="H1123" s="20"/>
      <c r="I1123" s="20"/>
      <c r="J1123" s="10"/>
      <c r="K1123" s="10"/>
      <c r="L1123" s="10"/>
      <c r="M1123" s="10"/>
      <c r="N1123" s="10"/>
      <c r="O1123" s="21"/>
    </row>
    <row r="1124" spans="1:15" x14ac:dyDescent="0.35">
      <c r="A1124" s="15">
        <f t="shared" si="17"/>
        <v>1122</v>
      </c>
      <c r="B1124" s="16"/>
      <c r="C1124" s="19"/>
      <c r="D1124" s="10"/>
      <c r="E1124" s="10"/>
      <c r="F1124" s="47"/>
      <c r="G1124" s="10"/>
      <c r="H1124" s="20"/>
      <c r="I1124" s="20"/>
      <c r="J1124" s="10"/>
      <c r="K1124" s="10"/>
      <c r="L1124" s="10"/>
      <c r="M1124" s="10"/>
      <c r="N1124" s="10"/>
      <c r="O1124" s="21"/>
    </row>
    <row r="1125" spans="1:15" x14ac:dyDescent="0.35">
      <c r="A1125" s="15">
        <f t="shared" si="17"/>
        <v>1123</v>
      </c>
      <c r="B1125" s="16"/>
      <c r="C1125" s="19"/>
      <c r="D1125" s="10"/>
      <c r="E1125" s="10"/>
      <c r="F1125" s="47"/>
      <c r="G1125" s="10"/>
      <c r="H1125" s="20"/>
      <c r="I1125" s="20"/>
      <c r="J1125" s="10"/>
      <c r="K1125" s="10"/>
      <c r="L1125" s="10"/>
      <c r="M1125" s="10"/>
      <c r="N1125" s="10"/>
      <c r="O1125" s="21"/>
    </row>
    <row r="1126" spans="1:15" x14ac:dyDescent="0.35">
      <c r="A1126" s="15">
        <f t="shared" si="17"/>
        <v>1124</v>
      </c>
      <c r="B1126" s="16"/>
      <c r="C1126" s="19"/>
      <c r="D1126" s="10"/>
      <c r="E1126" s="10"/>
      <c r="F1126" s="47"/>
      <c r="G1126" s="10"/>
      <c r="H1126" s="20"/>
      <c r="I1126" s="20"/>
      <c r="J1126" s="10"/>
      <c r="K1126" s="10"/>
      <c r="L1126" s="10"/>
      <c r="M1126" s="10"/>
      <c r="N1126" s="10"/>
      <c r="O1126" s="21"/>
    </row>
    <row r="1127" spans="1:15" x14ac:dyDescent="0.35">
      <c r="A1127" s="15">
        <f t="shared" si="17"/>
        <v>1125</v>
      </c>
      <c r="B1127" s="16"/>
      <c r="C1127" s="19"/>
      <c r="D1127" s="10"/>
      <c r="E1127" s="10"/>
      <c r="F1127" s="47"/>
      <c r="G1127" s="10"/>
      <c r="H1127" s="20"/>
      <c r="I1127" s="20"/>
      <c r="J1127" s="10"/>
      <c r="K1127" s="10"/>
      <c r="L1127" s="10"/>
      <c r="M1127" s="10"/>
      <c r="N1127" s="10"/>
      <c r="O1127" s="21"/>
    </row>
    <row r="1128" spans="1:15" x14ac:dyDescent="0.35">
      <c r="A1128" s="15">
        <f t="shared" si="17"/>
        <v>1126</v>
      </c>
      <c r="B1128" s="16"/>
      <c r="C1128" s="19"/>
      <c r="D1128" s="10"/>
      <c r="E1128" s="10"/>
      <c r="F1128" s="47"/>
      <c r="G1128" s="10"/>
      <c r="H1128" s="20"/>
      <c r="I1128" s="20"/>
      <c r="J1128" s="10"/>
      <c r="K1128" s="10"/>
      <c r="L1128" s="10"/>
      <c r="M1128" s="10"/>
      <c r="N1128" s="10"/>
      <c r="O1128" s="21"/>
    </row>
    <row r="1129" spans="1:15" x14ac:dyDescent="0.35">
      <c r="A1129" s="15">
        <f t="shared" si="17"/>
        <v>1127</v>
      </c>
      <c r="B1129" s="16"/>
      <c r="C1129" s="19"/>
      <c r="D1129" s="10"/>
      <c r="E1129" s="10"/>
      <c r="F1129" s="47"/>
      <c r="G1129" s="10"/>
      <c r="H1129" s="20"/>
      <c r="I1129" s="20"/>
      <c r="J1129" s="10"/>
      <c r="K1129" s="10"/>
      <c r="L1129" s="10"/>
      <c r="M1129" s="10"/>
      <c r="N1129" s="10"/>
      <c r="O1129" s="21"/>
    </row>
    <row r="1130" spans="1:15" x14ac:dyDescent="0.35">
      <c r="A1130" s="15">
        <f t="shared" si="17"/>
        <v>1128</v>
      </c>
      <c r="B1130" s="16"/>
      <c r="C1130" s="19"/>
      <c r="D1130" s="10"/>
      <c r="E1130" s="10"/>
      <c r="F1130" s="47"/>
      <c r="G1130" s="10"/>
      <c r="H1130" s="20"/>
      <c r="I1130" s="20"/>
      <c r="J1130" s="10"/>
      <c r="K1130" s="10"/>
      <c r="L1130" s="10"/>
      <c r="M1130" s="10"/>
      <c r="N1130" s="10"/>
      <c r="O1130" s="21"/>
    </row>
    <row r="1131" spans="1:15" x14ac:dyDescent="0.35">
      <c r="A1131" s="15">
        <f t="shared" si="17"/>
        <v>1129</v>
      </c>
      <c r="B1131" s="16"/>
      <c r="C1131" s="19"/>
      <c r="D1131" s="10"/>
      <c r="E1131" s="10"/>
      <c r="F1131" s="47"/>
      <c r="G1131" s="10"/>
      <c r="H1131" s="20"/>
      <c r="I1131" s="20"/>
      <c r="J1131" s="10"/>
      <c r="K1131" s="10"/>
      <c r="L1131" s="10"/>
      <c r="M1131" s="10"/>
      <c r="N1131" s="10"/>
      <c r="O1131" s="21"/>
    </row>
    <row r="1132" spans="1:15" x14ac:dyDescent="0.35">
      <c r="A1132" s="15">
        <f t="shared" si="17"/>
        <v>1130</v>
      </c>
      <c r="B1132" s="16"/>
      <c r="C1132" s="19"/>
      <c r="D1132" s="10"/>
      <c r="E1132" s="10"/>
      <c r="F1132" s="47"/>
      <c r="G1132" s="10"/>
      <c r="H1132" s="20"/>
      <c r="I1132" s="20"/>
      <c r="J1132" s="10"/>
      <c r="K1132" s="10"/>
      <c r="L1132" s="10"/>
      <c r="M1132" s="10"/>
      <c r="N1132" s="10"/>
      <c r="O1132" s="21"/>
    </row>
    <row r="1133" spans="1:15" x14ac:dyDescent="0.35">
      <c r="A1133" s="15">
        <f t="shared" si="17"/>
        <v>1131</v>
      </c>
      <c r="B1133" s="16"/>
      <c r="C1133" s="19"/>
      <c r="D1133" s="10"/>
      <c r="E1133" s="10"/>
      <c r="F1133" s="47"/>
      <c r="G1133" s="10"/>
      <c r="H1133" s="20"/>
      <c r="I1133" s="20"/>
      <c r="J1133" s="10"/>
      <c r="K1133" s="10"/>
      <c r="L1133" s="10"/>
      <c r="M1133" s="10"/>
      <c r="N1133" s="10"/>
      <c r="O1133" s="21"/>
    </row>
    <row r="1134" spans="1:15" x14ac:dyDescent="0.35">
      <c r="A1134" s="15">
        <f t="shared" si="17"/>
        <v>1132</v>
      </c>
      <c r="B1134" s="16"/>
      <c r="C1134" s="19"/>
      <c r="D1134" s="10"/>
      <c r="E1134" s="10"/>
      <c r="F1134" s="47"/>
      <c r="G1134" s="10"/>
      <c r="H1134" s="20"/>
      <c r="I1134" s="20"/>
      <c r="J1134" s="10"/>
      <c r="K1134" s="10"/>
      <c r="L1134" s="10"/>
      <c r="M1134" s="10"/>
      <c r="N1134" s="10"/>
      <c r="O1134" s="21"/>
    </row>
    <row r="1135" spans="1:15" x14ac:dyDescent="0.35">
      <c r="A1135" s="15">
        <f t="shared" si="17"/>
        <v>1133</v>
      </c>
      <c r="B1135" s="16"/>
      <c r="C1135" s="19"/>
      <c r="D1135" s="10"/>
      <c r="E1135" s="10"/>
      <c r="F1135" s="47"/>
      <c r="G1135" s="10"/>
      <c r="H1135" s="20"/>
      <c r="I1135" s="20"/>
      <c r="J1135" s="10"/>
      <c r="K1135" s="10"/>
      <c r="L1135" s="10"/>
      <c r="M1135" s="10"/>
      <c r="N1135" s="10"/>
      <c r="O1135" s="21"/>
    </row>
    <row r="1136" spans="1:15" x14ac:dyDescent="0.35">
      <c r="A1136" s="15">
        <f t="shared" si="17"/>
        <v>1134</v>
      </c>
      <c r="B1136" s="16"/>
      <c r="C1136" s="19"/>
      <c r="D1136" s="10"/>
      <c r="E1136" s="10"/>
      <c r="F1136" s="47"/>
      <c r="G1136" s="10"/>
      <c r="H1136" s="20"/>
      <c r="I1136" s="20"/>
      <c r="J1136" s="10"/>
      <c r="K1136" s="10"/>
      <c r="L1136" s="10"/>
      <c r="M1136" s="10"/>
      <c r="N1136" s="10"/>
      <c r="O1136" s="21"/>
    </row>
    <row r="1137" spans="1:15" x14ac:dyDescent="0.35">
      <c r="A1137" s="15">
        <f t="shared" si="17"/>
        <v>1135</v>
      </c>
      <c r="B1137" s="16"/>
      <c r="C1137" s="19"/>
      <c r="D1137" s="10"/>
      <c r="E1137" s="10"/>
      <c r="F1137" s="47"/>
      <c r="G1137" s="10"/>
      <c r="H1137" s="20"/>
      <c r="I1137" s="20"/>
      <c r="J1137" s="10"/>
      <c r="K1137" s="10"/>
      <c r="L1137" s="10"/>
      <c r="M1137" s="10"/>
      <c r="N1137" s="10"/>
      <c r="O1137" s="21"/>
    </row>
    <row r="1138" spans="1:15" x14ac:dyDescent="0.35">
      <c r="A1138" s="15">
        <f t="shared" si="17"/>
        <v>1136</v>
      </c>
      <c r="B1138" s="16"/>
      <c r="C1138" s="19"/>
      <c r="D1138" s="10"/>
      <c r="E1138" s="10"/>
      <c r="F1138" s="47"/>
      <c r="G1138" s="10"/>
      <c r="H1138" s="20"/>
      <c r="I1138" s="20"/>
      <c r="J1138" s="10"/>
      <c r="K1138" s="10"/>
      <c r="L1138" s="10"/>
      <c r="M1138" s="10"/>
      <c r="N1138" s="10"/>
      <c r="O1138" s="21"/>
    </row>
    <row r="1139" spans="1:15" x14ac:dyDescent="0.35">
      <c r="A1139" s="15">
        <f t="shared" si="17"/>
        <v>1137</v>
      </c>
      <c r="B1139" s="16"/>
      <c r="C1139" s="19"/>
      <c r="D1139" s="10"/>
      <c r="E1139" s="10"/>
      <c r="F1139" s="47"/>
      <c r="G1139" s="10"/>
      <c r="H1139" s="20"/>
      <c r="I1139" s="20"/>
      <c r="J1139" s="10"/>
      <c r="K1139" s="10"/>
      <c r="L1139" s="10"/>
      <c r="M1139" s="10"/>
      <c r="N1139" s="10"/>
      <c r="O1139" s="21"/>
    </row>
    <row r="1140" spans="1:15" x14ac:dyDescent="0.35">
      <c r="A1140" s="15">
        <f t="shared" si="17"/>
        <v>1138</v>
      </c>
      <c r="B1140" s="16"/>
      <c r="C1140" s="19"/>
      <c r="D1140" s="10"/>
      <c r="E1140" s="10"/>
      <c r="F1140" s="47"/>
      <c r="G1140" s="10"/>
      <c r="H1140" s="20"/>
      <c r="I1140" s="20"/>
      <c r="J1140" s="10"/>
      <c r="K1140" s="10"/>
      <c r="L1140" s="10"/>
      <c r="M1140" s="10"/>
      <c r="N1140" s="10"/>
      <c r="O1140" s="21"/>
    </row>
    <row r="1141" spans="1:15" x14ac:dyDescent="0.35">
      <c r="A1141" s="15">
        <f t="shared" si="17"/>
        <v>1139</v>
      </c>
      <c r="B1141" s="16"/>
      <c r="C1141" s="19"/>
      <c r="D1141" s="10"/>
      <c r="E1141" s="10"/>
      <c r="F1141" s="47"/>
      <c r="G1141" s="10"/>
      <c r="H1141" s="20"/>
      <c r="I1141" s="20"/>
      <c r="J1141" s="10"/>
      <c r="K1141" s="10"/>
      <c r="L1141" s="10"/>
      <c r="M1141" s="10"/>
      <c r="N1141" s="10"/>
      <c r="O1141" s="21"/>
    </row>
    <row r="1142" spans="1:15" x14ac:dyDescent="0.35">
      <c r="A1142" s="15">
        <f t="shared" si="17"/>
        <v>1140</v>
      </c>
      <c r="B1142" s="16"/>
      <c r="C1142" s="19"/>
      <c r="D1142" s="10"/>
      <c r="E1142" s="10"/>
      <c r="F1142" s="47"/>
      <c r="G1142" s="10"/>
      <c r="H1142" s="20"/>
      <c r="I1142" s="20"/>
      <c r="J1142" s="10"/>
      <c r="K1142" s="10"/>
      <c r="L1142" s="10"/>
      <c r="M1142" s="10"/>
      <c r="N1142" s="10"/>
      <c r="O1142" s="21"/>
    </row>
    <row r="1143" spans="1:15" x14ac:dyDescent="0.35">
      <c r="A1143" s="15">
        <f t="shared" si="17"/>
        <v>1141</v>
      </c>
      <c r="B1143" s="16"/>
      <c r="C1143" s="19"/>
      <c r="D1143" s="10"/>
      <c r="E1143" s="10"/>
      <c r="F1143" s="47"/>
      <c r="G1143" s="10"/>
      <c r="H1143" s="20"/>
      <c r="I1143" s="20"/>
      <c r="J1143" s="10"/>
      <c r="K1143" s="10"/>
      <c r="L1143" s="10"/>
      <c r="M1143" s="10"/>
      <c r="N1143" s="10"/>
      <c r="O1143" s="21"/>
    </row>
    <row r="1144" spans="1:15" x14ac:dyDescent="0.35">
      <c r="A1144" s="15">
        <f t="shared" si="17"/>
        <v>1142</v>
      </c>
      <c r="B1144" s="16"/>
      <c r="C1144" s="19"/>
      <c r="D1144" s="10"/>
      <c r="E1144" s="10"/>
      <c r="F1144" s="47"/>
      <c r="G1144" s="10"/>
      <c r="H1144" s="20"/>
      <c r="I1144" s="20"/>
      <c r="J1144" s="10"/>
      <c r="K1144" s="10"/>
      <c r="L1144" s="10"/>
      <c r="M1144" s="10"/>
      <c r="N1144" s="10"/>
      <c r="O1144" s="21"/>
    </row>
    <row r="1145" spans="1:15" x14ac:dyDescent="0.35">
      <c r="A1145" s="15">
        <f t="shared" si="17"/>
        <v>1143</v>
      </c>
      <c r="B1145" s="16"/>
      <c r="C1145" s="19"/>
      <c r="D1145" s="10"/>
      <c r="E1145" s="10"/>
      <c r="F1145" s="47"/>
      <c r="G1145" s="10"/>
      <c r="H1145" s="20"/>
      <c r="I1145" s="20"/>
      <c r="J1145" s="10"/>
      <c r="K1145" s="10"/>
      <c r="L1145" s="10"/>
      <c r="M1145" s="10"/>
      <c r="N1145" s="10"/>
      <c r="O1145" s="21"/>
    </row>
    <row r="1146" spans="1:15" x14ac:dyDescent="0.35">
      <c r="A1146" s="15">
        <f t="shared" si="17"/>
        <v>1144</v>
      </c>
      <c r="B1146" s="16"/>
      <c r="C1146" s="19"/>
      <c r="D1146" s="10"/>
      <c r="E1146" s="10"/>
      <c r="F1146" s="47"/>
      <c r="G1146" s="10"/>
      <c r="H1146" s="20"/>
      <c r="I1146" s="20"/>
      <c r="J1146" s="10"/>
      <c r="K1146" s="10"/>
      <c r="L1146" s="10"/>
      <c r="M1146" s="10"/>
      <c r="N1146" s="10"/>
      <c r="O1146" s="21"/>
    </row>
    <row r="1147" spans="1:15" x14ac:dyDescent="0.35">
      <c r="A1147" s="15">
        <f t="shared" si="17"/>
        <v>1145</v>
      </c>
      <c r="B1147" s="16"/>
      <c r="C1147" s="19"/>
      <c r="D1147" s="10"/>
      <c r="E1147" s="10"/>
      <c r="F1147" s="47"/>
      <c r="G1147" s="10"/>
      <c r="H1147" s="20"/>
      <c r="I1147" s="20"/>
      <c r="J1147" s="10"/>
      <c r="K1147" s="10"/>
      <c r="L1147" s="10"/>
      <c r="M1147" s="10"/>
      <c r="N1147" s="10"/>
      <c r="O1147" s="21"/>
    </row>
    <row r="1148" spans="1:15" x14ac:dyDescent="0.35">
      <c r="A1148" s="15">
        <f t="shared" si="17"/>
        <v>1146</v>
      </c>
      <c r="B1148" s="16"/>
      <c r="C1148" s="19"/>
      <c r="D1148" s="10"/>
      <c r="E1148" s="10"/>
      <c r="F1148" s="47"/>
      <c r="G1148" s="10"/>
      <c r="H1148" s="20"/>
      <c r="I1148" s="20"/>
      <c r="J1148" s="10"/>
      <c r="K1148" s="10"/>
      <c r="L1148" s="10"/>
      <c r="M1148" s="10"/>
      <c r="N1148" s="10"/>
      <c r="O1148" s="21"/>
    </row>
    <row r="1149" spans="1:15" x14ac:dyDescent="0.35">
      <c r="A1149" s="15">
        <f t="shared" si="17"/>
        <v>1147</v>
      </c>
      <c r="B1149" s="16"/>
      <c r="C1149" s="19"/>
      <c r="D1149" s="10"/>
      <c r="E1149" s="10"/>
      <c r="F1149" s="47"/>
      <c r="G1149" s="10"/>
      <c r="H1149" s="20"/>
      <c r="I1149" s="20"/>
      <c r="J1149" s="10"/>
      <c r="K1149" s="10"/>
      <c r="L1149" s="10"/>
      <c r="M1149" s="10"/>
      <c r="N1149" s="10"/>
      <c r="O1149" s="21"/>
    </row>
    <row r="1150" spans="1:15" x14ac:dyDescent="0.35">
      <c r="A1150" s="15">
        <f t="shared" si="17"/>
        <v>1148</v>
      </c>
      <c r="B1150" s="16"/>
      <c r="C1150" s="19"/>
      <c r="D1150" s="10"/>
      <c r="E1150" s="10"/>
      <c r="F1150" s="47"/>
      <c r="G1150" s="10"/>
      <c r="H1150" s="20"/>
      <c r="I1150" s="20"/>
      <c r="J1150" s="10"/>
      <c r="K1150" s="10"/>
      <c r="L1150" s="10"/>
      <c r="M1150" s="10"/>
      <c r="N1150" s="10"/>
      <c r="O1150" s="21"/>
    </row>
    <row r="1151" spans="1:15" x14ac:dyDescent="0.35">
      <c r="A1151" s="15">
        <f t="shared" si="17"/>
        <v>1149</v>
      </c>
      <c r="B1151" s="16"/>
      <c r="C1151" s="19"/>
      <c r="D1151" s="10"/>
      <c r="E1151" s="10"/>
      <c r="F1151" s="47"/>
      <c r="G1151" s="10"/>
      <c r="H1151" s="20"/>
      <c r="I1151" s="20"/>
      <c r="J1151" s="10"/>
      <c r="K1151" s="10"/>
      <c r="L1151" s="10"/>
      <c r="M1151" s="10"/>
      <c r="N1151" s="10"/>
      <c r="O1151" s="21"/>
    </row>
    <row r="1152" spans="1:15" x14ac:dyDescent="0.35">
      <c r="A1152" s="15">
        <f t="shared" si="17"/>
        <v>1150</v>
      </c>
      <c r="B1152" s="16"/>
      <c r="C1152" s="19"/>
      <c r="D1152" s="10"/>
      <c r="E1152" s="10"/>
      <c r="F1152" s="47"/>
      <c r="G1152" s="10"/>
      <c r="H1152" s="20"/>
      <c r="I1152" s="20"/>
      <c r="J1152" s="10"/>
      <c r="K1152" s="10"/>
      <c r="L1152" s="10"/>
      <c r="M1152" s="10"/>
      <c r="N1152" s="10"/>
      <c r="O1152" s="21"/>
    </row>
    <row r="1153" spans="1:15" x14ac:dyDescent="0.35">
      <c r="A1153" s="15">
        <f t="shared" si="17"/>
        <v>1151</v>
      </c>
      <c r="B1153" s="16"/>
      <c r="C1153" s="19"/>
      <c r="D1153" s="10"/>
      <c r="E1153" s="10"/>
      <c r="F1153" s="47"/>
      <c r="G1153" s="10"/>
      <c r="H1153" s="20"/>
      <c r="I1153" s="20"/>
      <c r="J1153" s="10"/>
      <c r="K1153" s="10"/>
      <c r="L1153" s="10"/>
      <c r="M1153" s="10"/>
      <c r="N1153" s="10"/>
      <c r="O1153" s="21"/>
    </row>
    <row r="1154" spans="1:15" x14ac:dyDescent="0.35">
      <c r="A1154" s="15">
        <f t="shared" si="17"/>
        <v>1152</v>
      </c>
      <c r="B1154" s="16"/>
      <c r="C1154" s="19"/>
      <c r="D1154" s="10"/>
      <c r="E1154" s="10"/>
      <c r="F1154" s="47"/>
      <c r="G1154" s="10"/>
      <c r="H1154" s="20"/>
      <c r="I1154" s="20"/>
      <c r="J1154" s="10"/>
      <c r="K1154" s="10"/>
      <c r="L1154" s="10"/>
      <c r="M1154" s="10"/>
      <c r="N1154" s="10"/>
      <c r="O1154" s="21"/>
    </row>
    <row r="1155" spans="1:15" x14ac:dyDescent="0.35">
      <c r="A1155" s="15">
        <f t="shared" si="17"/>
        <v>1153</v>
      </c>
      <c r="B1155" s="16"/>
      <c r="C1155" s="19"/>
      <c r="D1155" s="10"/>
      <c r="E1155" s="10"/>
      <c r="F1155" s="47"/>
      <c r="G1155" s="10"/>
      <c r="H1155" s="20"/>
      <c r="I1155" s="20"/>
      <c r="J1155" s="10"/>
      <c r="K1155" s="10"/>
      <c r="L1155" s="10"/>
      <c r="M1155" s="10"/>
      <c r="N1155" s="10"/>
      <c r="O1155" s="21"/>
    </row>
    <row r="1156" spans="1:15" x14ac:dyDescent="0.35">
      <c r="A1156" s="15">
        <f t="shared" si="17"/>
        <v>1154</v>
      </c>
      <c r="B1156" s="16"/>
      <c r="C1156" s="19"/>
      <c r="D1156" s="10"/>
      <c r="E1156" s="10"/>
      <c r="F1156" s="47"/>
      <c r="G1156" s="10"/>
      <c r="H1156" s="20"/>
      <c r="I1156" s="20"/>
      <c r="J1156" s="10"/>
      <c r="K1156" s="10"/>
      <c r="L1156" s="10"/>
      <c r="M1156" s="10"/>
      <c r="N1156" s="10"/>
      <c r="O1156" s="21"/>
    </row>
    <row r="1157" spans="1:15" x14ac:dyDescent="0.35">
      <c r="A1157" s="15">
        <f t="shared" si="17"/>
        <v>1155</v>
      </c>
      <c r="B1157" s="16"/>
      <c r="C1157" s="19"/>
      <c r="D1157" s="10"/>
      <c r="E1157" s="10"/>
      <c r="F1157" s="47"/>
      <c r="G1157" s="10"/>
      <c r="H1157" s="20"/>
      <c r="I1157" s="20"/>
      <c r="J1157" s="10"/>
      <c r="K1157" s="10"/>
      <c r="L1157" s="10"/>
      <c r="M1157" s="10"/>
      <c r="N1157" s="10"/>
      <c r="O1157" s="21"/>
    </row>
    <row r="1158" spans="1:15" x14ac:dyDescent="0.35">
      <c r="A1158" s="15">
        <f t="shared" si="17"/>
        <v>1156</v>
      </c>
      <c r="B1158" s="16"/>
      <c r="C1158" s="19"/>
      <c r="D1158" s="10"/>
      <c r="E1158" s="10"/>
      <c r="F1158" s="47"/>
      <c r="G1158" s="10"/>
      <c r="H1158" s="20"/>
      <c r="I1158" s="20"/>
      <c r="J1158" s="10"/>
      <c r="K1158" s="10"/>
      <c r="L1158" s="10"/>
      <c r="M1158" s="10"/>
      <c r="N1158" s="10"/>
      <c r="O1158" s="21"/>
    </row>
    <row r="1159" spans="1:15" x14ac:dyDescent="0.35">
      <c r="A1159" s="15">
        <f t="shared" si="17"/>
        <v>1157</v>
      </c>
      <c r="B1159" s="16"/>
      <c r="C1159" s="19"/>
      <c r="D1159" s="10"/>
      <c r="E1159" s="10"/>
      <c r="F1159" s="47"/>
      <c r="G1159" s="10"/>
      <c r="H1159" s="20"/>
      <c r="I1159" s="20"/>
      <c r="J1159" s="10"/>
      <c r="K1159" s="10"/>
      <c r="L1159" s="10"/>
      <c r="M1159" s="10"/>
      <c r="N1159" s="10"/>
      <c r="O1159" s="21"/>
    </row>
    <row r="1160" spans="1:15" x14ac:dyDescent="0.35">
      <c r="A1160" s="15">
        <f t="shared" si="17"/>
        <v>1158</v>
      </c>
      <c r="B1160" s="16"/>
      <c r="C1160" s="19"/>
      <c r="D1160" s="10"/>
      <c r="E1160" s="10"/>
      <c r="F1160" s="47"/>
      <c r="G1160" s="10"/>
      <c r="H1160" s="20"/>
      <c r="I1160" s="20"/>
      <c r="J1160" s="10"/>
      <c r="K1160" s="10"/>
      <c r="L1160" s="10"/>
      <c r="M1160" s="10"/>
      <c r="N1160" s="10"/>
      <c r="O1160" s="21"/>
    </row>
    <row r="1161" spans="1:15" x14ac:dyDescent="0.35">
      <c r="A1161" s="15">
        <f t="shared" si="17"/>
        <v>1159</v>
      </c>
      <c r="B1161" s="16"/>
      <c r="C1161" s="19"/>
      <c r="D1161" s="10"/>
      <c r="E1161" s="10"/>
      <c r="F1161" s="47"/>
      <c r="G1161" s="10"/>
      <c r="H1161" s="20"/>
      <c r="I1161" s="20"/>
      <c r="J1161" s="10"/>
      <c r="K1161" s="10"/>
      <c r="L1161" s="10"/>
      <c r="M1161" s="10"/>
      <c r="N1161" s="10"/>
      <c r="O1161" s="21"/>
    </row>
    <row r="1162" spans="1:15" x14ac:dyDescent="0.35">
      <c r="A1162" s="15">
        <f t="shared" si="17"/>
        <v>1160</v>
      </c>
      <c r="B1162" s="16"/>
      <c r="C1162" s="19"/>
      <c r="D1162" s="10"/>
      <c r="E1162" s="10"/>
      <c r="F1162" s="47"/>
      <c r="G1162" s="10"/>
      <c r="H1162" s="20"/>
      <c r="I1162" s="20"/>
      <c r="J1162" s="10"/>
      <c r="K1162" s="10"/>
      <c r="L1162" s="10"/>
      <c r="M1162" s="10"/>
      <c r="N1162" s="10"/>
      <c r="O1162" s="21"/>
    </row>
    <row r="1163" spans="1:15" x14ac:dyDescent="0.35">
      <c r="A1163" s="15">
        <f t="shared" ref="A1163:A1226" si="18">+A1162+1</f>
        <v>1161</v>
      </c>
      <c r="B1163" s="16"/>
      <c r="C1163" s="19"/>
      <c r="D1163" s="10"/>
      <c r="E1163" s="10"/>
      <c r="F1163" s="47"/>
      <c r="G1163" s="10"/>
      <c r="H1163" s="20"/>
      <c r="I1163" s="20"/>
      <c r="J1163" s="10"/>
      <c r="K1163" s="10"/>
      <c r="L1163" s="10"/>
      <c r="M1163" s="10"/>
      <c r="N1163" s="10"/>
      <c r="O1163" s="21"/>
    </row>
    <row r="1164" spans="1:15" x14ac:dyDescent="0.35">
      <c r="A1164" s="15">
        <f t="shared" si="18"/>
        <v>1162</v>
      </c>
      <c r="B1164" s="16"/>
      <c r="C1164" s="19"/>
      <c r="D1164" s="10"/>
      <c r="E1164" s="10"/>
      <c r="F1164" s="47"/>
      <c r="G1164" s="10"/>
      <c r="H1164" s="20"/>
      <c r="I1164" s="20"/>
      <c r="J1164" s="10"/>
      <c r="K1164" s="10"/>
      <c r="L1164" s="10"/>
      <c r="M1164" s="10"/>
      <c r="N1164" s="10"/>
      <c r="O1164" s="21"/>
    </row>
    <row r="1165" spans="1:15" x14ac:dyDescent="0.35">
      <c r="A1165" s="15">
        <f t="shared" si="18"/>
        <v>1163</v>
      </c>
      <c r="B1165" s="16"/>
      <c r="C1165" s="19"/>
      <c r="D1165" s="10"/>
      <c r="E1165" s="10"/>
      <c r="F1165" s="47"/>
      <c r="G1165" s="10"/>
      <c r="H1165" s="20"/>
      <c r="I1165" s="20"/>
      <c r="J1165" s="10"/>
      <c r="K1165" s="10"/>
      <c r="L1165" s="10"/>
      <c r="M1165" s="10"/>
      <c r="N1165" s="10"/>
      <c r="O1165" s="21"/>
    </row>
    <row r="1166" spans="1:15" x14ac:dyDescent="0.35">
      <c r="A1166" s="15">
        <f t="shared" si="18"/>
        <v>1164</v>
      </c>
      <c r="B1166" s="16"/>
      <c r="C1166" s="19"/>
      <c r="D1166" s="10"/>
      <c r="E1166" s="10"/>
      <c r="F1166" s="47"/>
      <c r="G1166" s="10"/>
      <c r="H1166" s="20"/>
      <c r="I1166" s="20"/>
      <c r="J1166" s="10"/>
      <c r="K1166" s="10"/>
      <c r="L1166" s="10"/>
      <c r="M1166" s="10"/>
      <c r="N1166" s="10"/>
      <c r="O1166" s="21"/>
    </row>
    <row r="1167" spans="1:15" x14ac:dyDescent="0.35">
      <c r="A1167" s="15">
        <f t="shared" si="18"/>
        <v>1165</v>
      </c>
      <c r="B1167" s="16"/>
      <c r="C1167" s="19"/>
      <c r="D1167" s="10"/>
      <c r="E1167" s="10"/>
      <c r="F1167" s="47"/>
      <c r="G1167" s="10"/>
      <c r="H1167" s="20"/>
      <c r="I1167" s="20"/>
      <c r="J1167" s="10"/>
      <c r="K1167" s="10"/>
      <c r="L1167" s="10"/>
      <c r="M1167" s="10"/>
      <c r="N1167" s="10"/>
      <c r="O1167" s="21"/>
    </row>
    <row r="1168" spans="1:15" x14ac:dyDescent="0.35">
      <c r="A1168" s="15">
        <f t="shared" si="18"/>
        <v>1166</v>
      </c>
      <c r="B1168" s="16"/>
      <c r="C1168" s="19"/>
      <c r="D1168" s="10"/>
      <c r="E1168" s="10"/>
      <c r="F1168" s="47"/>
      <c r="G1168" s="10"/>
      <c r="H1168" s="20"/>
      <c r="I1168" s="20"/>
      <c r="J1168" s="10"/>
      <c r="K1168" s="10"/>
      <c r="L1168" s="10"/>
      <c r="M1168" s="10"/>
      <c r="N1168" s="10"/>
      <c r="O1168" s="21"/>
    </row>
    <row r="1169" spans="1:15" x14ac:dyDescent="0.35">
      <c r="A1169" s="15">
        <f t="shared" si="18"/>
        <v>1167</v>
      </c>
      <c r="B1169" s="16"/>
      <c r="C1169" s="19"/>
      <c r="D1169" s="10"/>
      <c r="E1169" s="10"/>
      <c r="F1169" s="47"/>
      <c r="G1169" s="10"/>
      <c r="H1169" s="20"/>
      <c r="I1169" s="20"/>
      <c r="J1169" s="10"/>
      <c r="K1169" s="10"/>
      <c r="L1169" s="10"/>
      <c r="M1169" s="10"/>
      <c r="N1169" s="10"/>
      <c r="O1169" s="21"/>
    </row>
    <row r="1170" spans="1:15" x14ac:dyDescent="0.35">
      <c r="A1170" s="15">
        <f t="shared" si="18"/>
        <v>1168</v>
      </c>
      <c r="B1170" s="16"/>
      <c r="C1170" s="19"/>
      <c r="D1170" s="10"/>
      <c r="E1170" s="10"/>
      <c r="F1170" s="47"/>
      <c r="G1170" s="10"/>
      <c r="H1170" s="20"/>
      <c r="I1170" s="20"/>
      <c r="J1170" s="10"/>
      <c r="K1170" s="10"/>
      <c r="L1170" s="10"/>
      <c r="M1170" s="10"/>
      <c r="N1170" s="10"/>
      <c r="O1170" s="21"/>
    </row>
    <row r="1171" spans="1:15" x14ac:dyDescent="0.35">
      <c r="A1171" s="15">
        <f t="shared" si="18"/>
        <v>1169</v>
      </c>
      <c r="B1171" s="16"/>
      <c r="C1171" s="19"/>
      <c r="D1171" s="10"/>
      <c r="E1171" s="10"/>
      <c r="F1171" s="47"/>
      <c r="G1171" s="10"/>
      <c r="H1171" s="20"/>
      <c r="I1171" s="20"/>
      <c r="J1171" s="10"/>
      <c r="K1171" s="10"/>
      <c r="L1171" s="10"/>
      <c r="M1171" s="10"/>
      <c r="N1171" s="10"/>
      <c r="O1171" s="21"/>
    </row>
    <row r="1172" spans="1:15" x14ac:dyDescent="0.35">
      <c r="A1172" s="15">
        <f t="shared" si="18"/>
        <v>1170</v>
      </c>
      <c r="B1172" s="16"/>
      <c r="C1172" s="19"/>
      <c r="D1172" s="10"/>
      <c r="E1172" s="10"/>
      <c r="F1172" s="47"/>
      <c r="G1172" s="10"/>
      <c r="H1172" s="20"/>
      <c r="I1172" s="20"/>
      <c r="J1172" s="10"/>
      <c r="K1172" s="10"/>
      <c r="L1172" s="10"/>
      <c r="M1172" s="10"/>
      <c r="N1172" s="10"/>
      <c r="O1172" s="21"/>
    </row>
    <row r="1173" spans="1:15" x14ac:dyDescent="0.35">
      <c r="A1173" s="15">
        <f t="shared" si="18"/>
        <v>1171</v>
      </c>
      <c r="B1173" s="16"/>
      <c r="C1173" s="19"/>
      <c r="D1173" s="10"/>
      <c r="E1173" s="10"/>
      <c r="F1173" s="47"/>
      <c r="G1173" s="10"/>
      <c r="H1173" s="20"/>
      <c r="I1173" s="20"/>
      <c r="J1173" s="10"/>
      <c r="K1173" s="10"/>
      <c r="L1173" s="10"/>
      <c r="M1173" s="10"/>
      <c r="N1173" s="10"/>
      <c r="O1173" s="21"/>
    </row>
    <row r="1174" spans="1:15" x14ac:dyDescent="0.35">
      <c r="A1174" s="15">
        <f t="shared" si="18"/>
        <v>1172</v>
      </c>
      <c r="B1174" s="16"/>
      <c r="C1174" s="19"/>
      <c r="D1174" s="10"/>
      <c r="E1174" s="10"/>
      <c r="F1174" s="47"/>
      <c r="G1174" s="10"/>
      <c r="H1174" s="20"/>
      <c r="I1174" s="20"/>
      <c r="J1174" s="10"/>
      <c r="K1174" s="10"/>
      <c r="L1174" s="10"/>
      <c r="M1174" s="10"/>
      <c r="N1174" s="10"/>
      <c r="O1174" s="21"/>
    </row>
    <row r="1175" spans="1:15" x14ac:dyDescent="0.35">
      <c r="A1175" s="15">
        <f t="shared" si="18"/>
        <v>1173</v>
      </c>
      <c r="B1175" s="16"/>
      <c r="C1175" s="19"/>
      <c r="D1175" s="10"/>
      <c r="E1175" s="10"/>
      <c r="F1175" s="47"/>
      <c r="G1175" s="10"/>
      <c r="H1175" s="20"/>
      <c r="I1175" s="20"/>
      <c r="J1175" s="10"/>
      <c r="K1175" s="10"/>
      <c r="L1175" s="10"/>
      <c r="M1175" s="10"/>
      <c r="N1175" s="10"/>
      <c r="O1175" s="21"/>
    </row>
    <row r="1176" spans="1:15" x14ac:dyDescent="0.35">
      <c r="A1176" s="15">
        <f t="shared" si="18"/>
        <v>1174</v>
      </c>
      <c r="B1176" s="16"/>
      <c r="C1176" s="19"/>
      <c r="D1176" s="10"/>
      <c r="E1176" s="10"/>
      <c r="F1176" s="47"/>
      <c r="G1176" s="10"/>
      <c r="H1176" s="20"/>
      <c r="I1176" s="20"/>
      <c r="J1176" s="10"/>
      <c r="K1176" s="10"/>
      <c r="L1176" s="10"/>
      <c r="M1176" s="10"/>
      <c r="N1176" s="10"/>
      <c r="O1176" s="21"/>
    </row>
    <row r="1177" spans="1:15" x14ac:dyDescent="0.35">
      <c r="A1177" s="15">
        <f t="shared" si="18"/>
        <v>1175</v>
      </c>
      <c r="B1177" s="16"/>
      <c r="C1177" s="19"/>
      <c r="D1177" s="10"/>
      <c r="E1177" s="10"/>
      <c r="F1177" s="47"/>
      <c r="G1177" s="10"/>
      <c r="H1177" s="20"/>
      <c r="I1177" s="20"/>
      <c r="J1177" s="10"/>
      <c r="K1177" s="10"/>
      <c r="L1177" s="10"/>
      <c r="M1177" s="10"/>
      <c r="N1177" s="10"/>
      <c r="O1177" s="21"/>
    </row>
    <row r="1178" spans="1:15" x14ac:dyDescent="0.35">
      <c r="A1178" s="15">
        <f t="shared" si="18"/>
        <v>1176</v>
      </c>
      <c r="B1178" s="16"/>
      <c r="C1178" s="19"/>
      <c r="D1178" s="10"/>
      <c r="E1178" s="10"/>
      <c r="F1178" s="47"/>
      <c r="G1178" s="10"/>
      <c r="H1178" s="20"/>
      <c r="I1178" s="20"/>
      <c r="J1178" s="10"/>
      <c r="K1178" s="10"/>
      <c r="L1178" s="10"/>
      <c r="M1178" s="10"/>
      <c r="N1178" s="10"/>
      <c r="O1178" s="21"/>
    </row>
    <row r="1179" spans="1:15" x14ac:dyDescent="0.35">
      <c r="A1179" s="15">
        <f t="shared" si="18"/>
        <v>1177</v>
      </c>
      <c r="B1179" s="16"/>
      <c r="C1179" s="19"/>
      <c r="D1179" s="10"/>
      <c r="E1179" s="10"/>
      <c r="F1179" s="47"/>
      <c r="G1179" s="10"/>
      <c r="H1179" s="20"/>
      <c r="I1179" s="20"/>
      <c r="J1179" s="10"/>
      <c r="K1179" s="10"/>
      <c r="L1179" s="10"/>
      <c r="M1179" s="10"/>
      <c r="N1179" s="10"/>
      <c r="O1179" s="21"/>
    </row>
    <row r="1180" spans="1:15" x14ac:dyDescent="0.35">
      <c r="A1180" s="15">
        <f t="shared" si="18"/>
        <v>1178</v>
      </c>
      <c r="B1180" s="16"/>
      <c r="C1180" s="19"/>
      <c r="D1180" s="10"/>
      <c r="E1180" s="10"/>
      <c r="F1180" s="47"/>
      <c r="G1180" s="10"/>
      <c r="H1180" s="20"/>
      <c r="I1180" s="20"/>
      <c r="J1180" s="10"/>
      <c r="K1180" s="10"/>
      <c r="L1180" s="10"/>
      <c r="M1180" s="10"/>
      <c r="N1180" s="10"/>
      <c r="O1180" s="21"/>
    </row>
    <row r="1181" spans="1:15" x14ac:dyDescent="0.35">
      <c r="A1181" s="15">
        <f t="shared" si="18"/>
        <v>1179</v>
      </c>
      <c r="B1181" s="16"/>
      <c r="C1181" s="19"/>
      <c r="D1181" s="10"/>
      <c r="E1181" s="10"/>
      <c r="F1181" s="47"/>
      <c r="G1181" s="10"/>
      <c r="H1181" s="20"/>
      <c r="I1181" s="20"/>
      <c r="J1181" s="10"/>
      <c r="K1181" s="10"/>
      <c r="L1181" s="10"/>
      <c r="M1181" s="10"/>
      <c r="N1181" s="10"/>
      <c r="O1181" s="21"/>
    </row>
    <row r="1182" spans="1:15" x14ac:dyDescent="0.35">
      <c r="A1182" s="15">
        <f t="shared" si="18"/>
        <v>1180</v>
      </c>
      <c r="B1182" s="16"/>
      <c r="C1182" s="19"/>
      <c r="D1182" s="10"/>
      <c r="E1182" s="10"/>
      <c r="F1182" s="47"/>
      <c r="G1182" s="10"/>
      <c r="H1182" s="20"/>
      <c r="I1182" s="20"/>
      <c r="J1182" s="10"/>
      <c r="K1182" s="10"/>
      <c r="L1182" s="10"/>
      <c r="M1182" s="10"/>
      <c r="N1182" s="10"/>
      <c r="O1182" s="21"/>
    </row>
    <row r="1183" spans="1:15" x14ac:dyDescent="0.35">
      <c r="A1183" s="15">
        <f t="shared" si="18"/>
        <v>1181</v>
      </c>
      <c r="B1183" s="16"/>
      <c r="C1183" s="19"/>
      <c r="D1183" s="10"/>
      <c r="E1183" s="10"/>
      <c r="F1183" s="47"/>
      <c r="G1183" s="10"/>
      <c r="H1183" s="20"/>
      <c r="I1183" s="20"/>
      <c r="J1183" s="10"/>
      <c r="K1183" s="10"/>
      <c r="L1183" s="10"/>
      <c r="M1183" s="10"/>
      <c r="N1183" s="10"/>
      <c r="O1183" s="21"/>
    </row>
    <row r="1184" spans="1:15" x14ac:dyDescent="0.35">
      <c r="A1184" s="15">
        <f t="shared" si="18"/>
        <v>1182</v>
      </c>
      <c r="B1184" s="16"/>
      <c r="C1184" s="19"/>
      <c r="D1184" s="10"/>
      <c r="E1184" s="10"/>
      <c r="F1184" s="47"/>
      <c r="G1184" s="10"/>
      <c r="H1184" s="20"/>
      <c r="I1184" s="20"/>
      <c r="J1184" s="10"/>
      <c r="K1184" s="10"/>
      <c r="L1184" s="10"/>
      <c r="M1184" s="10"/>
      <c r="N1184" s="10"/>
      <c r="O1184" s="21"/>
    </row>
    <row r="1185" spans="1:15" x14ac:dyDescent="0.35">
      <c r="A1185" s="15">
        <f t="shared" si="18"/>
        <v>1183</v>
      </c>
      <c r="B1185" s="16"/>
      <c r="C1185" s="19"/>
      <c r="D1185" s="10"/>
      <c r="E1185" s="10"/>
      <c r="F1185" s="47"/>
      <c r="G1185" s="10"/>
      <c r="H1185" s="20"/>
      <c r="I1185" s="20"/>
      <c r="J1185" s="10"/>
      <c r="K1185" s="10"/>
      <c r="L1185" s="10"/>
      <c r="M1185" s="10"/>
      <c r="N1185" s="10"/>
      <c r="O1185" s="21"/>
    </row>
    <row r="1186" spans="1:15" x14ac:dyDescent="0.35">
      <c r="A1186" s="15">
        <f t="shared" si="18"/>
        <v>1184</v>
      </c>
      <c r="B1186" s="16"/>
      <c r="C1186" s="19"/>
      <c r="D1186" s="10"/>
      <c r="E1186" s="10"/>
      <c r="F1186" s="47"/>
      <c r="G1186" s="10"/>
      <c r="H1186" s="20"/>
      <c r="I1186" s="20"/>
      <c r="J1186" s="10"/>
      <c r="K1186" s="10"/>
      <c r="L1186" s="10"/>
      <c r="M1186" s="10"/>
      <c r="N1186" s="10"/>
      <c r="O1186" s="21"/>
    </row>
    <row r="1187" spans="1:15" x14ac:dyDescent="0.35">
      <c r="A1187" s="15">
        <f t="shared" si="18"/>
        <v>1185</v>
      </c>
      <c r="B1187" s="16"/>
      <c r="C1187" s="19"/>
      <c r="D1187" s="10"/>
      <c r="E1187" s="10"/>
      <c r="F1187" s="47"/>
      <c r="G1187" s="10"/>
      <c r="H1187" s="20"/>
      <c r="I1187" s="20"/>
      <c r="J1187" s="10"/>
      <c r="K1187" s="10"/>
      <c r="L1187" s="10"/>
      <c r="M1187" s="10"/>
      <c r="N1187" s="10"/>
      <c r="O1187" s="21"/>
    </row>
    <row r="1188" spans="1:15" x14ac:dyDescent="0.35">
      <c r="A1188" s="15">
        <f t="shared" si="18"/>
        <v>1186</v>
      </c>
      <c r="B1188" s="16"/>
      <c r="C1188" s="19"/>
      <c r="D1188" s="10"/>
      <c r="E1188" s="10"/>
      <c r="F1188" s="47"/>
      <c r="G1188" s="10"/>
      <c r="H1188" s="20"/>
      <c r="I1188" s="20"/>
      <c r="J1188" s="10"/>
      <c r="K1188" s="10"/>
      <c r="L1188" s="10"/>
      <c r="M1188" s="10"/>
      <c r="N1188" s="10"/>
      <c r="O1188" s="21"/>
    </row>
    <row r="1189" spans="1:15" x14ac:dyDescent="0.35">
      <c r="A1189" s="15">
        <f t="shared" si="18"/>
        <v>1187</v>
      </c>
      <c r="B1189" s="16"/>
      <c r="C1189" s="19"/>
      <c r="D1189" s="10"/>
      <c r="E1189" s="10"/>
      <c r="F1189" s="47"/>
      <c r="G1189" s="10"/>
      <c r="H1189" s="20"/>
      <c r="I1189" s="20"/>
      <c r="J1189" s="10"/>
      <c r="K1189" s="10"/>
      <c r="L1189" s="10"/>
      <c r="M1189" s="10"/>
      <c r="N1189" s="10"/>
      <c r="O1189" s="21"/>
    </row>
    <row r="1190" spans="1:15" x14ac:dyDescent="0.35">
      <c r="A1190" s="15">
        <f t="shared" si="18"/>
        <v>1188</v>
      </c>
      <c r="B1190" s="16"/>
      <c r="C1190" s="19"/>
      <c r="D1190" s="10"/>
      <c r="E1190" s="10"/>
      <c r="F1190" s="47"/>
      <c r="G1190" s="10"/>
      <c r="H1190" s="20"/>
      <c r="I1190" s="20"/>
      <c r="J1190" s="10"/>
      <c r="K1190" s="10"/>
      <c r="L1190" s="10"/>
      <c r="M1190" s="10"/>
      <c r="N1190" s="10"/>
      <c r="O1190" s="21"/>
    </row>
    <row r="1191" spans="1:15" x14ac:dyDescent="0.35">
      <c r="A1191" s="15">
        <f t="shared" si="18"/>
        <v>1189</v>
      </c>
      <c r="B1191" s="16"/>
      <c r="C1191" s="19"/>
      <c r="D1191" s="10"/>
      <c r="E1191" s="10"/>
      <c r="F1191" s="47"/>
      <c r="G1191" s="10"/>
      <c r="H1191" s="20"/>
      <c r="I1191" s="20"/>
      <c r="J1191" s="10"/>
      <c r="K1191" s="10"/>
      <c r="L1191" s="10"/>
      <c r="M1191" s="10"/>
      <c r="N1191" s="10"/>
      <c r="O1191" s="21"/>
    </row>
    <row r="1192" spans="1:15" x14ac:dyDescent="0.35">
      <c r="A1192" s="15">
        <f t="shared" si="18"/>
        <v>1190</v>
      </c>
      <c r="B1192" s="16"/>
      <c r="C1192" s="19"/>
      <c r="D1192" s="10"/>
      <c r="E1192" s="10"/>
      <c r="F1192" s="47"/>
      <c r="G1192" s="10"/>
      <c r="H1192" s="20"/>
      <c r="I1192" s="20"/>
      <c r="J1192" s="10"/>
      <c r="K1192" s="10"/>
      <c r="L1192" s="10"/>
      <c r="M1192" s="10"/>
      <c r="N1192" s="10"/>
      <c r="O1192" s="21"/>
    </row>
    <row r="1193" spans="1:15" x14ac:dyDescent="0.35">
      <c r="A1193" s="15">
        <f t="shared" si="18"/>
        <v>1191</v>
      </c>
      <c r="B1193" s="16"/>
      <c r="C1193" s="19"/>
      <c r="D1193" s="10"/>
      <c r="E1193" s="10"/>
      <c r="F1193" s="47"/>
      <c r="G1193" s="10"/>
      <c r="H1193" s="20"/>
      <c r="I1193" s="20"/>
      <c r="J1193" s="10"/>
      <c r="K1193" s="10"/>
      <c r="L1193" s="10"/>
      <c r="M1193" s="10"/>
      <c r="N1193" s="10"/>
      <c r="O1193" s="21"/>
    </row>
    <row r="1194" spans="1:15" x14ac:dyDescent="0.35">
      <c r="A1194" s="15">
        <f t="shared" si="18"/>
        <v>1192</v>
      </c>
      <c r="B1194" s="16"/>
      <c r="C1194" s="19"/>
      <c r="D1194" s="10"/>
      <c r="E1194" s="10"/>
      <c r="F1194" s="47"/>
      <c r="G1194" s="10"/>
      <c r="H1194" s="20"/>
      <c r="I1194" s="20"/>
      <c r="J1194" s="10"/>
      <c r="K1194" s="10"/>
      <c r="L1194" s="10"/>
      <c r="M1194" s="10"/>
      <c r="N1194" s="10"/>
      <c r="O1194" s="21"/>
    </row>
    <row r="1195" spans="1:15" x14ac:dyDescent="0.35">
      <c r="A1195" s="15">
        <f t="shared" si="18"/>
        <v>1193</v>
      </c>
      <c r="B1195" s="16"/>
      <c r="C1195" s="19"/>
      <c r="D1195" s="10"/>
      <c r="E1195" s="10"/>
      <c r="F1195" s="47"/>
      <c r="G1195" s="10"/>
      <c r="H1195" s="20"/>
      <c r="I1195" s="20"/>
      <c r="J1195" s="10"/>
      <c r="K1195" s="10"/>
      <c r="L1195" s="10"/>
      <c r="M1195" s="10"/>
      <c r="N1195" s="10"/>
      <c r="O1195" s="21"/>
    </row>
    <row r="1196" spans="1:15" x14ac:dyDescent="0.35">
      <c r="A1196" s="15">
        <f t="shared" si="18"/>
        <v>1194</v>
      </c>
      <c r="B1196" s="16"/>
      <c r="C1196" s="19"/>
      <c r="D1196" s="10"/>
      <c r="E1196" s="10"/>
      <c r="F1196" s="47"/>
      <c r="G1196" s="10"/>
      <c r="H1196" s="20"/>
      <c r="I1196" s="20"/>
      <c r="J1196" s="10"/>
      <c r="K1196" s="10"/>
      <c r="L1196" s="10"/>
      <c r="M1196" s="10"/>
      <c r="N1196" s="10"/>
      <c r="O1196" s="21"/>
    </row>
    <row r="1197" spans="1:15" x14ac:dyDescent="0.35">
      <c r="A1197" s="15">
        <f t="shared" si="18"/>
        <v>1195</v>
      </c>
      <c r="B1197" s="16"/>
      <c r="C1197" s="19"/>
      <c r="D1197" s="10"/>
      <c r="E1197" s="10"/>
      <c r="F1197" s="47"/>
      <c r="G1197" s="10"/>
      <c r="H1197" s="20"/>
      <c r="I1197" s="20"/>
      <c r="J1197" s="10"/>
      <c r="K1197" s="10"/>
      <c r="L1197" s="10"/>
      <c r="M1197" s="10"/>
      <c r="N1197" s="10"/>
      <c r="O1197" s="21"/>
    </row>
    <row r="1198" spans="1:15" x14ac:dyDescent="0.35">
      <c r="A1198" s="15">
        <f t="shared" si="18"/>
        <v>1196</v>
      </c>
      <c r="B1198" s="16"/>
      <c r="C1198" s="19"/>
      <c r="D1198" s="10"/>
      <c r="E1198" s="10"/>
      <c r="F1198" s="47"/>
      <c r="G1198" s="10"/>
      <c r="H1198" s="20"/>
      <c r="I1198" s="20"/>
      <c r="J1198" s="10"/>
      <c r="K1198" s="10"/>
      <c r="L1198" s="10"/>
      <c r="M1198" s="10"/>
      <c r="N1198" s="10"/>
      <c r="O1198" s="21"/>
    </row>
    <row r="1199" spans="1:15" x14ac:dyDescent="0.35">
      <c r="A1199" s="15">
        <f t="shared" si="18"/>
        <v>1197</v>
      </c>
      <c r="B1199" s="16"/>
      <c r="C1199" s="19"/>
      <c r="D1199" s="10"/>
      <c r="E1199" s="10"/>
      <c r="F1199" s="47"/>
      <c r="G1199" s="10"/>
      <c r="H1199" s="20"/>
      <c r="I1199" s="20"/>
      <c r="J1199" s="10"/>
      <c r="K1199" s="10"/>
      <c r="L1199" s="10"/>
      <c r="M1199" s="10"/>
      <c r="N1199" s="10"/>
      <c r="O1199" s="21"/>
    </row>
    <row r="1200" spans="1:15" x14ac:dyDescent="0.35">
      <c r="A1200" s="15">
        <f t="shared" si="18"/>
        <v>1198</v>
      </c>
      <c r="B1200" s="16"/>
      <c r="C1200" s="19"/>
      <c r="D1200" s="10"/>
      <c r="E1200" s="10"/>
      <c r="F1200" s="47"/>
      <c r="G1200" s="10"/>
      <c r="H1200" s="20"/>
      <c r="I1200" s="20"/>
      <c r="J1200" s="10"/>
      <c r="K1200" s="10"/>
      <c r="L1200" s="10"/>
      <c r="M1200" s="10"/>
      <c r="N1200" s="10"/>
      <c r="O1200" s="21"/>
    </row>
    <row r="1201" spans="1:15" x14ac:dyDescent="0.35">
      <c r="A1201" s="15">
        <f t="shared" si="18"/>
        <v>1199</v>
      </c>
      <c r="B1201" s="16"/>
      <c r="C1201" s="19"/>
      <c r="D1201" s="10"/>
      <c r="E1201" s="10"/>
      <c r="F1201" s="47"/>
      <c r="G1201" s="10"/>
      <c r="H1201" s="20"/>
      <c r="I1201" s="20"/>
      <c r="J1201" s="10"/>
      <c r="K1201" s="10"/>
      <c r="L1201" s="10"/>
      <c r="M1201" s="10"/>
      <c r="N1201" s="10"/>
      <c r="O1201" s="21"/>
    </row>
    <row r="1202" spans="1:15" x14ac:dyDescent="0.35">
      <c r="A1202" s="15">
        <f t="shared" si="18"/>
        <v>1200</v>
      </c>
      <c r="B1202" s="16"/>
      <c r="C1202" s="19"/>
      <c r="D1202" s="10"/>
      <c r="E1202" s="10"/>
      <c r="F1202" s="47"/>
      <c r="G1202" s="10"/>
      <c r="H1202" s="20"/>
      <c r="I1202" s="20"/>
      <c r="J1202" s="10"/>
      <c r="K1202" s="10"/>
      <c r="L1202" s="10"/>
      <c r="M1202" s="10"/>
      <c r="N1202" s="10"/>
      <c r="O1202" s="21"/>
    </row>
    <row r="1203" spans="1:15" x14ac:dyDescent="0.35">
      <c r="A1203" s="15">
        <f t="shared" si="18"/>
        <v>1201</v>
      </c>
      <c r="B1203" s="16"/>
      <c r="C1203" s="19"/>
      <c r="D1203" s="10"/>
      <c r="E1203" s="10"/>
      <c r="F1203" s="47"/>
      <c r="G1203" s="10"/>
      <c r="H1203" s="20"/>
      <c r="I1203" s="20"/>
      <c r="J1203" s="10"/>
      <c r="K1203" s="10"/>
      <c r="L1203" s="10"/>
      <c r="M1203" s="10"/>
      <c r="N1203" s="10"/>
      <c r="O1203" s="21"/>
    </row>
    <row r="1204" spans="1:15" x14ac:dyDescent="0.35">
      <c r="A1204" s="15">
        <f t="shared" si="18"/>
        <v>1202</v>
      </c>
      <c r="B1204" s="16"/>
      <c r="C1204" s="19"/>
      <c r="D1204" s="10"/>
      <c r="E1204" s="10"/>
      <c r="F1204" s="47"/>
      <c r="G1204" s="10"/>
      <c r="H1204" s="20"/>
      <c r="I1204" s="20"/>
      <c r="J1204" s="10"/>
      <c r="K1204" s="10"/>
      <c r="L1204" s="10"/>
      <c r="M1204" s="10"/>
      <c r="N1204" s="10"/>
      <c r="O1204" s="21"/>
    </row>
    <row r="1205" spans="1:15" x14ac:dyDescent="0.35">
      <c r="A1205" s="15">
        <f t="shared" si="18"/>
        <v>1203</v>
      </c>
      <c r="B1205" s="16"/>
      <c r="C1205" s="19"/>
      <c r="D1205" s="10"/>
      <c r="E1205" s="10"/>
      <c r="F1205" s="47"/>
      <c r="G1205" s="10"/>
      <c r="H1205" s="20"/>
      <c r="I1205" s="20"/>
      <c r="J1205" s="10"/>
      <c r="K1205" s="10"/>
      <c r="L1205" s="10"/>
      <c r="M1205" s="10"/>
      <c r="N1205" s="10"/>
      <c r="O1205" s="21"/>
    </row>
    <row r="1206" spans="1:15" x14ac:dyDescent="0.35">
      <c r="A1206" s="15">
        <f t="shared" si="18"/>
        <v>1204</v>
      </c>
      <c r="B1206" s="16"/>
      <c r="C1206" s="19"/>
      <c r="D1206" s="10"/>
      <c r="E1206" s="10"/>
      <c r="F1206" s="47"/>
      <c r="G1206" s="10"/>
      <c r="H1206" s="20"/>
      <c r="I1206" s="20"/>
      <c r="J1206" s="10"/>
      <c r="K1206" s="10"/>
      <c r="L1206" s="10"/>
      <c r="M1206" s="10"/>
      <c r="N1206" s="10"/>
      <c r="O1206" s="21"/>
    </row>
    <row r="1207" spans="1:15" x14ac:dyDescent="0.35">
      <c r="A1207" s="15">
        <f t="shared" si="18"/>
        <v>1205</v>
      </c>
      <c r="B1207" s="16"/>
      <c r="C1207" s="19"/>
      <c r="D1207" s="10"/>
      <c r="E1207" s="10"/>
      <c r="F1207" s="47"/>
      <c r="G1207" s="10"/>
      <c r="H1207" s="20"/>
      <c r="I1207" s="20"/>
      <c r="J1207" s="10"/>
      <c r="K1207" s="10"/>
      <c r="L1207" s="10"/>
      <c r="M1207" s="10"/>
      <c r="N1207" s="10"/>
      <c r="O1207" s="21"/>
    </row>
    <row r="1208" spans="1:15" x14ac:dyDescent="0.35">
      <c r="A1208" s="15">
        <f t="shared" si="18"/>
        <v>1206</v>
      </c>
      <c r="B1208" s="16"/>
      <c r="C1208" s="19"/>
      <c r="D1208" s="10"/>
      <c r="E1208" s="10"/>
      <c r="F1208" s="47"/>
      <c r="G1208" s="10"/>
      <c r="H1208" s="20"/>
      <c r="I1208" s="20"/>
      <c r="J1208" s="10"/>
      <c r="K1208" s="10"/>
      <c r="L1208" s="10"/>
      <c r="M1208" s="10"/>
      <c r="N1208" s="10"/>
      <c r="O1208" s="21"/>
    </row>
    <row r="1209" spans="1:15" x14ac:dyDescent="0.35">
      <c r="A1209" s="15">
        <f t="shared" si="18"/>
        <v>1207</v>
      </c>
      <c r="B1209" s="16"/>
      <c r="C1209" s="19"/>
      <c r="D1209" s="10"/>
      <c r="E1209" s="10"/>
      <c r="F1209" s="47"/>
      <c r="G1209" s="10"/>
      <c r="H1209" s="20"/>
      <c r="I1209" s="20"/>
      <c r="J1209" s="10"/>
      <c r="K1209" s="10"/>
      <c r="L1209" s="10"/>
      <c r="M1209" s="10"/>
      <c r="N1209" s="10"/>
      <c r="O1209" s="21"/>
    </row>
    <row r="1210" spans="1:15" x14ac:dyDescent="0.35">
      <c r="A1210" s="15">
        <f t="shared" si="18"/>
        <v>1208</v>
      </c>
      <c r="B1210" s="16"/>
      <c r="C1210" s="19"/>
      <c r="D1210" s="10"/>
      <c r="E1210" s="10"/>
      <c r="F1210" s="47"/>
      <c r="G1210" s="10"/>
      <c r="H1210" s="20"/>
      <c r="I1210" s="20"/>
      <c r="J1210" s="10"/>
      <c r="K1210" s="10"/>
      <c r="L1210" s="10"/>
      <c r="M1210" s="10"/>
      <c r="N1210" s="10"/>
      <c r="O1210" s="21"/>
    </row>
    <row r="1211" spans="1:15" x14ac:dyDescent="0.35">
      <c r="A1211" s="15">
        <f t="shared" si="18"/>
        <v>1209</v>
      </c>
      <c r="B1211" s="16"/>
      <c r="C1211" s="19"/>
      <c r="D1211" s="10"/>
      <c r="E1211" s="10"/>
      <c r="F1211" s="47"/>
      <c r="G1211" s="10"/>
      <c r="H1211" s="20"/>
      <c r="I1211" s="20"/>
      <c r="J1211" s="10"/>
      <c r="K1211" s="10"/>
      <c r="L1211" s="10"/>
      <c r="M1211" s="10"/>
      <c r="N1211" s="10"/>
      <c r="O1211" s="21"/>
    </row>
    <row r="1212" spans="1:15" x14ac:dyDescent="0.35">
      <c r="A1212" s="15">
        <f t="shared" si="18"/>
        <v>1210</v>
      </c>
      <c r="B1212" s="16"/>
      <c r="C1212" s="19"/>
      <c r="D1212" s="10"/>
      <c r="E1212" s="10"/>
      <c r="F1212" s="47"/>
      <c r="G1212" s="10"/>
      <c r="H1212" s="20"/>
      <c r="I1212" s="20"/>
      <c r="J1212" s="10"/>
      <c r="K1212" s="10"/>
      <c r="L1212" s="10"/>
      <c r="M1212" s="10"/>
      <c r="N1212" s="10"/>
      <c r="O1212" s="21"/>
    </row>
    <row r="1213" spans="1:15" x14ac:dyDescent="0.35">
      <c r="A1213" s="15">
        <f t="shared" si="18"/>
        <v>1211</v>
      </c>
      <c r="B1213" s="16"/>
      <c r="C1213" s="19"/>
      <c r="D1213" s="10"/>
      <c r="E1213" s="10"/>
      <c r="F1213" s="47"/>
      <c r="G1213" s="10"/>
      <c r="H1213" s="20"/>
      <c r="I1213" s="20"/>
      <c r="J1213" s="10"/>
      <c r="K1213" s="10"/>
      <c r="L1213" s="10"/>
      <c r="M1213" s="10"/>
      <c r="N1213" s="10"/>
      <c r="O1213" s="21"/>
    </row>
    <row r="1214" spans="1:15" x14ac:dyDescent="0.35">
      <c r="A1214" s="15">
        <f t="shared" si="18"/>
        <v>1212</v>
      </c>
      <c r="B1214" s="16"/>
      <c r="C1214" s="19"/>
      <c r="D1214" s="10"/>
      <c r="E1214" s="10"/>
      <c r="F1214" s="47"/>
      <c r="G1214" s="10"/>
      <c r="H1214" s="20"/>
      <c r="I1214" s="20"/>
      <c r="J1214" s="10"/>
      <c r="K1214" s="10"/>
      <c r="L1214" s="10"/>
      <c r="M1214" s="10"/>
      <c r="N1214" s="10"/>
      <c r="O1214" s="21"/>
    </row>
    <row r="1215" spans="1:15" x14ac:dyDescent="0.35">
      <c r="A1215" s="15">
        <f t="shared" si="18"/>
        <v>1213</v>
      </c>
      <c r="B1215" s="16"/>
      <c r="C1215" s="19"/>
      <c r="D1215" s="10"/>
      <c r="E1215" s="10"/>
      <c r="F1215" s="47"/>
      <c r="G1215" s="10"/>
      <c r="H1215" s="20"/>
      <c r="I1215" s="20"/>
      <c r="J1215" s="10"/>
      <c r="K1215" s="10"/>
      <c r="L1215" s="10"/>
      <c r="M1215" s="10"/>
      <c r="N1215" s="10"/>
      <c r="O1215" s="21"/>
    </row>
    <row r="1216" spans="1:15" x14ac:dyDescent="0.35">
      <c r="A1216" s="15">
        <f t="shared" si="18"/>
        <v>1214</v>
      </c>
      <c r="B1216" s="16"/>
      <c r="C1216" s="19"/>
      <c r="D1216" s="10"/>
      <c r="E1216" s="10"/>
      <c r="F1216" s="47"/>
      <c r="G1216" s="10"/>
      <c r="H1216" s="20"/>
      <c r="I1216" s="20"/>
      <c r="J1216" s="10"/>
      <c r="K1216" s="10"/>
      <c r="L1216" s="10"/>
      <c r="M1216" s="10"/>
      <c r="N1216" s="10"/>
      <c r="O1216" s="21"/>
    </row>
    <row r="1217" spans="1:15" x14ac:dyDescent="0.35">
      <c r="A1217" s="15">
        <f t="shared" si="18"/>
        <v>1215</v>
      </c>
      <c r="B1217" s="16"/>
      <c r="C1217" s="19"/>
      <c r="D1217" s="10"/>
      <c r="E1217" s="10"/>
      <c r="F1217" s="47"/>
      <c r="G1217" s="10"/>
      <c r="H1217" s="20"/>
      <c r="I1217" s="20"/>
      <c r="J1217" s="10"/>
      <c r="K1217" s="10"/>
      <c r="L1217" s="10"/>
      <c r="M1217" s="10"/>
      <c r="N1217" s="10"/>
      <c r="O1217" s="21"/>
    </row>
    <row r="1218" spans="1:15" x14ac:dyDescent="0.35">
      <c r="A1218" s="15">
        <f t="shared" si="18"/>
        <v>1216</v>
      </c>
      <c r="B1218" s="16"/>
      <c r="C1218" s="19"/>
      <c r="D1218" s="10"/>
      <c r="E1218" s="10"/>
      <c r="F1218" s="47"/>
      <c r="G1218" s="10"/>
      <c r="H1218" s="20"/>
      <c r="I1218" s="20"/>
      <c r="J1218" s="10"/>
      <c r="K1218" s="10"/>
      <c r="L1218" s="10"/>
      <c r="M1218" s="10"/>
      <c r="N1218" s="10"/>
      <c r="O1218" s="21"/>
    </row>
    <row r="1219" spans="1:15" x14ac:dyDescent="0.35">
      <c r="A1219" s="15">
        <f t="shared" si="18"/>
        <v>1217</v>
      </c>
      <c r="B1219" s="16"/>
      <c r="C1219" s="19"/>
      <c r="D1219" s="10"/>
      <c r="E1219" s="10"/>
      <c r="F1219" s="47"/>
      <c r="G1219" s="10"/>
      <c r="H1219" s="20"/>
      <c r="I1219" s="20"/>
      <c r="J1219" s="10"/>
      <c r="K1219" s="10"/>
      <c r="L1219" s="10"/>
      <c r="M1219" s="10"/>
      <c r="N1219" s="10"/>
      <c r="O1219" s="21"/>
    </row>
    <row r="1220" spans="1:15" x14ac:dyDescent="0.35">
      <c r="A1220" s="15">
        <f t="shared" si="18"/>
        <v>1218</v>
      </c>
      <c r="B1220" s="16"/>
      <c r="C1220" s="19"/>
      <c r="D1220" s="10"/>
      <c r="E1220" s="10"/>
      <c r="F1220" s="47"/>
      <c r="G1220" s="10"/>
      <c r="H1220" s="20"/>
      <c r="I1220" s="20"/>
      <c r="J1220" s="10"/>
      <c r="K1220" s="10"/>
      <c r="L1220" s="10"/>
      <c r="M1220" s="10"/>
      <c r="N1220" s="10"/>
      <c r="O1220" s="21"/>
    </row>
    <row r="1221" spans="1:15" x14ac:dyDescent="0.35">
      <c r="A1221" s="15">
        <f t="shared" si="18"/>
        <v>1219</v>
      </c>
      <c r="B1221" s="16"/>
      <c r="C1221" s="19"/>
      <c r="D1221" s="10"/>
      <c r="E1221" s="10"/>
      <c r="F1221" s="47"/>
      <c r="G1221" s="10"/>
      <c r="H1221" s="20"/>
      <c r="I1221" s="20"/>
      <c r="J1221" s="10"/>
      <c r="K1221" s="10"/>
      <c r="L1221" s="10"/>
      <c r="M1221" s="10"/>
      <c r="N1221" s="10"/>
      <c r="O1221" s="21"/>
    </row>
    <row r="1222" spans="1:15" x14ac:dyDescent="0.35">
      <c r="A1222" s="15">
        <f t="shared" si="18"/>
        <v>1220</v>
      </c>
      <c r="B1222" s="16"/>
      <c r="C1222" s="19"/>
      <c r="D1222" s="10"/>
      <c r="E1222" s="10"/>
      <c r="F1222" s="47"/>
      <c r="G1222" s="10"/>
      <c r="H1222" s="20"/>
      <c r="I1222" s="20"/>
      <c r="J1222" s="10"/>
      <c r="K1222" s="10"/>
      <c r="L1222" s="10"/>
      <c r="M1222" s="10"/>
      <c r="N1222" s="10"/>
      <c r="O1222" s="21"/>
    </row>
    <row r="1223" spans="1:15" x14ac:dyDescent="0.35">
      <c r="A1223" s="15">
        <f t="shared" si="18"/>
        <v>1221</v>
      </c>
      <c r="B1223" s="16"/>
      <c r="C1223" s="19"/>
      <c r="D1223" s="10"/>
      <c r="E1223" s="10"/>
      <c r="F1223" s="47"/>
      <c r="G1223" s="10"/>
      <c r="H1223" s="20"/>
      <c r="I1223" s="20"/>
      <c r="J1223" s="10"/>
      <c r="K1223" s="10"/>
      <c r="L1223" s="10"/>
      <c r="M1223" s="10"/>
      <c r="N1223" s="10"/>
      <c r="O1223" s="21"/>
    </row>
    <row r="1224" spans="1:15" x14ac:dyDescent="0.35">
      <c r="A1224" s="15">
        <f t="shared" si="18"/>
        <v>1222</v>
      </c>
      <c r="B1224" s="16"/>
      <c r="C1224" s="19"/>
      <c r="D1224" s="10"/>
      <c r="E1224" s="10"/>
      <c r="F1224" s="47"/>
      <c r="G1224" s="10"/>
      <c r="H1224" s="20"/>
      <c r="I1224" s="20"/>
      <c r="J1224" s="10"/>
      <c r="K1224" s="10"/>
      <c r="L1224" s="10"/>
      <c r="M1224" s="10"/>
      <c r="N1224" s="10"/>
      <c r="O1224" s="21"/>
    </row>
    <row r="1225" spans="1:15" x14ac:dyDescent="0.35">
      <c r="A1225" s="15">
        <f t="shared" si="18"/>
        <v>1223</v>
      </c>
      <c r="B1225" s="16"/>
      <c r="C1225" s="19"/>
      <c r="D1225" s="10"/>
      <c r="E1225" s="10"/>
      <c r="F1225" s="47"/>
      <c r="G1225" s="10"/>
      <c r="H1225" s="20"/>
      <c r="I1225" s="20"/>
      <c r="J1225" s="10"/>
      <c r="K1225" s="10"/>
      <c r="L1225" s="10"/>
      <c r="M1225" s="10"/>
      <c r="N1225" s="10"/>
      <c r="O1225" s="21"/>
    </row>
    <row r="1226" spans="1:15" x14ac:dyDescent="0.35">
      <c r="A1226" s="15">
        <f t="shared" si="18"/>
        <v>1224</v>
      </c>
      <c r="B1226" s="16"/>
      <c r="C1226" s="19"/>
      <c r="D1226" s="10"/>
      <c r="E1226" s="10"/>
      <c r="F1226" s="47"/>
      <c r="G1226" s="10"/>
      <c r="H1226" s="20"/>
      <c r="I1226" s="20"/>
      <c r="J1226" s="10"/>
      <c r="K1226" s="10"/>
      <c r="L1226" s="10"/>
      <c r="M1226" s="10"/>
      <c r="N1226" s="10"/>
      <c r="O1226" s="21"/>
    </row>
    <row r="1227" spans="1:15" x14ac:dyDescent="0.35">
      <c r="A1227" s="15">
        <f t="shared" ref="A1227:A1290" si="19">+A1226+1</f>
        <v>1225</v>
      </c>
      <c r="B1227" s="16"/>
      <c r="C1227" s="19"/>
      <c r="D1227" s="10"/>
      <c r="E1227" s="10"/>
      <c r="F1227" s="47"/>
      <c r="G1227" s="10"/>
      <c r="H1227" s="20"/>
      <c r="I1227" s="20"/>
      <c r="J1227" s="10"/>
      <c r="K1227" s="10"/>
      <c r="L1227" s="10"/>
      <c r="M1227" s="10"/>
      <c r="N1227" s="10"/>
      <c r="O1227" s="21"/>
    </row>
    <row r="1228" spans="1:15" x14ac:dyDescent="0.35">
      <c r="A1228" s="15">
        <f t="shared" si="19"/>
        <v>1226</v>
      </c>
      <c r="B1228" s="16"/>
      <c r="C1228" s="19"/>
      <c r="D1228" s="10"/>
      <c r="E1228" s="10"/>
      <c r="F1228" s="47"/>
      <c r="G1228" s="10"/>
      <c r="H1228" s="20"/>
      <c r="I1228" s="20"/>
      <c r="J1228" s="10"/>
      <c r="K1228" s="10"/>
      <c r="L1228" s="10"/>
      <c r="M1228" s="10"/>
      <c r="N1228" s="10"/>
      <c r="O1228" s="21"/>
    </row>
    <row r="1229" spans="1:15" x14ac:dyDescent="0.35">
      <c r="A1229" s="15">
        <f t="shared" si="19"/>
        <v>1227</v>
      </c>
      <c r="B1229" s="16"/>
      <c r="C1229" s="19"/>
      <c r="D1229" s="10"/>
      <c r="E1229" s="10"/>
      <c r="F1229" s="47"/>
      <c r="G1229" s="10"/>
      <c r="H1229" s="20"/>
      <c r="I1229" s="20"/>
      <c r="J1229" s="10"/>
      <c r="K1229" s="10"/>
      <c r="L1229" s="10"/>
      <c r="M1229" s="10"/>
      <c r="N1229" s="10"/>
      <c r="O1229" s="21"/>
    </row>
    <row r="1230" spans="1:15" x14ac:dyDescent="0.35">
      <c r="A1230" s="15">
        <f t="shared" si="19"/>
        <v>1228</v>
      </c>
      <c r="B1230" s="16"/>
      <c r="C1230" s="19"/>
      <c r="D1230" s="10"/>
      <c r="E1230" s="10"/>
      <c r="F1230" s="47"/>
      <c r="G1230" s="10"/>
      <c r="H1230" s="20"/>
      <c r="I1230" s="20"/>
      <c r="J1230" s="10"/>
      <c r="K1230" s="10"/>
      <c r="L1230" s="10"/>
      <c r="M1230" s="10"/>
      <c r="N1230" s="10"/>
      <c r="O1230" s="21"/>
    </row>
    <row r="1231" spans="1:15" x14ac:dyDescent="0.35">
      <c r="A1231" s="15">
        <f t="shared" si="19"/>
        <v>1229</v>
      </c>
      <c r="B1231" s="16"/>
      <c r="C1231" s="19"/>
      <c r="D1231" s="10"/>
      <c r="E1231" s="10"/>
      <c r="F1231" s="47"/>
      <c r="G1231" s="10"/>
      <c r="H1231" s="20"/>
      <c r="I1231" s="20"/>
      <c r="J1231" s="10"/>
      <c r="K1231" s="10"/>
      <c r="L1231" s="10"/>
      <c r="M1231" s="10"/>
      <c r="N1231" s="10"/>
      <c r="O1231" s="21"/>
    </row>
    <row r="1232" spans="1:15" x14ac:dyDescent="0.35">
      <c r="A1232" s="15">
        <f t="shared" si="19"/>
        <v>1230</v>
      </c>
      <c r="B1232" s="16"/>
      <c r="C1232" s="19"/>
      <c r="D1232" s="10"/>
      <c r="E1232" s="10"/>
      <c r="F1232" s="47"/>
      <c r="G1232" s="10"/>
      <c r="H1232" s="20"/>
      <c r="I1232" s="20"/>
      <c r="J1232" s="10"/>
      <c r="K1232" s="10"/>
      <c r="L1232" s="10"/>
      <c r="M1232" s="10"/>
      <c r="N1232" s="10"/>
      <c r="O1232" s="21"/>
    </row>
    <row r="1233" spans="1:15" x14ac:dyDescent="0.35">
      <c r="A1233" s="15">
        <f t="shared" si="19"/>
        <v>1231</v>
      </c>
      <c r="B1233" s="16"/>
      <c r="C1233" s="19"/>
      <c r="D1233" s="10"/>
      <c r="E1233" s="10"/>
      <c r="F1233" s="47"/>
      <c r="G1233" s="10"/>
      <c r="H1233" s="20"/>
      <c r="I1233" s="20"/>
      <c r="J1233" s="10"/>
      <c r="K1233" s="10"/>
      <c r="L1233" s="10"/>
      <c r="M1233" s="10"/>
      <c r="N1233" s="10"/>
      <c r="O1233" s="21"/>
    </row>
    <row r="1234" spans="1:15" x14ac:dyDescent="0.35">
      <c r="A1234" s="15">
        <f t="shared" si="19"/>
        <v>1232</v>
      </c>
      <c r="B1234" s="16"/>
      <c r="C1234" s="19"/>
      <c r="D1234" s="10"/>
      <c r="E1234" s="10"/>
      <c r="F1234" s="47"/>
      <c r="G1234" s="10"/>
      <c r="H1234" s="20"/>
      <c r="I1234" s="20"/>
      <c r="J1234" s="10"/>
      <c r="K1234" s="10"/>
      <c r="L1234" s="10"/>
      <c r="M1234" s="10"/>
      <c r="N1234" s="10"/>
      <c r="O1234" s="21"/>
    </row>
    <row r="1235" spans="1:15" x14ac:dyDescent="0.35">
      <c r="A1235" s="15">
        <f t="shared" si="19"/>
        <v>1233</v>
      </c>
      <c r="B1235" s="16"/>
      <c r="C1235" s="19"/>
      <c r="D1235" s="10"/>
      <c r="E1235" s="10"/>
      <c r="F1235" s="47"/>
      <c r="G1235" s="10"/>
      <c r="H1235" s="20"/>
      <c r="I1235" s="20"/>
      <c r="J1235" s="10"/>
      <c r="K1235" s="10"/>
      <c r="L1235" s="10"/>
      <c r="M1235" s="10"/>
      <c r="N1235" s="10"/>
      <c r="O1235" s="21"/>
    </row>
    <row r="1236" spans="1:15" x14ac:dyDescent="0.35">
      <c r="A1236" s="15">
        <f t="shared" si="19"/>
        <v>1234</v>
      </c>
      <c r="B1236" s="16"/>
      <c r="C1236" s="19"/>
      <c r="D1236" s="10"/>
      <c r="E1236" s="10"/>
      <c r="F1236" s="47"/>
      <c r="G1236" s="10"/>
      <c r="H1236" s="20"/>
      <c r="I1236" s="20"/>
      <c r="J1236" s="10"/>
      <c r="K1236" s="10"/>
      <c r="L1236" s="10"/>
      <c r="M1236" s="10"/>
      <c r="N1236" s="10"/>
      <c r="O1236" s="21"/>
    </row>
    <row r="1237" spans="1:15" x14ac:dyDescent="0.35">
      <c r="A1237" s="15">
        <f t="shared" si="19"/>
        <v>1235</v>
      </c>
      <c r="B1237" s="16"/>
      <c r="C1237" s="19"/>
      <c r="D1237" s="10"/>
      <c r="E1237" s="10"/>
      <c r="F1237" s="47"/>
      <c r="G1237" s="10"/>
      <c r="H1237" s="20"/>
      <c r="I1237" s="20"/>
      <c r="J1237" s="10"/>
      <c r="K1237" s="10"/>
      <c r="L1237" s="10"/>
      <c r="M1237" s="10"/>
      <c r="N1237" s="10"/>
      <c r="O1237" s="21"/>
    </row>
    <row r="1238" spans="1:15" x14ac:dyDescent="0.35">
      <c r="A1238" s="15">
        <f t="shared" si="19"/>
        <v>1236</v>
      </c>
      <c r="B1238" s="16"/>
      <c r="C1238" s="19"/>
      <c r="D1238" s="10"/>
      <c r="E1238" s="10"/>
      <c r="F1238" s="47"/>
      <c r="G1238" s="10"/>
      <c r="H1238" s="20"/>
      <c r="I1238" s="20"/>
      <c r="J1238" s="10"/>
      <c r="K1238" s="10"/>
      <c r="L1238" s="10"/>
      <c r="M1238" s="10"/>
      <c r="N1238" s="10"/>
      <c r="O1238" s="21"/>
    </row>
    <row r="1239" spans="1:15" x14ac:dyDescent="0.35">
      <c r="A1239" s="15">
        <f t="shared" si="19"/>
        <v>1237</v>
      </c>
      <c r="B1239" s="16"/>
      <c r="C1239" s="19"/>
      <c r="D1239" s="10"/>
      <c r="E1239" s="10"/>
      <c r="F1239" s="47"/>
      <c r="G1239" s="10"/>
      <c r="H1239" s="20"/>
      <c r="I1239" s="20"/>
      <c r="J1239" s="10"/>
      <c r="K1239" s="10"/>
      <c r="L1239" s="10"/>
      <c r="M1239" s="10"/>
      <c r="N1239" s="10"/>
      <c r="O1239" s="21"/>
    </row>
    <row r="1240" spans="1:15" x14ac:dyDescent="0.35">
      <c r="A1240" s="15">
        <f t="shared" si="19"/>
        <v>1238</v>
      </c>
      <c r="B1240" s="16"/>
      <c r="C1240" s="19"/>
      <c r="D1240" s="10"/>
      <c r="E1240" s="10"/>
      <c r="F1240" s="47"/>
      <c r="G1240" s="10"/>
      <c r="H1240" s="20"/>
      <c r="I1240" s="20"/>
      <c r="J1240" s="10"/>
      <c r="K1240" s="10"/>
      <c r="L1240" s="10"/>
      <c r="M1240" s="10"/>
      <c r="N1240" s="10"/>
      <c r="O1240" s="21"/>
    </row>
    <row r="1241" spans="1:15" x14ac:dyDescent="0.35">
      <c r="A1241" s="15">
        <f t="shared" si="19"/>
        <v>1239</v>
      </c>
      <c r="B1241" s="16"/>
      <c r="C1241" s="19"/>
      <c r="D1241" s="10"/>
      <c r="E1241" s="10"/>
      <c r="F1241" s="47"/>
      <c r="G1241" s="10"/>
      <c r="H1241" s="20"/>
      <c r="I1241" s="20"/>
      <c r="J1241" s="10"/>
      <c r="K1241" s="10"/>
      <c r="L1241" s="10"/>
      <c r="M1241" s="10"/>
      <c r="N1241" s="10"/>
      <c r="O1241" s="21"/>
    </row>
    <row r="1242" spans="1:15" x14ac:dyDescent="0.35">
      <c r="A1242" s="15">
        <f t="shared" si="19"/>
        <v>1240</v>
      </c>
      <c r="B1242" s="16"/>
      <c r="C1242" s="19"/>
      <c r="D1242" s="10"/>
      <c r="E1242" s="10"/>
      <c r="F1242" s="47"/>
      <c r="G1242" s="10"/>
      <c r="H1242" s="20"/>
      <c r="I1242" s="20"/>
      <c r="J1242" s="10"/>
      <c r="K1242" s="10"/>
      <c r="L1242" s="10"/>
      <c r="M1242" s="10"/>
      <c r="N1242" s="10"/>
      <c r="O1242" s="21"/>
    </row>
    <row r="1243" spans="1:15" x14ac:dyDescent="0.35">
      <c r="A1243" s="15">
        <f t="shared" si="19"/>
        <v>1241</v>
      </c>
      <c r="B1243" s="16"/>
      <c r="C1243" s="19"/>
      <c r="D1243" s="10"/>
      <c r="E1243" s="10"/>
      <c r="F1243" s="47"/>
      <c r="G1243" s="10"/>
      <c r="H1243" s="20"/>
      <c r="I1243" s="20"/>
      <c r="J1243" s="10"/>
      <c r="K1243" s="10"/>
      <c r="L1243" s="10"/>
      <c r="M1243" s="10"/>
      <c r="N1243" s="10"/>
      <c r="O1243" s="21"/>
    </row>
    <row r="1244" spans="1:15" x14ac:dyDescent="0.35">
      <c r="A1244" s="15">
        <f t="shared" si="19"/>
        <v>1242</v>
      </c>
      <c r="B1244" s="16"/>
      <c r="C1244" s="19"/>
      <c r="D1244" s="10"/>
      <c r="E1244" s="10"/>
      <c r="F1244" s="47"/>
      <c r="G1244" s="10"/>
      <c r="H1244" s="20"/>
      <c r="I1244" s="20"/>
      <c r="J1244" s="10"/>
      <c r="K1244" s="10"/>
      <c r="L1244" s="10"/>
      <c r="M1244" s="10"/>
      <c r="N1244" s="10"/>
      <c r="O1244" s="21"/>
    </row>
    <row r="1245" spans="1:15" x14ac:dyDescent="0.35">
      <c r="A1245" s="15">
        <f t="shared" si="19"/>
        <v>1243</v>
      </c>
      <c r="B1245" s="16"/>
      <c r="C1245" s="19"/>
      <c r="D1245" s="10"/>
      <c r="E1245" s="10"/>
      <c r="F1245" s="47"/>
      <c r="G1245" s="10"/>
      <c r="H1245" s="20"/>
      <c r="I1245" s="20"/>
      <c r="J1245" s="10"/>
      <c r="K1245" s="10"/>
      <c r="L1245" s="10"/>
      <c r="M1245" s="10"/>
      <c r="N1245" s="10"/>
      <c r="O1245" s="21"/>
    </row>
    <row r="1246" spans="1:15" x14ac:dyDescent="0.35">
      <c r="A1246" s="15">
        <f t="shared" si="19"/>
        <v>1244</v>
      </c>
      <c r="B1246" s="16"/>
      <c r="C1246" s="19"/>
      <c r="D1246" s="10"/>
      <c r="E1246" s="10"/>
      <c r="F1246" s="47"/>
      <c r="G1246" s="10"/>
      <c r="H1246" s="20"/>
      <c r="I1246" s="20"/>
      <c r="J1246" s="10"/>
      <c r="K1246" s="10"/>
      <c r="L1246" s="10"/>
      <c r="M1246" s="10"/>
      <c r="N1246" s="10"/>
      <c r="O1246" s="21"/>
    </row>
    <row r="1247" spans="1:15" x14ac:dyDescent="0.35">
      <c r="A1247" s="15">
        <f t="shared" si="19"/>
        <v>1245</v>
      </c>
      <c r="B1247" s="16"/>
      <c r="C1247" s="19"/>
      <c r="D1247" s="10"/>
      <c r="E1247" s="10"/>
      <c r="F1247" s="47"/>
      <c r="G1247" s="10"/>
      <c r="H1247" s="20"/>
      <c r="I1247" s="20"/>
      <c r="J1247" s="10"/>
      <c r="K1247" s="10"/>
      <c r="L1247" s="10"/>
      <c r="M1247" s="10"/>
      <c r="N1247" s="10"/>
      <c r="O1247" s="21"/>
    </row>
    <row r="1248" spans="1:15" x14ac:dyDescent="0.35">
      <c r="A1248" s="15">
        <f t="shared" si="19"/>
        <v>1246</v>
      </c>
      <c r="B1248" s="16"/>
      <c r="C1248" s="19"/>
      <c r="D1248" s="10"/>
      <c r="E1248" s="10"/>
      <c r="F1248" s="47"/>
      <c r="G1248" s="10"/>
      <c r="H1248" s="20"/>
      <c r="I1248" s="20"/>
      <c r="J1248" s="10"/>
      <c r="K1248" s="10"/>
      <c r="L1248" s="10"/>
      <c r="M1248" s="10"/>
      <c r="N1248" s="10"/>
      <c r="O1248" s="21"/>
    </row>
    <row r="1249" spans="1:15" x14ac:dyDescent="0.35">
      <c r="A1249" s="15">
        <f t="shared" si="19"/>
        <v>1247</v>
      </c>
      <c r="B1249" s="16"/>
      <c r="C1249" s="19"/>
      <c r="D1249" s="10"/>
      <c r="E1249" s="10"/>
      <c r="F1249" s="47"/>
      <c r="G1249" s="10"/>
      <c r="H1249" s="20"/>
      <c r="I1249" s="20"/>
      <c r="J1249" s="10"/>
      <c r="K1249" s="10"/>
      <c r="L1249" s="10"/>
      <c r="M1249" s="10"/>
      <c r="N1249" s="10"/>
      <c r="O1249" s="21"/>
    </row>
    <row r="1250" spans="1:15" x14ac:dyDescent="0.35">
      <c r="A1250" s="15">
        <f t="shared" si="19"/>
        <v>1248</v>
      </c>
      <c r="B1250" s="16"/>
      <c r="C1250" s="19"/>
      <c r="D1250" s="10"/>
      <c r="E1250" s="10"/>
      <c r="F1250" s="47"/>
      <c r="G1250" s="10"/>
      <c r="H1250" s="20"/>
      <c r="I1250" s="20"/>
      <c r="J1250" s="10"/>
      <c r="K1250" s="10"/>
      <c r="L1250" s="10"/>
      <c r="M1250" s="10"/>
      <c r="N1250" s="10"/>
      <c r="O1250" s="21"/>
    </row>
    <row r="1251" spans="1:15" x14ac:dyDescent="0.35">
      <c r="A1251" s="15">
        <f t="shared" si="19"/>
        <v>1249</v>
      </c>
      <c r="B1251" s="16"/>
      <c r="C1251" s="19"/>
      <c r="D1251" s="10"/>
      <c r="E1251" s="10"/>
      <c r="F1251" s="47"/>
      <c r="G1251" s="10"/>
      <c r="H1251" s="20"/>
      <c r="I1251" s="20"/>
      <c r="J1251" s="10"/>
      <c r="K1251" s="10"/>
      <c r="L1251" s="10"/>
      <c r="M1251" s="10"/>
      <c r="N1251" s="10"/>
      <c r="O1251" s="21"/>
    </row>
    <row r="1252" spans="1:15" x14ac:dyDescent="0.35">
      <c r="A1252" s="15">
        <f t="shared" si="19"/>
        <v>1250</v>
      </c>
      <c r="B1252" s="16"/>
      <c r="C1252" s="19"/>
      <c r="D1252" s="10"/>
      <c r="E1252" s="10"/>
      <c r="F1252" s="47"/>
      <c r="G1252" s="10"/>
      <c r="H1252" s="20"/>
      <c r="I1252" s="20"/>
      <c r="J1252" s="10"/>
      <c r="K1252" s="10"/>
      <c r="L1252" s="10"/>
      <c r="M1252" s="10"/>
      <c r="N1252" s="10"/>
      <c r="O1252" s="21"/>
    </row>
    <row r="1253" spans="1:15" x14ac:dyDescent="0.35">
      <c r="A1253" s="15">
        <f t="shared" si="19"/>
        <v>1251</v>
      </c>
      <c r="B1253" s="16"/>
      <c r="C1253" s="19"/>
      <c r="D1253" s="10"/>
      <c r="E1253" s="10"/>
      <c r="F1253" s="47"/>
      <c r="G1253" s="10"/>
      <c r="H1253" s="20"/>
      <c r="I1253" s="20"/>
      <c r="J1253" s="10"/>
      <c r="K1253" s="10"/>
      <c r="L1253" s="10"/>
      <c r="M1253" s="10"/>
      <c r="N1253" s="10"/>
      <c r="O1253" s="21"/>
    </row>
    <row r="1254" spans="1:15" x14ac:dyDescent="0.35">
      <c r="A1254" s="15">
        <f t="shared" si="19"/>
        <v>1252</v>
      </c>
      <c r="B1254" s="16"/>
      <c r="C1254" s="19"/>
      <c r="D1254" s="10"/>
      <c r="E1254" s="10"/>
      <c r="F1254" s="47"/>
      <c r="G1254" s="10"/>
      <c r="H1254" s="20"/>
      <c r="I1254" s="20"/>
      <c r="J1254" s="10"/>
      <c r="K1254" s="10"/>
      <c r="L1254" s="10"/>
      <c r="M1254" s="10"/>
      <c r="N1254" s="10"/>
      <c r="O1254" s="21"/>
    </row>
    <row r="1255" spans="1:15" x14ac:dyDescent="0.35">
      <c r="A1255" s="15">
        <f t="shared" si="19"/>
        <v>1253</v>
      </c>
      <c r="B1255" s="16"/>
      <c r="C1255" s="19"/>
      <c r="D1255" s="10"/>
      <c r="E1255" s="10"/>
      <c r="F1255" s="47"/>
      <c r="G1255" s="10"/>
      <c r="H1255" s="20"/>
      <c r="I1255" s="20"/>
      <c r="J1255" s="10"/>
      <c r="K1255" s="10"/>
      <c r="L1255" s="10"/>
      <c r="M1255" s="10"/>
      <c r="N1255" s="10"/>
      <c r="O1255" s="21"/>
    </row>
    <row r="1256" spans="1:15" x14ac:dyDescent="0.35">
      <c r="A1256" s="15">
        <f t="shared" si="19"/>
        <v>1254</v>
      </c>
      <c r="B1256" s="16"/>
      <c r="C1256" s="19"/>
      <c r="D1256" s="10"/>
      <c r="E1256" s="10"/>
      <c r="F1256" s="47"/>
      <c r="G1256" s="10"/>
      <c r="H1256" s="20"/>
      <c r="I1256" s="20"/>
      <c r="J1256" s="10"/>
      <c r="K1256" s="10"/>
      <c r="L1256" s="10"/>
      <c r="M1256" s="10"/>
      <c r="N1256" s="10"/>
      <c r="O1256" s="21"/>
    </row>
    <row r="1257" spans="1:15" x14ac:dyDescent="0.35">
      <c r="A1257" s="15">
        <f t="shared" si="19"/>
        <v>1255</v>
      </c>
      <c r="B1257" s="16"/>
      <c r="C1257" s="19"/>
      <c r="D1257" s="10"/>
      <c r="E1257" s="10"/>
      <c r="F1257" s="47"/>
      <c r="G1257" s="10"/>
      <c r="H1257" s="20"/>
      <c r="I1257" s="20"/>
      <c r="J1257" s="10"/>
      <c r="K1257" s="10"/>
      <c r="L1257" s="10"/>
      <c r="M1257" s="10"/>
      <c r="N1257" s="10"/>
      <c r="O1257" s="21"/>
    </row>
    <row r="1258" spans="1:15" x14ac:dyDescent="0.35">
      <c r="A1258" s="15">
        <f t="shared" si="19"/>
        <v>1256</v>
      </c>
      <c r="B1258" s="16"/>
      <c r="C1258" s="19"/>
      <c r="D1258" s="10"/>
      <c r="E1258" s="10"/>
      <c r="F1258" s="47"/>
      <c r="G1258" s="10"/>
      <c r="H1258" s="20"/>
      <c r="I1258" s="20"/>
      <c r="J1258" s="10"/>
      <c r="K1258" s="10"/>
      <c r="L1258" s="10"/>
      <c r="M1258" s="10"/>
      <c r="N1258" s="10"/>
      <c r="O1258" s="21"/>
    </row>
    <row r="1259" spans="1:15" x14ac:dyDescent="0.35">
      <c r="A1259" s="15">
        <f t="shared" si="19"/>
        <v>1257</v>
      </c>
      <c r="B1259" s="16"/>
      <c r="C1259" s="19"/>
      <c r="D1259" s="10"/>
      <c r="E1259" s="10"/>
      <c r="F1259" s="47"/>
      <c r="G1259" s="10"/>
      <c r="H1259" s="20"/>
      <c r="I1259" s="20"/>
      <c r="J1259" s="10"/>
      <c r="K1259" s="10"/>
      <c r="L1259" s="10"/>
      <c r="M1259" s="10"/>
      <c r="N1259" s="10"/>
      <c r="O1259" s="21"/>
    </row>
    <row r="1260" spans="1:15" x14ac:dyDescent="0.35">
      <c r="A1260" s="15">
        <f t="shared" si="19"/>
        <v>1258</v>
      </c>
      <c r="B1260" s="16"/>
      <c r="C1260" s="19"/>
      <c r="D1260" s="10"/>
      <c r="E1260" s="10"/>
      <c r="F1260" s="47"/>
      <c r="G1260" s="10"/>
      <c r="H1260" s="20"/>
      <c r="I1260" s="20"/>
      <c r="J1260" s="10"/>
      <c r="K1260" s="10"/>
      <c r="L1260" s="10"/>
      <c r="M1260" s="10"/>
      <c r="N1260" s="10"/>
      <c r="O1260" s="21"/>
    </row>
    <row r="1261" spans="1:15" x14ac:dyDescent="0.35">
      <c r="A1261" s="15">
        <f t="shared" si="19"/>
        <v>1259</v>
      </c>
      <c r="B1261" s="16"/>
      <c r="C1261" s="19"/>
      <c r="D1261" s="10"/>
      <c r="E1261" s="10"/>
      <c r="F1261" s="47"/>
      <c r="G1261" s="10"/>
      <c r="H1261" s="20"/>
      <c r="I1261" s="20"/>
      <c r="J1261" s="10"/>
      <c r="K1261" s="10"/>
      <c r="L1261" s="10"/>
      <c r="M1261" s="10"/>
      <c r="N1261" s="10"/>
      <c r="O1261" s="21"/>
    </row>
    <row r="1262" spans="1:15" x14ac:dyDescent="0.35">
      <c r="A1262" s="15">
        <f t="shared" si="19"/>
        <v>1260</v>
      </c>
      <c r="B1262" s="16"/>
      <c r="C1262" s="19"/>
      <c r="D1262" s="10"/>
      <c r="E1262" s="10"/>
      <c r="F1262" s="47"/>
      <c r="G1262" s="10"/>
      <c r="H1262" s="20"/>
      <c r="I1262" s="20"/>
      <c r="J1262" s="10"/>
      <c r="K1262" s="10"/>
      <c r="L1262" s="10"/>
      <c r="M1262" s="10"/>
      <c r="N1262" s="10"/>
      <c r="O1262" s="21"/>
    </row>
    <row r="1263" spans="1:15" x14ac:dyDescent="0.35">
      <c r="A1263" s="15">
        <f t="shared" si="19"/>
        <v>1261</v>
      </c>
      <c r="B1263" s="16"/>
      <c r="C1263" s="19"/>
      <c r="D1263" s="10"/>
      <c r="E1263" s="10"/>
      <c r="F1263" s="47"/>
      <c r="G1263" s="10"/>
      <c r="H1263" s="20"/>
      <c r="I1263" s="20"/>
      <c r="J1263" s="10"/>
      <c r="K1263" s="10"/>
      <c r="L1263" s="10"/>
      <c r="M1263" s="10"/>
      <c r="N1263" s="10"/>
      <c r="O1263" s="21"/>
    </row>
    <row r="1264" spans="1:15" x14ac:dyDescent="0.35">
      <c r="A1264" s="15">
        <f t="shared" si="19"/>
        <v>1262</v>
      </c>
      <c r="B1264" s="16"/>
      <c r="C1264" s="19"/>
      <c r="D1264" s="10"/>
      <c r="E1264" s="10"/>
      <c r="F1264" s="47"/>
      <c r="G1264" s="10"/>
      <c r="H1264" s="20"/>
      <c r="I1264" s="20"/>
      <c r="J1264" s="10"/>
      <c r="K1264" s="10"/>
      <c r="L1264" s="10"/>
      <c r="M1264" s="10"/>
      <c r="N1264" s="10"/>
      <c r="O1264" s="21"/>
    </row>
    <row r="1265" spans="1:15" x14ac:dyDescent="0.35">
      <c r="A1265" s="15">
        <f t="shared" si="19"/>
        <v>1263</v>
      </c>
      <c r="B1265" s="16"/>
      <c r="C1265" s="19"/>
      <c r="D1265" s="10"/>
      <c r="E1265" s="10"/>
      <c r="F1265" s="47"/>
      <c r="G1265" s="10"/>
      <c r="H1265" s="20"/>
      <c r="I1265" s="20"/>
      <c r="J1265" s="10"/>
      <c r="K1265" s="10"/>
      <c r="L1265" s="10"/>
      <c r="M1265" s="10"/>
      <c r="N1265" s="10"/>
      <c r="O1265" s="21"/>
    </row>
    <row r="1266" spans="1:15" x14ac:dyDescent="0.35">
      <c r="A1266" s="15">
        <f t="shared" si="19"/>
        <v>1264</v>
      </c>
      <c r="B1266" s="16"/>
      <c r="C1266" s="19"/>
      <c r="D1266" s="10"/>
      <c r="E1266" s="10"/>
      <c r="F1266" s="47"/>
      <c r="G1266" s="10"/>
      <c r="H1266" s="20"/>
      <c r="I1266" s="20"/>
      <c r="J1266" s="10"/>
      <c r="K1266" s="10"/>
      <c r="L1266" s="10"/>
      <c r="M1266" s="10"/>
      <c r="N1266" s="10"/>
      <c r="O1266" s="21"/>
    </row>
    <row r="1267" spans="1:15" x14ac:dyDescent="0.35">
      <c r="A1267" s="15">
        <f t="shared" si="19"/>
        <v>1265</v>
      </c>
      <c r="B1267" s="16"/>
      <c r="C1267" s="19"/>
      <c r="D1267" s="10"/>
      <c r="E1267" s="10"/>
      <c r="F1267" s="47"/>
      <c r="G1267" s="10"/>
      <c r="H1267" s="20"/>
      <c r="I1267" s="20"/>
      <c r="J1267" s="10"/>
      <c r="K1267" s="10"/>
      <c r="L1267" s="10"/>
      <c r="M1267" s="10"/>
      <c r="N1267" s="10"/>
      <c r="O1267" s="21"/>
    </row>
    <row r="1268" spans="1:15" x14ac:dyDescent="0.35">
      <c r="A1268" s="15">
        <f t="shared" si="19"/>
        <v>1266</v>
      </c>
      <c r="B1268" s="16"/>
      <c r="C1268" s="19"/>
      <c r="D1268" s="10"/>
      <c r="E1268" s="10"/>
      <c r="F1268" s="47"/>
      <c r="G1268" s="10"/>
      <c r="H1268" s="20"/>
      <c r="I1268" s="20"/>
      <c r="J1268" s="10"/>
      <c r="K1268" s="10"/>
      <c r="L1268" s="10"/>
      <c r="M1268" s="10"/>
      <c r="N1268" s="10"/>
      <c r="O1268" s="21"/>
    </row>
    <row r="1269" spans="1:15" x14ac:dyDescent="0.35">
      <c r="A1269" s="15">
        <f t="shared" si="19"/>
        <v>1267</v>
      </c>
      <c r="B1269" s="16"/>
      <c r="C1269" s="19"/>
      <c r="D1269" s="10"/>
      <c r="E1269" s="10"/>
      <c r="F1269" s="47"/>
      <c r="G1269" s="10"/>
      <c r="H1269" s="20"/>
      <c r="I1269" s="20"/>
      <c r="J1269" s="10"/>
      <c r="K1269" s="10"/>
      <c r="L1269" s="10"/>
      <c r="M1269" s="10"/>
      <c r="N1269" s="10"/>
      <c r="O1269" s="21"/>
    </row>
    <row r="1270" spans="1:15" x14ac:dyDescent="0.35">
      <c r="A1270" s="15">
        <f t="shared" si="19"/>
        <v>1268</v>
      </c>
      <c r="B1270" s="16"/>
      <c r="C1270" s="19"/>
      <c r="D1270" s="10"/>
      <c r="E1270" s="10"/>
      <c r="F1270" s="47"/>
      <c r="G1270" s="10"/>
      <c r="H1270" s="20"/>
      <c r="I1270" s="20"/>
      <c r="J1270" s="10"/>
      <c r="K1270" s="10"/>
      <c r="L1270" s="10"/>
      <c r="M1270" s="10"/>
      <c r="N1270" s="10"/>
      <c r="O1270" s="21"/>
    </row>
    <row r="1271" spans="1:15" x14ac:dyDescent="0.35">
      <c r="A1271" s="15">
        <f t="shared" si="19"/>
        <v>1269</v>
      </c>
      <c r="B1271" s="16"/>
      <c r="C1271" s="19"/>
      <c r="D1271" s="10"/>
      <c r="E1271" s="10"/>
      <c r="F1271" s="47"/>
      <c r="G1271" s="10"/>
      <c r="H1271" s="20"/>
      <c r="I1271" s="20"/>
      <c r="J1271" s="10"/>
      <c r="K1271" s="10"/>
      <c r="L1271" s="10"/>
      <c r="M1271" s="10"/>
      <c r="N1271" s="10"/>
      <c r="O1271" s="21"/>
    </row>
    <row r="1272" spans="1:15" x14ac:dyDescent="0.35">
      <c r="A1272" s="15">
        <f t="shared" si="19"/>
        <v>1270</v>
      </c>
      <c r="B1272" s="16"/>
      <c r="C1272" s="19"/>
      <c r="D1272" s="10"/>
      <c r="E1272" s="10"/>
      <c r="F1272" s="47"/>
      <c r="G1272" s="10"/>
      <c r="H1272" s="20"/>
      <c r="I1272" s="20"/>
      <c r="J1272" s="10"/>
      <c r="K1272" s="10"/>
      <c r="L1272" s="10"/>
      <c r="M1272" s="10"/>
      <c r="N1272" s="10"/>
      <c r="O1272" s="21"/>
    </row>
    <row r="1273" spans="1:15" x14ac:dyDescent="0.35">
      <c r="A1273" s="15">
        <f t="shared" si="19"/>
        <v>1271</v>
      </c>
      <c r="B1273" s="16"/>
      <c r="C1273" s="19"/>
      <c r="D1273" s="10"/>
      <c r="E1273" s="10"/>
      <c r="F1273" s="47"/>
      <c r="G1273" s="10"/>
      <c r="H1273" s="20"/>
      <c r="I1273" s="20"/>
      <c r="J1273" s="10"/>
      <c r="K1273" s="10"/>
      <c r="L1273" s="10"/>
      <c r="M1273" s="10"/>
      <c r="N1273" s="10"/>
      <c r="O1273" s="21"/>
    </row>
    <row r="1274" spans="1:15" x14ac:dyDescent="0.35">
      <c r="A1274" s="15">
        <f t="shared" si="19"/>
        <v>1272</v>
      </c>
      <c r="B1274" s="16"/>
      <c r="C1274" s="19"/>
      <c r="D1274" s="10"/>
      <c r="E1274" s="10"/>
      <c r="F1274" s="47"/>
      <c r="G1274" s="10"/>
      <c r="H1274" s="20"/>
      <c r="I1274" s="20"/>
      <c r="J1274" s="10"/>
      <c r="K1274" s="10"/>
      <c r="L1274" s="10"/>
      <c r="M1274" s="10"/>
      <c r="N1274" s="10"/>
      <c r="O1274" s="21"/>
    </row>
    <row r="1275" spans="1:15" x14ac:dyDescent="0.35">
      <c r="A1275" s="15">
        <f t="shared" si="19"/>
        <v>1273</v>
      </c>
      <c r="B1275" s="16"/>
      <c r="C1275" s="19"/>
      <c r="D1275" s="10"/>
      <c r="E1275" s="10"/>
      <c r="F1275" s="47"/>
      <c r="G1275" s="10"/>
      <c r="H1275" s="20"/>
      <c r="I1275" s="20"/>
      <c r="J1275" s="10"/>
      <c r="K1275" s="10"/>
      <c r="L1275" s="10"/>
      <c r="M1275" s="10"/>
      <c r="N1275" s="10"/>
      <c r="O1275" s="21"/>
    </row>
    <row r="1276" spans="1:15" x14ac:dyDescent="0.35">
      <c r="A1276" s="15">
        <f t="shared" si="19"/>
        <v>1274</v>
      </c>
      <c r="B1276" s="16"/>
      <c r="C1276" s="19"/>
      <c r="D1276" s="10"/>
      <c r="E1276" s="10"/>
      <c r="F1276" s="47"/>
      <c r="G1276" s="10"/>
      <c r="H1276" s="20"/>
      <c r="I1276" s="20"/>
      <c r="J1276" s="10"/>
      <c r="K1276" s="10"/>
      <c r="L1276" s="10"/>
      <c r="M1276" s="10"/>
      <c r="N1276" s="10"/>
      <c r="O1276" s="21"/>
    </row>
    <row r="1277" spans="1:15" x14ac:dyDescent="0.35">
      <c r="A1277" s="15">
        <f t="shared" si="19"/>
        <v>1275</v>
      </c>
      <c r="B1277" s="16"/>
      <c r="C1277" s="19"/>
      <c r="D1277" s="10"/>
      <c r="E1277" s="10"/>
      <c r="F1277" s="47"/>
      <c r="G1277" s="10"/>
      <c r="H1277" s="20"/>
      <c r="I1277" s="20"/>
      <c r="J1277" s="10"/>
      <c r="K1277" s="10"/>
      <c r="L1277" s="10"/>
      <c r="M1277" s="10"/>
      <c r="N1277" s="10"/>
      <c r="O1277" s="21"/>
    </row>
    <row r="1278" spans="1:15" x14ac:dyDescent="0.35">
      <c r="A1278" s="15">
        <f t="shared" si="19"/>
        <v>1276</v>
      </c>
      <c r="B1278" s="16"/>
      <c r="C1278" s="19"/>
      <c r="D1278" s="10"/>
      <c r="E1278" s="10"/>
      <c r="F1278" s="47"/>
      <c r="G1278" s="10"/>
      <c r="H1278" s="20"/>
      <c r="I1278" s="20"/>
      <c r="J1278" s="10"/>
      <c r="K1278" s="10"/>
      <c r="L1278" s="10"/>
      <c r="M1278" s="10"/>
      <c r="N1278" s="10"/>
      <c r="O1278" s="21"/>
    </row>
    <row r="1279" spans="1:15" x14ac:dyDescent="0.35">
      <c r="A1279" s="15">
        <f t="shared" si="19"/>
        <v>1277</v>
      </c>
      <c r="B1279" s="16"/>
      <c r="C1279" s="19"/>
      <c r="D1279" s="10"/>
      <c r="E1279" s="10"/>
      <c r="F1279" s="47"/>
      <c r="G1279" s="10"/>
      <c r="H1279" s="20"/>
      <c r="I1279" s="20"/>
      <c r="J1279" s="10"/>
      <c r="K1279" s="10"/>
      <c r="L1279" s="10"/>
      <c r="M1279" s="10"/>
      <c r="N1279" s="10"/>
      <c r="O1279" s="21"/>
    </row>
    <row r="1280" spans="1:15" x14ac:dyDescent="0.35">
      <c r="A1280" s="15">
        <f t="shared" si="19"/>
        <v>1278</v>
      </c>
      <c r="B1280" s="16"/>
      <c r="C1280" s="19"/>
      <c r="D1280" s="10"/>
      <c r="E1280" s="10"/>
      <c r="F1280" s="47"/>
      <c r="G1280" s="10"/>
      <c r="H1280" s="20"/>
      <c r="I1280" s="20"/>
      <c r="J1280" s="10"/>
      <c r="K1280" s="10"/>
      <c r="L1280" s="10"/>
      <c r="M1280" s="10"/>
      <c r="N1280" s="10"/>
      <c r="O1280" s="21"/>
    </row>
    <row r="1281" spans="1:15" x14ac:dyDescent="0.35">
      <c r="A1281" s="15">
        <f t="shared" si="19"/>
        <v>1279</v>
      </c>
      <c r="B1281" s="16"/>
      <c r="C1281" s="19"/>
      <c r="D1281" s="10"/>
      <c r="E1281" s="10"/>
      <c r="F1281" s="47"/>
      <c r="G1281" s="10"/>
      <c r="H1281" s="20"/>
      <c r="I1281" s="20"/>
      <c r="J1281" s="10"/>
      <c r="K1281" s="10"/>
      <c r="L1281" s="10"/>
      <c r="M1281" s="10"/>
      <c r="N1281" s="10"/>
      <c r="O1281" s="21"/>
    </row>
    <row r="1282" spans="1:15" x14ac:dyDescent="0.35">
      <c r="A1282" s="15">
        <f t="shared" si="19"/>
        <v>1280</v>
      </c>
      <c r="B1282" s="16"/>
      <c r="C1282" s="19"/>
      <c r="D1282" s="10"/>
      <c r="E1282" s="10"/>
      <c r="F1282" s="47"/>
      <c r="G1282" s="10"/>
      <c r="H1282" s="20"/>
      <c r="I1282" s="20"/>
      <c r="J1282" s="10"/>
      <c r="K1282" s="10"/>
      <c r="L1282" s="10"/>
      <c r="M1282" s="10"/>
      <c r="N1282" s="10"/>
      <c r="O1282" s="21"/>
    </row>
    <row r="1283" spans="1:15" x14ac:dyDescent="0.35">
      <c r="A1283" s="15">
        <f t="shared" si="19"/>
        <v>1281</v>
      </c>
      <c r="B1283" s="16"/>
      <c r="C1283" s="19"/>
      <c r="D1283" s="10"/>
      <c r="E1283" s="10"/>
      <c r="F1283" s="47"/>
      <c r="G1283" s="10"/>
      <c r="H1283" s="20"/>
      <c r="I1283" s="20"/>
      <c r="J1283" s="10"/>
      <c r="K1283" s="10"/>
      <c r="L1283" s="10"/>
      <c r="M1283" s="10"/>
      <c r="N1283" s="10"/>
      <c r="O1283" s="21"/>
    </row>
    <row r="1284" spans="1:15" x14ac:dyDescent="0.35">
      <c r="A1284" s="15">
        <f t="shared" si="19"/>
        <v>1282</v>
      </c>
      <c r="B1284" s="16"/>
      <c r="C1284" s="19"/>
      <c r="D1284" s="10"/>
      <c r="E1284" s="10"/>
      <c r="F1284" s="47"/>
      <c r="G1284" s="10"/>
      <c r="H1284" s="20"/>
      <c r="I1284" s="20"/>
      <c r="J1284" s="10"/>
      <c r="K1284" s="10"/>
      <c r="L1284" s="10"/>
      <c r="M1284" s="10"/>
      <c r="N1284" s="10"/>
      <c r="O1284" s="21"/>
    </row>
    <row r="1285" spans="1:15" x14ac:dyDescent="0.35">
      <c r="A1285" s="15">
        <f t="shared" si="19"/>
        <v>1283</v>
      </c>
      <c r="B1285" s="16"/>
      <c r="C1285" s="19"/>
      <c r="D1285" s="10"/>
      <c r="E1285" s="10"/>
      <c r="F1285" s="47"/>
      <c r="G1285" s="10"/>
      <c r="H1285" s="20"/>
      <c r="I1285" s="20"/>
      <c r="J1285" s="10"/>
      <c r="K1285" s="10"/>
      <c r="L1285" s="10"/>
      <c r="M1285" s="10"/>
      <c r="N1285" s="10"/>
      <c r="O1285" s="21"/>
    </row>
    <row r="1286" spans="1:15" x14ac:dyDescent="0.35">
      <c r="A1286" s="15">
        <f t="shared" si="19"/>
        <v>1284</v>
      </c>
      <c r="B1286" s="16"/>
      <c r="C1286" s="19"/>
      <c r="D1286" s="10"/>
      <c r="E1286" s="10"/>
      <c r="F1286" s="47"/>
      <c r="G1286" s="10"/>
      <c r="H1286" s="20"/>
      <c r="I1286" s="20"/>
      <c r="J1286" s="10"/>
      <c r="K1286" s="10"/>
      <c r="L1286" s="10"/>
      <c r="M1286" s="10"/>
      <c r="N1286" s="10"/>
      <c r="O1286" s="21"/>
    </row>
    <row r="1287" spans="1:15" x14ac:dyDescent="0.35">
      <c r="A1287" s="15">
        <f t="shared" si="19"/>
        <v>1285</v>
      </c>
      <c r="B1287" s="16"/>
      <c r="C1287" s="19"/>
      <c r="D1287" s="10"/>
      <c r="E1287" s="10"/>
      <c r="F1287" s="47"/>
      <c r="G1287" s="10"/>
      <c r="H1287" s="20"/>
      <c r="I1287" s="20"/>
      <c r="J1287" s="10"/>
      <c r="K1287" s="10"/>
      <c r="L1287" s="10"/>
      <c r="M1287" s="10"/>
      <c r="N1287" s="10"/>
      <c r="O1287" s="21"/>
    </row>
    <row r="1288" spans="1:15" x14ac:dyDescent="0.35">
      <c r="A1288" s="15">
        <f t="shared" si="19"/>
        <v>1286</v>
      </c>
      <c r="B1288" s="16"/>
      <c r="C1288" s="19"/>
      <c r="D1288" s="10"/>
      <c r="E1288" s="10"/>
      <c r="F1288" s="47"/>
      <c r="G1288" s="10"/>
      <c r="H1288" s="20"/>
      <c r="I1288" s="20"/>
      <c r="J1288" s="10"/>
      <c r="K1288" s="10"/>
      <c r="L1288" s="10"/>
      <c r="M1288" s="10"/>
      <c r="N1288" s="10"/>
      <c r="O1288" s="21"/>
    </row>
    <row r="1289" spans="1:15" x14ac:dyDescent="0.35">
      <c r="A1289" s="15">
        <f t="shared" si="19"/>
        <v>1287</v>
      </c>
      <c r="B1289" s="16"/>
      <c r="C1289" s="19"/>
      <c r="D1289" s="10"/>
      <c r="E1289" s="10"/>
      <c r="F1289" s="47"/>
      <c r="G1289" s="10"/>
      <c r="H1289" s="20"/>
      <c r="I1289" s="20"/>
      <c r="J1289" s="10"/>
      <c r="K1289" s="10"/>
      <c r="L1289" s="10"/>
      <c r="M1289" s="10"/>
      <c r="N1289" s="10"/>
      <c r="O1289" s="21"/>
    </row>
    <row r="1290" spans="1:15" x14ac:dyDescent="0.35">
      <c r="A1290" s="15">
        <f t="shared" si="19"/>
        <v>1288</v>
      </c>
      <c r="B1290" s="16"/>
      <c r="C1290" s="19"/>
      <c r="D1290" s="10"/>
      <c r="E1290" s="10"/>
      <c r="F1290" s="47"/>
      <c r="G1290" s="10"/>
      <c r="H1290" s="20"/>
      <c r="I1290" s="20"/>
      <c r="J1290" s="10"/>
      <c r="K1290" s="10"/>
      <c r="L1290" s="10"/>
      <c r="M1290" s="10"/>
      <c r="N1290" s="10"/>
      <c r="O1290" s="21"/>
    </row>
    <row r="1291" spans="1:15" x14ac:dyDescent="0.35">
      <c r="A1291" s="15">
        <f t="shared" ref="A1291:A1354" si="20">+A1290+1</f>
        <v>1289</v>
      </c>
      <c r="B1291" s="16"/>
      <c r="C1291" s="19"/>
      <c r="D1291" s="10"/>
      <c r="E1291" s="10"/>
      <c r="F1291" s="47"/>
      <c r="G1291" s="10"/>
      <c r="H1291" s="20"/>
      <c r="I1291" s="20"/>
      <c r="J1291" s="10"/>
      <c r="K1291" s="10"/>
      <c r="L1291" s="10"/>
      <c r="M1291" s="10"/>
      <c r="N1291" s="10"/>
      <c r="O1291" s="21"/>
    </row>
    <row r="1292" spans="1:15" x14ac:dyDescent="0.35">
      <c r="A1292" s="15">
        <f t="shared" si="20"/>
        <v>1290</v>
      </c>
      <c r="B1292" s="16"/>
      <c r="C1292" s="19"/>
      <c r="D1292" s="10"/>
      <c r="E1292" s="10"/>
      <c r="F1292" s="47"/>
      <c r="G1292" s="10"/>
      <c r="H1292" s="20"/>
      <c r="I1292" s="20"/>
      <c r="J1292" s="10"/>
      <c r="K1292" s="10"/>
      <c r="L1292" s="10"/>
      <c r="M1292" s="10"/>
      <c r="N1292" s="10"/>
      <c r="O1292" s="21"/>
    </row>
    <row r="1293" spans="1:15" x14ac:dyDescent="0.35">
      <c r="A1293" s="15">
        <f t="shared" si="20"/>
        <v>1291</v>
      </c>
      <c r="B1293" s="16"/>
      <c r="C1293" s="19"/>
      <c r="D1293" s="10"/>
      <c r="E1293" s="10"/>
      <c r="F1293" s="47"/>
      <c r="G1293" s="10"/>
      <c r="H1293" s="20"/>
      <c r="I1293" s="20"/>
      <c r="J1293" s="10"/>
      <c r="K1293" s="10"/>
      <c r="L1293" s="10"/>
      <c r="M1293" s="10"/>
      <c r="N1293" s="10"/>
      <c r="O1293" s="21"/>
    </row>
    <row r="1294" spans="1:15" x14ac:dyDescent="0.35">
      <c r="A1294" s="15">
        <f t="shared" si="20"/>
        <v>1292</v>
      </c>
      <c r="B1294" s="16"/>
      <c r="C1294" s="19"/>
      <c r="D1294" s="10"/>
      <c r="E1294" s="10"/>
      <c r="F1294" s="47"/>
      <c r="G1294" s="10"/>
      <c r="H1294" s="20"/>
      <c r="I1294" s="20"/>
      <c r="J1294" s="10"/>
      <c r="K1294" s="10"/>
      <c r="L1294" s="10"/>
      <c r="M1294" s="10"/>
      <c r="N1294" s="10"/>
      <c r="O1294" s="21"/>
    </row>
    <row r="1295" spans="1:15" x14ac:dyDescent="0.35">
      <c r="A1295" s="15">
        <f t="shared" si="20"/>
        <v>1293</v>
      </c>
      <c r="B1295" s="16"/>
      <c r="C1295" s="19"/>
      <c r="D1295" s="10"/>
      <c r="E1295" s="10"/>
      <c r="F1295" s="47"/>
      <c r="G1295" s="10"/>
      <c r="H1295" s="20"/>
      <c r="I1295" s="20"/>
      <c r="J1295" s="10"/>
      <c r="K1295" s="10"/>
      <c r="L1295" s="10"/>
      <c r="M1295" s="10"/>
      <c r="N1295" s="10"/>
      <c r="O1295" s="21"/>
    </row>
    <row r="1296" spans="1:15" x14ac:dyDescent="0.35">
      <c r="A1296" s="15">
        <f t="shared" si="20"/>
        <v>1294</v>
      </c>
      <c r="B1296" s="16"/>
      <c r="C1296" s="19"/>
      <c r="D1296" s="10"/>
      <c r="E1296" s="10"/>
      <c r="F1296" s="47"/>
      <c r="G1296" s="10"/>
      <c r="H1296" s="20"/>
      <c r="I1296" s="20"/>
      <c r="J1296" s="10"/>
      <c r="K1296" s="10"/>
      <c r="L1296" s="10"/>
      <c r="M1296" s="10"/>
      <c r="N1296" s="10"/>
      <c r="O1296" s="21"/>
    </row>
    <row r="1297" spans="1:15" x14ac:dyDescent="0.35">
      <c r="A1297" s="15">
        <f t="shared" si="20"/>
        <v>1295</v>
      </c>
      <c r="B1297" s="16"/>
      <c r="C1297" s="19"/>
      <c r="D1297" s="10"/>
      <c r="E1297" s="10"/>
      <c r="F1297" s="47"/>
      <c r="G1297" s="10"/>
      <c r="H1297" s="20"/>
      <c r="I1297" s="20"/>
      <c r="J1297" s="10"/>
      <c r="K1297" s="10"/>
      <c r="L1297" s="10"/>
      <c r="M1297" s="10"/>
      <c r="N1297" s="10"/>
      <c r="O1297" s="21"/>
    </row>
    <row r="1298" spans="1:15" x14ac:dyDescent="0.35">
      <c r="A1298" s="15">
        <f t="shared" si="20"/>
        <v>1296</v>
      </c>
      <c r="B1298" s="16"/>
      <c r="C1298" s="19"/>
      <c r="D1298" s="10"/>
      <c r="E1298" s="10"/>
      <c r="F1298" s="47"/>
      <c r="G1298" s="10"/>
      <c r="H1298" s="20"/>
      <c r="I1298" s="20"/>
      <c r="J1298" s="10"/>
      <c r="K1298" s="10"/>
      <c r="L1298" s="10"/>
      <c r="M1298" s="10"/>
      <c r="N1298" s="10"/>
      <c r="O1298" s="21"/>
    </row>
    <row r="1299" spans="1:15" x14ac:dyDescent="0.35">
      <c r="A1299" s="15">
        <f t="shared" si="20"/>
        <v>1297</v>
      </c>
      <c r="B1299" s="16"/>
      <c r="C1299" s="19"/>
      <c r="D1299" s="10"/>
      <c r="E1299" s="10"/>
      <c r="F1299" s="47"/>
      <c r="G1299" s="10"/>
      <c r="H1299" s="20"/>
      <c r="I1299" s="20"/>
      <c r="J1299" s="10"/>
      <c r="K1299" s="10"/>
      <c r="L1299" s="10"/>
      <c r="M1299" s="10"/>
      <c r="N1299" s="10"/>
      <c r="O1299" s="21"/>
    </row>
    <row r="1300" spans="1:15" x14ac:dyDescent="0.35">
      <c r="A1300" s="15">
        <f t="shared" si="20"/>
        <v>1298</v>
      </c>
      <c r="B1300" s="16"/>
      <c r="C1300" s="19"/>
      <c r="D1300" s="10"/>
      <c r="E1300" s="10"/>
      <c r="F1300" s="47"/>
      <c r="G1300" s="10"/>
      <c r="H1300" s="20"/>
      <c r="I1300" s="20"/>
      <c r="J1300" s="10"/>
      <c r="K1300" s="10"/>
      <c r="L1300" s="10"/>
      <c r="M1300" s="10"/>
      <c r="N1300" s="10"/>
      <c r="O1300" s="21"/>
    </row>
    <row r="1301" spans="1:15" x14ac:dyDescent="0.35">
      <c r="A1301" s="15">
        <f t="shared" si="20"/>
        <v>1299</v>
      </c>
      <c r="B1301" s="16"/>
      <c r="C1301" s="19"/>
      <c r="D1301" s="10"/>
      <c r="E1301" s="10"/>
      <c r="F1301" s="47"/>
      <c r="G1301" s="10"/>
      <c r="H1301" s="20"/>
      <c r="I1301" s="20"/>
      <c r="J1301" s="10"/>
      <c r="K1301" s="10"/>
      <c r="L1301" s="10"/>
      <c r="M1301" s="10"/>
      <c r="N1301" s="10"/>
      <c r="O1301" s="21"/>
    </row>
    <row r="1302" spans="1:15" x14ac:dyDescent="0.35">
      <c r="A1302" s="15">
        <f t="shared" si="20"/>
        <v>1300</v>
      </c>
      <c r="B1302" s="16"/>
      <c r="C1302" s="19"/>
      <c r="D1302" s="10"/>
      <c r="E1302" s="10"/>
      <c r="F1302" s="47"/>
      <c r="G1302" s="10"/>
      <c r="H1302" s="20"/>
      <c r="I1302" s="20"/>
      <c r="J1302" s="10"/>
      <c r="K1302" s="10"/>
      <c r="L1302" s="10"/>
      <c r="M1302" s="10"/>
      <c r="N1302" s="10"/>
      <c r="O1302" s="21"/>
    </row>
    <row r="1303" spans="1:15" x14ac:dyDescent="0.35">
      <c r="A1303" s="15">
        <f t="shared" si="20"/>
        <v>1301</v>
      </c>
      <c r="B1303" s="16"/>
      <c r="C1303" s="19"/>
      <c r="D1303" s="10"/>
      <c r="E1303" s="10"/>
      <c r="F1303" s="47"/>
      <c r="G1303" s="10"/>
      <c r="H1303" s="20"/>
      <c r="I1303" s="20"/>
      <c r="J1303" s="10"/>
      <c r="K1303" s="10"/>
      <c r="L1303" s="10"/>
      <c r="M1303" s="10"/>
      <c r="N1303" s="10"/>
      <c r="O1303" s="21"/>
    </row>
    <row r="1304" spans="1:15" x14ac:dyDescent="0.35">
      <c r="A1304" s="15">
        <f t="shared" si="20"/>
        <v>1302</v>
      </c>
      <c r="B1304" s="16"/>
      <c r="C1304" s="19"/>
      <c r="D1304" s="10"/>
      <c r="E1304" s="10"/>
      <c r="F1304" s="47"/>
      <c r="G1304" s="10"/>
      <c r="H1304" s="20"/>
      <c r="I1304" s="20"/>
      <c r="J1304" s="10"/>
      <c r="K1304" s="10"/>
      <c r="L1304" s="10"/>
      <c r="M1304" s="10"/>
      <c r="N1304" s="10"/>
      <c r="O1304" s="21"/>
    </row>
    <row r="1305" spans="1:15" x14ac:dyDescent="0.35">
      <c r="A1305" s="15">
        <f t="shared" si="20"/>
        <v>1303</v>
      </c>
      <c r="B1305" s="16"/>
      <c r="C1305" s="19"/>
      <c r="D1305" s="10"/>
      <c r="E1305" s="10"/>
      <c r="F1305" s="47"/>
      <c r="G1305" s="10"/>
      <c r="H1305" s="20"/>
      <c r="I1305" s="20"/>
      <c r="J1305" s="10"/>
      <c r="K1305" s="10"/>
      <c r="L1305" s="10"/>
      <c r="M1305" s="10"/>
      <c r="N1305" s="10"/>
      <c r="O1305" s="21"/>
    </row>
    <row r="1306" spans="1:15" x14ac:dyDescent="0.35">
      <c r="A1306" s="15">
        <f t="shared" si="20"/>
        <v>1304</v>
      </c>
      <c r="B1306" s="16"/>
      <c r="C1306" s="19"/>
      <c r="D1306" s="10"/>
      <c r="E1306" s="10"/>
      <c r="F1306" s="47"/>
      <c r="G1306" s="10"/>
      <c r="H1306" s="20"/>
      <c r="I1306" s="20"/>
      <c r="J1306" s="10"/>
      <c r="K1306" s="10"/>
      <c r="L1306" s="10"/>
      <c r="M1306" s="10"/>
      <c r="N1306" s="10"/>
      <c r="O1306" s="21"/>
    </row>
    <row r="1307" spans="1:15" x14ac:dyDescent="0.35">
      <c r="A1307" s="15">
        <f t="shared" si="20"/>
        <v>1305</v>
      </c>
      <c r="B1307" s="16"/>
      <c r="C1307" s="19"/>
      <c r="D1307" s="10"/>
      <c r="E1307" s="10"/>
      <c r="F1307" s="47"/>
      <c r="G1307" s="10"/>
      <c r="H1307" s="20"/>
      <c r="I1307" s="20"/>
      <c r="J1307" s="10"/>
      <c r="K1307" s="10"/>
      <c r="L1307" s="10"/>
      <c r="M1307" s="10"/>
      <c r="N1307" s="10"/>
      <c r="O1307" s="21"/>
    </row>
    <row r="1308" spans="1:15" x14ac:dyDescent="0.35">
      <c r="A1308" s="15">
        <f t="shared" si="20"/>
        <v>1306</v>
      </c>
      <c r="B1308" s="16"/>
      <c r="C1308" s="19"/>
      <c r="D1308" s="10"/>
      <c r="E1308" s="10"/>
      <c r="F1308" s="47"/>
      <c r="G1308" s="10"/>
      <c r="H1308" s="20"/>
      <c r="I1308" s="20"/>
      <c r="J1308" s="10"/>
      <c r="K1308" s="10"/>
      <c r="L1308" s="10"/>
      <c r="M1308" s="10"/>
      <c r="N1308" s="10"/>
      <c r="O1308" s="21"/>
    </row>
    <row r="1309" spans="1:15" x14ac:dyDescent="0.35">
      <c r="A1309" s="15">
        <f t="shared" si="20"/>
        <v>1307</v>
      </c>
      <c r="B1309" s="16"/>
      <c r="C1309" s="19"/>
      <c r="D1309" s="10"/>
      <c r="E1309" s="10"/>
      <c r="F1309" s="47"/>
      <c r="G1309" s="10"/>
      <c r="H1309" s="20"/>
      <c r="I1309" s="20"/>
      <c r="J1309" s="10"/>
      <c r="K1309" s="10"/>
      <c r="L1309" s="10"/>
      <c r="M1309" s="10"/>
      <c r="N1309" s="10"/>
      <c r="O1309" s="21"/>
    </row>
    <row r="1310" spans="1:15" x14ac:dyDescent="0.35">
      <c r="A1310" s="15">
        <f t="shared" si="20"/>
        <v>1308</v>
      </c>
      <c r="B1310" s="16"/>
      <c r="C1310" s="19"/>
      <c r="D1310" s="10"/>
      <c r="E1310" s="10"/>
      <c r="F1310" s="47"/>
      <c r="G1310" s="10"/>
      <c r="H1310" s="20"/>
      <c r="I1310" s="20"/>
      <c r="J1310" s="10"/>
      <c r="K1310" s="10"/>
      <c r="L1310" s="10"/>
      <c r="M1310" s="10"/>
      <c r="N1310" s="10"/>
      <c r="O1310" s="21"/>
    </row>
    <row r="1311" spans="1:15" x14ac:dyDescent="0.35">
      <c r="A1311" s="15">
        <f t="shared" si="20"/>
        <v>1309</v>
      </c>
      <c r="B1311" s="16"/>
      <c r="C1311" s="19"/>
      <c r="D1311" s="10"/>
      <c r="E1311" s="10"/>
      <c r="F1311" s="47"/>
      <c r="G1311" s="10"/>
      <c r="H1311" s="20"/>
      <c r="I1311" s="20"/>
      <c r="J1311" s="10"/>
      <c r="K1311" s="10"/>
      <c r="L1311" s="10"/>
      <c r="M1311" s="10"/>
      <c r="N1311" s="10"/>
      <c r="O1311" s="21"/>
    </row>
    <row r="1312" spans="1:15" x14ac:dyDescent="0.35">
      <c r="A1312" s="15">
        <f t="shared" si="20"/>
        <v>1310</v>
      </c>
      <c r="B1312" s="16"/>
      <c r="C1312" s="19"/>
      <c r="D1312" s="10"/>
      <c r="E1312" s="10"/>
      <c r="F1312" s="47"/>
      <c r="G1312" s="10"/>
      <c r="H1312" s="20"/>
      <c r="I1312" s="20"/>
      <c r="J1312" s="10"/>
      <c r="K1312" s="10"/>
      <c r="L1312" s="10"/>
      <c r="M1312" s="10"/>
      <c r="N1312" s="10"/>
      <c r="O1312" s="21"/>
    </row>
    <row r="1313" spans="1:15" x14ac:dyDescent="0.35">
      <c r="A1313" s="15">
        <f t="shared" si="20"/>
        <v>1311</v>
      </c>
      <c r="B1313" s="16"/>
      <c r="C1313" s="19"/>
      <c r="D1313" s="10"/>
      <c r="E1313" s="10"/>
      <c r="F1313" s="47"/>
      <c r="G1313" s="10"/>
      <c r="H1313" s="20"/>
      <c r="I1313" s="20"/>
      <c r="J1313" s="10"/>
      <c r="K1313" s="10"/>
      <c r="L1313" s="10"/>
      <c r="M1313" s="10"/>
      <c r="N1313" s="10"/>
      <c r="O1313" s="21"/>
    </row>
    <row r="1314" spans="1:15" x14ac:dyDescent="0.35">
      <c r="A1314" s="15">
        <f t="shared" si="20"/>
        <v>1312</v>
      </c>
      <c r="B1314" s="16"/>
      <c r="C1314" s="19"/>
      <c r="D1314" s="10"/>
      <c r="E1314" s="10"/>
      <c r="F1314" s="47"/>
      <c r="G1314" s="10"/>
      <c r="H1314" s="20"/>
      <c r="I1314" s="20"/>
      <c r="J1314" s="10"/>
      <c r="K1314" s="10"/>
      <c r="L1314" s="10"/>
      <c r="M1314" s="10"/>
      <c r="N1314" s="10"/>
      <c r="O1314" s="21"/>
    </row>
    <row r="1315" spans="1:15" x14ac:dyDescent="0.35">
      <c r="A1315" s="15">
        <f t="shared" si="20"/>
        <v>1313</v>
      </c>
      <c r="B1315" s="16"/>
      <c r="C1315" s="19"/>
      <c r="D1315" s="10"/>
      <c r="E1315" s="10"/>
      <c r="F1315" s="47"/>
      <c r="G1315" s="10"/>
      <c r="H1315" s="20"/>
      <c r="I1315" s="20"/>
      <c r="J1315" s="10"/>
      <c r="K1315" s="10"/>
      <c r="L1315" s="10"/>
      <c r="M1315" s="10"/>
      <c r="N1315" s="10"/>
      <c r="O1315" s="21"/>
    </row>
    <row r="1316" spans="1:15" x14ac:dyDescent="0.35">
      <c r="A1316" s="15">
        <f t="shared" si="20"/>
        <v>1314</v>
      </c>
      <c r="B1316" s="16"/>
      <c r="C1316" s="19"/>
      <c r="D1316" s="10"/>
      <c r="E1316" s="10"/>
      <c r="F1316" s="47"/>
      <c r="G1316" s="10"/>
      <c r="H1316" s="20"/>
      <c r="I1316" s="20"/>
      <c r="J1316" s="10"/>
      <c r="K1316" s="10"/>
      <c r="L1316" s="10"/>
      <c r="M1316" s="10"/>
      <c r="N1316" s="10"/>
      <c r="O1316" s="21"/>
    </row>
    <row r="1317" spans="1:15" x14ac:dyDescent="0.35">
      <c r="A1317" s="15">
        <f t="shared" si="20"/>
        <v>1315</v>
      </c>
      <c r="B1317" s="16"/>
      <c r="C1317" s="19"/>
      <c r="D1317" s="10"/>
      <c r="E1317" s="10"/>
      <c r="F1317" s="47"/>
      <c r="G1317" s="10"/>
      <c r="H1317" s="20"/>
      <c r="I1317" s="20"/>
      <c r="J1317" s="10"/>
      <c r="K1317" s="10"/>
      <c r="L1317" s="10"/>
      <c r="M1317" s="10"/>
      <c r="N1317" s="10"/>
      <c r="O1317" s="21"/>
    </row>
    <row r="1318" spans="1:15" x14ac:dyDescent="0.35">
      <c r="A1318" s="15">
        <f t="shared" si="20"/>
        <v>1316</v>
      </c>
      <c r="B1318" s="16"/>
      <c r="C1318" s="19"/>
      <c r="D1318" s="10"/>
      <c r="E1318" s="10"/>
      <c r="F1318" s="47"/>
      <c r="G1318" s="10"/>
      <c r="H1318" s="20"/>
      <c r="I1318" s="20"/>
      <c r="J1318" s="10"/>
      <c r="K1318" s="10"/>
      <c r="L1318" s="10"/>
      <c r="M1318" s="10"/>
      <c r="N1318" s="10"/>
      <c r="O1318" s="21"/>
    </row>
    <row r="1319" spans="1:15" x14ac:dyDescent="0.35">
      <c r="A1319" s="15">
        <f t="shared" si="20"/>
        <v>1317</v>
      </c>
      <c r="B1319" s="16"/>
      <c r="C1319" s="19"/>
      <c r="D1319" s="10"/>
      <c r="E1319" s="10"/>
      <c r="F1319" s="47"/>
      <c r="G1319" s="10"/>
      <c r="H1319" s="20"/>
      <c r="I1319" s="20"/>
      <c r="J1319" s="10"/>
      <c r="K1319" s="10"/>
      <c r="L1319" s="10"/>
      <c r="M1319" s="10"/>
      <c r="N1319" s="10"/>
      <c r="O1319" s="21"/>
    </row>
    <row r="1320" spans="1:15" x14ac:dyDescent="0.35">
      <c r="A1320" s="15">
        <f t="shared" si="20"/>
        <v>1318</v>
      </c>
      <c r="B1320" s="16"/>
      <c r="C1320" s="19"/>
      <c r="D1320" s="10"/>
      <c r="E1320" s="10"/>
      <c r="F1320" s="47"/>
      <c r="G1320" s="10"/>
      <c r="H1320" s="20"/>
      <c r="I1320" s="20"/>
      <c r="J1320" s="10"/>
      <c r="K1320" s="10"/>
      <c r="L1320" s="10"/>
      <c r="M1320" s="10"/>
      <c r="N1320" s="10"/>
      <c r="O1320" s="21"/>
    </row>
    <row r="1321" spans="1:15" x14ac:dyDescent="0.35">
      <c r="A1321" s="15">
        <f t="shared" si="20"/>
        <v>1319</v>
      </c>
      <c r="B1321" s="16"/>
      <c r="C1321" s="19"/>
      <c r="D1321" s="10"/>
      <c r="E1321" s="10"/>
      <c r="F1321" s="47"/>
      <c r="G1321" s="10"/>
      <c r="H1321" s="20"/>
      <c r="I1321" s="20"/>
      <c r="J1321" s="10"/>
      <c r="K1321" s="10"/>
      <c r="L1321" s="10"/>
      <c r="M1321" s="10"/>
      <c r="N1321" s="10"/>
      <c r="O1321" s="21"/>
    </row>
    <row r="1322" spans="1:15" x14ac:dyDescent="0.35">
      <c r="A1322" s="15">
        <f t="shared" si="20"/>
        <v>1320</v>
      </c>
      <c r="B1322" s="16"/>
      <c r="C1322" s="19"/>
      <c r="D1322" s="10"/>
      <c r="E1322" s="10"/>
      <c r="F1322" s="47"/>
      <c r="G1322" s="10"/>
      <c r="H1322" s="20"/>
      <c r="I1322" s="20"/>
      <c r="J1322" s="10"/>
      <c r="K1322" s="10"/>
      <c r="L1322" s="10"/>
      <c r="M1322" s="10"/>
      <c r="N1322" s="10"/>
      <c r="O1322" s="21"/>
    </row>
    <row r="1323" spans="1:15" x14ac:dyDescent="0.35">
      <c r="A1323" s="15">
        <f t="shared" si="20"/>
        <v>1321</v>
      </c>
      <c r="B1323" s="16"/>
      <c r="C1323" s="19"/>
      <c r="D1323" s="10"/>
      <c r="E1323" s="10"/>
      <c r="F1323" s="47"/>
      <c r="G1323" s="10"/>
      <c r="H1323" s="20"/>
      <c r="I1323" s="20"/>
      <c r="J1323" s="10"/>
      <c r="K1323" s="10"/>
      <c r="L1323" s="10"/>
      <c r="M1323" s="10"/>
      <c r="N1323" s="10"/>
      <c r="O1323" s="21"/>
    </row>
    <row r="1324" spans="1:15" x14ac:dyDescent="0.35">
      <c r="A1324" s="15">
        <f t="shared" si="20"/>
        <v>1322</v>
      </c>
      <c r="B1324" s="16"/>
      <c r="C1324" s="19"/>
      <c r="D1324" s="10"/>
      <c r="E1324" s="10"/>
      <c r="F1324" s="47"/>
      <c r="G1324" s="10"/>
      <c r="H1324" s="20"/>
      <c r="I1324" s="20"/>
      <c r="J1324" s="10"/>
      <c r="K1324" s="10"/>
      <c r="L1324" s="10"/>
      <c r="M1324" s="10"/>
      <c r="N1324" s="10"/>
      <c r="O1324" s="21"/>
    </row>
    <row r="1325" spans="1:15" x14ac:dyDescent="0.35">
      <c r="A1325" s="15">
        <f t="shared" si="20"/>
        <v>1323</v>
      </c>
      <c r="B1325" s="16"/>
      <c r="C1325" s="19"/>
      <c r="D1325" s="10"/>
      <c r="E1325" s="10"/>
      <c r="F1325" s="47"/>
      <c r="G1325" s="10"/>
      <c r="H1325" s="20"/>
      <c r="I1325" s="20"/>
      <c r="J1325" s="10"/>
      <c r="K1325" s="10"/>
      <c r="L1325" s="10"/>
      <c r="M1325" s="10"/>
      <c r="N1325" s="10"/>
      <c r="O1325" s="21"/>
    </row>
    <row r="1326" spans="1:15" x14ac:dyDescent="0.35">
      <c r="A1326" s="15">
        <f t="shared" si="20"/>
        <v>1324</v>
      </c>
      <c r="B1326" s="16"/>
      <c r="C1326" s="19"/>
      <c r="D1326" s="10"/>
      <c r="E1326" s="10"/>
      <c r="F1326" s="47"/>
      <c r="G1326" s="10"/>
      <c r="H1326" s="20"/>
      <c r="I1326" s="20"/>
      <c r="J1326" s="10"/>
      <c r="K1326" s="10"/>
      <c r="L1326" s="10"/>
      <c r="M1326" s="10"/>
      <c r="N1326" s="10"/>
      <c r="O1326" s="21"/>
    </row>
    <row r="1327" spans="1:15" x14ac:dyDescent="0.35">
      <c r="A1327" s="15">
        <f t="shared" si="20"/>
        <v>1325</v>
      </c>
      <c r="B1327" s="16"/>
      <c r="C1327" s="19"/>
      <c r="D1327" s="10"/>
      <c r="E1327" s="10"/>
      <c r="F1327" s="47"/>
      <c r="G1327" s="10"/>
      <c r="H1327" s="20"/>
      <c r="I1327" s="20"/>
      <c r="J1327" s="10"/>
      <c r="K1327" s="10"/>
      <c r="L1327" s="10"/>
      <c r="M1327" s="10"/>
      <c r="N1327" s="10"/>
      <c r="O1327" s="21"/>
    </row>
    <row r="1328" spans="1:15" x14ac:dyDescent="0.35">
      <c r="A1328" s="15">
        <f t="shared" si="20"/>
        <v>1326</v>
      </c>
      <c r="B1328" s="16"/>
      <c r="C1328" s="19"/>
      <c r="D1328" s="10"/>
      <c r="E1328" s="10"/>
      <c r="F1328" s="47"/>
      <c r="G1328" s="10"/>
      <c r="H1328" s="20"/>
      <c r="I1328" s="20"/>
      <c r="J1328" s="10"/>
      <c r="K1328" s="10"/>
      <c r="L1328" s="10"/>
      <c r="M1328" s="10"/>
      <c r="N1328" s="10"/>
      <c r="O1328" s="21"/>
    </row>
    <row r="1329" spans="1:15" x14ac:dyDescent="0.35">
      <c r="A1329" s="15">
        <f t="shared" si="20"/>
        <v>1327</v>
      </c>
      <c r="B1329" s="16"/>
      <c r="C1329" s="19"/>
      <c r="D1329" s="10"/>
      <c r="E1329" s="10"/>
      <c r="F1329" s="47"/>
      <c r="G1329" s="10"/>
      <c r="H1329" s="20"/>
      <c r="I1329" s="20"/>
      <c r="J1329" s="10"/>
      <c r="K1329" s="10"/>
      <c r="L1329" s="10"/>
      <c r="M1329" s="10"/>
      <c r="N1329" s="10"/>
      <c r="O1329" s="21"/>
    </row>
    <row r="1330" spans="1:15" x14ac:dyDescent="0.35">
      <c r="A1330" s="15">
        <f t="shared" si="20"/>
        <v>1328</v>
      </c>
      <c r="B1330" s="16"/>
      <c r="C1330" s="19"/>
      <c r="D1330" s="10"/>
      <c r="E1330" s="10"/>
      <c r="F1330" s="47"/>
      <c r="G1330" s="10"/>
      <c r="H1330" s="20"/>
      <c r="I1330" s="20"/>
      <c r="J1330" s="10"/>
      <c r="K1330" s="10"/>
      <c r="L1330" s="10"/>
      <c r="M1330" s="10"/>
      <c r="N1330" s="10"/>
      <c r="O1330" s="21"/>
    </row>
    <row r="1331" spans="1:15" x14ac:dyDescent="0.35">
      <c r="A1331" s="15">
        <f t="shared" si="20"/>
        <v>1329</v>
      </c>
      <c r="B1331" s="16"/>
      <c r="C1331" s="19"/>
      <c r="D1331" s="10"/>
      <c r="E1331" s="10"/>
      <c r="F1331" s="47"/>
      <c r="G1331" s="10"/>
      <c r="H1331" s="20"/>
      <c r="I1331" s="20"/>
      <c r="J1331" s="10"/>
      <c r="K1331" s="10"/>
      <c r="L1331" s="10"/>
      <c r="M1331" s="10"/>
      <c r="N1331" s="10"/>
      <c r="O1331" s="21"/>
    </row>
    <row r="1332" spans="1:15" x14ac:dyDescent="0.35">
      <c r="A1332" s="15">
        <f t="shared" si="20"/>
        <v>1330</v>
      </c>
      <c r="B1332" s="16"/>
      <c r="C1332" s="19"/>
      <c r="D1332" s="10"/>
      <c r="E1332" s="10"/>
      <c r="F1332" s="47"/>
      <c r="G1332" s="10"/>
      <c r="H1332" s="20"/>
      <c r="I1332" s="20"/>
      <c r="J1332" s="10"/>
      <c r="K1332" s="10"/>
      <c r="L1332" s="10"/>
      <c r="M1332" s="10"/>
      <c r="N1332" s="10"/>
      <c r="O1332" s="21"/>
    </row>
    <row r="1333" spans="1:15" x14ac:dyDescent="0.35">
      <c r="A1333" s="15">
        <f t="shared" si="20"/>
        <v>1331</v>
      </c>
      <c r="B1333" s="16"/>
      <c r="C1333" s="19"/>
      <c r="D1333" s="10"/>
      <c r="E1333" s="10"/>
      <c r="F1333" s="47"/>
      <c r="G1333" s="10"/>
      <c r="H1333" s="20"/>
      <c r="I1333" s="20"/>
      <c r="J1333" s="10"/>
      <c r="K1333" s="10"/>
      <c r="L1333" s="10"/>
      <c r="M1333" s="10"/>
      <c r="N1333" s="10"/>
      <c r="O1333" s="21"/>
    </row>
    <row r="1334" spans="1:15" x14ac:dyDescent="0.35">
      <c r="A1334" s="15">
        <f t="shared" si="20"/>
        <v>1332</v>
      </c>
      <c r="B1334" s="16"/>
      <c r="C1334" s="19"/>
      <c r="D1334" s="10"/>
      <c r="E1334" s="10"/>
      <c r="F1334" s="47"/>
      <c r="G1334" s="10"/>
      <c r="H1334" s="20"/>
      <c r="I1334" s="20"/>
      <c r="J1334" s="10"/>
      <c r="K1334" s="10"/>
      <c r="L1334" s="10"/>
      <c r="M1334" s="10"/>
      <c r="N1334" s="10"/>
      <c r="O1334" s="21"/>
    </row>
    <row r="1335" spans="1:15" x14ac:dyDescent="0.35">
      <c r="A1335" s="15">
        <f t="shared" si="20"/>
        <v>1333</v>
      </c>
      <c r="B1335" s="16"/>
      <c r="C1335" s="19"/>
      <c r="D1335" s="10"/>
      <c r="E1335" s="10"/>
      <c r="F1335" s="47"/>
      <c r="G1335" s="10"/>
      <c r="H1335" s="20"/>
      <c r="I1335" s="20"/>
      <c r="J1335" s="10"/>
      <c r="K1335" s="10"/>
      <c r="L1335" s="10"/>
      <c r="M1335" s="10"/>
      <c r="N1335" s="10"/>
      <c r="O1335" s="21"/>
    </row>
    <row r="1336" spans="1:15" x14ac:dyDescent="0.35">
      <c r="A1336" s="15">
        <f t="shared" si="20"/>
        <v>1334</v>
      </c>
      <c r="B1336" s="16"/>
      <c r="C1336" s="19"/>
      <c r="D1336" s="10"/>
      <c r="E1336" s="10"/>
      <c r="F1336" s="47"/>
      <c r="G1336" s="10"/>
      <c r="H1336" s="20"/>
      <c r="I1336" s="20"/>
      <c r="J1336" s="10"/>
      <c r="K1336" s="10"/>
      <c r="L1336" s="10"/>
      <c r="M1336" s="10"/>
      <c r="N1336" s="10"/>
      <c r="O1336" s="21"/>
    </row>
    <row r="1337" spans="1:15" x14ac:dyDescent="0.35">
      <c r="A1337" s="15">
        <f t="shared" si="20"/>
        <v>1335</v>
      </c>
      <c r="B1337" s="16"/>
      <c r="C1337" s="19"/>
      <c r="D1337" s="10"/>
      <c r="E1337" s="10"/>
      <c r="F1337" s="47"/>
      <c r="G1337" s="10"/>
      <c r="H1337" s="20"/>
      <c r="I1337" s="20"/>
      <c r="J1337" s="10"/>
      <c r="K1337" s="10"/>
      <c r="L1337" s="10"/>
      <c r="M1337" s="10"/>
      <c r="N1337" s="10"/>
      <c r="O1337" s="21"/>
    </row>
    <row r="1338" spans="1:15" x14ac:dyDescent="0.35">
      <c r="A1338" s="15">
        <f t="shared" si="20"/>
        <v>1336</v>
      </c>
      <c r="B1338" s="16"/>
      <c r="C1338" s="19"/>
      <c r="D1338" s="10"/>
      <c r="E1338" s="10"/>
      <c r="F1338" s="47"/>
      <c r="G1338" s="10"/>
      <c r="H1338" s="20"/>
      <c r="I1338" s="20"/>
      <c r="J1338" s="10"/>
      <c r="K1338" s="10"/>
      <c r="L1338" s="10"/>
      <c r="M1338" s="10"/>
      <c r="N1338" s="10"/>
      <c r="O1338" s="21"/>
    </row>
    <row r="1339" spans="1:15" x14ac:dyDescent="0.35">
      <c r="A1339" s="15">
        <f t="shared" si="20"/>
        <v>1337</v>
      </c>
      <c r="B1339" s="16"/>
      <c r="C1339" s="19"/>
      <c r="D1339" s="10"/>
      <c r="E1339" s="10"/>
      <c r="F1339" s="47"/>
      <c r="G1339" s="10"/>
      <c r="H1339" s="20"/>
      <c r="I1339" s="20"/>
      <c r="J1339" s="10"/>
      <c r="K1339" s="10"/>
      <c r="L1339" s="10"/>
      <c r="M1339" s="10"/>
      <c r="N1339" s="10"/>
      <c r="O1339" s="21"/>
    </row>
    <row r="1340" spans="1:15" x14ac:dyDescent="0.35">
      <c r="A1340" s="15">
        <f t="shared" si="20"/>
        <v>1338</v>
      </c>
      <c r="B1340" s="16"/>
      <c r="C1340" s="19"/>
      <c r="D1340" s="10"/>
      <c r="E1340" s="10"/>
      <c r="F1340" s="47"/>
      <c r="G1340" s="10"/>
      <c r="H1340" s="20"/>
      <c r="I1340" s="20"/>
      <c r="J1340" s="10"/>
      <c r="K1340" s="10"/>
      <c r="L1340" s="10"/>
      <c r="M1340" s="10"/>
      <c r="N1340" s="10"/>
      <c r="O1340" s="21"/>
    </row>
    <row r="1341" spans="1:15" x14ac:dyDescent="0.35">
      <c r="A1341" s="15">
        <f t="shared" si="20"/>
        <v>1339</v>
      </c>
      <c r="B1341" s="16"/>
      <c r="C1341" s="19"/>
      <c r="D1341" s="10"/>
      <c r="E1341" s="10"/>
      <c r="F1341" s="47"/>
      <c r="G1341" s="10"/>
      <c r="H1341" s="20"/>
      <c r="I1341" s="20"/>
      <c r="J1341" s="10"/>
      <c r="K1341" s="10"/>
      <c r="L1341" s="10"/>
      <c r="M1341" s="10"/>
      <c r="N1341" s="10"/>
      <c r="O1341" s="21"/>
    </row>
    <row r="1342" spans="1:15" x14ac:dyDescent="0.35">
      <c r="A1342" s="15">
        <f t="shared" si="20"/>
        <v>1340</v>
      </c>
      <c r="B1342" s="16"/>
      <c r="C1342" s="19"/>
      <c r="D1342" s="10"/>
      <c r="E1342" s="10"/>
      <c r="F1342" s="47"/>
      <c r="G1342" s="10"/>
      <c r="H1342" s="20"/>
      <c r="I1342" s="20"/>
      <c r="J1342" s="10"/>
      <c r="K1342" s="10"/>
      <c r="L1342" s="10"/>
      <c r="M1342" s="10"/>
      <c r="N1342" s="10"/>
      <c r="O1342" s="21"/>
    </row>
    <row r="1343" spans="1:15" x14ac:dyDescent="0.35">
      <c r="A1343" s="15">
        <f t="shared" si="20"/>
        <v>1341</v>
      </c>
      <c r="B1343" s="16"/>
      <c r="C1343" s="19"/>
      <c r="D1343" s="10"/>
      <c r="E1343" s="10"/>
      <c r="F1343" s="47"/>
      <c r="G1343" s="10"/>
      <c r="H1343" s="20"/>
      <c r="I1343" s="20"/>
      <c r="J1343" s="10"/>
      <c r="K1343" s="10"/>
      <c r="L1343" s="10"/>
      <c r="M1343" s="10"/>
      <c r="N1343" s="10"/>
      <c r="O1343" s="21"/>
    </row>
    <row r="1344" spans="1:15" x14ac:dyDescent="0.35">
      <c r="A1344" s="15">
        <f t="shared" si="20"/>
        <v>1342</v>
      </c>
      <c r="B1344" s="16"/>
      <c r="C1344" s="19"/>
      <c r="D1344" s="10"/>
      <c r="E1344" s="10"/>
      <c r="F1344" s="47"/>
      <c r="G1344" s="10"/>
      <c r="H1344" s="20"/>
      <c r="I1344" s="20"/>
      <c r="J1344" s="10"/>
      <c r="K1344" s="10"/>
      <c r="L1344" s="10"/>
      <c r="M1344" s="10"/>
      <c r="N1344" s="10"/>
      <c r="O1344" s="21"/>
    </row>
    <row r="1345" spans="1:15" x14ac:dyDescent="0.35">
      <c r="A1345" s="15">
        <f t="shared" si="20"/>
        <v>1343</v>
      </c>
      <c r="B1345" s="16"/>
      <c r="C1345" s="19"/>
      <c r="D1345" s="10"/>
      <c r="E1345" s="10"/>
      <c r="F1345" s="47"/>
      <c r="G1345" s="10"/>
      <c r="H1345" s="20"/>
      <c r="I1345" s="20"/>
      <c r="J1345" s="10"/>
      <c r="K1345" s="10"/>
      <c r="L1345" s="10"/>
      <c r="M1345" s="10"/>
      <c r="N1345" s="10"/>
      <c r="O1345" s="21"/>
    </row>
    <row r="1346" spans="1:15" x14ac:dyDescent="0.35">
      <c r="A1346" s="15">
        <f t="shared" si="20"/>
        <v>1344</v>
      </c>
      <c r="B1346" s="16"/>
      <c r="C1346" s="19"/>
      <c r="D1346" s="10"/>
      <c r="E1346" s="10"/>
      <c r="F1346" s="47"/>
      <c r="G1346" s="10"/>
      <c r="H1346" s="20"/>
      <c r="I1346" s="20"/>
      <c r="J1346" s="10"/>
      <c r="K1346" s="10"/>
      <c r="L1346" s="10"/>
      <c r="M1346" s="10"/>
      <c r="N1346" s="10"/>
      <c r="O1346" s="21"/>
    </row>
    <row r="1347" spans="1:15" x14ac:dyDescent="0.35">
      <c r="A1347" s="15">
        <f t="shared" si="20"/>
        <v>1345</v>
      </c>
      <c r="B1347" s="16"/>
      <c r="C1347" s="19"/>
      <c r="D1347" s="10"/>
      <c r="E1347" s="10"/>
      <c r="F1347" s="47"/>
      <c r="G1347" s="10"/>
      <c r="H1347" s="20"/>
      <c r="I1347" s="20"/>
      <c r="J1347" s="10"/>
      <c r="K1347" s="10"/>
      <c r="L1347" s="10"/>
      <c r="M1347" s="10"/>
      <c r="N1347" s="10"/>
      <c r="O1347" s="21"/>
    </row>
    <row r="1348" spans="1:15" x14ac:dyDescent="0.35">
      <c r="A1348" s="15">
        <f t="shared" si="20"/>
        <v>1346</v>
      </c>
      <c r="B1348" s="16"/>
      <c r="C1348" s="19"/>
      <c r="D1348" s="10"/>
      <c r="E1348" s="10"/>
      <c r="F1348" s="47"/>
      <c r="G1348" s="10"/>
      <c r="H1348" s="20"/>
      <c r="I1348" s="20"/>
      <c r="J1348" s="10"/>
      <c r="K1348" s="10"/>
      <c r="L1348" s="10"/>
      <c r="M1348" s="10"/>
      <c r="N1348" s="10"/>
      <c r="O1348" s="21"/>
    </row>
    <row r="1349" spans="1:15" x14ac:dyDescent="0.35">
      <c r="A1349" s="15">
        <f t="shared" si="20"/>
        <v>1347</v>
      </c>
      <c r="B1349" s="16"/>
      <c r="C1349" s="19"/>
      <c r="D1349" s="10"/>
      <c r="E1349" s="10"/>
      <c r="F1349" s="47"/>
      <c r="G1349" s="10"/>
      <c r="H1349" s="20"/>
      <c r="I1349" s="20"/>
      <c r="J1349" s="10"/>
      <c r="K1349" s="10"/>
      <c r="L1349" s="10"/>
      <c r="M1349" s="10"/>
      <c r="N1349" s="10"/>
      <c r="O1349" s="21"/>
    </row>
    <row r="1350" spans="1:15" x14ac:dyDescent="0.35">
      <c r="A1350" s="15">
        <f t="shared" si="20"/>
        <v>1348</v>
      </c>
      <c r="B1350" s="16"/>
      <c r="C1350" s="19"/>
      <c r="D1350" s="10"/>
      <c r="E1350" s="10"/>
      <c r="F1350" s="47"/>
      <c r="G1350" s="10"/>
      <c r="H1350" s="20"/>
      <c r="I1350" s="20"/>
      <c r="J1350" s="10"/>
      <c r="K1350" s="10"/>
      <c r="L1350" s="10"/>
      <c r="M1350" s="10"/>
      <c r="N1350" s="10"/>
      <c r="O1350" s="21"/>
    </row>
    <row r="1351" spans="1:15" x14ac:dyDescent="0.35">
      <c r="A1351" s="15">
        <f t="shared" si="20"/>
        <v>1349</v>
      </c>
      <c r="B1351" s="16"/>
      <c r="C1351" s="19"/>
      <c r="D1351" s="10"/>
      <c r="E1351" s="10"/>
      <c r="F1351" s="47"/>
      <c r="G1351" s="10"/>
      <c r="H1351" s="20"/>
      <c r="I1351" s="20"/>
      <c r="J1351" s="10"/>
      <c r="K1351" s="10"/>
      <c r="L1351" s="10"/>
      <c r="M1351" s="10"/>
      <c r="N1351" s="10"/>
      <c r="O1351" s="21"/>
    </row>
    <row r="1352" spans="1:15" x14ac:dyDescent="0.35">
      <c r="A1352" s="15">
        <f t="shared" si="20"/>
        <v>1350</v>
      </c>
      <c r="B1352" s="16"/>
      <c r="C1352" s="19"/>
      <c r="D1352" s="10"/>
      <c r="E1352" s="10"/>
      <c r="F1352" s="47"/>
      <c r="G1352" s="10"/>
      <c r="H1352" s="20"/>
      <c r="I1352" s="20"/>
      <c r="J1352" s="10"/>
      <c r="K1352" s="10"/>
      <c r="L1352" s="10"/>
      <c r="M1352" s="10"/>
      <c r="N1352" s="10"/>
      <c r="O1352" s="21"/>
    </row>
    <row r="1353" spans="1:15" x14ac:dyDescent="0.35">
      <c r="A1353" s="15">
        <f t="shared" si="20"/>
        <v>1351</v>
      </c>
      <c r="B1353" s="16"/>
      <c r="C1353" s="19"/>
      <c r="D1353" s="10"/>
      <c r="E1353" s="10"/>
      <c r="F1353" s="47"/>
      <c r="G1353" s="10"/>
      <c r="H1353" s="20"/>
      <c r="I1353" s="20"/>
      <c r="J1353" s="10"/>
      <c r="K1353" s="10"/>
      <c r="L1353" s="10"/>
      <c r="M1353" s="10"/>
      <c r="N1353" s="10"/>
      <c r="O1353" s="21"/>
    </row>
    <row r="1354" spans="1:15" x14ac:dyDescent="0.35">
      <c r="A1354" s="15">
        <f t="shared" si="20"/>
        <v>1352</v>
      </c>
      <c r="B1354" s="16"/>
      <c r="C1354" s="19"/>
      <c r="D1354" s="10"/>
      <c r="E1354" s="10"/>
      <c r="F1354" s="47"/>
      <c r="G1354" s="10"/>
      <c r="H1354" s="20"/>
      <c r="I1354" s="20"/>
      <c r="J1354" s="10"/>
      <c r="K1354" s="10"/>
      <c r="L1354" s="10"/>
      <c r="M1354" s="10"/>
      <c r="N1354" s="10"/>
      <c r="O1354" s="21"/>
    </row>
    <row r="1355" spans="1:15" x14ac:dyDescent="0.35">
      <c r="A1355" s="15">
        <f t="shared" ref="A1355:A1418" si="21">+A1354+1</f>
        <v>1353</v>
      </c>
      <c r="B1355" s="16"/>
      <c r="C1355" s="19"/>
      <c r="D1355" s="10"/>
      <c r="E1355" s="10"/>
      <c r="F1355" s="47"/>
      <c r="G1355" s="10"/>
      <c r="H1355" s="20"/>
      <c r="I1355" s="20"/>
      <c r="J1355" s="10"/>
      <c r="K1355" s="10"/>
      <c r="L1355" s="10"/>
      <c r="M1355" s="10"/>
      <c r="N1355" s="10"/>
      <c r="O1355" s="21"/>
    </row>
    <row r="1356" spans="1:15" x14ac:dyDescent="0.35">
      <c r="A1356" s="15">
        <f t="shared" si="21"/>
        <v>1354</v>
      </c>
      <c r="B1356" s="16"/>
      <c r="C1356" s="19"/>
      <c r="D1356" s="10"/>
      <c r="E1356" s="10"/>
      <c r="F1356" s="47"/>
      <c r="G1356" s="10"/>
      <c r="H1356" s="20"/>
      <c r="I1356" s="20"/>
      <c r="J1356" s="10"/>
      <c r="K1356" s="10"/>
      <c r="L1356" s="10"/>
      <c r="M1356" s="10"/>
      <c r="N1356" s="10"/>
      <c r="O1356" s="21"/>
    </row>
    <row r="1357" spans="1:15" x14ac:dyDescent="0.35">
      <c r="A1357" s="15">
        <f t="shared" si="21"/>
        <v>1355</v>
      </c>
      <c r="B1357" s="16"/>
      <c r="C1357" s="19"/>
      <c r="D1357" s="10"/>
      <c r="E1357" s="10"/>
      <c r="F1357" s="47"/>
      <c r="G1357" s="10"/>
      <c r="H1357" s="20"/>
      <c r="I1357" s="20"/>
      <c r="J1357" s="10"/>
      <c r="K1357" s="10"/>
      <c r="L1357" s="10"/>
      <c r="M1357" s="10"/>
      <c r="N1357" s="10"/>
      <c r="O1357" s="21"/>
    </row>
    <row r="1358" spans="1:15" x14ac:dyDescent="0.35">
      <c r="A1358" s="15">
        <f t="shared" si="21"/>
        <v>1356</v>
      </c>
      <c r="B1358" s="16"/>
      <c r="C1358" s="19"/>
      <c r="D1358" s="10"/>
      <c r="E1358" s="10"/>
      <c r="F1358" s="47"/>
      <c r="G1358" s="10"/>
      <c r="H1358" s="20"/>
      <c r="I1358" s="20"/>
      <c r="J1358" s="10"/>
      <c r="K1358" s="10"/>
      <c r="L1358" s="10"/>
      <c r="M1358" s="10"/>
      <c r="N1358" s="10"/>
      <c r="O1358" s="21"/>
    </row>
    <row r="1359" spans="1:15" x14ac:dyDescent="0.35">
      <c r="A1359" s="15">
        <f t="shared" si="21"/>
        <v>1357</v>
      </c>
      <c r="B1359" s="16"/>
      <c r="C1359" s="19"/>
      <c r="D1359" s="10"/>
      <c r="E1359" s="10"/>
      <c r="F1359" s="47"/>
      <c r="G1359" s="10"/>
      <c r="H1359" s="20"/>
      <c r="I1359" s="20"/>
      <c r="J1359" s="10"/>
      <c r="K1359" s="10"/>
      <c r="L1359" s="10"/>
      <c r="M1359" s="10"/>
      <c r="N1359" s="10"/>
      <c r="O1359" s="21"/>
    </row>
    <row r="1360" spans="1:15" x14ac:dyDescent="0.35">
      <c r="A1360" s="15">
        <f t="shared" si="21"/>
        <v>1358</v>
      </c>
      <c r="B1360" s="16"/>
      <c r="C1360" s="19"/>
      <c r="D1360" s="10"/>
      <c r="E1360" s="10"/>
      <c r="F1360" s="47"/>
      <c r="G1360" s="10"/>
      <c r="H1360" s="20"/>
      <c r="I1360" s="20"/>
      <c r="J1360" s="10"/>
      <c r="K1360" s="10"/>
      <c r="L1360" s="10"/>
      <c r="M1360" s="10"/>
      <c r="N1360" s="10"/>
      <c r="O1360" s="21"/>
    </row>
    <row r="1361" spans="1:15" x14ac:dyDescent="0.35">
      <c r="A1361" s="15">
        <f t="shared" si="21"/>
        <v>1359</v>
      </c>
      <c r="B1361" s="16"/>
      <c r="C1361" s="19"/>
      <c r="D1361" s="10"/>
      <c r="E1361" s="10"/>
      <c r="F1361" s="47"/>
      <c r="G1361" s="10"/>
      <c r="H1361" s="20"/>
      <c r="I1361" s="20"/>
      <c r="J1361" s="10"/>
      <c r="K1361" s="10"/>
      <c r="L1361" s="10"/>
      <c r="M1361" s="10"/>
      <c r="N1361" s="10"/>
      <c r="O1361" s="21"/>
    </row>
    <row r="1362" spans="1:15" x14ac:dyDescent="0.35">
      <c r="A1362" s="15">
        <f t="shared" si="21"/>
        <v>1360</v>
      </c>
      <c r="B1362" s="16"/>
      <c r="C1362" s="19"/>
      <c r="D1362" s="10"/>
      <c r="E1362" s="10"/>
      <c r="F1362" s="47"/>
      <c r="G1362" s="10"/>
      <c r="H1362" s="20"/>
      <c r="I1362" s="20"/>
      <c r="J1362" s="10"/>
      <c r="K1362" s="10"/>
      <c r="L1362" s="10"/>
      <c r="M1362" s="10"/>
      <c r="N1362" s="10"/>
      <c r="O1362" s="21"/>
    </row>
    <row r="1363" spans="1:15" x14ac:dyDescent="0.35">
      <c r="A1363" s="15">
        <f t="shared" si="21"/>
        <v>1361</v>
      </c>
      <c r="B1363" s="16"/>
      <c r="C1363" s="19"/>
      <c r="D1363" s="10"/>
      <c r="E1363" s="10"/>
      <c r="F1363" s="47"/>
      <c r="G1363" s="10"/>
      <c r="H1363" s="20"/>
      <c r="I1363" s="20"/>
      <c r="J1363" s="10"/>
      <c r="K1363" s="10"/>
      <c r="L1363" s="10"/>
      <c r="M1363" s="10"/>
      <c r="N1363" s="10"/>
      <c r="O1363" s="21"/>
    </row>
    <row r="1364" spans="1:15" x14ac:dyDescent="0.35">
      <c r="A1364" s="15">
        <f t="shared" si="21"/>
        <v>1362</v>
      </c>
      <c r="B1364" s="16"/>
      <c r="C1364" s="19"/>
      <c r="D1364" s="10"/>
      <c r="E1364" s="10"/>
      <c r="F1364" s="47"/>
      <c r="G1364" s="10"/>
      <c r="H1364" s="20"/>
      <c r="I1364" s="20"/>
      <c r="J1364" s="10"/>
      <c r="K1364" s="10"/>
      <c r="L1364" s="10"/>
      <c r="M1364" s="10"/>
      <c r="N1364" s="10"/>
      <c r="O1364" s="21"/>
    </row>
    <row r="1365" spans="1:15" x14ac:dyDescent="0.35">
      <c r="A1365" s="15">
        <f t="shared" si="21"/>
        <v>1363</v>
      </c>
      <c r="B1365" s="16"/>
      <c r="C1365" s="19"/>
      <c r="D1365" s="10"/>
      <c r="E1365" s="10"/>
      <c r="F1365" s="47"/>
      <c r="G1365" s="10"/>
      <c r="H1365" s="20"/>
      <c r="I1365" s="20"/>
      <c r="J1365" s="10"/>
      <c r="K1365" s="10"/>
      <c r="L1365" s="10"/>
      <c r="M1365" s="10"/>
      <c r="N1365" s="10"/>
      <c r="O1365" s="21"/>
    </row>
    <row r="1366" spans="1:15" x14ac:dyDescent="0.35">
      <c r="A1366" s="15">
        <f t="shared" si="21"/>
        <v>1364</v>
      </c>
      <c r="B1366" s="16"/>
      <c r="C1366" s="19"/>
      <c r="D1366" s="10"/>
      <c r="E1366" s="10"/>
      <c r="F1366" s="47"/>
      <c r="G1366" s="10"/>
      <c r="H1366" s="20"/>
      <c r="I1366" s="20"/>
      <c r="J1366" s="10"/>
      <c r="K1366" s="10"/>
      <c r="L1366" s="10"/>
      <c r="M1366" s="10"/>
      <c r="N1366" s="10"/>
      <c r="O1366" s="21"/>
    </row>
    <row r="1367" spans="1:15" x14ac:dyDescent="0.35">
      <c r="A1367" s="15">
        <f t="shared" si="21"/>
        <v>1365</v>
      </c>
      <c r="B1367" s="16"/>
      <c r="C1367" s="19"/>
      <c r="D1367" s="10"/>
      <c r="E1367" s="10"/>
      <c r="F1367" s="47"/>
      <c r="G1367" s="10"/>
      <c r="H1367" s="20"/>
      <c r="I1367" s="20"/>
      <c r="J1367" s="10"/>
      <c r="K1367" s="10"/>
      <c r="L1367" s="10"/>
      <c r="M1367" s="10"/>
      <c r="N1367" s="10"/>
      <c r="O1367" s="21"/>
    </row>
    <row r="1368" spans="1:15" x14ac:dyDescent="0.35">
      <c r="A1368" s="15">
        <f t="shared" si="21"/>
        <v>1366</v>
      </c>
      <c r="B1368" s="16"/>
      <c r="C1368" s="19"/>
      <c r="D1368" s="10"/>
      <c r="E1368" s="10"/>
      <c r="F1368" s="47"/>
      <c r="G1368" s="10"/>
      <c r="H1368" s="20"/>
      <c r="I1368" s="20"/>
      <c r="J1368" s="10"/>
      <c r="K1368" s="10"/>
      <c r="L1368" s="10"/>
      <c r="M1368" s="10"/>
      <c r="N1368" s="10"/>
      <c r="O1368" s="21"/>
    </row>
    <row r="1369" spans="1:15" x14ac:dyDescent="0.35">
      <c r="A1369" s="15">
        <f t="shared" si="21"/>
        <v>1367</v>
      </c>
      <c r="B1369" s="16"/>
      <c r="C1369" s="19"/>
      <c r="D1369" s="10"/>
      <c r="E1369" s="10"/>
      <c r="F1369" s="47"/>
      <c r="G1369" s="10"/>
      <c r="H1369" s="20"/>
      <c r="I1369" s="20"/>
      <c r="J1369" s="10"/>
      <c r="K1369" s="10"/>
      <c r="L1369" s="10"/>
      <c r="M1369" s="10"/>
      <c r="N1369" s="10"/>
      <c r="O1369" s="21"/>
    </row>
    <row r="1370" spans="1:15" x14ac:dyDescent="0.35">
      <c r="A1370" s="15">
        <f t="shared" si="21"/>
        <v>1368</v>
      </c>
      <c r="B1370" s="16"/>
      <c r="C1370" s="19"/>
      <c r="D1370" s="10"/>
      <c r="E1370" s="10"/>
      <c r="F1370" s="47"/>
      <c r="G1370" s="10"/>
      <c r="H1370" s="20"/>
      <c r="I1370" s="20"/>
      <c r="J1370" s="10"/>
      <c r="K1370" s="10"/>
      <c r="L1370" s="10"/>
      <c r="M1370" s="10"/>
      <c r="N1370" s="10"/>
      <c r="O1370" s="21"/>
    </row>
    <row r="1371" spans="1:15" x14ac:dyDescent="0.35">
      <c r="A1371" s="15">
        <f t="shared" si="21"/>
        <v>1369</v>
      </c>
      <c r="B1371" s="16"/>
      <c r="C1371" s="19"/>
      <c r="D1371" s="10"/>
      <c r="E1371" s="10"/>
      <c r="F1371" s="47"/>
      <c r="G1371" s="10"/>
      <c r="H1371" s="20"/>
      <c r="I1371" s="20"/>
      <c r="J1371" s="10"/>
      <c r="K1371" s="10"/>
      <c r="L1371" s="10"/>
      <c r="M1371" s="10"/>
      <c r="N1371" s="10"/>
      <c r="O1371" s="21"/>
    </row>
    <row r="1372" spans="1:15" x14ac:dyDescent="0.35">
      <c r="A1372" s="15">
        <f t="shared" si="21"/>
        <v>1370</v>
      </c>
      <c r="B1372" s="16"/>
      <c r="C1372" s="19"/>
      <c r="D1372" s="10"/>
      <c r="E1372" s="10"/>
      <c r="F1372" s="47"/>
      <c r="G1372" s="10"/>
      <c r="H1372" s="20"/>
      <c r="I1372" s="20"/>
      <c r="J1372" s="10"/>
      <c r="K1372" s="10"/>
      <c r="L1372" s="10"/>
      <c r="M1372" s="10"/>
      <c r="N1372" s="10"/>
      <c r="O1372" s="21"/>
    </row>
    <row r="1373" spans="1:15" x14ac:dyDescent="0.35">
      <c r="A1373" s="15">
        <f t="shared" si="21"/>
        <v>1371</v>
      </c>
      <c r="B1373" s="16"/>
      <c r="C1373" s="19"/>
      <c r="D1373" s="10"/>
      <c r="E1373" s="10"/>
      <c r="F1373" s="47"/>
      <c r="G1373" s="10"/>
      <c r="H1373" s="20"/>
      <c r="I1373" s="20"/>
      <c r="J1373" s="10"/>
      <c r="K1373" s="10"/>
      <c r="L1373" s="10"/>
      <c r="M1373" s="10"/>
      <c r="N1373" s="10"/>
      <c r="O1373" s="21"/>
    </row>
    <row r="1374" spans="1:15" x14ac:dyDescent="0.35">
      <c r="A1374" s="15">
        <f t="shared" si="21"/>
        <v>1372</v>
      </c>
      <c r="B1374" s="16"/>
      <c r="C1374" s="19"/>
      <c r="D1374" s="10"/>
      <c r="E1374" s="10"/>
      <c r="F1374" s="47"/>
      <c r="G1374" s="10"/>
      <c r="H1374" s="20"/>
      <c r="I1374" s="20"/>
      <c r="J1374" s="10"/>
      <c r="K1374" s="10"/>
      <c r="L1374" s="10"/>
      <c r="M1374" s="10"/>
      <c r="N1374" s="10"/>
      <c r="O1374" s="21"/>
    </row>
    <row r="1375" spans="1:15" x14ac:dyDescent="0.35">
      <c r="A1375" s="15">
        <f t="shared" si="21"/>
        <v>1373</v>
      </c>
      <c r="B1375" s="16"/>
      <c r="C1375" s="19"/>
      <c r="D1375" s="10"/>
      <c r="E1375" s="10"/>
      <c r="F1375" s="47"/>
      <c r="G1375" s="10"/>
      <c r="H1375" s="20"/>
      <c r="I1375" s="20"/>
      <c r="J1375" s="10"/>
      <c r="K1375" s="10"/>
      <c r="L1375" s="10"/>
      <c r="M1375" s="10"/>
      <c r="N1375" s="10"/>
      <c r="O1375" s="21"/>
    </row>
    <row r="1376" spans="1:15" x14ac:dyDescent="0.35">
      <c r="A1376" s="15">
        <f t="shared" si="21"/>
        <v>1374</v>
      </c>
      <c r="B1376" s="16"/>
      <c r="C1376" s="19"/>
      <c r="D1376" s="10"/>
      <c r="E1376" s="10"/>
      <c r="F1376" s="47"/>
      <c r="G1376" s="10"/>
      <c r="H1376" s="20"/>
      <c r="I1376" s="20"/>
      <c r="J1376" s="10"/>
      <c r="K1376" s="10"/>
      <c r="L1376" s="10"/>
      <c r="M1376" s="10"/>
      <c r="N1376" s="10"/>
      <c r="O1376" s="21"/>
    </row>
    <row r="1377" spans="1:15" x14ac:dyDescent="0.35">
      <c r="A1377" s="15">
        <f t="shared" si="21"/>
        <v>1375</v>
      </c>
      <c r="B1377" s="16"/>
      <c r="C1377" s="19"/>
      <c r="D1377" s="10"/>
      <c r="E1377" s="10"/>
      <c r="F1377" s="47"/>
      <c r="G1377" s="10"/>
      <c r="H1377" s="20"/>
      <c r="I1377" s="20"/>
      <c r="J1377" s="10"/>
      <c r="K1377" s="10"/>
      <c r="L1377" s="10"/>
      <c r="M1377" s="10"/>
      <c r="N1377" s="10"/>
      <c r="O1377" s="21"/>
    </row>
    <row r="1378" spans="1:15" x14ac:dyDescent="0.35">
      <c r="A1378" s="15">
        <f t="shared" si="21"/>
        <v>1376</v>
      </c>
      <c r="B1378" s="16"/>
      <c r="C1378" s="19"/>
      <c r="D1378" s="10"/>
      <c r="E1378" s="10"/>
      <c r="F1378" s="47"/>
      <c r="G1378" s="10"/>
      <c r="H1378" s="20"/>
      <c r="I1378" s="20"/>
      <c r="J1378" s="10"/>
      <c r="K1378" s="10"/>
      <c r="L1378" s="10"/>
      <c r="M1378" s="10"/>
      <c r="N1378" s="10"/>
      <c r="O1378" s="21"/>
    </row>
    <row r="1379" spans="1:15" x14ac:dyDescent="0.35">
      <c r="A1379" s="15">
        <f t="shared" si="21"/>
        <v>1377</v>
      </c>
      <c r="B1379" s="16"/>
      <c r="C1379" s="19"/>
      <c r="D1379" s="10"/>
      <c r="E1379" s="10"/>
      <c r="F1379" s="47"/>
      <c r="G1379" s="10"/>
      <c r="H1379" s="20"/>
      <c r="I1379" s="20"/>
      <c r="J1379" s="10"/>
      <c r="K1379" s="10"/>
      <c r="L1379" s="10"/>
      <c r="M1379" s="10"/>
      <c r="N1379" s="10"/>
      <c r="O1379" s="21"/>
    </row>
    <row r="1380" spans="1:15" x14ac:dyDescent="0.35">
      <c r="A1380" s="15">
        <f t="shared" si="21"/>
        <v>1378</v>
      </c>
      <c r="B1380" s="16"/>
      <c r="C1380" s="19"/>
      <c r="D1380" s="10"/>
      <c r="E1380" s="10"/>
      <c r="F1380" s="47"/>
      <c r="G1380" s="10"/>
      <c r="H1380" s="20"/>
      <c r="I1380" s="20"/>
      <c r="J1380" s="10"/>
      <c r="K1380" s="10"/>
      <c r="L1380" s="10"/>
      <c r="M1380" s="10"/>
      <c r="N1380" s="10"/>
      <c r="O1380" s="21"/>
    </row>
    <row r="1381" spans="1:15" x14ac:dyDescent="0.35">
      <c r="A1381" s="15">
        <f t="shared" si="21"/>
        <v>1379</v>
      </c>
      <c r="B1381" s="16"/>
      <c r="C1381" s="19"/>
      <c r="D1381" s="10"/>
      <c r="E1381" s="10"/>
      <c r="F1381" s="47"/>
      <c r="G1381" s="10"/>
      <c r="H1381" s="20"/>
      <c r="I1381" s="20"/>
      <c r="J1381" s="10"/>
      <c r="K1381" s="10"/>
      <c r="L1381" s="10"/>
      <c r="M1381" s="10"/>
      <c r="N1381" s="10"/>
      <c r="O1381" s="21"/>
    </row>
    <row r="1382" spans="1:15" x14ac:dyDescent="0.35">
      <c r="A1382" s="15">
        <f t="shared" si="21"/>
        <v>1380</v>
      </c>
      <c r="B1382" s="16"/>
      <c r="C1382" s="19"/>
      <c r="D1382" s="10"/>
      <c r="E1382" s="10"/>
      <c r="F1382" s="47"/>
      <c r="G1382" s="10"/>
      <c r="H1382" s="20"/>
      <c r="I1382" s="20"/>
      <c r="J1382" s="10"/>
      <c r="K1382" s="10"/>
      <c r="L1382" s="10"/>
      <c r="M1382" s="10"/>
      <c r="N1382" s="10"/>
      <c r="O1382" s="21"/>
    </row>
    <row r="1383" spans="1:15" x14ac:dyDescent="0.35">
      <c r="A1383" s="15">
        <f t="shared" si="21"/>
        <v>1381</v>
      </c>
      <c r="B1383" s="16"/>
      <c r="C1383" s="19"/>
      <c r="D1383" s="10"/>
      <c r="E1383" s="10"/>
      <c r="F1383" s="47"/>
      <c r="G1383" s="10"/>
      <c r="H1383" s="20"/>
      <c r="I1383" s="20"/>
      <c r="J1383" s="10"/>
      <c r="K1383" s="10"/>
      <c r="L1383" s="10"/>
      <c r="M1383" s="10"/>
      <c r="N1383" s="10"/>
      <c r="O1383" s="21"/>
    </row>
    <row r="1384" spans="1:15" x14ac:dyDescent="0.35">
      <c r="A1384" s="15">
        <f t="shared" si="21"/>
        <v>1382</v>
      </c>
      <c r="B1384" s="16"/>
      <c r="C1384" s="19"/>
      <c r="D1384" s="10"/>
      <c r="E1384" s="10"/>
      <c r="F1384" s="47"/>
      <c r="G1384" s="10"/>
      <c r="H1384" s="20"/>
      <c r="I1384" s="20"/>
      <c r="J1384" s="10"/>
      <c r="K1384" s="10"/>
      <c r="L1384" s="10"/>
      <c r="M1384" s="10"/>
      <c r="N1384" s="10"/>
      <c r="O1384" s="21"/>
    </row>
    <row r="1385" spans="1:15" x14ac:dyDescent="0.35">
      <c r="A1385" s="15">
        <f t="shared" si="21"/>
        <v>1383</v>
      </c>
      <c r="B1385" s="16"/>
      <c r="C1385" s="19"/>
      <c r="D1385" s="10"/>
      <c r="E1385" s="10"/>
      <c r="F1385" s="47"/>
      <c r="G1385" s="10"/>
      <c r="H1385" s="20"/>
      <c r="I1385" s="20"/>
      <c r="J1385" s="10"/>
      <c r="K1385" s="10"/>
      <c r="L1385" s="10"/>
      <c r="M1385" s="10"/>
      <c r="N1385" s="10"/>
      <c r="O1385" s="21"/>
    </row>
    <row r="1386" spans="1:15" x14ac:dyDescent="0.35">
      <c r="A1386" s="15">
        <f t="shared" si="21"/>
        <v>1384</v>
      </c>
      <c r="B1386" s="16"/>
      <c r="C1386" s="19"/>
      <c r="D1386" s="10"/>
      <c r="E1386" s="10"/>
      <c r="F1386" s="47"/>
      <c r="G1386" s="10"/>
      <c r="H1386" s="20"/>
      <c r="I1386" s="20"/>
      <c r="J1386" s="10"/>
      <c r="K1386" s="10"/>
      <c r="L1386" s="10"/>
      <c r="M1386" s="10"/>
      <c r="N1386" s="10"/>
      <c r="O1386" s="21"/>
    </row>
    <row r="1387" spans="1:15" x14ac:dyDescent="0.35">
      <c r="A1387" s="15">
        <f t="shared" si="21"/>
        <v>1385</v>
      </c>
      <c r="B1387" s="16"/>
      <c r="C1387" s="19"/>
      <c r="D1387" s="10"/>
      <c r="E1387" s="10"/>
      <c r="F1387" s="47"/>
      <c r="G1387" s="10"/>
      <c r="H1387" s="20"/>
      <c r="I1387" s="20"/>
      <c r="J1387" s="10"/>
      <c r="K1387" s="10"/>
      <c r="L1387" s="10"/>
      <c r="M1387" s="10"/>
      <c r="N1387" s="10"/>
      <c r="O1387" s="21"/>
    </row>
    <row r="1388" spans="1:15" x14ac:dyDescent="0.35">
      <c r="A1388" s="15">
        <f t="shared" si="21"/>
        <v>1386</v>
      </c>
      <c r="B1388" s="16"/>
      <c r="C1388" s="19"/>
      <c r="D1388" s="10"/>
      <c r="E1388" s="10"/>
      <c r="F1388" s="47"/>
      <c r="G1388" s="10"/>
      <c r="H1388" s="20"/>
      <c r="I1388" s="20"/>
      <c r="J1388" s="10"/>
      <c r="K1388" s="10"/>
      <c r="L1388" s="10"/>
      <c r="M1388" s="10"/>
      <c r="N1388" s="10"/>
      <c r="O1388" s="21"/>
    </row>
    <row r="1389" spans="1:15" x14ac:dyDescent="0.35">
      <c r="A1389" s="15">
        <f t="shared" si="21"/>
        <v>1387</v>
      </c>
      <c r="B1389" s="16"/>
      <c r="C1389" s="19"/>
      <c r="D1389" s="10"/>
      <c r="E1389" s="10"/>
      <c r="F1389" s="47"/>
      <c r="G1389" s="10"/>
      <c r="H1389" s="20"/>
      <c r="I1389" s="20"/>
      <c r="J1389" s="10"/>
      <c r="K1389" s="10"/>
      <c r="L1389" s="10"/>
      <c r="M1389" s="10"/>
      <c r="N1389" s="10"/>
      <c r="O1389" s="21"/>
    </row>
    <row r="1390" spans="1:15" x14ac:dyDescent="0.35">
      <c r="A1390" s="15">
        <f t="shared" si="21"/>
        <v>1388</v>
      </c>
      <c r="B1390" s="16"/>
      <c r="C1390" s="19"/>
      <c r="D1390" s="10"/>
      <c r="E1390" s="10"/>
      <c r="F1390" s="47"/>
      <c r="G1390" s="10"/>
      <c r="H1390" s="20"/>
      <c r="I1390" s="20"/>
      <c r="J1390" s="10"/>
      <c r="K1390" s="10"/>
      <c r="L1390" s="10"/>
      <c r="M1390" s="10"/>
      <c r="N1390" s="10"/>
      <c r="O1390" s="21"/>
    </row>
    <row r="1391" spans="1:15" x14ac:dyDescent="0.35">
      <c r="A1391" s="15">
        <f t="shared" si="21"/>
        <v>1389</v>
      </c>
      <c r="B1391" s="16"/>
      <c r="C1391" s="19"/>
      <c r="D1391" s="10"/>
      <c r="E1391" s="10"/>
      <c r="F1391" s="47"/>
      <c r="G1391" s="10"/>
      <c r="H1391" s="20"/>
      <c r="I1391" s="20"/>
      <c r="J1391" s="10"/>
      <c r="K1391" s="10"/>
      <c r="L1391" s="10"/>
      <c r="M1391" s="10"/>
      <c r="N1391" s="10"/>
      <c r="O1391" s="21"/>
    </row>
    <row r="1392" spans="1:15" x14ac:dyDescent="0.35">
      <c r="A1392" s="15">
        <f t="shared" si="21"/>
        <v>1390</v>
      </c>
      <c r="B1392" s="16"/>
      <c r="C1392" s="19"/>
      <c r="D1392" s="10"/>
      <c r="E1392" s="10"/>
      <c r="F1392" s="47"/>
      <c r="G1392" s="10"/>
      <c r="H1392" s="20"/>
      <c r="I1392" s="20"/>
      <c r="J1392" s="10"/>
      <c r="K1392" s="10"/>
      <c r="L1392" s="10"/>
      <c r="M1392" s="10"/>
      <c r="N1392" s="10"/>
      <c r="O1392" s="21"/>
    </row>
    <row r="1393" spans="1:15" x14ac:dyDescent="0.35">
      <c r="A1393" s="15">
        <f t="shared" si="21"/>
        <v>1391</v>
      </c>
      <c r="B1393" s="16"/>
      <c r="C1393" s="19"/>
      <c r="D1393" s="10"/>
      <c r="E1393" s="10"/>
      <c r="F1393" s="47"/>
      <c r="G1393" s="10"/>
      <c r="H1393" s="20"/>
      <c r="I1393" s="20"/>
      <c r="J1393" s="10"/>
      <c r="K1393" s="10"/>
      <c r="L1393" s="10"/>
      <c r="M1393" s="10"/>
      <c r="N1393" s="10"/>
      <c r="O1393" s="21"/>
    </row>
    <row r="1394" spans="1:15" x14ac:dyDescent="0.35">
      <c r="A1394" s="15">
        <f t="shared" si="21"/>
        <v>1392</v>
      </c>
      <c r="B1394" s="16"/>
      <c r="C1394" s="19"/>
      <c r="D1394" s="10"/>
      <c r="E1394" s="10"/>
      <c r="F1394" s="47"/>
      <c r="G1394" s="10"/>
      <c r="H1394" s="20"/>
      <c r="I1394" s="20"/>
      <c r="J1394" s="10"/>
      <c r="K1394" s="10"/>
      <c r="L1394" s="10"/>
      <c r="M1394" s="10"/>
      <c r="N1394" s="10"/>
      <c r="O1394" s="21"/>
    </row>
    <row r="1395" spans="1:15" x14ac:dyDescent="0.35">
      <c r="A1395" s="15">
        <f t="shared" si="21"/>
        <v>1393</v>
      </c>
      <c r="B1395" s="16"/>
      <c r="C1395" s="19"/>
      <c r="D1395" s="10"/>
      <c r="E1395" s="10"/>
      <c r="F1395" s="47"/>
      <c r="G1395" s="10"/>
      <c r="H1395" s="20"/>
      <c r="I1395" s="20"/>
      <c r="J1395" s="10"/>
      <c r="K1395" s="10"/>
      <c r="L1395" s="10"/>
      <c r="M1395" s="10"/>
      <c r="N1395" s="10"/>
      <c r="O1395" s="21"/>
    </row>
    <row r="1396" spans="1:15" x14ac:dyDescent="0.35">
      <c r="A1396" s="15">
        <f t="shared" si="21"/>
        <v>1394</v>
      </c>
      <c r="B1396" s="16"/>
      <c r="C1396" s="19"/>
      <c r="D1396" s="10"/>
      <c r="E1396" s="10"/>
      <c r="F1396" s="47"/>
      <c r="G1396" s="10"/>
      <c r="H1396" s="20"/>
      <c r="I1396" s="20"/>
      <c r="J1396" s="10"/>
      <c r="K1396" s="10"/>
      <c r="L1396" s="10"/>
      <c r="M1396" s="10"/>
      <c r="N1396" s="10"/>
      <c r="O1396" s="21"/>
    </row>
    <row r="1397" spans="1:15" x14ac:dyDescent="0.35">
      <c r="A1397" s="15">
        <f t="shared" si="21"/>
        <v>1395</v>
      </c>
      <c r="B1397" s="16"/>
      <c r="C1397" s="19"/>
      <c r="D1397" s="10"/>
      <c r="E1397" s="10"/>
      <c r="F1397" s="47"/>
      <c r="G1397" s="10"/>
      <c r="H1397" s="20"/>
      <c r="I1397" s="20"/>
      <c r="J1397" s="10"/>
      <c r="K1397" s="10"/>
      <c r="L1397" s="10"/>
      <c r="M1397" s="10"/>
      <c r="N1397" s="10"/>
      <c r="O1397" s="21"/>
    </row>
    <row r="1398" spans="1:15" x14ac:dyDescent="0.35">
      <c r="A1398" s="15">
        <f t="shared" si="21"/>
        <v>1396</v>
      </c>
      <c r="B1398" s="16"/>
      <c r="C1398" s="19"/>
      <c r="D1398" s="10"/>
      <c r="E1398" s="10"/>
      <c r="F1398" s="47"/>
      <c r="G1398" s="10"/>
      <c r="H1398" s="20"/>
      <c r="I1398" s="20"/>
      <c r="J1398" s="10"/>
      <c r="K1398" s="10"/>
      <c r="L1398" s="10"/>
      <c r="M1398" s="10"/>
      <c r="N1398" s="10"/>
      <c r="O1398" s="21"/>
    </row>
    <row r="1399" spans="1:15" x14ac:dyDescent="0.35">
      <c r="A1399" s="15">
        <f t="shared" si="21"/>
        <v>1397</v>
      </c>
      <c r="B1399" s="16"/>
      <c r="C1399" s="19"/>
      <c r="D1399" s="10"/>
      <c r="E1399" s="10"/>
      <c r="F1399" s="47"/>
      <c r="G1399" s="10"/>
      <c r="H1399" s="20"/>
      <c r="I1399" s="20"/>
      <c r="J1399" s="10"/>
      <c r="K1399" s="10"/>
      <c r="L1399" s="10"/>
      <c r="M1399" s="10"/>
      <c r="N1399" s="10"/>
      <c r="O1399" s="21"/>
    </row>
    <row r="1400" spans="1:15" x14ac:dyDescent="0.35">
      <c r="A1400" s="15">
        <f t="shared" si="21"/>
        <v>1398</v>
      </c>
      <c r="B1400" s="16"/>
      <c r="C1400" s="19"/>
      <c r="D1400" s="10"/>
      <c r="E1400" s="10"/>
      <c r="F1400" s="47"/>
      <c r="G1400" s="10"/>
      <c r="H1400" s="20"/>
      <c r="I1400" s="20"/>
      <c r="J1400" s="10"/>
      <c r="K1400" s="10"/>
      <c r="L1400" s="10"/>
      <c r="M1400" s="10"/>
      <c r="N1400" s="10"/>
      <c r="O1400" s="21"/>
    </row>
    <row r="1401" spans="1:15" x14ac:dyDescent="0.35">
      <c r="A1401" s="15">
        <f t="shared" si="21"/>
        <v>1399</v>
      </c>
      <c r="B1401" s="16"/>
      <c r="C1401" s="19"/>
      <c r="D1401" s="10"/>
      <c r="E1401" s="10"/>
      <c r="F1401" s="47"/>
      <c r="G1401" s="10"/>
      <c r="H1401" s="20"/>
      <c r="I1401" s="20"/>
      <c r="J1401" s="10"/>
      <c r="K1401" s="10"/>
      <c r="L1401" s="10"/>
      <c r="M1401" s="10"/>
      <c r="N1401" s="10"/>
      <c r="O1401" s="21"/>
    </row>
    <row r="1402" spans="1:15" x14ac:dyDescent="0.35">
      <c r="A1402" s="15">
        <f t="shared" si="21"/>
        <v>1400</v>
      </c>
      <c r="B1402" s="16"/>
      <c r="C1402" s="19"/>
      <c r="D1402" s="10"/>
      <c r="E1402" s="10"/>
      <c r="F1402" s="47"/>
      <c r="G1402" s="10"/>
      <c r="H1402" s="20"/>
      <c r="I1402" s="20"/>
      <c r="J1402" s="10"/>
      <c r="K1402" s="10"/>
      <c r="L1402" s="10"/>
      <c r="M1402" s="10"/>
      <c r="N1402" s="10"/>
      <c r="O1402" s="21"/>
    </row>
    <row r="1403" spans="1:15" x14ac:dyDescent="0.35">
      <c r="A1403" s="15">
        <f t="shared" si="21"/>
        <v>1401</v>
      </c>
      <c r="B1403" s="16"/>
      <c r="C1403" s="19"/>
      <c r="D1403" s="10"/>
      <c r="E1403" s="10"/>
      <c r="F1403" s="47"/>
      <c r="G1403" s="10"/>
      <c r="H1403" s="20"/>
      <c r="I1403" s="20"/>
      <c r="J1403" s="10"/>
      <c r="K1403" s="10"/>
      <c r="L1403" s="10"/>
      <c r="M1403" s="10"/>
      <c r="N1403" s="10"/>
      <c r="O1403" s="21"/>
    </row>
    <row r="1404" spans="1:15" x14ac:dyDescent="0.35">
      <c r="A1404" s="15">
        <f t="shared" si="21"/>
        <v>1402</v>
      </c>
      <c r="B1404" s="16"/>
      <c r="C1404" s="19"/>
      <c r="D1404" s="10"/>
      <c r="E1404" s="10"/>
      <c r="F1404" s="47"/>
      <c r="G1404" s="10"/>
      <c r="H1404" s="20"/>
      <c r="I1404" s="20"/>
      <c r="J1404" s="10"/>
      <c r="K1404" s="10"/>
      <c r="L1404" s="10"/>
      <c r="M1404" s="10"/>
      <c r="N1404" s="10"/>
      <c r="O1404" s="21"/>
    </row>
    <row r="1405" spans="1:15" x14ac:dyDescent="0.35">
      <c r="A1405" s="15">
        <f t="shared" si="21"/>
        <v>1403</v>
      </c>
      <c r="B1405" s="16"/>
      <c r="C1405" s="19"/>
      <c r="D1405" s="10"/>
      <c r="E1405" s="10"/>
      <c r="F1405" s="47"/>
      <c r="G1405" s="10"/>
      <c r="H1405" s="20"/>
      <c r="I1405" s="20"/>
      <c r="J1405" s="10"/>
      <c r="K1405" s="10"/>
      <c r="L1405" s="10"/>
      <c r="M1405" s="10"/>
      <c r="N1405" s="10"/>
      <c r="O1405" s="21"/>
    </row>
    <row r="1406" spans="1:15" x14ac:dyDescent="0.35">
      <c r="A1406" s="15">
        <f t="shared" si="21"/>
        <v>1404</v>
      </c>
      <c r="B1406" s="16"/>
      <c r="C1406" s="19"/>
      <c r="D1406" s="10"/>
      <c r="E1406" s="10"/>
      <c r="F1406" s="47"/>
      <c r="G1406" s="10"/>
      <c r="H1406" s="20"/>
      <c r="I1406" s="20"/>
      <c r="J1406" s="10"/>
      <c r="K1406" s="10"/>
      <c r="L1406" s="10"/>
      <c r="M1406" s="10"/>
      <c r="N1406" s="10"/>
      <c r="O1406" s="21"/>
    </row>
    <row r="1407" spans="1:15" x14ac:dyDescent="0.35">
      <c r="A1407" s="15">
        <f t="shared" si="21"/>
        <v>1405</v>
      </c>
      <c r="B1407" s="16"/>
      <c r="C1407" s="19"/>
      <c r="D1407" s="10"/>
      <c r="E1407" s="10"/>
      <c r="F1407" s="47"/>
      <c r="G1407" s="10"/>
      <c r="H1407" s="20"/>
      <c r="I1407" s="20"/>
      <c r="J1407" s="10"/>
      <c r="K1407" s="10"/>
      <c r="L1407" s="10"/>
      <c r="M1407" s="10"/>
      <c r="N1407" s="10"/>
      <c r="O1407" s="21"/>
    </row>
    <row r="1408" spans="1:15" x14ac:dyDescent="0.35">
      <c r="A1408" s="15">
        <f t="shared" si="21"/>
        <v>1406</v>
      </c>
      <c r="B1408" s="16"/>
      <c r="C1408" s="19"/>
      <c r="D1408" s="10"/>
      <c r="E1408" s="10"/>
      <c r="F1408" s="47"/>
      <c r="G1408" s="10"/>
      <c r="H1408" s="20"/>
      <c r="I1408" s="20"/>
      <c r="J1408" s="10"/>
      <c r="K1408" s="10"/>
      <c r="L1408" s="10"/>
      <c r="M1408" s="10"/>
      <c r="N1408" s="10"/>
      <c r="O1408" s="21"/>
    </row>
    <row r="1409" spans="1:15" x14ac:dyDescent="0.35">
      <c r="A1409" s="15">
        <f t="shared" si="21"/>
        <v>1407</v>
      </c>
      <c r="B1409" s="16"/>
      <c r="C1409" s="19"/>
      <c r="D1409" s="10"/>
      <c r="E1409" s="10"/>
      <c r="F1409" s="47"/>
      <c r="G1409" s="10"/>
      <c r="H1409" s="20"/>
      <c r="I1409" s="20"/>
      <c r="J1409" s="10"/>
      <c r="K1409" s="10"/>
      <c r="L1409" s="10"/>
      <c r="M1409" s="10"/>
      <c r="N1409" s="10"/>
      <c r="O1409" s="21"/>
    </row>
    <row r="1410" spans="1:15" x14ac:dyDescent="0.35">
      <c r="A1410" s="15">
        <f t="shared" si="21"/>
        <v>1408</v>
      </c>
      <c r="B1410" s="16"/>
      <c r="C1410" s="19"/>
      <c r="D1410" s="10"/>
      <c r="E1410" s="10"/>
      <c r="F1410" s="47"/>
      <c r="G1410" s="10"/>
      <c r="H1410" s="20"/>
      <c r="I1410" s="20"/>
      <c r="J1410" s="10"/>
      <c r="K1410" s="10"/>
      <c r="L1410" s="10"/>
      <c r="M1410" s="10"/>
      <c r="N1410" s="10"/>
      <c r="O1410" s="21"/>
    </row>
    <row r="1411" spans="1:15" x14ac:dyDescent="0.35">
      <c r="A1411" s="15">
        <f t="shared" si="21"/>
        <v>1409</v>
      </c>
      <c r="B1411" s="16"/>
      <c r="C1411" s="19"/>
      <c r="D1411" s="10"/>
      <c r="E1411" s="10"/>
      <c r="F1411" s="47"/>
      <c r="G1411" s="10"/>
      <c r="H1411" s="20"/>
      <c r="I1411" s="20"/>
      <c r="J1411" s="10"/>
      <c r="K1411" s="10"/>
      <c r="L1411" s="10"/>
      <c r="M1411" s="10"/>
      <c r="N1411" s="10"/>
      <c r="O1411" s="21"/>
    </row>
    <row r="1412" spans="1:15" x14ac:dyDescent="0.35">
      <c r="A1412" s="15">
        <f t="shared" si="21"/>
        <v>1410</v>
      </c>
      <c r="B1412" s="16"/>
      <c r="C1412" s="19"/>
      <c r="D1412" s="10"/>
      <c r="E1412" s="10"/>
      <c r="F1412" s="47"/>
      <c r="G1412" s="10"/>
      <c r="H1412" s="20"/>
      <c r="I1412" s="20"/>
      <c r="J1412" s="10"/>
      <c r="K1412" s="10"/>
      <c r="L1412" s="10"/>
      <c r="M1412" s="10"/>
      <c r="N1412" s="10"/>
      <c r="O1412" s="21"/>
    </row>
    <row r="1413" spans="1:15" x14ac:dyDescent="0.35">
      <c r="A1413" s="15">
        <f t="shared" si="21"/>
        <v>1411</v>
      </c>
      <c r="B1413" s="16"/>
      <c r="C1413" s="19"/>
      <c r="D1413" s="10"/>
      <c r="E1413" s="10"/>
      <c r="F1413" s="47"/>
      <c r="G1413" s="10"/>
      <c r="H1413" s="20"/>
      <c r="I1413" s="20"/>
      <c r="J1413" s="10"/>
      <c r="K1413" s="10"/>
      <c r="L1413" s="10"/>
      <c r="M1413" s="10"/>
      <c r="N1413" s="10"/>
      <c r="O1413" s="21"/>
    </row>
    <row r="1414" spans="1:15" x14ac:dyDescent="0.35">
      <c r="A1414" s="15">
        <f t="shared" si="21"/>
        <v>1412</v>
      </c>
      <c r="B1414" s="16"/>
      <c r="C1414" s="19"/>
      <c r="D1414" s="10"/>
      <c r="E1414" s="10"/>
      <c r="F1414" s="47"/>
      <c r="G1414" s="10"/>
      <c r="H1414" s="20"/>
      <c r="I1414" s="20"/>
      <c r="J1414" s="10"/>
      <c r="K1414" s="10"/>
      <c r="L1414" s="10"/>
      <c r="M1414" s="10"/>
      <c r="N1414" s="10"/>
      <c r="O1414" s="21"/>
    </row>
    <row r="1415" spans="1:15" x14ac:dyDescent="0.35">
      <c r="A1415" s="15">
        <f t="shared" si="21"/>
        <v>1413</v>
      </c>
      <c r="B1415" s="16"/>
      <c r="C1415" s="19"/>
      <c r="D1415" s="10"/>
      <c r="E1415" s="10"/>
      <c r="F1415" s="47"/>
      <c r="G1415" s="10"/>
      <c r="H1415" s="20"/>
      <c r="I1415" s="20"/>
      <c r="J1415" s="10"/>
      <c r="K1415" s="10"/>
      <c r="L1415" s="10"/>
      <c r="M1415" s="10"/>
      <c r="N1415" s="10"/>
      <c r="O1415" s="21"/>
    </row>
    <row r="1416" spans="1:15" x14ac:dyDescent="0.35">
      <c r="A1416" s="15">
        <f t="shared" si="21"/>
        <v>1414</v>
      </c>
      <c r="B1416" s="16"/>
      <c r="C1416" s="19"/>
      <c r="D1416" s="10"/>
      <c r="E1416" s="10"/>
      <c r="F1416" s="47"/>
      <c r="G1416" s="10"/>
      <c r="H1416" s="20"/>
      <c r="I1416" s="20"/>
      <c r="J1416" s="10"/>
      <c r="K1416" s="10"/>
      <c r="L1416" s="10"/>
      <c r="M1416" s="10"/>
      <c r="N1416" s="10"/>
      <c r="O1416" s="21"/>
    </row>
    <row r="1417" spans="1:15" x14ac:dyDescent="0.35">
      <c r="A1417" s="15">
        <f t="shared" si="21"/>
        <v>1415</v>
      </c>
      <c r="B1417" s="16"/>
      <c r="C1417" s="19"/>
      <c r="D1417" s="10"/>
      <c r="E1417" s="10"/>
      <c r="F1417" s="47"/>
      <c r="G1417" s="10"/>
      <c r="H1417" s="20"/>
      <c r="I1417" s="20"/>
      <c r="J1417" s="10"/>
      <c r="K1417" s="10"/>
      <c r="L1417" s="10"/>
      <c r="M1417" s="10"/>
      <c r="N1417" s="10"/>
      <c r="O1417" s="21"/>
    </row>
    <row r="1418" spans="1:15" x14ac:dyDescent="0.35">
      <c r="A1418" s="15">
        <f t="shared" si="21"/>
        <v>1416</v>
      </c>
      <c r="B1418" s="16"/>
      <c r="C1418" s="19"/>
      <c r="D1418" s="10"/>
      <c r="E1418" s="10"/>
      <c r="F1418" s="47"/>
      <c r="G1418" s="10"/>
      <c r="H1418" s="20"/>
      <c r="I1418" s="20"/>
      <c r="J1418" s="10"/>
      <c r="K1418" s="10"/>
      <c r="L1418" s="10"/>
      <c r="M1418" s="10"/>
      <c r="N1418" s="10"/>
      <c r="O1418" s="21"/>
    </row>
    <row r="1419" spans="1:15" x14ac:dyDescent="0.35">
      <c r="A1419" s="15">
        <f t="shared" ref="A1419:A1482" si="22">+A1418+1</f>
        <v>1417</v>
      </c>
      <c r="B1419" s="16"/>
      <c r="C1419" s="19"/>
      <c r="D1419" s="10"/>
      <c r="E1419" s="10"/>
      <c r="F1419" s="47"/>
      <c r="G1419" s="10"/>
      <c r="H1419" s="20"/>
      <c r="I1419" s="20"/>
      <c r="J1419" s="10"/>
      <c r="K1419" s="10"/>
      <c r="L1419" s="10"/>
      <c r="M1419" s="10"/>
      <c r="N1419" s="10"/>
      <c r="O1419" s="21"/>
    </row>
    <row r="1420" spans="1:15" x14ac:dyDescent="0.35">
      <c r="A1420" s="15">
        <f t="shared" si="22"/>
        <v>1418</v>
      </c>
      <c r="B1420" s="16"/>
      <c r="C1420" s="19"/>
      <c r="D1420" s="10"/>
      <c r="E1420" s="10"/>
      <c r="F1420" s="47"/>
      <c r="G1420" s="10"/>
      <c r="H1420" s="20"/>
      <c r="I1420" s="20"/>
      <c r="J1420" s="10"/>
      <c r="K1420" s="10"/>
      <c r="L1420" s="10"/>
      <c r="M1420" s="10"/>
      <c r="N1420" s="10"/>
      <c r="O1420" s="21"/>
    </row>
    <row r="1421" spans="1:15" x14ac:dyDescent="0.35">
      <c r="A1421" s="15">
        <f t="shared" si="22"/>
        <v>1419</v>
      </c>
      <c r="B1421" s="16"/>
      <c r="C1421" s="19"/>
      <c r="D1421" s="10"/>
      <c r="E1421" s="10"/>
      <c r="F1421" s="47"/>
      <c r="G1421" s="10"/>
      <c r="H1421" s="20"/>
      <c r="I1421" s="20"/>
      <c r="J1421" s="10"/>
      <c r="K1421" s="10"/>
      <c r="L1421" s="10"/>
      <c r="M1421" s="10"/>
      <c r="N1421" s="10"/>
      <c r="O1421" s="21"/>
    </row>
    <row r="1422" spans="1:15" x14ac:dyDescent="0.35">
      <c r="A1422" s="15">
        <f t="shared" si="22"/>
        <v>1420</v>
      </c>
      <c r="B1422" s="16"/>
      <c r="C1422" s="19"/>
      <c r="D1422" s="10"/>
      <c r="E1422" s="10"/>
      <c r="F1422" s="47"/>
      <c r="G1422" s="10"/>
      <c r="H1422" s="20"/>
      <c r="I1422" s="20"/>
      <c r="J1422" s="10"/>
      <c r="K1422" s="10"/>
      <c r="L1422" s="10"/>
      <c r="M1422" s="10"/>
      <c r="N1422" s="10"/>
      <c r="O1422" s="21"/>
    </row>
    <row r="1423" spans="1:15" x14ac:dyDescent="0.35">
      <c r="A1423" s="15">
        <f t="shared" si="22"/>
        <v>1421</v>
      </c>
      <c r="B1423" s="16"/>
      <c r="C1423" s="19"/>
      <c r="D1423" s="10"/>
      <c r="E1423" s="10"/>
      <c r="F1423" s="47"/>
      <c r="G1423" s="10"/>
      <c r="H1423" s="20"/>
      <c r="I1423" s="20"/>
      <c r="J1423" s="10"/>
      <c r="K1423" s="10"/>
      <c r="L1423" s="10"/>
      <c r="M1423" s="10"/>
      <c r="N1423" s="10"/>
      <c r="O1423" s="21"/>
    </row>
    <row r="1424" spans="1:15" x14ac:dyDescent="0.35">
      <c r="A1424" s="15">
        <f t="shared" si="22"/>
        <v>1422</v>
      </c>
      <c r="B1424" s="16"/>
      <c r="C1424" s="19"/>
      <c r="D1424" s="10"/>
      <c r="E1424" s="10"/>
      <c r="F1424" s="47"/>
      <c r="G1424" s="10"/>
      <c r="H1424" s="20"/>
      <c r="I1424" s="20"/>
      <c r="J1424" s="10"/>
      <c r="K1424" s="10"/>
      <c r="L1424" s="10"/>
      <c r="M1424" s="10"/>
      <c r="N1424" s="10"/>
      <c r="O1424" s="21"/>
    </row>
    <row r="1425" spans="1:15" x14ac:dyDescent="0.35">
      <c r="A1425" s="15">
        <f t="shared" si="22"/>
        <v>1423</v>
      </c>
      <c r="B1425" s="16"/>
      <c r="C1425" s="19"/>
      <c r="D1425" s="10"/>
      <c r="E1425" s="10"/>
      <c r="F1425" s="47"/>
      <c r="G1425" s="10"/>
      <c r="H1425" s="20"/>
      <c r="I1425" s="20"/>
      <c r="J1425" s="10"/>
      <c r="K1425" s="10"/>
      <c r="L1425" s="10"/>
      <c r="M1425" s="10"/>
      <c r="N1425" s="10"/>
      <c r="O1425" s="21"/>
    </row>
    <row r="1426" spans="1:15" x14ac:dyDescent="0.35">
      <c r="A1426" s="15">
        <f t="shared" si="22"/>
        <v>1424</v>
      </c>
      <c r="B1426" s="16"/>
      <c r="C1426" s="19"/>
      <c r="D1426" s="10"/>
      <c r="E1426" s="10"/>
      <c r="F1426" s="47"/>
      <c r="G1426" s="10"/>
      <c r="H1426" s="20"/>
      <c r="I1426" s="20"/>
      <c r="J1426" s="10"/>
      <c r="K1426" s="10"/>
      <c r="L1426" s="10"/>
      <c r="M1426" s="10"/>
      <c r="N1426" s="10"/>
      <c r="O1426" s="21"/>
    </row>
    <row r="1427" spans="1:15" x14ac:dyDescent="0.35">
      <c r="A1427" s="15">
        <f t="shared" si="22"/>
        <v>1425</v>
      </c>
      <c r="B1427" s="16"/>
      <c r="C1427" s="19"/>
      <c r="D1427" s="10"/>
      <c r="E1427" s="10"/>
      <c r="F1427" s="47"/>
      <c r="G1427" s="10"/>
      <c r="H1427" s="20"/>
      <c r="I1427" s="20"/>
      <c r="J1427" s="10"/>
      <c r="K1427" s="10"/>
      <c r="L1427" s="10"/>
      <c r="M1427" s="10"/>
      <c r="N1427" s="10"/>
      <c r="O1427" s="21"/>
    </row>
    <row r="1428" spans="1:15" x14ac:dyDescent="0.35">
      <c r="A1428" s="15">
        <f t="shared" si="22"/>
        <v>1426</v>
      </c>
      <c r="B1428" s="16"/>
      <c r="C1428" s="19"/>
      <c r="D1428" s="10"/>
      <c r="E1428" s="10"/>
      <c r="F1428" s="47"/>
      <c r="G1428" s="10"/>
      <c r="H1428" s="20"/>
      <c r="I1428" s="20"/>
      <c r="J1428" s="10"/>
      <c r="K1428" s="10"/>
      <c r="L1428" s="10"/>
      <c r="M1428" s="10"/>
      <c r="N1428" s="10"/>
      <c r="O1428" s="21"/>
    </row>
    <row r="1429" spans="1:15" x14ac:dyDescent="0.35">
      <c r="A1429" s="15">
        <f t="shared" si="22"/>
        <v>1427</v>
      </c>
      <c r="B1429" s="16"/>
      <c r="C1429" s="19"/>
      <c r="D1429" s="10"/>
      <c r="E1429" s="10"/>
      <c r="F1429" s="47"/>
      <c r="G1429" s="10"/>
      <c r="H1429" s="20"/>
      <c r="I1429" s="20"/>
      <c r="J1429" s="10"/>
      <c r="K1429" s="10"/>
      <c r="L1429" s="10"/>
      <c r="M1429" s="10"/>
      <c r="N1429" s="10"/>
      <c r="O1429" s="21"/>
    </row>
    <row r="1430" spans="1:15" x14ac:dyDescent="0.35">
      <c r="A1430" s="15">
        <f t="shared" si="22"/>
        <v>1428</v>
      </c>
      <c r="B1430" s="16"/>
      <c r="C1430" s="19"/>
      <c r="D1430" s="10"/>
      <c r="E1430" s="10"/>
      <c r="F1430" s="47"/>
      <c r="G1430" s="10"/>
      <c r="H1430" s="20"/>
      <c r="I1430" s="20"/>
      <c r="J1430" s="10"/>
      <c r="K1430" s="10"/>
      <c r="L1430" s="10"/>
      <c r="M1430" s="10"/>
      <c r="N1430" s="10"/>
      <c r="O1430" s="21"/>
    </row>
    <row r="1431" spans="1:15" x14ac:dyDescent="0.35">
      <c r="A1431" s="15">
        <f t="shared" si="22"/>
        <v>1429</v>
      </c>
      <c r="B1431" s="16"/>
      <c r="C1431" s="19"/>
      <c r="D1431" s="10"/>
      <c r="E1431" s="10"/>
      <c r="F1431" s="47"/>
      <c r="G1431" s="10"/>
      <c r="H1431" s="20"/>
      <c r="I1431" s="20"/>
      <c r="J1431" s="10"/>
      <c r="K1431" s="10"/>
      <c r="L1431" s="10"/>
      <c r="M1431" s="10"/>
      <c r="N1431" s="10"/>
      <c r="O1431" s="21"/>
    </row>
    <row r="1432" spans="1:15" x14ac:dyDescent="0.35">
      <c r="A1432" s="15">
        <f t="shared" si="22"/>
        <v>1430</v>
      </c>
      <c r="B1432" s="16"/>
      <c r="C1432" s="19"/>
      <c r="D1432" s="10"/>
      <c r="E1432" s="10"/>
      <c r="F1432" s="47"/>
      <c r="G1432" s="10"/>
      <c r="H1432" s="20"/>
      <c r="I1432" s="20"/>
      <c r="J1432" s="10"/>
      <c r="K1432" s="10"/>
      <c r="L1432" s="10"/>
      <c r="M1432" s="10"/>
      <c r="N1432" s="10"/>
      <c r="O1432" s="21"/>
    </row>
    <row r="1433" spans="1:15" x14ac:dyDescent="0.35">
      <c r="A1433" s="15">
        <f t="shared" si="22"/>
        <v>1431</v>
      </c>
      <c r="B1433" s="16"/>
      <c r="C1433" s="19"/>
      <c r="D1433" s="10"/>
      <c r="E1433" s="10"/>
      <c r="F1433" s="47"/>
      <c r="G1433" s="10"/>
      <c r="H1433" s="20"/>
      <c r="I1433" s="20"/>
      <c r="J1433" s="10"/>
      <c r="K1433" s="10"/>
      <c r="L1433" s="10"/>
      <c r="M1433" s="10"/>
      <c r="N1433" s="10"/>
      <c r="O1433" s="21"/>
    </row>
    <row r="1434" spans="1:15" x14ac:dyDescent="0.35">
      <c r="A1434" s="15">
        <f t="shared" si="22"/>
        <v>1432</v>
      </c>
      <c r="B1434" s="16"/>
      <c r="C1434" s="19"/>
      <c r="D1434" s="10"/>
      <c r="E1434" s="10"/>
      <c r="F1434" s="47"/>
      <c r="G1434" s="10"/>
      <c r="H1434" s="20"/>
      <c r="I1434" s="20"/>
      <c r="J1434" s="10"/>
      <c r="K1434" s="10"/>
      <c r="L1434" s="10"/>
      <c r="M1434" s="10"/>
      <c r="N1434" s="10"/>
      <c r="O1434" s="21"/>
    </row>
    <row r="1435" spans="1:15" x14ac:dyDescent="0.35">
      <c r="A1435" s="15">
        <f t="shared" si="22"/>
        <v>1433</v>
      </c>
      <c r="B1435" s="16"/>
      <c r="C1435" s="19"/>
      <c r="D1435" s="10"/>
      <c r="E1435" s="10"/>
      <c r="F1435" s="47"/>
      <c r="G1435" s="10"/>
      <c r="H1435" s="20"/>
      <c r="I1435" s="20"/>
      <c r="J1435" s="10"/>
      <c r="K1435" s="10"/>
      <c r="L1435" s="10"/>
      <c r="M1435" s="10"/>
      <c r="N1435" s="10"/>
      <c r="O1435" s="21"/>
    </row>
    <row r="1436" spans="1:15" x14ac:dyDescent="0.35">
      <c r="A1436" s="15">
        <f t="shared" si="22"/>
        <v>1434</v>
      </c>
      <c r="B1436" s="16"/>
      <c r="C1436" s="19"/>
      <c r="D1436" s="10"/>
      <c r="E1436" s="10"/>
      <c r="F1436" s="47"/>
      <c r="G1436" s="10"/>
      <c r="H1436" s="20"/>
      <c r="I1436" s="20"/>
      <c r="J1436" s="10"/>
      <c r="K1436" s="10"/>
      <c r="L1436" s="10"/>
      <c r="M1436" s="10"/>
      <c r="N1436" s="10"/>
      <c r="O1436" s="21"/>
    </row>
    <row r="1437" spans="1:15" x14ac:dyDescent="0.35">
      <c r="A1437" s="15">
        <f t="shared" si="22"/>
        <v>1435</v>
      </c>
      <c r="B1437" s="16"/>
      <c r="C1437" s="19"/>
      <c r="D1437" s="10"/>
      <c r="E1437" s="10"/>
      <c r="F1437" s="47"/>
      <c r="G1437" s="10"/>
      <c r="H1437" s="20"/>
      <c r="I1437" s="20"/>
      <c r="J1437" s="10"/>
      <c r="K1437" s="10"/>
      <c r="L1437" s="10"/>
      <c r="M1437" s="10"/>
      <c r="N1437" s="10"/>
      <c r="O1437" s="21"/>
    </row>
    <row r="1438" spans="1:15" x14ac:dyDescent="0.35">
      <c r="A1438" s="15">
        <f t="shared" si="22"/>
        <v>1436</v>
      </c>
      <c r="B1438" s="16"/>
      <c r="C1438" s="19"/>
      <c r="D1438" s="10"/>
      <c r="E1438" s="10"/>
      <c r="F1438" s="47"/>
      <c r="G1438" s="10"/>
      <c r="H1438" s="20"/>
      <c r="I1438" s="20"/>
      <c r="J1438" s="10"/>
      <c r="K1438" s="10"/>
      <c r="L1438" s="10"/>
      <c r="M1438" s="10"/>
      <c r="N1438" s="10"/>
      <c r="O1438" s="21"/>
    </row>
    <row r="1439" spans="1:15" x14ac:dyDescent="0.35">
      <c r="A1439" s="15">
        <f t="shared" si="22"/>
        <v>1437</v>
      </c>
      <c r="B1439" s="16"/>
      <c r="C1439" s="19"/>
      <c r="D1439" s="10"/>
      <c r="E1439" s="10"/>
      <c r="F1439" s="47"/>
      <c r="G1439" s="10"/>
      <c r="H1439" s="20"/>
      <c r="I1439" s="20"/>
      <c r="J1439" s="10"/>
      <c r="K1439" s="10"/>
      <c r="L1439" s="10"/>
      <c r="M1439" s="10"/>
      <c r="N1439" s="10"/>
      <c r="O1439" s="21"/>
    </row>
    <row r="1440" spans="1:15" x14ac:dyDescent="0.35">
      <c r="A1440" s="15">
        <f t="shared" si="22"/>
        <v>1438</v>
      </c>
      <c r="B1440" s="16"/>
      <c r="C1440" s="19"/>
      <c r="D1440" s="10"/>
      <c r="E1440" s="10"/>
      <c r="F1440" s="47"/>
      <c r="G1440" s="10"/>
      <c r="H1440" s="20"/>
      <c r="I1440" s="20"/>
      <c r="J1440" s="10"/>
      <c r="K1440" s="10"/>
      <c r="L1440" s="10"/>
      <c r="M1440" s="10"/>
      <c r="N1440" s="10"/>
      <c r="O1440" s="21"/>
    </row>
    <row r="1441" spans="1:15" x14ac:dyDescent="0.35">
      <c r="A1441" s="15">
        <f t="shared" si="22"/>
        <v>1439</v>
      </c>
      <c r="B1441" s="16"/>
      <c r="C1441" s="19"/>
      <c r="D1441" s="10"/>
      <c r="E1441" s="10"/>
      <c r="F1441" s="47"/>
      <c r="G1441" s="10"/>
      <c r="H1441" s="20"/>
      <c r="I1441" s="20"/>
      <c r="J1441" s="10"/>
      <c r="K1441" s="10"/>
      <c r="L1441" s="10"/>
      <c r="M1441" s="10"/>
      <c r="N1441" s="10"/>
      <c r="O1441" s="21"/>
    </row>
    <row r="1442" spans="1:15" x14ac:dyDescent="0.35">
      <c r="A1442" s="15">
        <f t="shared" si="22"/>
        <v>1440</v>
      </c>
      <c r="B1442" s="16"/>
      <c r="C1442" s="19"/>
      <c r="D1442" s="10"/>
      <c r="E1442" s="10"/>
      <c r="F1442" s="47"/>
      <c r="G1442" s="10"/>
      <c r="H1442" s="20"/>
      <c r="I1442" s="20"/>
      <c r="J1442" s="10"/>
      <c r="K1442" s="10"/>
      <c r="L1442" s="10"/>
      <c r="M1442" s="10"/>
      <c r="N1442" s="10"/>
      <c r="O1442" s="21"/>
    </row>
    <row r="1443" spans="1:15" x14ac:dyDescent="0.35">
      <c r="A1443" s="15">
        <f t="shared" si="22"/>
        <v>1441</v>
      </c>
      <c r="B1443" s="16"/>
      <c r="C1443" s="19"/>
      <c r="D1443" s="10"/>
      <c r="E1443" s="10"/>
      <c r="F1443" s="47"/>
      <c r="G1443" s="10"/>
      <c r="H1443" s="20"/>
      <c r="I1443" s="20"/>
      <c r="J1443" s="10"/>
      <c r="K1443" s="10"/>
      <c r="L1443" s="10"/>
      <c r="M1443" s="10"/>
      <c r="N1443" s="10"/>
      <c r="O1443" s="21"/>
    </row>
    <row r="1444" spans="1:15" x14ac:dyDescent="0.35">
      <c r="A1444" s="15">
        <f t="shared" si="22"/>
        <v>1442</v>
      </c>
      <c r="B1444" s="16"/>
      <c r="C1444" s="19"/>
      <c r="D1444" s="10"/>
      <c r="E1444" s="10"/>
      <c r="F1444" s="47"/>
      <c r="G1444" s="10"/>
      <c r="H1444" s="20"/>
      <c r="I1444" s="20"/>
      <c r="J1444" s="10"/>
      <c r="K1444" s="10"/>
      <c r="L1444" s="10"/>
      <c r="M1444" s="10"/>
      <c r="N1444" s="10"/>
      <c r="O1444" s="21"/>
    </row>
    <row r="1445" spans="1:15" x14ac:dyDescent="0.35">
      <c r="A1445" s="15">
        <f t="shared" si="22"/>
        <v>1443</v>
      </c>
      <c r="B1445" s="16"/>
      <c r="C1445" s="19"/>
      <c r="D1445" s="10"/>
      <c r="E1445" s="10"/>
      <c r="F1445" s="47"/>
      <c r="G1445" s="10"/>
      <c r="H1445" s="20"/>
      <c r="I1445" s="20"/>
      <c r="J1445" s="10"/>
      <c r="K1445" s="10"/>
      <c r="L1445" s="10"/>
      <c r="M1445" s="10"/>
      <c r="N1445" s="10"/>
      <c r="O1445" s="21"/>
    </row>
    <row r="1446" spans="1:15" x14ac:dyDescent="0.35">
      <c r="A1446" s="15">
        <f t="shared" si="22"/>
        <v>1444</v>
      </c>
      <c r="B1446" s="16"/>
      <c r="C1446" s="19"/>
      <c r="D1446" s="10"/>
      <c r="E1446" s="10"/>
      <c r="F1446" s="47"/>
      <c r="G1446" s="10"/>
      <c r="H1446" s="20"/>
      <c r="I1446" s="20"/>
      <c r="J1446" s="10"/>
      <c r="K1446" s="10"/>
      <c r="L1446" s="10"/>
      <c r="M1446" s="10"/>
      <c r="N1446" s="10"/>
      <c r="O1446" s="21"/>
    </row>
    <row r="1447" spans="1:15" x14ac:dyDescent="0.35">
      <c r="A1447" s="15">
        <f t="shared" si="22"/>
        <v>1445</v>
      </c>
      <c r="B1447" s="16"/>
      <c r="C1447" s="19"/>
      <c r="D1447" s="10"/>
      <c r="E1447" s="10"/>
      <c r="F1447" s="47"/>
      <c r="G1447" s="10"/>
      <c r="H1447" s="20"/>
      <c r="I1447" s="20"/>
      <c r="J1447" s="10"/>
      <c r="K1447" s="10"/>
      <c r="L1447" s="10"/>
      <c r="M1447" s="10"/>
      <c r="N1447" s="10"/>
      <c r="O1447" s="21"/>
    </row>
    <row r="1448" spans="1:15" x14ac:dyDescent="0.35">
      <c r="A1448" s="15">
        <f t="shared" si="22"/>
        <v>1446</v>
      </c>
      <c r="B1448" s="16"/>
      <c r="C1448" s="19"/>
      <c r="D1448" s="10"/>
      <c r="E1448" s="10"/>
      <c r="F1448" s="47"/>
      <c r="G1448" s="10"/>
      <c r="H1448" s="20"/>
      <c r="I1448" s="20"/>
      <c r="J1448" s="10"/>
      <c r="K1448" s="10"/>
      <c r="L1448" s="10"/>
      <c r="M1448" s="10"/>
      <c r="N1448" s="10"/>
      <c r="O1448" s="21"/>
    </row>
    <row r="1449" spans="1:15" x14ac:dyDescent="0.35">
      <c r="A1449" s="15">
        <f t="shared" si="22"/>
        <v>1447</v>
      </c>
      <c r="B1449" s="16"/>
      <c r="C1449" s="19"/>
      <c r="D1449" s="10"/>
      <c r="E1449" s="10"/>
      <c r="F1449" s="47"/>
      <c r="G1449" s="10"/>
      <c r="H1449" s="20"/>
      <c r="I1449" s="20"/>
      <c r="J1449" s="10"/>
      <c r="K1449" s="10"/>
      <c r="L1449" s="10"/>
      <c r="M1449" s="10"/>
      <c r="N1449" s="10"/>
      <c r="O1449" s="21"/>
    </row>
    <row r="1450" spans="1:15" x14ac:dyDescent="0.35">
      <c r="A1450" s="15">
        <f t="shared" si="22"/>
        <v>1448</v>
      </c>
      <c r="B1450" s="16"/>
      <c r="C1450" s="19"/>
      <c r="D1450" s="10"/>
      <c r="E1450" s="10"/>
      <c r="F1450" s="47"/>
      <c r="G1450" s="10"/>
      <c r="H1450" s="20"/>
      <c r="I1450" s="20"/>
      <c r="J1450" s="10"/>
      <c r="K1450" s="10"/>
      <c r="L1450" s="10"/>
      <c r="M1450" s="10"/>
      <c r="N1450" s="10"/>
      <c r="O1450" s="21"/>
    </row>
    <row r="1451" spans="1:15" x14ac:dyDescent="0.35">
      <c r="A1451" s="15">
        <f t="shared" si="22"/>
        <v>1449</v>
      </c>
      <c r="B1451" s="16"/>
      <c r="C1451" s="19"/>
      <c r="D1451" s="10"/>
      <c r="E1451" s="10"/>
      <c r="F1451" s="47"/>
      <c r="G1451" s="10"/>
      <c r="H1451" s="20"/>
      <c r="I1451" s="20"/>
      <c r="J1451" s="10"/>
      <c r="K1451" s="10"/>
      <c r="L1451" s="10"/>
      <c r="M1451" s="10"/>
      <c r="N1451" s="10"/>
      <c r="O1451" s="21"/>
    </row>
    <row r="1452" spans="1:15" x14ac:dyDescent="0.35">
      <c r="A1452" s="15">
        <f t="shared" si="22"/>
        <v>1450</v>
      </c>
      <c r="B1452" s="16"/>
      <c r="C1452" s="19"/>
      <c r="D1452" s="10"/>
      <c r="E1452" s="10"/>
      <c r="F1452" s="47"/>
      <c r="G1452" s="10"/>
      <c r="H1452" s="20"/>
      <c r="I1452" s="20"/>
      <c r="J1452" s="10"/>
      <c r="K1452" s="10"/>
      <c r="L1452" s="10"/>
      <c r="M1452" s="10"/>
      <c r="N1452" s="10"/>
      <c r="O1452" s="21"/>
    </row>
    <row r="1453" spans="1:15" x14ac:dyDescent="0.35">
      <c r="A1453" s="15">
        <f t="shared" si="22"/>
        <v>1451</v>
      </c>
      <c r="B1453" s="16"/>
      <c r="C1453" s="19"/>
      <c r="D1453" s="10"/>
      <c r="E1453" s="10"/>
      <c r="F1453" s="47"/>
      <c r="G1453" s="10"/>
      <c r="H1453" s="20"/>
      <c r="I1453" s="20"/>
      <c r="J1453" s="10"/>
      <c r="K1453" s="10"/>
      <c r="L1453" s="10"/>
      <c r="M1453" s="10"/>
      <c r="N1453" s="10"/>
      <c r="O1453" s="21"/>
    </row>
    <row r="1454" spans="1:15" x14ac:dyDescent="0.35">
      <c r="A1454" s="15">
        <f t="shared" si="22"/>
        <v>1452</v>
      </c>
      <c r="B1454" s="16"/>
      <c r="C1454" s="19"/>
      <c r="D1454" s="10"/>
      <c r="E1454" s="10"/>
      <c r="F1454" s="47"/>
      <c r="G1454" s="10"/>
      <c r="H1454" s="20"/>
      <c r="I1454" s="20"/>
      <c r="J1454" s="10"/>
      <c r="K1454" s="10"/>
      <c r="L1454" s="10"/>
      <c r="M1454" s="10"/>
      <c r="N1454" s="10"/>
      <c r="O1454" s="21"/>
    </row>
    <row r="1455" spans="1:15" x14ac:dyDescent="0.35">
      <c r="A1455" s="15">
        <f t="shared" si="22"/>
        <v>1453</v>
      </c>
      <c r="B1455" s="16"/>
      <c r="C1455" s="19"/>
      <c r="D1455" s="10"/>
      <c r="E1455" s="10"/>
      <c r="F1455" s="47"/>
      <c r="G1455" s="10"/>
      <c r="H1455" s="20"/>
      <c r="I1455" s="20"/>
      <c r="J1455" s="10"/>
      <c r="K1455" s="10"/>
      <c r="L1455" s="10"/>
      <c r="M1455" s="10"/>
      <c r="N1455" s="10"/>
      <c r="O1455" s="21"/>
    </row>
    <row r="1456" spans="1:15" x14ac:dyDescent="0.35">
      <c r="A1456" s="15">
        <f t="shared" si="22"/>
        <v>1454</v>
      </c>
      <c r="B1456" s="16"/>
      <c r="C1456" s="19"/>
      <c r="D1456" s="10"/>
      <c r="E1456" s="10"/>
      <c r="F1456" s="47"/>
      <c r="G1456" s="10"/>
      <c r="H1456" s="20"/>
      <c r="I1456" s="20"/>
      <c r="J1456" s="10"/>
      <c r="K1456" s="10"/>
      <c r="L1456" s="10"/>
      <c r="M1456" s="10"/>
      <c r="N1456" s="10"/>
      <c r="O1456" s="21"/>
    </row>
    <row r="1457" spans="1:15" x14ac:dyDescent="0.35">
      <c r="A1457" s="15">
        <f t="shared" si="22"/>
        <v>1455</v>
      </c>
      <c r="B1457" s="16"/>
      <c r="C1457" s="19"/>
      <c r="D1457" s="10"/>
      <c r="E1457" s="10"/>
      <c r="F1457" s="47"/>
      <c r="G1457" s="10"/>
      <c r="H1457" s="20"/>
      <c r="I1457" s="20"/>
      <c r="J1457" s="10"/>
      <c r="K1457" s="10"/>
      <c r="L1457" s="10"/>
      <c r="M1457" s="10"/>
      <c r="N1457" s="10"/>
      <c r="O1457" s="21"/>
    </row>
    <row r="1458" spans="1:15" x14ac:dyDescent="0.35">
      <c r="A1458" s="15">
        <f t="shared" si="22"/>
        <v>1456</v>
      </c>
      <c r="B1458" s="16"/>
      <c r="C1458" s="19"/>
      <c r="D1458" s="10"/>
      <c r="E1458" s="10"/>
      <c r="F1458" s="47"/>
      <c r="G1458" s="10"/>
      <c r="H1458" s="20"/>
      <c r="I1458" s="20"/>
      <c r="J1458" s="10"/>
      <c r="K1458" s="10"/>
      <c r="L1458" s="10"/>
      <c r="M1458" s="10"/>
      <c r="N1458" s="10"/>
      <c r="O1458" s="21"/>
    </row>
    <row r="1459" spans="1:15" x14ac:dyDescent="0.35">
      <c r="A1459" s="15">
        <f t="shared" si="22"/>
        <v>1457</v>
      </c>
      <c r="B1459" s="16"/>
      <c r="C1459" s="19"/>
      <c r="D1459" s="10"/>
      <c r="E1459" s="10"/>
      <c r="F1459" s="47"/>
      <c r="G1459" s="10"/>
      <c r="H1459" s="20"/>
      <c r="I1459" s="20"/>
      <c r="J1459" s="10"/>
      <c r="K1459" s="10"/>
      <c r="L1459" s="10"/>
      <c r="M1459" s="10"/>
      <c r="N1459" s="10"/>
      <c r="O1459" s="21"/>
    </row>
    <row r="1460" spans="1:15" x14ac:dyDescent="0.35">
      <c r="A1460" s="15">
        <f t="shared" si="22"/>
        <v>1458</v>
      </c>
      <c r="B1460" s="16"/>
      <c r="C1460" s="19"/>
      <c r="D1460" s="10"/>
      <c r="E1460" s="10"/>
      <c r="F1460" s="47"/>
      <c r="G1460" s="10"/>
      <c r="H1460" s="20"/>
      <c r="I1460" s="20"/>
      <c r="J1460" s="10"/>
      <c r="K1460" s="10"/>
      <c r="L1460" s="10"/>
      <c r="M1460" s="10"/>
      <c r="N1460" s="10"/>
      <c r="O1460" s="21"/>
    </row>
    <row r="1461" spans="1:15" x14ac:dyDescent="0.35">
      <c r="A1461" s="15">
        <f t="shared" si="22"/>
        <v>1459</v>
      </c>
      <c r="B1461" s="16"/>
      <c r="C1461" s="19"/>
      <c r="D1461" s="10"/>
      <c r="E1461" s="10"/>
      <c r="F1461" s="47"/>
      <c r="G1461" s="10"/>
      <c r="H1461" s="20"/>
      <c r="I1461" s="20"/>
      <c r="J1461" s="10"/>
      <c r="K1461" s="10"/>
      <c r="L1461" s="10"/>
      <c r="M1461" s="10"/>
      <c r="N1461" s="10"/>
      <c r="O1461" s="21"/>
    </row>
    <row r="1462" spans="1:15" x14ac:dyDescent="0.35">
      <c r="A1462" s="15">
        <f t="shared" si="22"/>
        <v>1460</v>
      </c>
      <c r="B1462" s="16"/>
      <c r="C1462" s="19"/>
      <c r="D1462" s="10"/>
      <c r="E1462" s="10"/>
      <c r="F1462" s="47"/>
      <c r="G1462" s="10"/>
      <c r="H1462" s="20"/>
      <c r="I1462" s="20"/>
      <c r="J1462" s="10"/>
      <c r="K1462" s="10"/>
      <c r="L1462" s="10"/>
      <c r="M1462" s="10"/>
      <c r="N1462" s="10"/>
      <c r="O1462" s="21"/>
    </row>
    <row r="1463" spans="1:15" x14ac:dyDescent="0.35">
      <c r="A1463" s="15">
        <f t="shared" si="22"/>
        <v>1461</v>
      </c>
      <c r="B1463" s="16"/>
      <c r="C1463" s="19"/>
      <c r="D1463" s="10"/>
      <c r="E1463" s="10"/>
      <c r="F1463" s="47"/>
      <c r="G1463" s="10"/>
      <c r="H1463" s="20"/>
      <c r="I1463" s="20"/>
      <c r="J1463" s="10"/>
      <c r="K1463" s="10"/>
      <c r="L1463" s="10"/>
      <c r="M1463" s="10"/>
      <c r="N1463" s="10"/>
      <c r="O1463" s="21"/>
    </row>
    <row r="1464" spans="1:15" x14ac:dyDescent="0.35">
      <c r="A1464" s="15">
        <f t="shared" si="22"/>
        <v>1462</v>
      </c>
      <c r="B1464" s="16"/>
      <c r="C1464" s="19"/>
      <c r="D1464" s="10"/>
      <c r="E1464" s="10"/>
      <c r="F1464" s="47"/>
      <c r="G1464" s="10"/>
      <c r="H1464" s="20"/>
      <c r="I1464" s="20"/>
      <c r="J1464" s="10"/>
      <c r="K1464" s="10"/>
      <c r="L1464" s="10"/>
      <c r="M1464" s="10"/>
      <c r="N1464" s="10"/>
      <c r="O1464" s="21"/>
    </row>
    <row r="1465" spans="1:15" x14ac:dyDescent="0.35">
      <c r="A1465" s="15">
        <f t="shared" si="22"/>
        <v>1463</v>
      </c>
      <c r="B1465" s="16"/>
      <c r="C1465" s="19"/>
      <c r="D1465" s="10"/>
      <c r="E1465" s="10"/>
      <c r="F1465" s="47"/>
      <c r="G1465" s="10"/>
      <c r="H1465" s="20"/>
      <c r="I1465" s="20"/>
      <c r="J1465" s="10"/>
      <c r="K1465" s="10"/>
      <c r="L1465" s="10"/>
      <c r="M1465" s="10"/>
      <c r="N1465" s="10"/>
      <c r="O1465" s="21"/>
    </row>
    <row r="1466" spans="1:15" x14ac:dyDescent="0.35">
      <c r="A1466" s="15">
        <f t="shared" si="22"/>
        <v>1464</v>
      </c>
      <c r="B1466" s="16"/>
      <c r="C1466" s="19"/>
      <c r="D1466" s="10"/>
      <c r="E1466" s="10"/>
      <c r="F1466" s="47"/>
      <c r="G1466" s="10"/>
      <c r="H1466" s="20"/>
      <c r="I1466" s="20"/>
      <c r="J1466" s="10"/>
      <c r="K1466" s="10"/>
      <c r="L1466" s="10"/>
      <c r="M1466" s="10"/>
      <c r="N1466" s="10"/>
      <c r="O1466" s="21"/>
    </row>
    <row r="1467" spans="1:15" x14ac:dyDescent="0.35">
      <c r="A1467" s="15">
        <f t="shared" si="22"/>
        <v>1465</v>
      </c>
      <c r="B1467" s="16"/>
      <c r="C1467" s="19"/>
      <c r="D1467" s="10"/>
      <c r="E1467" s="10"/>
      <c r="F1467" s="47"/>
      <c r="G1467" s="10"/>
      <c r="H1467" s="20"/>
      <c r="I1467" s="20"/>
      <c r="J1467" s="10"/>
      <c r="K1467" s="10"/>
      <c r="L1467" s="10"/>
      <c r="M1467" s="10"/>
      <c r="N1467" s="10"/>
      <c r="O1467" s="21"/>
    </row>
    <row r="1468" spans="1:15" x14ac:dyDescent="0.35">
      <c r="A1468" s="15">
        <f t="shared" si="22"/>
        <v>1466</v>
      </c>
      <c r="B1468" s="16"/>
      <c r="C1468" s="19"/>
      <c r="D1468" s="10"/>
      <c r="E1468" s="10"/>
      <c r="F1468" s="47"/>
      <c r="G1468" s="10"/>
      <c r="H1468" s="20"/>
      <c r="I1468" s="20"/>
      <c r="J1468" s="10"/>
      <c r="K1468" s="10"/>
      <c r="L1468" s="10"/>
      <c r="M1468" s="10"/>
      <c r="N1468" s="10"/>
      <c r="O1468" s="21"/>
    </row>
    <row r="1469" spans="1:15" x14ac:dyDescent="0.35">
      <c r="A1469" s="15">
        <f t="shared" si="22"/>
        <v>1467</v>
      </c>
      <c r="B1469" s="16"/>
      <c r="C1469" s="19"/>
      <c r="D1469" s="10"/>
      <c r="E1469" s="10"/>
      <c r="F1469" s="47"/>
      <c r="G1469" s="10"/>
      <c r="H1469" s="20"/>
      <c r="I1469" s="20"/>
      <c r="J1469" s="10"/>
      <c r="K1469" s="10"/>
      <c r="L1469" s="10"/>
      <c r="M1469" s="10"/>
      <c r="N1469" s="10"/>
      <c r="O1469" s="21"/>
    </row>
    <row r="1470" spans="1:15" x14ac:dyDescent="0.35">
      <c r="A1470" s="15">
        <f t="shared" si="22"/>
        <v>1468</v>
      </c>
      <c r="B1470" s="16"/>
      <c r="C1470" s="19"/>
      <c r="D1470" s="10"/>
      <c r="E1470" s="10"/>
      <c r="F1470" s="47"/>
      <c r="G1470" s="10"/>
      <c r="H1470" s="20"/>
      <c r="I1470" s="20"/>
      <c r="J1470" s="10"/>
      <c r="K1470" s="10"/>
      <c r="L1470" s="10"/>
      <c r="M1470" s="10"/>
      <c r="N1470" s="10"/>
      <c r="O1470" s="21"/>
    </row>
    <row r="1471" spans="1:15" x14ac:dyDescent="0.35">
      <c r="A1471" s="15">
        <f t="shared" si="22"/>
        <v>1469</v>
      </c>
      <c r="B1471" s="16"/>
      <c r="C1471" s="19"/>
      <c r="D1471" s="10"/>
      <c r="E1471" s="10"/>
      <c r="F1471" s="47"/>
      <c r="G1471" s="10"/>
      <c r="H1471" s="20"/>
      <c r="I1471" s="20"/>
      <c r="J1471" s="10"/>
      <c r="K1471" s="10"/>
      <c r="L1471" s="10"/>
      <c r="M1471" s="10"/>
      <c r="N1471" s="10"/>
      <c r="O1471" s="21"/>
    </row>
    <row r="1472" spans="1:15" x14ac:dyDescent="0.35">
      <c r="A1472" s="15">
        <f t="shared" si="22"/>
        <v>1470</v>
      </c>
      <c r="B1472" s="16"/>
      <c r="C1472" s="19"/>
      <c r="D1472" s="10"/>
      <c r="E1472" s="10"/>
      <c r="F1472" s="47"/>
      <c r="G1472" s="10"/>
      <c r="H1472" s="20"/>
      <c r="I1472" s="20"/>
      <c r="J1472" s="10"/>
      <c r="K1472" s="10"/>
      <c r="L1472" s="10"/>
      <c r="M1472" s="10"/>
      <c r="N1472" s="10"/>
      <c r="O1472" s="21"/>
    </row>
    <row r="1473" spans="1:15" x14ac:dyDescent="0.35">
      <c r="A1473" s="15">
        <f t="shared" si="22"/>
        <v>1471</v>
      </c>
      <c r="B1473" s="16"/>
      <c r="C1473" s="19"/>
      <c r="D1473" s="10"/>
      <c r="E1473" s="10"/>
      <c r="F1473" s="47"/>
      <c r="G1473" s="10"/>
      <c r="H1473" s="20"/>
      <c r="I1473" s="20"/>
      <c r="J1473" s="10"/>
      <c r="K1473" s="10"/>
      <c r="L1473" s="10"/>
      <c r="M1473" s="10"/>
      <c r="N1473" s="10"/>
      <c r="O1473" s="21"/>
    </row>
    <row r="1474" spans="1:15" x14ac:dyDescent="0.35">
      <c r="A1474" s="15">
        <f t="shared" si="22"/>
        <v>1472</v>
      </c>
      <c r="B1474" s="16"/>
      <c r="C1474" s="19"/>
      <c r="D1474" s="10"/>
      <c r="E1474" s="10"/>
      <c r="F1474" s="47"/>
      <c r="G1474" s="10"/>
      <c r="H1474" s="20"/>
      <c r="I1474" s="20"/>
      <c r="J1474" s="10"/>
      <c r="K1474" s="10"/>
      <c r="L1474" s="10"/>
      <c r="M1474" s="10"/>
      <c r="N1474" s="10"/>
      <c r="O1474" s="21"/>
    </row>
    <row r="1475" spans="1:15" x14ac:dyDescent="0.35">
      <c r="A1475" s="15">
        <f t="shared" si="22"/>
        <v>1473</v>
      </c>
      <c r="B1475" s="16"/>
      <c r="C1475" s="19"/>
      <c r="D1475" s="10"/>
      <c r="E1475" s="10"/>
      <c r="F1475" s="47"/>
      <c r="G1475" s="10"/>
      <c r="H1475" s="20"/>
      <c r="I1475" s="20"/>
      <c r="J1475" s="10"/>
      <c r="K1475" s="10"/>
      <c r="L1475" s="10"/>
      <c r="M1475" s="10"/>
      <c r="N1475" s="10"/>
      <c r="O1475" s="21"/>
    </row>
    <row r="1476" spans="1:15" x14ac:dyDescent="0.35">
      <c r="A1476" s="15">
        <f t="shared" si="22"/>
        <v>1474</v>
      </c>
      <c r="B1476" s="16"/>
      <c r="C1476" s="19"/>
      <c r="D1476" s="10"/>
      <c r="E1476" s="10"/>
      <c r="F1476" s="47"/>
      <c r="G1476" s="10"/>
      <c r="H1476" s="20"/>
      <c r="I1476" s="20"/>
      <c r="J1476" s="10"/>
      <c r="K1476" s="10"/>
      <c r="L1476" s="10"/>
      <c r="M1476" s="10"/>
      <c r="N1476" s="10"/>
      <c r="O1476" s="21"/>
    </row>
    <row r="1477" spans="1:15" x14ac:dyDescent="0.35">
      <c r="A1477" s="15">
        <f t="shared" si="22"/>
        <v>1475</v>
      </c>
      <c r="B1477" s="16"/>
      <c r="C1477" s="19"/>
      <c r="D1477" s="10"/>
      <c r="E1477" s="10"/>
      <c r="F1477" s="47"/>
      <c r="G1477" s="10"/>
      <c r="H1477" s="20"/>
      <c r="I1477" s="20"/>
      <c r="J1477" s="10"/>
      <c r="K1477" s="10"/>
      <c r="L1477" s="10"/>
      <c r="M1477" s="10"/>
      <c r="N1477" s="10"/>
      <c r="O1477" s="21"/>
    </row>
    <row r="1478" spans="1:15" x14ac:dyDescent="0.35">
      <c r="A1478" s="15">
        <f t="shared" si="22"/>
        <v>1476</v>
      </c>
      <c r="B1478" s="16"/>
      <c r="C1478" s="19"/>
      <c r="D1478" s="10"/>
      <c r="E1478" s="10"/>
      <c r="F1478" s="47"/>
      <c r="G1478" s="10"/>
      <c r="H1478" s="20"/>
      <c r="I1478" s="20"/>
      <c r="J1478" s="10"/>
      <c r="K1478" s="10"/>
      <c r="L1478" s="10"/>
      <c r="M1478" s="10"/>
      <c r="N1478" s="10"/>
      <c r="O1478" s="21"/>
    </row>
    <row r="1479" spans="1:15" x14ac:dyDescent="0.35">
      <c r="A1479" s="15">
        <f t="shared" si="22"/>
        <v>1477</v>
      </c>
      <c r="B1479" s="16"/>
      <c r="C1479" s="19"/>
      <c r="D1479" s="10"/>
      <c r="E1479" s="10"/>
      <c r="F1479" s="47"/>
      <c r="G1479" s="10"/>
      <c r="H1479" s="20"/>
      <c r="I1479" s="20"/>
      <c r="J1479" s="10"/>
      <c r="K1479" s="10"/>
      <c r="L1479" s="10"/>
      <c r="M1479" s="10"/>
      <c r="N1479" s="10"/>
      <c r="O1479" s="21"/>
    </row>
    <row r="1480" spans="1:15" x14ac:dyDescent="0.35">
      <c r="A1480" s="15">
        <f t="shared" si="22"/>
        <v>1478</v>
      </c>
      <c r="B1480" s="16"/>
      <c r="C1480" s="19"/>
      <c r="D1480" s="10"/>
      <c r="E1480" s="10"/>
      <c r="F1480" s="47"/>
      <c r="G1480" s="10"/>
      <c r="H1480" s="20"/>
      <c r="I1480" s="20"/>
      <c r="J1480" s="10"/>
      <c r="K1480" s="10"/>
      <c r="L1480" s="10"/>
      <c r="M1480" s="10"/>
      <c r="N1480" s="10"/>
      <c r="O1480" s="21"/>
    </row>
    <row r="1481" spans="1:15" x14ac:dyDescent="0.35">
      <c r="A1481" s="15">
        <f t="shared" si="22"/>
        <v>1479</v>
      </c>
      <c r="B1481" s="16"/>
      <c r="C1481" s="19"/>
      <c r="D1481" s="10"/>
      <c r="E1481" s="10"/>
      <c r="F1481" s="47"/>
      <c r="G1481" s="10"/>
      <c r="H1481" s="20"/>
      <c r="I1481" s="20"/>
      <c r="J1481" s="10"/>
      <c r="K1481" s="10"/>
      <c r="L1481" s="10"/>
      <c r="M1481" s="10"/>
      <c r="N1481" s="10"/>
      <c r="O1481" s="21"/>
    </row>
    <row r="1482" spans="1:15" x14ac:dyDescent="0.35">
      <c r="A1482" s="15">
        <f t="shared" si="22"/>
        <v>1480</v>
      </c>
      <c r="B1482" s="16"/>
      <c r="C1482" s="19"/>
      <c r="D1482" s="10"/>
      <c r="E1482" s="10"/>
      <c r="F1482" s="47"/>
      <c r="G1482" s="10"/>
      <c r="H1482" s="20"/>
      <c r="I1482" s="20"/>
      <c r="J1482" s="10"/>
      <c r="K1482" s="10"/>
      <c r="L1482" s="10"/>
      <c r="M1482" s="10"/>
      <c r="N1482" s="10"/>
      <c r="O1482" s="21"/>
    </row>
    <row r="1483" spans="1:15" x14ac:dyDescent="0.35">
      <c r="A1483" s="15">
        <f t="shared" ref="A1483:A1546" si="23">+A1482+1</f>
        <v>1481</v>
      </c>
      <c r="B1483" s="16"/>
      <c r="C1483" s="19"/>
      <c r="D1483" s="10"/>
      <c r="E1483" s="10"/>
      <c r="F1483" s="47"/>
      <c r="G1483" s="10"/>
      <c r="H1483" s="20"/>
      <c r="I1483" s="20"/>
      <c r="J1483" s="10"/>
      <c r="K1483" s="10"/>
      <c r="L1483" s="10"/>
      <c r="M1483" s="10"/>
      <c r="N1483" s="10"/>
      <c r="O1483" s="21"/>
    </row>
    <row r="1484" spans="1:15" x14ac:dyDescent="0.35">
      <c r="A1484" s="15">
        <f t="shared" si="23"/>
        <v>1482</v>
      </c>
      <c r="B1484" s="16"/>
      <c r="C1484" s="19"/>
      <c r="D1484" s="10"/>
      <c r="E1484" s="10"/>
      <c r="F1484" s="47"/>
      <c r="G1484" s="10"/>
      <c r="H1484" s="20"/>
      <c r="I1484" s="20"/>
      <c r="J1484" s="10"/>
      <c r="K1484" s="10"/>
      <c r="L1484" s="10"/>
      <c r="M1484" s="10"/>
      <c r="N1484" s="10"/>
      <c r="O1484" s="21"/>
    </row>
    <row r="1485" spans="1:15" x14ac:dyDescent="0.35">
      <c r="A1485" s="15">
        <f t="shared" si="23"/>
        <v>1483</v>
      </c>
      <c r="B1485" s="16"/>
      <c r="C1485" s="19"/>
      <c r="D1485" s="10"/>
      <c r="E1485" s="10"/>
      <c r="F1485" s="47"/>
      <c r="G1485" s="10"/>
      <c r="H1485" s="20"/>
      <c r="I1485" s="20"/>
      <c r="J1485" s="10"/>
      <c r="K1485" s="10"/>
      <c r="L1485" s="10"/>
      <c r="M1485" s="10"/>
      <c r="N1485" s="10"/>
      <c r="O1485" s="21"/>
    </row>
    <row r="1486" spans="1:15" x14ac:dyDescent="0.35">
      <c r="A1486" s="15">
        <f t="shared" si="23"/>
        <v>1484</v>
      </c>
      <c r="B1486" s="16"/>
      <c r="C1486" s="19"/>
      <c r="D1486" s="10"/>
      <c r="E1486" s="10"/>
      <c r="F1486" s="47"/>
      <c r="G1486" s="10"/>
      <c r="H1486" s="20"/>
      <c r="I1486" s="20"/>
      <c r="J1486" s="10"/>
      <c r="K1486" s="10"/>
      <c r="L1486" s="10"/>
      <c r="M1486" s="10"/>
      <c r="N1486" s="10"/>
      <c r="O1486" s="21"/>
    </row>
    <row r="1487" spans="1:15" x14ac:dyDescent="0.35">
      <c r="A1487" s="15">
        <f t="shared" si="23"/>
        <v>1485</v>
      </c>
      <c r="B1487" s="16"/>
      <c r="C1487" s="19"/>
      <c r="D1487" s="10"/>
      <c r="E1487" s="10"/>
      <c r="F1487" s="47"/>
      <c r="G1487" s="10"/>
      <c r="H1487" s="20"/>
      <c r="I1487" s="20"/>
      <c r="J1487" s="10"/>
      <c r="K1487" s="10"/>
      <c r="L1487" s="10"/>
      <c r="M1487" s="10"/>
      <c r="N1487" s="10"/>
      <c r="O1487" s="21"/>
    </row>
    <row r="1488" spans="1:15" x14ac:dyDescent="0.35">
      <c r="A1488" s="15">
        <f t="shared" si="23"/>
        <v>1486</v>
      </c>
      <c r="B1488" s="16"/>
      <c r="C1488" s="19"/>
      <c r="D1488" s="10"/>
      <c r="E1488" s="10"/>
      <c r="F1488" s="47"/>
      <c r="G1488" s="10"/>
      <c r="H1488" s="20"/>
      <c r="I1488" s="20"/>
      <c r="J1488" s="10"/>
      <c r="K1488" s="10"/>
      <c r="L1488" s="10"/>
      <c r="M1488" s="10"/>
      <c r="N1488" s="10"/>
      <c r="O1488" s="21"/>
    </row>
    <row r="1489" spans="1:15" x14ac:dyDescent="0.35">
      <c r="A1489" s="15">
        <f t="shared" si="23"/>
        <v>1487</v>
      </c>
      <c r="B1489" s="16"/>
      <c r="C1489" s="19"/>
      <c r="D1489" s="10"/>
      <c r="E1489" s="10"/>
      <c r="F1489" s="47"/>
      <c r="G1489" s="10"/>
      <c r="H1489" s="20"/>
      <c r="I1489" s="20"/>
      <c r="J1489" s="10"/>
      <c r="K1489" s="10"/>
      <c r="L1489" s="10"/>
      <c r="M1489" s="10"/>
      <c r="N1489" s="10"/>
      <c r="O1489" s="21"/>
    </row>
    <row r="1490" spans="1:15" x14ac:dyDescent="0.35">
      <c r="A1490" s="15">
        <f t="shared" si="23"/>
        <v>1488</v>
      </c>
      <c r="B1490" s="16"/>
      <c r="C1490" s="19"/>
      <c r="D1490" s="10"/>
      <c r="E1490" s="10"/>
      <c r="F1490" s="47"/>
      <c r="G1490" s="10"/>
      <c r="H1490" s="20"/>
      <c r="I1490" s="20"/>
      <c r="J1490" s="10"/>
      <c r="K1490" s="10"/>
      <c r="L1490" s="10"/>
      <c r="M1490" s="10"/>
      <c r="N1490" s="10"/>
      <c r="O1490" s="21"/>
    </row>
    <row r="1491" spans="1:15" x14ac:dyDescent="0.35">
      <c r="A1491" s="15">
        <f t="shared" si="23"/>
        <v>1489</v>
      </c>
      <c r="B1491" s="16"/>
      <c r="C1491" s="19"/>
      <c r="D1491" s="10"/>
      <c r="E1491" s="10"/>
      <c r="F1491" s="47"/>
      <c r="G1491" s="10"/>
      <c r="H1491" s="20"/>
      <c r="I1491" s="20"/>
      <c r="J1491" s="10"/>
      <c r="K1491" s="10"/>
      <c r="L1491" s="10"/>
      <c r="M1491" s="10"/>
      <c r="N1491" s="10"/>
      <c r="O1491" s="21"/>
    </row>
    <row r="1492" spans="1:15" x14ac:dyDescent="0.35">
      <c r="A1492" s="15">
        <f t="shared" si="23"/>
        <v>1490</v>
      </c>
      <c r="B1492" s="16"/>
      <c r="C1492" s="19"/>
      <c r="D1492" s="10"/>
      <c r="E1492" s="10"/>
      <c r="F1492" s="47"/>
      <c r="G1492" s="10"/>
      <c r="H1492" s="20"/>
      <c r="I1492" s="20"/>
      <c r="J1492" s="10"/>
      <c r="K1492" s="10"/>
      <c r="L1492" s="10"/>
      <c r="M1492" s="10"/>
      <c r="N1492" s="10"/>
      <c r="O1492" s="21"/>
    </row>
    <row r="1493" spans="1:15" x14ac:dyDescent="0.35">
      <c r="A1493" s="15">
        <f t="shared" si="23"/>
        <v>1491</v>
      </c>
      <c r="B1493" s="16"/>
      <c r="C1493" s="19"/>
      <c r="D1493" s="10"/>
      <c r="E1493" s="10"/>
      <c r="F1493" s="47"/>
      <c r="G1493" s="10"/>
      <c r="H1493" s="20"/>
      <c r="I1493" s="20"/>
      <c r="J1493" s="10"/>
      <c r="K1493" s="10"/>
      <c r="L1493" s="10"/>
      <c r="M1493" s="10"/>
      <c r="N1493" s="10"/>
      <c r="O1493" s="21"/>
    </row>
    <row r="1494" spans="1:15" x14ac:dyDescent="0.35">
      <c r="A1494" s="15">
        <f t="shared" si="23"/>
        <v>1492</v>
      </c>
      <c r="B1494" s="16"/>
      <c r="C1494" s="19"/>
      <c r="D1494" s="10"/>
      <c r="E1494" s="10"/>
      <c r="F1494" s="47"/>
      <c r="G1494" s="10"/>
      <c r="H1494" s="20"/>
      <c r="I1494" s="20"/>
      <c r="J1494" s="10"/>
      <c r="K1494" s="10"/>
      <c r="L1494" s="10"/>
      <c r="M1494" s="10"/>
      <c r="N1494" s="10"/>
      <c r="O1494" s="21"/>
    </row>
    <row r="1495" spans="1:15" x14ac:dyDescent="0.35">
      <c r="A1495" s="15">
        <f t="shared" si="23"/>
        <v>1493</v>
      </c>
      <c r="B1495" s="16"/>
      <c r="C1495" s="19"/>
      <c r="D1495" s="10"/>
      <c r="E1495" s="10"/>
      <c r="F1495" s="47"/>
      <c r="G1495" s="10"/>
      <c r="H1495" s="20"/>
      <c r="I1495" s="20"/>
      <c r="J1495" s="10"/>
      <c r="K1495" s="10"/>
      <c r="L1495" s="10"/>
      <c r="M1495" s="10"/>
      <c r="N1495" s="10"/>
      <c r="O1495" s="21"/>
    </row>
    <row r="1496" spans="1:15" x14ac:dyDescent="0.35">
      <c r="A1496" s="15">
        <f t="shared" si="23"/>
        <v>1494</v>
      </c>
      <c r="B1496" s="16"/>
      <c r="C1496" s="19"/>
      <c r="D1496" s="10"/>
      <c r="E1496" s="10"/>
      <c r="F1496" s="47"/>
      <c r="G1496" s="10"/>
      <c r="H1496" s="20"/>
      <c r="I1496" s="20"/>
      <c r="J1496" s="10"/>
      <c r="K1496" s="10"/>
      <c r="L1496" s="10"/>
      <c r="M1496" s="10"/>
      <c r="N1496" s="10"/>
      <c r="O1496" s="21"/>
    </row>
    <row r="1497" spans="1:15" x14ac:dyDescent="0.35">
      <c r="A1497" s="15">
        <f t="shared" si="23"/>
        <v>1495</v>
      </c>
      <c r="B1497" s="16"/>
      <c r="C1497" s="19"/>
      <c r="D1497" s="10"/>
      <c r="E1497" s="10"/>
      <c r="F1497" s="47"/>
      <c r="G1497" s="10"/>
      <c r="H1497" s="20"/>
      <c r="I1497" s="20"/>
      <c r="J1497" s="10"/>
      <c r="K1497" s="10"/>
      <c r="L1497" s="10"/>
      <c r="M1497" s="10"/>
      <c r="N1497" s="10"/>
      <c r="O1497" s="21"/>
    </row>
    <row r="1498" spans="1:15" x14ac:dyDescent="0.35">
      <c r="A1498" s="15">
        <f t="shared" si="23"/>
        <v>1496</v>
      </c>
      <c r="B1498" s="16"/>
      <c r="C1498" s="19"/>
      <c r="D1498" s="10"/>
      <c r="E1498" s="10"/>
      <c r="F1498" s="47"/>
      <c r="G1498" s="10"/>
      <c r="H1498" s="20"/>
      <c r="I1498" s="20"/>
      <c r="J1498" s="10"/>
      <c r="K1498" s="10"/>
      <c r="L1498" s="10"/>
      <c r="M1498" s="10"/>
      <c r="N1498" s="10"/>
      <c r="O1498" s="21"/>
    </row>
    <row r="1499" spans="1:15" x14ac:dyDescent="0.35">
      <c r="A1499" s="15">
        <f t="shared" si="23"/>
        <v>1497</v>
      </c>
      <c r="B1499" s="16"/>
      <c r="C1499" s="19"/>
      <c r="D1499" s="10"/>
      <c r="E1499" s="10"/>
      <c r="F1499" s="47"/>
      <c r="G1499" s="10"/>
      <c r="H1499" s="20"/>
      <c r="I1499" s="20"/>
      <c r="J1499" s="10"/>
      <c r="K1499" s="10"/>
      <c r="L1499" s="10"/>
      <c r="M1499" s="10"/>
      <c r="N1499" s="10"/>
      <c r="O1499" s="21"/>
    </row>
    <row r="1500" spans="1:15" x14ac:dyDescent="0.35">
      <c r="A1500" s="15">
        <f t="shared" si="23"/>
        <v>1498</v>
      </c>
      <c r="B1500" s="16"/>
      <c r="C1500" s="19"/>
      <c r="D1500" s="10"/>
      <c r="E1500" s="10"/>
      <c r="F1500" s="47"/>
      <c r="G1500" s="10"/>
      <c r="H1500" s="20"/>
      <c r="I1500" s="20"/>
      <c r="J1500" s="10"/>
      <c r="K1500" s="10"/>
      <c r="L1500" s="10"/>
      <c r="M1500" s="10"/>
      <c r="N1500" s="10"/>
      <c r="O1500" s="21"/>
    </row>
    <row r="1501" spans="1:15" x14ac:dyDescent="0.35">
      <c r="A1501" s="15">
        <f t="shared" si="23"/>
        <v>1499</v>
      </c>
      <c r="B1501" s="16"/>
      <c r="C1501" s="19"/>
      <c r="D1501" s="10"/>
      <c r="E1501" s="10"/>
      <c r="F1501" s="47"/>
      <c r="G1501" s="10"/>
      <c r="H1501" s="20"/>
      <c r="I1501" s="20"/>
      <c r="J1501" s="10"/>
      <c r="K1501" s="10"/>
      <c r="L1501" s="10"/>
      <c r="M1501" s="10"/>
      <c r="N1501" s="10"/>
      <c r="O1501" s="21"/>
    </row>
    <row r="1502" spans="1:15" x14ac:dyDescent="0.35">
      <c r="A1502" s="15">
        <f t="shared" si="23"/>
        <v>1500</v>
      </c>
      <c r="B1502" s="16"/>
      <c r="C1502" s="19"/>
      <c r="D1502" s="10"/>
      <c r="E1502" s="10"/>
      <c r="F1502" s="47"/>
      <c r="G1502" s="10"/>
      <c r="H1502" s="20"/>
      <c r="I1502" s="20"/>
      <c r="J1502" s="10"/>
      <c r="K1502" s="10"/>
      <c r="L1502" s="10"/>
      <c r="M1502" s="10"/>
      <c r="N1502" s="10"/>
      <c r="O1502" s="21"/>
    </row>
    <row r="1503" spans="1:15" x14ac:dyDescent="0.35">
      <c r="A1503" s="15">
        <f t="shared" si="23"/>
        <v>1501</v>
      </c>
      <c r="B1503" s="16"/>
      <c r="C1503" s="19"/>
      <c r="D1503" s="10"/>
      <c r="E1503" s="10"/>
      <c r="F1503" s="47"/>
      <c r="G1503" s="10"/>
      <c r="H1503" s="20"/>
      <c r="I1503" s="20"/>
      <c r="J1503" s="10"/>
      <c r="K1503" s="10"/>
      <c r="L1503" s="10"/>
      <c r="M1503" s="10"/>
      <c r="N1503" s="10"/>
      <c r="O1503" s="21"/>
    </row>
    <row r="1504" spans="1:15" x14ac:dyDescent="0.35">
      <c r="A1504" s="15">
        <f t="shared" si="23"/>
        <v>1502</v>
      </c>
      <c r="B1504" s="16"/>
      <c r="C1504" s="19"/>
      <c r="D1504" s="10"/>
      <c r="E1504" s="10"/>
      <c r="F1504" s="47"/>
      <c r="G1504" s="10"/>
      <c r="H1504" s="20"/>
      <c r="I1504" s="20"/>
      <c r="J1504" s="10"/>
      <c r="K1504" s="10"/>
      <c r="L1504" s="10"/>
      <c r="M1504" s="10"/>
      <c r="N1504" s="10"/>
      <c r="O1504" s="21"/>
    </row>
    <row r="1505" spans="1:15" x14ac:dyDescent="0.35">
      <c r="A1505" s="15">
        <f t="shared" si="23"/>
        <v>1503</v>
      </c>
      <c r="B1505" s="16"/>
      <c r="C1505" s="19"/>
      <c r="D1505" s="10"/>
      <c r="E1505" s="10"/>
      <c r="F1505" s="47"/>
      <c r="G1505" s="10"/>
      <c r="H1505" s="20"/>
      <c r="I1505" s="20"/>
      <c r="J1505" s="10"/>
      <c r="K1505" s="10"/>
      <c r="L1505" s="10"/>
      <c r="M1505" s="10"/>
      <c r="N1505" s="10"/>
      <c r="O1505" s="21"/>
    </row>
    <row r="1506" spans="1:15" x14ac:dyDescent="0.35">
      <c r="A1506" s="15">
        <f t="shared" si="23"/>
        <v>1504</v>
      </c>
      <c r="B1506" s="16"/>
      <c r="C1506" s="19"/>
      <c r="D1506" s="10"/>
      <c r="E1506" s="10"/>
      <c r="F1506" s="47"/>
      <c r="G1506" s="10"/>
      <c r="H1506" s="20"/>
      <c r="I1506" s="20"/>
      <c r="J1506" s="10"/>
      <c r="K1506" s="10"/>
      <c r="L1506" s="10"/>
      <c r="M1506" s="10"/>
      <c r="N1506" s="10"/>
      <c r="O1506" s="21"/>
    </row>
    <row r="1507" spans="1:15" x14ac:dyDescent="0.35">
      <c r="A1507" s="15">
        <f t="shared" si="23"/>
        <v>1505</v>
      </c>
      <c r="B1507" s="16"/>
      <c r="C1507" s="19"/>
      <c r="D1507" s="10"/>
      <c r="E1507" s="10"/>
      <c r="F1507" s="47"/>
      <c r="G1507" s="10"/>
      <c r="H1507" s="20"/>
      <c r="I1507" s="20"/>
      <c r="J1507" s="10"/>
      <c r="K1507" s="10"/>
      <c r="L1507" s="10"/>
      <c r="M1507" s="10"/>
      <c r="N1507" s="10"/>
      <c r="O1507" s="21"/>
    </row>
    <row r="1508" spans="1:15" x14ac:dyDescent="0.35">
      <c r="A1508" s="15">
        <f t="shared" si="23"/>
        <v>1506</v>
      </c>
      <c r="B1508" s="16"/>
      <c r="C1508" s="19"/>
      <c r="D1508" s="10"/>
      <c r="E1508" s="10"/>
      <c r="F1508" s="47"/>
      <c r="G1508" s="10"/>
      <c r="H1508" s="20"/>
      <c r="I1508" s="20"/>
      <c r="J1508" s="10"/>
      <c r="K1508" s="10"/>
      <c r="L1508" s="10"/>
      <c r="M1508" s="10"/>
      <c r="N1508" s="10"/>
      <c r="O1508" s="21"/>
    </row>
    <row r="1509" spans="1:15" x14ac:dyDescent="0.35">
      <c r="A1509" s="15">
        <f t="shared" si="23"/>
        <v>1507</v>
      </c>
      <c r="B1509" s="16"/>
      <c r="C1509" s="19"/>
      <c r="D1509" s="10"/>
      <c r="E1509" s="10"/>
      <c r="F1509" s="47"/>
      <c r="G1509" s="10"/>
      <c r="H1509" s="20"/>
      <c r="I1509" s="20"/>
      <c r="J1509" s="10"/>
      <c r="K1509" s="10"/>
      <c r="L1509" s="10"/>
      <c r="M1509" s="10"/>
      <c r="N1509" s="10"/>
      <c r="O1509" s="21"/>
    </row>
    <row r="1510" spans="1:15" x14ac:dyDescent="0.35">
      <c r="A1510" s="15">
        <f t="shared" si="23"/>
        <v>1508</v>
      </c>
      <c r="B1510" s="16"/>
      <c r="C1510" s="19"/>
      <c r="D1510" s="10"/>
      <c r="E1510" s="10"/>
      <c r="F1510" s="47"/>
      <c r="G1510" s="10"/>
      <c r="H1510" s="20"/>
      <c r="I1510" s="20"/>
      <c r="J1510" s="10"/>
      <c r="K1510" s="10"/>
      <c r="L1510" s="10"/>
      <c r="M1510" s="10"/>
      <c r="N1510" s="10"/>
      <c r="O1510" s="21"/>
    </row>
    <row r="1511" spans="1:15" x14ac:dyDescent="0.35">
      <c r="A1511" s="15">
        <f t="shared" si="23"/>
        <v>1509</v>
      </c>
      <c r="B1511" s="16"/>
      <c r="C1511" s="19"/>
      <c r="D1511" s="10"/>
      <c r="E1511" s="10"/>
      <c r="F1511" s="47"/>
      <c r="G1511" s="10"/>
      <c r="H1511" s="20"/>
      <c r="I1511" s="20"/>
      <c r="J1511" s="10"/>
      <c r="K1511" s="10"/>
      <c r="L1511" s="10"/>
      <c r="M1511" s="10"/>
      <c r="N1511" s="10"/>
      <c r="O1511" s="21"/>
    </row>
    <row r="1512" spans="1:15" x14ac:dyDescent="0.35">
      <c r="A1512" s="15">
        <f t="shared" si="23"/>
        <v>1510</v>
      </c>
      <c r="B1512" s="16"/>
      <c r="C1512" s="19"/>
      <c r="D1512" s="10"/>
      <c r="E1512" s="10"/>
      <c r="F1512" s="47"/>
      <c r="G1512" s="10"/>
      <c r="H1512" s="20"/>
      <c r="I1512" s="20"/>
      <c r="J1512" s="10"/>
      <c r="K1512" s="10"/>
      <c r="L1512" s="10"/>
      <c r="M1512" s="10"/>
      <c r="N1512" s="10"/>
      <c r="O1512" s="21"/>
    </row>
    <row r="1513" spans="1:15" x14ac:dyDescent="0.35">
      <c r="A1513" s="15">
        <f t="shared" si="23"/>
        <v>1511</v>
      </c>
      <c r="B1513" s="16"/>
      <c r="C1513" s="19"/>
      <c r="D1513" s="10"/>
      <c r="E1513" s="10"/>
      <c r="F1513" s="47"/>
      <c r="G1513" s="10"/>
      <c r="H1513" s="20"/>
      <c r="I1513" s="20"/>
      <c r="J1513" s="10"/>
      <c r="K1513" s="10"/>
      <c r="L1513" s="10"/>
      <c r="M1513" s="10"/>
      <c r="N1513" s="10"/>
      <c r="O1513" s="21"/>
    </row>
    <row r="1514" spans="1:15" x14ac:dyDescent="0.35">
      <c r="A1514" s="15">
        <f t="shared" si="23"/>
        <v>1512</v>
      </c>
      <c r="B1514" s="16"/>
      <c r="C1514" s="19"/>
      <c r="D1514" s="10"/>
      <c r="E1514" s="10"/>
      <c r="F1514" s="47"/>
      <c r="G1514" s="10"/>
      <c r="H1514" s="20"/>
      <c r="I1514" s="20"/>
      <c r="J1514" s="10"/>
      <c r="K1514" s="10"/>
      <c r="L1514" s="10"/>
      <c r="M1514" s="10"/>
      <c r="N1514" s="10"/>
      <c r="O1514" s="21"/>
    </row>
    <row r="1515" spans="1:15" x14ac:dyDescent="0.35">
      <c r="A1515" s="15">
        <f t="shared" si="23"/>
        <v>1513</v>
      </c>
      <c r="B1515" s="16"/>
      <c r="C1515" s="19"/>
      <c r="D1515" s="10"/>
      <c r="E1515" s="10"/>
      <c r="F1515" s="47"/>
      <c r="G1515" s="10"/>
      <c r="H1515" s="20"/>
      <c r="I1515" s="20"/>
      <c r="J1515" s="10"/>
      <c r="K1515" s="10"/>
      <c r="L1515" s="10"/>
      <c r="M1515" s="10"/>
      <c r="N1515" s="10"/>
      <c r="O1515" s="21"/>
    </row>
    <row r="1516" spans="1:15" x14ac:dyDescent="0.35">
      <c r="A1516" s="15">
        <f t="shared" si="23"/>
        <v>1514</v>
      </c>
      <c r="B1516" s="16"/>
      <c r="C1516" s="19"/>
      <c r="D1516" s="10"/>
      <c r="E1516" s="10"/>
      <c r="F1516" s="47"/>
      <c r="G1516" s="10"/>
      <c r="H1516" s="20"/>
      <c r="I1516" s="20"/>
      <c r="J1516" s="10"/>
      <c r="K1516" s="10"/>
      <c r="L1516" s="10"/>
      <c r="M1516" s="10"/>
      <c r="N1516" s="10"/>
      <c r="O1516" s="21"/>
    </row>
    <row r="1517" spans="1:15" x14ac:dyDescent="0.35">
      <c r="A1517" s="15">
        <f t="shared" si="23"/>
        <v>1515</v>
      </c>
      <c r="B1517" s="16"/>
      <c r="C1517" s="19"/>
      <c r="D1517" s="10"/>
      <c r="E1517" s="10"/>
      <c r="F1517" s="47"/>
      <c r="G1517" s="10"/>
      <c r="H1517" s="20"/>
      <c r="I1517" s="20"/>
      <c r="J1517" s="10"/>
      <c r="K1517" s="10"/>
      <c r="L1517" s="10"/>
      <c r="M1517" s="10"/>
      <c r="N1517" s="10"/>
      <c r="O1517" s="21"/>
    </row>
    <row r="1518" spans="1:15" x14ac:dyDescent="0.35">
      <c r="A1518" s="15">
        <f t="shared" si="23"/>
        <v>1516</v>
      </c>
      <c r="B1518" s="16"/>
      <c r="C1518" s="19"/>
      <c r="D1518" s="10"/>
      <c r="E1518" s="10"/>
      <c r="F1518" s="47"/>
      <c r="G1518" s="10"/>
      <c r="H1518" s="20"/>
      <c r="I1518" s="20"/>
      <c r="J1518" s="10"/>
      <c r="K1518" s="10"/>
      <c r="L1518" s="10"/>
      <c r="M1518" s="10"/>
      <c r="N1518" s="10"/>
      <c r="O1518" s="21"/>
    </row>
    <row r="1519" spans="1:15" x14ac:dyDescent="0.35">
      <c r="A1519" s="15">
        <f t="shared" si="23"/>
        <v>1517</v>
      </c>
      <c r="B1519" s="16"/>
      <c r="C1519" s="19"/>
      <c r="D1519" s="10"/>
      <c r="E1519" s="10"/>
      <c r="F1519" s="47"/>
      <c r="G1519" s="10"/>
      <c r="H1519" s="20"/>
      <c r="I1519" s="20"/>
      <c r="J1519" s="10"/>
      <c r="K1519" s="10"/>
      <c r="L1519" s="10"/>
      <c r="M1519" s="10"/>
      <c r="N1519" s="10"/>
      <c r="O1519" s="21"/>
    </row>
    <row r="1520" spans="1:15" x14ac:dyDescent="0.35">
      <c r="A1520" s="15">
        <f t="shared" si="23"/>
        <v>1518</v>
      </c>
      <c r="B1520" s="16"/>
      <c r="C1520" s="19"/>
      <c r="D1520" s="10"/>
      <c r="E1520" s="10"/>
      <c r="F1520" s="47"/>
      <c r="G1520" s="10"/>
      <c r="H1520" s="20"/>
      <c r="I1520" s="20"/>
      <c r="J1520" s="10"/>
      <c r="K1520" s="10"/>
      <c r="L1520" s="10"/>
      <c r="M1520" s="10"/>
      <c r="N1520" s="10"/>
      <c r="O1520" s="21"/>
    </row>
    <row r="1521" spans="1:15" x14ac:dyDescent="0.35">
      <c r="A1521" s="15">
        <f t="shared" si="23"/>
        <v>1519</v>
      </c>
      <c r="B1521" s="16"/>
      <c r="C1521" s="19"/>
      <c r="D1521" s="10"/>
      <c r="E1521" s="10"/>
      <c r="F1521" s="47"/>
      <c r="G1521" s="10"/>
      <c r="H1521" s="20"/>
      <c r="I1521" s="20"/>
      <c r="J1521" s="10"/>
      <c r="K1521" s="10"/>
      <c r="L1521" s="10"/>
      <c r="M1521" s="10"/>
      <c r="N1521" s="10"/>
      <c r="O1521" s="21"/>
    </row>
    <row r="1522" spans="1:15" x14ac:dyDescent="0.35">
      <c r="A1522" s="15">
        <f t="shared" si="23"/>
        <v>1520</v>
      </c>
      <c r="B1522" s="16"/>
      <c r="C1522" s="19"/>
      <c r="D1522" s="10"/>
      <c r="E1522" s="10"/>
      <c r="F1522" s="47"/>
      <c r="G1522" s="10"/>
      <c r="H1522" s="20"/>
      <c r="I1522" s="20"/>
      <c r="J1522" s="10"/>
      <c r="K1522" s="10"/>
      <c r="L1522" s="10"/>
      <c r="M1522" s="10"/>
      <c r="N1522" s="10"/>
      <c r="O1522" s="21"/>
    </row>
    <row r="1523" spans="1:15" x14ac:dyDescent="0.35">
      <c r="A1523" s="15">
        <f t="shared" si="23"/>
        <v>1521</v>
      </c>
      <c r="B1523" s="16"/>
      <c r="C1523" s="19"/>
      <c r="D1523" s="10"/>
      <c r="E1523" s="10"/>
      <c r="F1523" s="47"/>
      <c r="G1523" s="10"/>
      <c r="H1523" s="20"/>
      <c r="I1523" s="20"/>
      <c r="J1523" s="10"/>
      <c r="K1523" s="10"/>
      <c r="L1523" s="10"/>
      <c r="M1523" s="10"/>
      <c r="N1523" s="10"/>
      <c r="O1523" s="21"/>
    </row>
    <row r="1524" spans="1:15" x14ac:dyDescent="0.35">
      <c r="A1524" s="15">
        <f t="shared" si="23"/>
        <v>1522</v>
      </c>
      <c r="B1524" s="16"/>
      <c r="C1524" s="19"/>
      <c r="D1524" s="10"/>
      <c r="E1524" s="10"/>
      <c r="F1524" s="47"/>
      <c r="G1524" s="10"/>
      <c r="H1524" s="20"/>
      <c r="I1524" s="20"/>
      <c r="J1524" s="10"/>
      <c r="K1524" s="10"/>
      <c r="L1524" s="10"/>
      <c r="M1524" s="10"/>
      <c r="N1524" s="10"/>
      <c r="O1524" s="21"/>
    </row>
    <row r="1525" spans="1:15" x14ac:dyDescent="0.35">
      <c r="A1525" s="15">
        <f t="shared" si="23"/>
        <v>1523</v>
      </c>
      <c r="B1525" s="16"/>
      <c r="C1525" s="19"/>
      <c r="D1525" s="10"/>
      <c r="E1525" s="10"/>
      <c r="F1525" s="47"/>
      <c r="G1525" s="10"/>
      <c r="H1525" s="20"/>
      <c r="I1525" s="20"/>
      <c r="J1525" s="10"/>
      <c r="K1525" s="10"/>
      <c r="L1525" s="10"/>
      <c r="M1525" s="10"/>
      <c r="N1525" s="10"/>
      <c r="O1525" s="21"/>
    </row>
    <row r="1526" spans="1:15" x14ac:dyDescent="0.35">
      <c r="A1526" s="15">
        <f t="shared" si="23"/>
        <v>1524</v>
      </c>
      <c r="B1526" s="16"/>
      <c r="C1526" s="19"/>
      <c r="D1526" s="10"/>
      <c r="E1526" s="10"/>
      <c r="F1526" s="47"/>
      <c r="G1526" s="10"/>
      <c r="H1526" s="20"/>
      <c r="I1526" s="20"/>
      <c r="J1526" s="10"/>
      <c r="K1526" s="10"/>
      <c r="L1526" s="10"/>
      <c r="M1526" s="10"/>
      <c r="N1526" s="10"/>
      <c r="O1526" s="21"/>
    </row>
    <row r="1527" spans="1:15" x14ac:dyDescent="0.35">
      <c r="A1527" s="15">
        <f t="shared" si="23"/>
        <v>1525</v>
      </c>
      <c r="B1527" s="16"/>
      <c r="C1527" s="19"/>
      <c r="D1527" s="10"/>
      <c r="E1527" s="10"/>
      <c r="F1527" s="47"/>
      <c r="G1527" s="10"/>
      <c r="H1527" s="20"/>
      <c r="I1527" s="20"/>
      <c r="J1527" s="10"/>
      <c r="K1527" s="10"/>
      <c r="L1527" s="10"/>
      <c r="M1527" s="10"/>
      <c r="N1527" s="10"/>
      <c r="O1527" s="21"/>
    </row>
    <row r="1528" spans="1:15" x14ac:dyDescent="0.35">
      <c r="A1528" s="15">
        <f t="shared" si="23"/>
        <v>1526</v>
      </c>
      <c r="B1528" s="16"/>
      <c r="C1528" s="19"/>
      <c r="D1528" s="10"/>
      <c r="E1528" s="10"/>
      <c r="F1528" s="47"/>
      <c r="G1528" s="10"/>
      <c r="H1528" s="20"/>
      <c r="I1528" s="20"/>
      <c r="J1528" s="10"/>
      <c r="K1528" s="10"/>
      <c r="L1528" s="10"/>
      <c r="M1528" s="10"/>
      <c r="N1528" s="10"/>
      <c r="O1528" s="21"/>
    </row>
    <row r="1529" spans="1:15" x14ac:dyDescent="0.35">
      <c r="A1529" s="15">
        <f t="shared" si="23"/>
        <v>1527</v>
      </c>
      <c r="B1529" s="16"/>
      <c r="C1529" s="19"/>
      <c r="D1529" s="10"/>
      <c r="E1529" s="10"/>
      <c r="F1529" s="47"/>
      <c r="G1529" s="10"/>
      <c r="H1529" s="20"/>
      <c r="I1529" s="20"/>
      <c r="J1529" s="10"/>
      <c r="K1529" s="10"/>
      <c r="L1529" s="10"/>
      <c r="M1529" s="10"/>
      <c r="N1529" s="10"/>
      <c r="O1529" s="21"/>
    </row>
    <row r="1530" spans="1:15" x14ac:dyDescent="0.35">
      <c r="A1530" s="15">
        <f t="shared" si="23"/>
        <v>1528</v>
      </c>
      <c r="B1530" s="16"/>
      <c r="C1530" s="19"/>
      <c r="D1530" s="10"/>
      <c r="E1530" s="10"/>
      <c r="F1530" s="47"/>
      <c r="G1530" s="10"/>
      <c r="H1530" s="20"/>
      <c r="I1530" s="20"/>
      <c r="J1530" s="10"/>
      <c r="K1530" s="10"/>
      <c r="L1530" s="10"/>
      <c r="M1530" s="10"/>
      <c r="N1530" s="10"/>
      <c r="O1530" s="21"/>
    </row>
    <row r="1531" spans="1:15" x14ac:dyDescent="0.35">
      <c r="A1531" s="15">
        <f t="shared" si="23"/>
        <v>1529</v>
      </c>
      <c r="B1531" s="16"/>
      <c r="C1531" s="19"/>
      <c r="D1531" s="10"/>
      <c r="E1531" s="10"/>
      <c r="F1531" s="47"/>
      <c r="G1531" s="10"/>
      <c r="H1531" s="20"/>
      <c r="I1531" s="20"/>
      <c r="J1531" s="10"/>
      <c r="K1531" s="10"/>
      <c r="L1531" s="10"/>
      <c r="M1531" s="10"/>
      <c r="N1531" s="10"/>
      <c r="O1531" s="21"/>
    </row>
    <row r="1532" spans="1:15" x14ac:dyDescent="0.35">
      <c r="A1532" s="15">
        <f t="shared" si="23"/>
        <v>1530</v>
      </c>
      <c r="B1532" s="16"/>
      <c r="C1532" s="19"/>
      <c r="D1532" s="10"/>
      <c r="E1532" s="10"/>
      <c r="F1532" s="47"/>
      <c r="G1532" s="10"/>
      <c r="H1532" s="20"/>
      <c r="I1532" s="20"/>
      <c r="J1532" s="10"/>
      <c r="K1532" s="10"/>
      <c r="L1532" s="10"/>
      <c r="M1532" s="10"/>
      <c r="N1532" s="10"/>
      <c r="O1532" s="21"/>
    </row>
    <row r="1533" spans="1:15" x14ac:dyDescent="0.35">
      <c r="A1533" s="15">
        <f t="shared" si="23"/>
        <v>1531</v>
      </c>
      <c r="B1533" s="16"/>
      <c r="C1533" s="19"/>
      <c r="D1533" s="10"/>
      <c r="E1533" s="10"/>
      <c r="F1533" s="47"/>
      <c r="G1533" s="10"/>
      <c r="H1533" s="20"/>
      <c r="I1533" s="20"/>
      <c r="J1533" s="10"/>
      <c r="K1533" s="10"/>
      <c r="L1533" s="10"/>
      <c r="M1533" s="10"/>
      <c r="N1533" s="10"/>
      <c r="O1533" s="21"/>
    </row>
    <row r="1534" spans="1:15" x14ac:dyDescent="0.35">
      <c r="A1534" s="15">
        <f t="shared" si="23"/>
        <v>1532</v>
      </c>
      <c r="B1534" s="16"/>
      <c r="C1534" s="19"/>
      <c r="D1534" s="10"/>
      <c r="E1534" s="10"/>
      <c r="F1534" s="47"/>
      <c r="G1534" s="10"/>
      <c r="H1534" s="20"/>
      <c r="I1534" s="20"/>
      <c r="J1534" s="10"/>
      <c r="K1534" s="10"/>
      <c r="L1534" s="10"/>
      <c r="M1534" s="10"/>
      <c r="N1534" s="10"/>
      <c r="O1534" s="21"/>
    </row>
    <row r="1535" spans="1:15" x14ac:dyDescent="0.35">
      <c r="A1535" s="15">
        <f t="shared" si="23"/>
        <v>1533</v>
      </c>
      <c r="B1535" s="16"/>
      <c r="C1535" s="19"/>
      <c r="D1535" s="10"/>
      <c r="E1535" s="10"/>
      <c r="F1535" s="47"/>
      <c r="G1535" s="10"/>
      <c r="H1535" s="20"/>
      <c r="I1535" s="20"/>
      <c r="J1535" s="10"/>
      <c r="K1535" s="10"/>
      <c r="L1535" s="10"/>
      <c r="M1535" s="10"/>
      <c r="N1535" s="10"/>
      <c r="O1535" s="21"/>
    </row>
    <row r="1536" spans="1:15" x14ac:dyDescent="0.35">
      <c r="A1536" s="15">
        <f t="shared" si="23"/>
        <v>1534</v>
      </c>
      <c r="B1536" s="16"/>
      <c r="C1536" s="19"/>
      <c r="D1536" s="10"/>
      <c r="E1536" s="10"/>
      <c r="F1536" s="47"/>
      <c r="G1536" s="10"/>
      <c r="H1536" s="20"/>
      <c r="I1536" s="20"/>
      <c r="J1536" s="10"/>
      <c r="K1536" s="10"/>
      <c r="L1536" s="10"/>
      <c r="M1536" s="10"/>
      <c r="N1536" s="10"/>
      <c r="O1536" s="21"/>
    </row>
    <row r="1537" spans="1:15" x14ac:dyDescent="0.35">
      <c r="A1537" s="15">
        <f t="shared" si="23"/>
        <v>1535</v>
      </c>
      <c r="B1537" s="16"/>
      <c r="C1537" s="19"/>
      <c r="D1537" s="10"/>
      <c r="E1537" s="10"/>
      <c r="F1537" s="47"/>
      <c r="G1537" s="10"/>
      <c r="H1537" s="20"/>
      <c r="I1537" s="20"/>
      <c r="J1537" s="10"/>
      <c r="K1537" s="10"/>
      <c r="L1537" s="10"/>
      <c r="M1537" s="10"/>
      <c r="N1537" s="10"/>
      <c r="O1537" s="21"/>
    </row>
    <row r="1538" spans="1:15" x14ac:dyDescent="0.35">
      <c r="A1538" s="15">
        <f t="shared" si="23"/>
        <v>1536</v>
      </c>
      <c r="B1538" s="16"/>
      <c r="C1538" s="19"/>
      <c r="D1538" s="10"/>
      <c r="E1538" s="10"/>
      <c r="F1538" s="47"/>
      <c r="G1538" s="10"/>
      <c r="H1538" s="20"/>
      <c r="I1538" s="20"/>
      <c r="J1538" s="10"/>
      <c r="K1538" s="10"/>
      <c r="L1538" s="10"/>
      <c r="M1538" s="10"/>
      <c r="N1538" s="10"/>
      <c r="O1538" s="21"/>
    </row>
    <row r="1539" spans="1:15" x14ac:dyDescent="0.35">
      <c r="A1539" s="15">
        <f t="shared" si="23"/>
        <v>1537</v>
      </c>
      <c r="B1539" s="16"/>
      <c r="C1539" s="19"/>
      <c r="D1539" s="10"/>
      <c r="E1539" s="10"/>
      <c r="F1539" s="47"/>
      <c r="G1539" s="10"/>
      <c r="H1539" s="20"/>
      <c r="I1539" s="20"/>
      <c r="J1539" s="10"/>
      <c r="K1539" s="10"/>
      <c r="L1539" s="10"/>
      <c r="M1539" s="10"/>
      <c r="N1539" s="10"/>
      <c r="O1539" s="21"/>
    </row>
    <row r="1540" spans="1:15" x14ac:dyDescent="0.35">
      <c r="A1540" s="15">
        <f t="shared" si="23"/>
        <v>1538</v>
      </c>
      <c r="B1540" s="16"/>
      <c r="C1540" s="19"/>
      <c r="D1540" s="10"/>
      <c r="E1540" s="10"/>
      <c r="F1540" s="47"/>
      <c r="G1540" s="10"/>
      <c r="H1540" s="20"/>
      <c r="I1540" s="20"/>
      <c r="J1540" s="10"/>
      <c r="K1540" s="10"/>
      <c r="L1540" s="10"/>
      <c r="M1540" s="10"/>
      <c r="N1540" s="10"/>
      <c r="O1540" s="21"/>
    </row>
    <row r="1541" spans="1:15" x14ac:dyDescent="0.35">
      <c r="A1541" s="15">
        <f t="shared" si="23"/>
        <v>1539</v>
      </c>
      <c r="B1541" s="16"/>
      <c r="C1541" s="19"/>
      <c r="D1541" s="10"/>
      <c r="E1541" s="10"/>
      <c r="F1541" s="47"/>
      <c r="G1541" s="10"/>
      <c r="H1541" s="20"/>
      <c r="I1541" s="20"/>
      <c r="J1541" s="10"/>
      <c r="K1541" s="10"/>
      <c r="L1541" s="10"/>
      <c r="M1541" s="10"/>
      <c r="N1541" s="10"/>
      <c r="O1541" s="21"/>
    </row>
    <row r="1542" spans="1:15" x14ac:dyDescent="0.35">
      <c r="A1542" s="15">
        <f t="shared" si="23"/>
        <v>1540</v>
      </c>
      <c r="B1542" s="16"/>
      <c r="C1542" s="19"/>
      <c r="D1542" s="10"/>
      <c r="E1542" s="10"/>
      <c r="F1542" s="47"/>
      <c r="G1542" s="10"/>
      <c r="H1542" s="20"/>
      <c r="I1542" s="20"/>
      <c r="J1542" s="10"/>
      <c r="K1542" s="10"/>
      <c r="L1542" s="10"/>
      <c r="M1542" s="10"/>
      <c r="N1542" s="10"/>
      <c r="O1542" s="21"/>
    </row>
    <row r="1543" spans="1:15" x14ac:dyDescent="0.35">
      <c r="A1543" s="15">
        <f t="shared" si="23"/>
        <v>1541</v>
      </c>
      <c r="B1543" s="16"/>
      <c r="C1543" s="19"/>
      <c r="D1543" s="10"/>
      <c r="E1543" s="10"/>
      <c r="F1543" s="47"/>
      <c r="G1543" s="10"/>
      <c r="H1543" s="20"/>
      <c r="I1543" s="20"/>
      <c r="J1543" s="10"/>
      <c r="K1543" s="10"/>
      <c r="L1543" s="10"/>
      <c r="M1543" s="10"/>
      <c r="N1543" s="10"/>
      <c r="O1543" s="21"/>
    </row>
    <row r="1544" spans="1:15" x14ac:dyDescent="0.35">
      <c r="A1544" s="15">
        <f t="shared" si="23"/>
        <v>1542</v>
      </c>
      <c r="B1544" s="16"/>
      <c r="C1544" s="19"/>
      <c r="D1544" s="10"/>
      <c r="E1544" s="10"/>
      <c r="F1544" s="47"/>
      <c r="G1544" s="10"/>
      <c r="H1544" s="20"/>
      <c r="I1544" s="20"/>
      <c r="J1544" s="10"/>
      <c r="K1544" s="10"/>
      <c r="L1544" s="10"/>
      <c r="M1544" s="10"/>
      <c r="N1544" s="10"/>
      <c r="O1544" s="21"/>
    </row>
    <row r="1545" spans="1:15" x14ac:dyDescent="0.35">
      <c r="A1545" s="15">
        <f t="shared" si="23"/>
        <v>1543</v>
      </c>
      <c r="B1545" s="16"/>
      <c r="C1545" s="19"/>
      <c r="D1545" s="10"/>
      <c r="E1545" s="10"/>
      <c r="F1545" s="47"/>
      <c r="G1545" s="10"/>
      <c r="H1545" s="20"/>
      <c r="I1545" s="20"/>
      <c r="J1545" s="10"/>
      <c r="K1545" s="10"/>
      <c r="L1545" s="10"/>
      <c r="M1545" s="10"/>
      <c r="N1545" s="10"/>
      <c r="O1545" s="21"/>
    </row>
    <row r="1546" spans="1:15" x14ac:dyDescent="0.35">
      <c r="A1546" s="15">
        <f t="shared" si="23"/>
        <v>1544</v>
      </c>
      <c r="B1546" s="16"/>
      <c r="C1546" s="19"/>
      <c r="D1546" s="10"/>
      <c r="E1546" s="10"/>
      <c r="F1546" s="47"/>
      <c r="G1546" s="10"/>
      <c r="H1546" s="20"/>
      <c r="I1546" s="20"/>
      <c r="J1546" s="10"/>
      <c r="K1546" s="10"/>
      <c r="L1546" s="10"/>
      <c r="M1546" s="10"/>
      <c r="N1546" s="10"/>
      <c r="O1546" s="21"/>
    </row>
    <row r="1547" spans="1:15" x14ac:dyDescent="0.35">
      <c r="A1547" s="15">
        <f t="shared" ref="A1547:A1610" si="24">+A1546+1</f>
        <v>1545</v>
      </c>
      <c r="B1547" s="16"/>
      <c r="C1547" s="19"/>
      <c r="D1547" s="10"/>
      <c r="E1547" s="10"/>
      <c r="F1547" s="47"/>
      <c r="G1547" s="10"/>
      <c r="H1547" s="20"/>
      <c r="I1547" s="20"/>
      <c r="J1547" s="10"/>
      <c r="K1547" s="10"/>
      <c r="L1547" s="10"/>
      <c r="M1547" s="10"/>
      <c r="N1547" s="10"/>
      <c r="O1547" s="21"/>
    </row>
    <row r="1548" spans="1:15" x14ac:dyDescent="0.35">
      <c r="A1548" s="15">
        <f t="shared" si="24"/>
        <v>1546</v>
      </c>
      <c r="B1548" s="16"/>
      <c r="C1548" s="19"/>
      <c r="D1548" s="10"/>
      <c r="E1548" s="10"/>
      <c r="F1548" s="47"/>
      <c r="G1548" s="10"/>
      <c r="H1548" s="20"/>
      <c r="I1548" s="20"/>
      <c r="J1548" s="10"/>
      <c r="K1548" s="10"/>
      <c r="L1548" s="10"/>
      <c r="M1548" s="10"/>
      <c r="N1548" s="10"/>
      <c r="O1548" s="21"/>
    </row>
    <row r="1549" spans="1:15" x14ac:dyDescent="0.35">
      <c r="A1549" s="15">
        <f t="shared" si="24"/>
        <v>1547</v>
      </c>
      <c r="B1549" s="16"/>
      <c r="C1549" s="19"/>
      <c r="D1549" s="10"/>
      <c r="E1549" s="10"/>
      <c r="F1549" s="47"/>
      <c r="G1549" s="10"/>
      <c r="H1549" s="20"/>
      <c r="I1549" s="20"/>
      <c r="J1549" s="10"/>
      <c r="K1549" s="10"/>
      <c r="L1549" s="10"/>
      <c r="M1549" s="10"/>
      <c r="N1549" s="10"/>
      <c r="O1549" s="21"/>
    </row>
    <row r="1550" spans="1:15" x14ac:dyDescent="0.35">
      <c r="A1550" s="15">
        <f t="shared" si="24"/>
        <v>1548</v>
      </c>
      <c r="B1550" s="16"/>
      <c r="C1550" s="19"/>
      <c r="D1550" s="10"/>
      <c r="E1550" s="10"/>
      <c r="F1550" s="47"/>
      <c r="G1550" s="10"/>
      <c r="H1550" s="20"/>
      <c r="I1550" s="20"/>
      <c r="J1550" s="10"/>
      <c r="K1550" s="10"/>
      <c r="L1550" s="10"/>
      <c r="M1550" s="10"/>
      <c r="N1550" s="10"/>
      <c r="O1550" s="21"/>
    </row>
    <row r="1551" spans="1:15" x14ac:dyDescent="0.35">
      <c r="A1551" s="15">
        <f t="shared" si="24"/>
        <v>1549</v>
      </c>
      <c r="B1551" s="16"/>
      <c r="C1551" s="19"/>
      <c r="D1551" s="10"/>
      <c r="E1551" s="10"/>
      <c r="F1551" s="47"/>
      <c r="G1551" s="10"/>
      <c r="H1551" s="20"/>
      <c r="I1551" s="20"/>
      <c r="J1551" s="10"/>
      <c r="K1551" s="10"/>
      <c r="L1551" s="10"/>
      <c r="M1551" s="10"/>
      <c r="N1551" s="10"/>
      <c r="O1551" s="21"/>
    </row>
    <row r="1552" spans="1:15" x14ac:dyDescent="0.35">
      <c r="A1552" s="15">
        <f t="shared" si="24"/>
        <v>1550</v>
      </c>
      <c r="B1552" s="16"/>
      <c r="C1552" s="19"/>
      <c r="D1552" s="10"/>
      <c r="E1552" s="10"/>
      <c r="F1552" s="47"/>
      <c r="G1552" s="10"/>
      <c r="H1552" s="20"/>
      <c r="I1552" s="20"/>
      <c r="J1552" s="10"/>
      <c r="K1552" s="10"/>
      <c r="L1552" s="10"/>
      <c r="M1552" s="10"/>
      <c r="N1552" s="10"/>
      <c r="O1552" s="21"/>
    </row>
    <row r="1553" spans="1:15" x14ac:dyDescent="0.35">
      <c r="A1553" s="15">
        <f t="shared" si="24"/>
        <v>1551</v>
      </c>
      <c r="B1553" s="16"/>
      <c r="C1553" s="19"/>
      <c r="D1553" s="10"/>
      <c r="E1553" s="10"/>
      <c r="F1553" s="47"/>
      <c r="G1553" s="10"/>
      <c r="H1553" s="20"/>
      <c r="I1553" s="20"/>
      <c r="J1553" s="10"/>
      <c r="K1553" s="10"/>
      <c r="L1553" s="10"/>
      <c r="M1553" s="10"/>
      <c r="N1553" s="10"/>
      <c r="O1553" s="21"/>
    </row>
    <row r="1554" spans="1:15" x14ac:dyDescent="0.35">
      <c r="A1554" s="15">
        <f t="shared" si="24"/>
        <v>1552</v>
      </c>
      <c r="B1554" s="16"/>
      <c r="C1554" s="19"/>
      <c r="D1554" s="10"/>
      <c r="E1554" s="10"/>
      <c r="F1554" s="47"/>
      <c r="G1554" s="10"/>
      <c r="H1554" s="20"/>
      <c r="I1554" s="20"/>
      <c r="J1554" s="10"/>
      <c r="K1554" s="10"/>
      <c r="L1554" s="10"/>
      <c r="M1554" s="10"/>
      <c r="N1554" s="10"/>
      <c r="O1554" s="21"/>
    </row>
    <row r="1555" spans="1:15" x14ac:dyDescent="0.35">
      <c r="A1555" s="15">
        <f t="shared" si="24"/>
        <v>1553</v>
      </c>
      <c r="B1555" s="16"/>
      <c r="C1555" s="19"/>
      <c r="D1555" s="10"/>
      <c r="E1555" s="10"/>
      <c r="F1555" s="47"/>
      <c r="G1555" s="10"/>
      <c r="H1555" s="20"/>
      <c r="I1555" s="20"/>
      <c r="J1555" s="10"/>
      <c r="K1555" s="10"/>
      <c r="L1555" s="10"/>
      <c r="M1555" s="10"/>
      <c r="N1555" s="10"/>
      <c r="O1555" s="21"/>
    </row>
    <row r="1556" spans="1:15" x14ac:dyDescent="0.35">
      <c r="A1556" s="15">
        <f t="shared" si="24"/>
        <v>1554</v>
      </c>
      <c r="B1556" s="16"/>
      <c r="C1556" s="19"/>
      <c r="D1556" s="10"/>
      <c r="E1556" s="10"/>
      <c r="F1556" s="47"/>
      <c r="G1556" s="10"/>
      <c r="H1556" s="20"/>
      <c r="I1556" s="20"/>
      <c r="J1556" s="10"/>
      <c r="K1556" s="10"/>
      <c r="L1556" s="10"/>
      <c r="M1556" s="10"/>
      <c r="N1556" s="10"/>
      <c r="O1556" s="21"/>
    </row>
    <row r="1557" spans="1:15" x14ac:dyDescent="0.35">
      <c r="A1557" s="15">
        <f t="shared" si="24"/>
        <v>1555</v>
      </c>
      <c r="B1557" s="16"/>
      <c r="C1557" s="19"/>
      <c r="D1557" s="10"/>
      <c r="E1557" s="10"/>
      <c r="F1557" s="47"/>
      <c r="G1557" s="10"/>
      <c r="H1557" s="20"/>
      <c r="I1557" s="20"/>
      <c r="J1557" s="10"/>
      <c r="K1557" s="10"/>
      <c r="L1557" s="10"/>
      <c r="M1557" s="10"/>
      <c r="N1557" s="10"/>
      <c r="O1557" s="21"/>
    </row>
    <row r="1558" spans="1:15" x14ac:dyDescent="0.35">
      <c r="A1558" s="15">
        <f t="shared" si="24"/>
        <v>1556</v>
      </c>
      <c r="B1558" s="16"/>
      <c r="C1558" s="19"/>
      <c r="D1558" s="10"/>
      <c r="E1558" s="10"/>
      <c r="F1558" s="47"/>
      <c r="G1558" s="10"/>
      <c r="H1558" s="20"/>
      <c r="I1558" s="20"/>
      <c r="J1558" s="10"/>
      <c r="K1558" s="10"/>
      <c r="L1558" s="10"/>
      <c r="M1558" s="10"/>
      <c r="N1558" s="10"/>
      <c r="O1558" s="21"/>
    </row>
    <row r="1559" spans="1:15" x14ac:dyDescent="0.35">
      <c r="A1559" s="15">
        <f t="shared" si="24"/>
        <v>1557</v>
      </c>
      <c r="B1559" s="16"/>
      <c r="C1559" s="19"/>
      <c r="D1559" s="10"/>
      <c r="E1559" s="10"/>
      <c r="F1559" s="47"/>
      <c r="G1559" s="10"/>
      <c r="H1559" s="20"/>
      <c r="I1559" s="20"/>
      <c r="J1559" s="10"/>
      <c r="K1559" s="10"/>
      <c r="L1559" s="10"/>
      <c r="M1559" s="10"/>
      <c r="N1559" s="10"/>
      <c r="O1559" s="21"/>
    </row>
    <row r="1560" spans="1:15" x14ac:dyDescent="0.35">
      <c r="A1560" s="15">
        <f t="shared" si="24"/>
        <v>1558</v>
      </c>
      <c r="B1560" s="16"/>
      <c r="C1560" s="19"/>
      <c r="D1560" s="10"/>
      <c r="E1560" s="10"/>
      <c r="F1560" s="47"/>
      <c r="G1560" s="10"/>
      <c r="H1560" s="20"/>
      <c r="I1560" s="20"/>
      <c r="J1560" s="10"/>
      <c r="K1560" s="10"/>
      <c r="L1560" s="10"/>
      <c r="M1560" s="10"/>
      <c r="N1560" s="10"/>
      <c r="O1560" s="21"/>
    </row>
    <row r="1561" spans="1:15" x14ac:dyDescent="0.35">
      <c r="A1561" s="15">
        <f t="shared" si="24"/>
        <v>1559</v>
      </c>
      <c r="B1561" s="16"/>
      <c r="C1561" s="19"/>
      <c r="D1561" s="10"/>
      <c r="E1561" s="10"/>
      <c r="F1561" s="47"/>
      <c r="G1561" s="10"/>
      <c r="H1561" s="20"/>
      <c r="I1561" s="20"/>
      <c r="J1561" s="10"/>
      <c r="K1561" s="10"/>
      <c r="L1561" s="10"/>
      <c r="M1561" s="10"/>
      <c r="N1561" s="10"/>
      <c r="O1561" s="21"/>
    </row>
    <row r="1562" spans="1:15" x14ac:dyDescent="0.35">
      <c r="A1562" s="15">
        <f t="shared" si="24"/>
        <v>1560</v>
      </c>
      <c r="B1562" s="16"/>
      <c r="C1562" s="19"/>
      <c r="D1562" s="10"/>
      <c r="E1562" s="10"/>
      <c r="F1562" s="47"/>
      <c r="G1562" s="10"/>
      <c r="H1562" s="20"/>
      <c r="I1562" s="20"/>
      <c r="J1562" s="10"/>
      <c r="K1562" s="10"/>
      <c r="L1562" s="10"/>
      <c r="M1562" s="10"/>
      <c r="N1562" s="10"/>
      <c r="O1562" s="21"/>
    </row>
    <row r="1563" spans="1:15" x14ac:dyDescent="0.35">
      <c r="A1563" s="15">
        <f t="shared" si="24"/>
        <v>1561</v>
      </c>
      <c r="B1563" s="16"/>
      <c r="C1563" s="19"/>
      <c r="D1563" s="10"/>
      <c r="E1563" s="10"/>
      <c r="F1563" s="47"/>
      <c r="G1563" s="10"/>
      <c r="H1563" s="20"/>
      <c r="I1563" s="20"/>
      <c r="J1563" s="10"/>
      <c r="K1563" s="10"/>
      <c r="L1563" s="10"/>
      <c r="M1563" s="10"/>
      <c r="N1563" s="10"/>
      <c r="O1563" s="21"/>
    </row>
    <row r="1564" spans="1:15" x14ac:dyDescent="0.35">
      <c r="A1564" s="15">
        <f t="shared" si="24"/>
        <v>1562</v>
      </c>
      <c r="B1564" s="16"/>
      <c r="C1564" s="19"/>
      <c r="D1564" s="10"/>
      <c r="E1564" s="10"/>
      <c r="F1564" s="47"/>
      <c r="G1564" s="10"/>
      <c r="H1564" s="20"/>
      <c r="I1564" s="20"/>
      <c r="J1564" s="10"/>
      <c r="K1564" s="10"/>
      <c r="L1564" s="10"/>
      <c r="M1564" s="10"/>
      <c r="N1564" s="10"/>
      <c r="O1564" s="21"/>
    </row>
    <row r="1565" spans="1:15" x14ac:dyDescent="0.35">
      <c r="A1565" s="15">
        <f t="shared" si="24"/>
        <v>1563</v>
      </c>
      <c r="B1565" s="16"/>
      <c r="C1565" s="19"/>
      <c r="D1565" s="10"/>
      <c r="E1565" s="10"/>
      <c r="F1565" s="47"/>
      <c r="G1565" s="10"/>
      <c r="H1565" s="20"/>
      <c r="I1565" s="20"/>
      <c r="J1565" s="10"/>
      <c r="K1565" s="10"/>
      <c r="L1565" s="10"/>
      <c r="M1565" s="10"/>
      <c r="N1565" s="10"/>
      <c r="O1565" s="21"/>
    </row>
    <row r="1566" spans="1:15" x14ac:dyDescent="0.35">
      <c r="A1566" s="15">
        <f t="shared" si="24"/>
        <v>1564</v>
      </c>
      <c r="B1566" s="16"/>
      <c r="C1566" s="19"/>
      <c r="D1566" s="10"/>
      <c r="E1566" s="10"/>
      <c r="F1566" s="47"/>
      <c r="G1566" s="10"/>
      <c r="H1566" s="20"/>
      <c r="I1566" s="20"/>
      <c r="J1566" s="10"/>
      <c r="K1566" s="10"/>
      <c r="L1566" s="10"/>
      <c r="M1566" s="10"/>
      <c r="N1566" s="10"/>
      <c r="O1566" s="21"/>
    </row>
    <row r="1567" spans="1:15" x14ac:dyDescent="0.35">
      <c r="A1567" s="15">
        <f t="shared" si="24"/>
        <v>1565</v>
      </c>
      <c r="B1567" s="16"/>
      <c r="C1567" s="19"/>
      <c r="D1567" s="10"/>
      <c r="E1567" s="10"/>
      <c r="F1567" s="47"/>
      <c r="G1567" s="10"/>
      <c r="H1567" s="20"/>
      <c r="I1567" s="20"/>
      <c r="J1567" s="10"/>
      <c r="K1567" s="10"/>
      <c r="L1567" s="10"/>
      <c r="M1567" s="10"/>
      <c r="N1567" s="10"/>
      <c r="O1567" s="21"/>
    </row>
    <row r="1568" spans="1:15" x14ac:dyDescent="0.35">
      <c r="A1568" s="15">
        <f t="shared" si="24"/>
        <v>1566</v>
      </c>
      <c r="B1568" s="16"/>
      <c r="C1568" s="19"/>
      <c r="D1568" s="10"/>
      <c r="E1568" s="10"/>
      <c r="F1568" s="47"/>
      <c r="G1568" s="10"/>
      <c r="H1568" s="20"/>
      <c r="I1568" s="20"/>
      <c r="J1568" s="10"/>
      <c r="K1568" s="10"/>
      <c r="L1568" s="10"/>
      <c r="M1568" s="10"/>
      <c r="N1568" s="10"/>
      <c r="O1568" s="21"/>
    </row>
    <row r="1569" spans="1:15" x14ac:dyDescent="0.35">
      <c r="A1569" s="15">
        <f t="shared" si="24"/>
        <v>1567</v>
      </c>
      <c r="B1569" s="16"/>
      <c r="C1569" s="19"/>
      <c r="D1569" s="10"/>
      <c r="E1569" s="10"/>
      <c r="F1569" s="47"/>
      <c r="G1569" s="10"/>
      <c r="H1569" s="20"/>
      <c r="I1569" s="20"/>
      <c r="J1569" s="10"/>
      <c r="K1569" s="10"/>
      <c r="L1569" s="10"/>
      <c r="M1569" s="10"/>
      <c r="N1569" s="10"/>
      <c r="O1569" s="21"/>
    </row>
    <row r="1570" spans="1:15" x14ac:dyDescent="0.35">
      <c r="A1570" s="15">
        <f t="shared" si="24"/>
        <v>1568</v>
      </c>
      <c r="B1570" s="16"/>
      <c r="C1570" s="19"/>
      <c r="D1570" s="10"/>
      <c r="E1570" s="10"/>
      <c r="F1570" s="47"/>
      <c r="G1570" s="10"/>
      <c r="H1570" s="20"/>
      <c r="I1570" s="20"/>
      <c r="J1570" s="10"/>
      <c r="K1570" s="10"/>
      <c r="L1570" s="10"/>
      <c r="M1570" s="10"/>
      <c r="N1570" s="10"/>
      <c r="O1570" s="21"/>
    </row>
    <row r="1571" spans="1:15" x14ac:dyDescent="0.35">
      <c r="A1571" s="15">
        <f t="shared" si="24"/>
        <v>1569</v>
      </c>
      <c r="B1571" s="16"/>
      <c r="C1571" s="19"/>
      <c r="D1571" s="10"/>
      <c r="E1571" s="10"/>
      <c r="F1571" s="47"/>
      <c r="G1571" s="10"/>
      <c r="H1571" s="20"/>
      <c r="I1571" s="20"/>
      <c r="J1571" s="10"/>
      <c r="K1571" s="10"/>
      <c r="L1571" s="10"/>
      <c r="M1571" s="10"/>
      <c r="N1571" s="10"/>
      <c r="O1571" s="21"/>
    </row>
    <row r="1572" spans="1:15" x14ac:dyDescent="0.35">
      <c r="A1572" s="15">
        <f t="shared" si="24"/>
        <v>1570</v>
      </c>
      <c r="B1572" s="16"/>
      <c r="C1572" s="19"/>
      <c r="D1572" s="10"/>
      <c r="E1572" s="10"/>
      <c r="F1572" s="47"/>
      <c r="G1572" s="10"/>
      <c r="H1572" s="20"/>
      <c r="I1572" s="20"/>
      <c r="J1572" s="10"/>
      <c r="K1572" s="10"/>
      <c r="L1572" s="10"/>
      <c r="M1572" s="10"/>
      <c r="N1572" s="10"/>
      <c r="O1572" s="21"/>
    </row>
    <row r="1573" spans="1:15" x14ac:dyDescent="0.35">
      <c r="A1573" s="15">
        <f t="shared" si="24"/>
        <v>1571</v>
      </c>
      <c r="B1573" s="16"/>
      <c r="C1573" s="19"/>
      <c r="D1573" s="10"/>
      <c r="E1573" s="10"/>
      <c r="F1573" s="47"/>
      <c r="G1573" s="10"/>
      <c r="H1573" s="20"/>
      <c r="I1573" s="20"/>
      <c r="J1573" s="10"/>
      <c r="K1573" s="10"/>
      <c r="L1573" s="10"/>
      <c r="M1573" s="10"/>
      <c r="N1573" s="10"/>
      <c r="O1573" s="21"/>
    </row>
    <row r="1574" spans="1:15" x14ac:dyDescent="0.35">
      <c r="A1574" s="15">
        <f t="shared" si="24"/>
        <v>1572</v>
      </c>
      <c r="B1574" s="16"/>
      <c r="C1574" s="19"/>
      <c r="D1574" s="10"/>
      <c r="E1574" s="10"/>
      <c r="F1574" s="47"/>
      <c r="G1574" s="10"/>
      <c r="H1574" s="20"/>
      <c r="I1574" s="20"/>
      <c r="J1574" s="10"/>
      <c r="K1574" s="10"/>
      <c r="L1574" s="10"/>
      <c r="M1574" s="10"/>
      <c r="N1574" s="10"/>
      <c r="O1574" s="21"/>
    </row>
    <row r="1575" spans="1:15" x14ac:dyDescent="0.35">
      <c r="A1575" s="15">
        <f t="shared" si="24"/>
        <v>1573</v>
      </c>
      <c r="B1575" s="16"/>
      <c r="C1575" s="19"/>
      <c r="D1575" s="10"/>
      <c r="E1575" s="10"/>
      <c r="F1575" s="47"/>
      <c r="G1575" s="10"/>
      <c r="H1575" s="20"/>
      <c r="I1575" s="20"/>
      <c r="J1575" s="10"/>
      <c r="K1575" s="10"/>
      <c r="L1575" s="10"/>
      <c r="M1575" s="10"/>
      <c r="N1575" s="10"/>
      <c r="O1575" s="21"/>
    </row>
    <row r="1576" spans="1:15" x14ac:dyDescent="0.35">
      <c r="A1576" s="15">
        <f t="shared" si="24"/>
        <v>1574</v>
      </c>
      <c r="B1576" s="16"/>
      <c r="C1576" s="19"/>
      <c r="D1576" s="10"/>
      <c r="E1576" s="10"/>
      <c r="F1576" s="47"/>
      <c r="G1576" s="10"/>
      <c r="H1576" s="20"/>
      <c r="I1576" s="20"/>
      <c r="J1576" s="10"/>
      <c r="K1576" s="10"/>
      <c r="L1576" s="10"/>
      <c r="M1576" s="10"/>
      <c r="N1576" s="10"/>
      <c r="O1576" s="21"/>
    </row>
    <row r="1577" spans="1:15" x14ac:dyDescent="0.35">
      <c r="A1577" s="15">
        <f t="shared" si="24"/>
        <v>1575</v>
      </c>
      <c r="B1577" s="16"/>
      <c r="C1577" s="19"/>
      <c r="D1577" s="10"/>
      <c r="E1577" s="10"/>
      <c r="F1577" s="47"/>
      <c r="G1577" s="10"/>
      <c r="H1577" s="20"/>
      <c r="I1577" s="20"/>
      <c r="J1577" s="10"/>
      <c r="K1577" s="10"/>
      <c r="L1577" s="10"/>
      <c r="M1577" s="10"/>
      <c r="N1577" s="10"/>
      <c r="O1577" s="21"/>
    </row>
    <row r="1578" spans="1:15" x14ac:dyDescent="0.35">
      <c r="A1578" s="15">
        <f t="shared" si="24"/>
        <v>1576</v>
      </c>
      <c r="B1578" s="16"/>
      <c r="C1578" s="19"/>
      <c r="D1578" s="10"/>
      <c r="E1578" s="10"/>
      <c r="F1578" s="47"/>
      <c r="G1578" s="10"/>
      <c r="H1578" s="20"/>
      <c r="I1578" s="20"/>
      <c r="J1578" s="10"/>
      <c r="K1578" s="10"/>
      <c r="L1578" s="10"/>
      <c r="M1578" s="10"/>
      <c r="N1578" s="10"/>
      <c r="O1578" s="21"/>
    </row>
    <row r="1579" spans="1:15" x14ac:dyDescent="0.35">
      <c r="A1579" s="15">
        <f t="shared" si="24"/>
        <v>1577</v>
      </c>
      <c r="B1579" s="16"/>
      <c r="C1579" s="19"/>
      <c r="D1579" s="10"/>
      <c r="E1579" s="10"/>
      <c r="F1579" s="47"/>
      <c r="G1579" s="10"/>
      <c r="H1579" s="20"/>
      <c r="I1579" s="20"/>
      <c r="J1579" s="10"/>
      <c r="K1579" s="10"/>
      <c r="L1579" s="10"/>
      <c r="M1579" s="10"/>
      <c r="N1579" s="10"/>
      <c r="O1579" s="21"/>
    </row>
    <row r="1580" spans="1:15" x14ac:dyDescent="0.35">
      <c r="A1580" s="15">
        <f t="shared" si="24"/>
        <v>1578</v>
      </c>
      <c r="B1580" s="16"/>
      <c r="C1580" s="19"/>
      <c r="D1580" s="10"/>
      <c r="E1580" s="10"/>
      <c r="F1580" s="47"/>
      <c r="G1580" s="10"/>
      <c r="H1580" s="20"/>
      <c r="I1580" s="20"/>
      <c r="J1580" s="10"/>
      <c r="K1580" s="10"/>
      <c r="L1580" s="10"/>
      <c r="M1580" s="10"/>
      <c r="N1580" s="10"/>
      <c r="O1580" s="21"/>
    </row>
    <row r="1581" spans="1:15" x14ac:dyDescent="0.35">
      <c r="A1581" s="15">
        <f t="shared" si="24"/>
        <v>1579</v>
      </c>
      <c r="B1581" s="16"/>
      <c r="C1581" s="19"/>
      <c r="D1581" s="10"/>
      <c r="E1581" s="10"/>
      <c r="F1581" s="47"/>
      <c r="G1581" s="10"/>
      <c r="H1581" s="20"/>
      <c r="I1581" s="20"/>
      <c r="J1581" s="10"/>
      <c r="K1581" s="10"/>
      <c r="L1581" s="10"/>
      <c r="M1581" s="10"/>
      <c r="N1581" s="10"/>
      <c r="O1581" s="21"/>
    </row>
    <row r="1582" spans="1:15" x14ac:dyDescent="0.35">
      <c r="A1582" s="15">
        <f t="shared" si="24"/>
        <v>1580</v>
      </c>
      <c r="B1582" s="16"/>
      <c r="C1582" s="19"/>
      <c r="D1582" s="10"/>
      <c r="E1582" s="10"/>
      <c r="F1582" s="47"/>
      <c r="G1582" s="10"/>
      <c r="H1582" s="20"/>
      <c r="I1582" s="20"/>
      <c r="J1582" s="10"/>
      <c r="K1582" s="10"/>
      <c r="L1582" s="10"/>
      <c r="M1582" s="10"/>
      <c r="N1582" s="10"/>
      <c r="O1582" s="21"/>
    </row>
    <row r="1583" spans="1:15" x14ac:dyDescent="0.35">
      <c r="A1583" s="15">
        <f t="shared" si="24"/>
        <v>1581</v>
      </c>
      <c r="B1583" s="16"/>
      <c r="C1583" s="19"/>
      <c r="D1583" s="10"/>
      <c r="E1583" s="10"/>
      <c r="F1583" s="47"/>
      <c r="G1583" s="10"/>
      <c r="H1583" s="20"/>
      <c r="I1583" s="20"/>
      <c r="J1583" s="10"/>
      <c r="K1583" s="10"/>
      <c r="L1583" s="10"/>
      <c r="M1583" s="10"/>
      <c r="N1583" s="10"/>
      <c r="O1583" s="21"/>
    </row>
    <row r="1584" spans="1:15" x14ac:dyDescent="0.35">
      <c r="A1584" s="15">
        <f t="shared" si="24"/>
        <v>1582</v>
      </c>
      <c r="B1584" s="16"/>
      <c r="C1584" s="19"/>
      <c r="D1584" s="10"/>
      <c r="E1584" s="10"/>
      <c r="F1584" s="47"/>
      <c r="G1584" s="10"/>
      <c r="H1584" s="20"/>
      <c r="I1584" s="20"/>
      <c r="J1584" s="10"/>
      <c r="K1584" s="10"/>
      <c r="L1584" s="10"/>
      <c r="M1584" s="10"/>
      <c r="N1584" s="10"/>
      <c r="O1584" s="21"/>
    </row>
    <row r="1585" spans="1:15" x14ac:dyDescent="0.35">
      <c r="A1585" s="15">
        <f t="shared" si="24"/>
        <v>1583</v>
      </c>
      <c r="B1585" s="16"/>
      <c r="C1585" s="19"/>
      <c r="D1585" s="10"/>
      <c r="E1585" s="10"/>
      <c r="F1585" s="47"/>
      <c r="G1585" s="10"/>
      <c r="H1585" s="20"/>
      <c r="I1585" s="20"/>
      <c r="J1585" s="10"/>
      <c r="K1585" s="10"/>
      <c r="L1585" s="10"/>
      <c r="M1585" s="10"/>
      <c r="N1585" s="10"/>
      <c r="O1585" s="21"/>
    </row>
    <row r="1586" spans="1:15" x14ac:dyDescent="0.35">
      <c r="A1586" s="15">
        <f t="shared" si="24"/>
        <v>1584</v>
      </c>
      <c r="B1586" s="16"/>
      <c r="C1586" s="19"/>
      <c r="D1586" s="10"/>
      <c r="E1586" s="10"/>
      <c r="F1586" s="47"/>
      <c r="G1586" s="10"/>
      <c r="H1586" s="20"/>
      <c r="I1586" s="20"/>
      <c r="J1586" s="10"/>
      <c r="K1586" s="10"/>
      <c r="L1586" s="10"/>
      <c r="M1586" s="10"/>
      <c r="N1586" s="10"/>
      <c r="O1586" s="21"/>
    </row>
    <row r="1587" spans="1:15" x14ac:dyDescent="0.35">
      <c r="A1587" s="15">
        <f t="shared" si="24"/>
        <v>1585</v>
      </c>
      <c r="B1587" s="16"/>
      <c r="C1587" s="19"/>
      <c r="D1587" s="10"/>
      <c r="E1587" s="10"/>
      <c r="F1587" s="47"/>
      <c r="G1587" s="10"/>
      <c r="H1587" s="20"/>
      <c r="I1587" s="20"/>
      <c r="J1587" s="10"/>
      <c r="K1587" s="10"/>
      <c r="L1587" s="10"/>
      <c r="M1587" s="10"/>
      <c r="N1587" s="10"/>
      <c r="O1587" s="21"/>
    </row>
    <row r="1588" spans="1:15" x14ac:dyDescent="0.35">
      <c r="A1588" s="15">
        <f t="shared" si="24"/>
        <v>1586</v>
      </c>
      <c r="B1588" s="16"/>
      <c r="C1588" s="19"/>
      <c r="D1588" s="10"/>
      <c r="E1588" s="10"/>
      <c r="F1588" s="47"/>
      <c r="G1588" s="10"/>
      <c r="H1588" s="20"/>
      <c r="I1588" s="20"/>
      <c r="J1588" s="10"/>
      <c r="K1588" s="10"/>
      <c r="L1588" s="10"/>
      <c r="M1588" s="10"/>
      <c r="N1588" s="10"/>
      <c r="O1588" s="21"/>
    </row>
    <row r="1589" spans="1:15" x14ac:dyDescent="0.35">
      <c r="A1589" s="15">
        <f t="shared" si="24"/>
        <v>1587</v>
      </c>
      <c r="B1589" s="16"/>
      <c r="C1589" s="19"/>
      <c r="D1589" s="10"/>
      <c r="E1589" s="10"/>
      <c r="F1589" s="47"/>
      <c r="G1589" s="10"/>
      <c r="H1589" s="20"/>
      <c r="I1589" s="20"/>
      <c r="J1589" s="10"/>
      <c r="K1589" s="10"/>
      <c r="L1589" s="10"/>
      <c r="M1589" s="10"/>
      <c r="N1589" s="10"/>
      <c r="O1589" s="21"/>
    </row>
    <row r="1590" spans="1:15" x14ac:dyDescent="0.35">
      <c r="A1590" s="15">
        <f t="shared" si="24"/>
        <v>1588</v>
      </c>
      <c r="B1590" s="16"/>
      <c r="C1590" s="19"/>
      <c r="D1590" s="10"/>
      <c r="E1590" s="10"/>
      <c r="F1590" s="47"/>
      <c r="G1590" s="10"/>
      <c r="H1590" s="20"/>
      <c r="I1590" s="20"/>
      <c r="J1590" s="10"/>
      <c r="K1590" s="10"/>
      <c r="L1590" s="10"/>
      <c r="M1590" s="10"/>
      <c r="N1590" s="10"/>
      <c r="O1590" s="21"/>
    </row>
    <row r="1591" spans="1:15" x14ac:dyDescent="0.35">
      <c r="A1591" s="15">
        <f t="shared" si="24"/>
        <v>1589</v>
      </c>
      <c r="B1591" s="16"/>
      <c r="C1591" s="19"/>
      <c r="D1591" s="10"/>
      <c r="E1591" s="10"/>
      <c r="F1591" s="47"/>
      <c r="G1591" s="10"/>
      <c r="H1591" s="20"/>
      <c r="I1591" s="20"/>
      <c r="J1591" s="10"/>
      <c r="K1591" s="10"/>
      <c r="L1591" s="10"/>
      <c r="M1591" s="10"/>
      <c r="N1591" s="10"/>
      <c r="O1591" s="21"/>
    </row>
    <row r="1592" spans="1:15" x14ac:dyDescent="0.35">
      <c r="A1592" s="15">
        <f t="shared" si="24"/>
        <v>1590</v>
      </c>
      <c r="B1592" s="16"/>
      <c r="C1592" s="19"/>
      <c r="D1592" s="10"/>
      <c r="E1592" s="10"/>
      <c r="F1592" s="47"/>
      <c r="G1592" s="10"/>
      <c r="H1592" s="20"/>
      <c r="I1592" s="20"/>
      <c r="J1592" s="10"/>
      <c r="K1592" s="10"/>
      <c r="L1592" s="10"/>
      <c r="M1592" s="10"/>
      <c r="N1592" s="10"/>
      <c r="O1592" s="21"/>
    </row>
    <row r="1593" spans="1:15" x14ac:dyDescent="0.35">
      <c r="A1593" s="15">
        <f t="shared" si="24"/>
        <v>1591</v>
      </c>
      <c r="B1593" s="16"/>
      <c r="C1593" s="19"/>
      <c r="D1593" s="10"/>
      <c r="E1593" s="10"/>
      <c r="F1593" s="47"/>
      <c r="G1593" s="10"/>
      <c r="H1593" s="20"/>
      <c r="I1593" s="20"/>
      <c r="J1593" s="10"/>
      <c r="K1593" s="10"/>
      <c r="L1593" s="10"/>
      <c r="M1593" s="10"/>
      <c r="N1593" s="10"/>
      <c r="O1593" s="21"/>
    </row>
    <row r="1594" spans="1:15" x14ac:dyDescent="0.35">
      <c r="A1594" s="15">
        <f t="shared" si="24"/>
        <v>1592</v>
      </c>
      <c r="B1594" s="16"/>
      <c r="C1594" s="19"/>
      <c r="D1594" s="10"/>
      <c r="E1594" s="10"/>
      <c r="F1594" s="47"/>
      <c r="G1594" s="10"/>
      <c r="H1594" s="20"/>
      <c r="I1594" s="20"/>
      <c r="J1594" s="10"/>
      <c r="K1594" s="10"/>
      <c r="L1594" s="10"/>
      <c r="M1594" s="10"/>
      <c r="N1594" s="10"/>
      <c r="O1594" s="21"/>
    </row>
    <row r="1595" spans="1:15" x14ac:dyDescent="0.35">
      <c r="A1595" s="15">
        <f t="shared" si="24"/>
        <v>1593</v>
      </c>
      <c r="B1595" s="16"/>
      <c r="C1595" s="19"/>
      <c r="D1595" s="10"/>
      <c r="E1595" s="10"/>
      <c r="F1595" s="47"/>
      <c r="G1595" s="10"/>
      <c r="H1595" s="20"/>
      <c r="I1595" s="20"/>
      <c r="J1595" s="10"/>
      <c r="K1595" s="10"/>
      <c r="L1595" s="10"/>
      <c r="M1595" s="10"/>
      <c r="N1595" s="10"/>
      <c r="O1595" s="21"/>
    </row>
    <row r="1596" spans="1:15" x14ac:dyDescent="0.35">
      <c r="A1596" s="15">
        <f t="shared" si="24"/>
        <v>1594</v>
      </c>
      <c r="B1596" s="16"/>
      <c r="C1596" s="19"/>
      <c r="D1596" s="10"/>
      <c r="E1596" s="10"/>
      <c r="F1596" s="47"/>
      <c r="G1596" s="10"/>
      <c r="H1596" s="20"/>
      <c r="I1596" s="20"/>
      <c r="J1596" s="10"/>
      <c r="K1596" s="10"/>
      <c r="L1596" s="10"/>
      <c r="M1596" s="10"/>
      <c r="N1596" s="10"/>
      <c r="O1596" s="21"/>
    </row>
    <row r="1597" spans="1:15" x14ac:dyDescent="0.35">
      <c r="A1597" s="15">
        <f t="shared" si="24"/>
        <v>1595</v>
      </c>
      <c r="B1597" s="16"/>
      <c r="C1597" s="19"/>
      <c r="D1597" s="10"/>
      <c r="E1597" s="10"/>
      <c r="F1597" s="47"/>
      <c r="G1597" s="10"/>
      <c r="H1597" s="20"/>
      <c r="I1597" s="20"/>
      <c r="J1597" s="10"/>
      <c r="K1597" s="10"/>
      <c r="L1597" s="10"/>
      <c r="M1597" s="10"/>
      <c r="N1597" s="10"/>
      <c r="O1597" s="21"/>
    </row>
    <row r="1598" spans="1:15" x14ac:dyDescent="0.35">
      <c r="A1598" s="15">
        <f t="shared" si="24"/>
        <v>1596</v>
      </c>
      <c r="B1598" s="16"/>
      <c r="C1598" s="19"/>
      <c r="D1598" s="10"/>
      <c r="E1598" s="10"/>
      <c r="F1598" s="47"/>
      <c r="G1598" s="10"/>
      <c r="H1598" s="20"/>
      <c r="I1598" s="20"/>
      <c r="J1598" s="10"/>
      <c r="K1598" s="10"/>
      <c r="L1598" s="10"/>
      <c r="M1598" s="10"/>
      <c r="N1598" s="10"/>
      <c r="O1598" s="21"/>
    </row>
    <row r="1599" spans="1:15" x14ac:dyDescent="0.35">
      <c r="A1599" s="15">
        <f t="shared" si="24"/>
        <v>1597</v>
      </c>
      <c r="B1599" s="16"/>
      <c r="C1599" s="19"/>
      <c r="D1599" s="10"/>
      <c r="E1599" s="10"/>
      <c r="F1599" s="47"/>
      <c r="G1599" s="10"/>
      <c r="H1599" s="20"/>
      <c r="I1599" s="20"/>
      <c r="J1599" s="10"/>
      <c r="K1599" s="10"/>
      <c r="L1599" s="10"/>
      <c r="M1599" s="10"/>
      <c r="N1599" s="10"/>
      <c r="O1599" s="21"/>
    </row>
    <row r="1600" spans="1:15" x14ac:dyDescent="0.35">
      <c r="A1600" s="15">
        <f t="shared" si="24"/>
        <v>1598</v>
      </c>
      <c r="B1600" s="16"/>
      <c r="C1600" s="19"/>
      <c r="D1600" s="10"/>
      <c r="E1600" s="10"/>
      <c r="F1600" s="47"/>
      <c r="G1600" s="10"/>
      <c r="H1600" s="20"/>
      <c r="I1600" s="20"/>
      <c r="J1600" s="10"/>
      <c r="K1600" s="10"/>
      <c r="L1600" s="10"/>
      <c r="M1600" s="10"/>
      <c r="N1600" s="10"/>
      <c r="O1600" s="21"/>
    </row>
    <row r="1601" spans="1:15" x14ac:dyDescent="0.35">
      <c r="A1601" s="15">
        <f t="shared" si="24"/>
        <v>1599</v>
      </c>
      <c r="B1601" s="16"/>
      <c r="C1601" s="19"/>
      <c r="D1601" s="10"/>
      <c r="E1601" s="10"/>
      <c r="F1601" s="47"/>
      <c r="G1601" s="10"/>
      <c r="H1601" s="20"/>
      <c r="I1601" s="20"/>
      <c r="J1601" s="10"/>
      <c r="K1601" s="10"/>
      <c r="L1601" s="10"/>
      <c r="M1601" s="10"/>
      <c r="N1601" s="10"/>
      <c r="O1601" s="21"/>
    </row>
    <row r="1602" spans="1:15" x14ac:dyDescent="0.35">
      <c r="A1602" s="15">
        <f t="shared" si="24"/>
        <v>1600</v>
      </c>
      <c r="B1602" s="16"/>
      <c r="C1602" s="19"/>
      <c r="D1602" s="10"/>
      <c r="E1602" s="10"/>
      <c r="F1602" s="47"/>
      <c r="G1602" s="10"/>
      <c r="H1602" s="20"/>
      <c r="I1602" s="20"/>
      <c r="J1602" s="10"/>
      <c r="K1602" s="10"/>
      <c r="L1602" s="10"/>
      <c r="M1602" s="10"/>
      <c r="N1602" s="10"/>
      <c r="O1602" s="21"/>
    </row>
    <row r="1603" spans="1:15" x14ac:dyDescent="0.35">
      <c r="A1603" s="15">
        <f t="shared" si="24"/>
        <v>1601</v>
      </c>
      <c r="B1603" s="16"/>
      <c r="C1603" s="19"/>
      <c r="D1603" s="10"/>
      <c r="E1603" s="10"/>
      <c r="F1603" s="47"/>
      <c r="G1603" s="10"/>
      <c r="H1603" s="20"/>
      <c r="I1603" s="20"/>
      <c r="J1603" s="10"/>
      <c r="K1603" s="10"/>
      <c r="L1603" s="10"/>
      <c r="M1603" s="10"/>
      <c r="N1603" s="10"/>
      <c r="O1603" s="21"/>
    </row>
    <row r="1604" spans="1:15" x14ac:dyDescent="0.35">
      <c r="A1604" s="15">
        <f t="shared" si="24"/>
        <v>1602</v>
      </c>
      <c r="B1604" s="16"/>
      <c r="C1604" s="19"/>
      <c r="D1604" s="10"/>
      <c r="E1604" s="10"/>
      <c r="F1604" s="47"/>
      <c r="G1604" s="10"/>
      <c r="H1604" s="20"/>
      <c r="I1604" s="20"/>
      <c r="J1604" s="10"/>
      <c r="K1604" s="10"/>
      <c r="L1604" s="10"/>
      <c r="M1604" s="10"/>
      <c r="N1604" s="10"/>
      <c r="O1604" s="21"/>
    </row>
    <row r="1605" spans="1:15" x14ac:dyDescent="0.35">
      <c r="A1605" s="15">
        <f t="shared" si="24"/>
        <v>1603</v>
      </c>
      <c r="B1605" s="16"/>
      <c r="C1605" s="19"/>
      <c r="D1605" s="10"/>
      <c r="E1605" s="10"/>
      <c r="F1605" s="47"/>
      <c r="G1605" s="10"/>
      <c r="H1605" s="20"/>
      <c r="I1605" s="20"/>
      <c r="J1605" s="10"/>
      <c r="K1605" s="10"/>
      <c r="L1605" s="10"/>
      <c r="M1605" s="10"/>
      <c r="N1605" s="10"/>
      <c r="O1605" s="21"/>
    </row>
    <row r="1606" spans="1:15" x14ac:dyDescent="0.35">
      <c r="A1606" s="15">
        <f t="shared" si="24"/>
        <v>1604</v>
      </c>
      <c r="B1606" s="16"/>
      <c r="C1606" s="19"/>
      <c r="D1606" s="10"/>
      <c r="E1606" s="10"/>
      <c r="F1606" s="47"/>
      <c r="G1606" s="10"/>
      <c r="H1606" s="20"/>
      <c r="I1606" s="20"/>
      <c r="J1606" s="10"/>
      <c r="K1606" s="10"/>
      <c r="L1606" s="10"/>
      <c r="M1606" s="10"/>
      <c r="N1606" s="10"/>
      <c r="O1606" s="21"/>
    </row>
    <row r="1607" spans="1:15" x14ac:dyDescent="0.35">
      <c r="A1607" s="15">
        <f t="shared" si="24"/>
        <v>1605</v>
      </c>
      <c r="B1607" s="16"/>
      <c r="C1607" s="19"/>
      <c r="D1607" s="10"/>
      <c r="E1607" s="10"/>
      <c r="F1607" s="47"/>
      <c r="G1607" s="10"/>
      <c r="H1607" s="20"/>
      <c r="I1607" s="20"/>
      <c r="J1607" s="10"/>
      <c r="K1607" s="10"/>
      <c r="L1607" s="10"/>
      <c r="M1607" s="10"/>
      <c r="N1607" s="10"/>
      <c r="O1607" s="21"/>
    </row>
    <row r="1608" spans="1:15" x14ac:dyDescent="0.35">
      <c r="A1608" s="15">
        <f t="shared" si="24"/>
        <v>1606</v>
      </c>
      <c r="B1608" s="16"/>
      <c r="C1608" s="19"/>
      <c r="D1608" s="10"/>
      <c r="E1608" s="10"/>
      <c r="F1608" s="47"/>
      <c r="G1608" s="10"/>
      <c r="H1608" s="20"/>
      <c r="I1608" s="20"/>
      <c r="J1608" s="10"/>
      <c r="K1608" s="10"/>
      <c r="L1608" s="10"/>
      <c r="M1608" s="10"/>
      <c r="N1608" s="10"/>
      <c r="O1608" s="21"/>
    </row>
    <row r="1609" spans="1:15" x14ac:dyDescent="0.35">
      <c r="A1609" s="15">
        <f t="shared" si="24"/>
        <v>1607</v>
      </c>
      <c r="B1609" s="16"/>
      <c r="C1609" s="19"/>
      <c r="D1609" s="10"/>
      <c r="E1609" s="10"/>
      <c r="F1609" s="47"/>
      <c r="G1609" s="10"/>
      <c r="H1609" s="20"/>
      <c r="I1609" s="20"/>
      <c r="J1609" s="10"/>
      <c r="K1609" s="10"/>
      <c r="L1609" s="10"/>
      <c r="M1609" s="10"/>
      <c r="N1609" s="10"/>
      <c r="O1609" s="21"/>
    </row>
    <row r="1610" spans="1:15" x14ac:dyDescent="0.35">
      <c r="A1610" s="15">
        <f t="shared" si="24"/>
        <v>1608</v>
      </c>
      <c r="B1610" s="16"/>
      <c r="C1610" s="19"/>
      <c r="D1610" s="10"/>
      <c r="E1610" s="10"/>
      <c r="F1610" s="47"/>
      <c r="G1610" s="10"/>
      <c r="H1610" s="20"/>
      <c r="I1610" s="20"/>
      <c r="J1610" s="10"/>
      <c r="K1610" s="10"/>
      <c r="L1610" s="10"/>
      <c r="M1610" s="10"/>
      <c r="N1610" s="10"/>
      <c r="O1610" s="21"/>
    </row>
    <row r="1611" spans="1:15" x14ac:dyDescent="0.35">
      <c r="A1611" s="15">
        <f t="shared" ref="A1611:A1674" si="25">+A1610+1</f>
        <v>1609</v>
      </c>
      <c r="B1611" s="16"/>
      <c r="C1611" s="19"/>
      <c r="D1611" s="10"/>
      <c r="E1611" s="10"/>
      <c r="F1611" s="47"/>
      <c r="G1611" s="10"/>
      <c r="H1611" s="20"/>
      <c r="I1611" s="20"/>
      <c r="J1611" s="10"/>
      <c r="K1611" s="10"/>
      <c r="L1611" s="10"/>
      <c r="M1611" s="10"/>
      <c r="N1611" s="10"/>
      <c r="O1611" s="21"/>
    </row>
    <row r="1612" spans="1:15" x14ac:dyDescent="0.35">
      <c r="A1612" s="15">
        <f t="shared" si="25"/>
        <v>1610</v>
      </c>
      <c r="B1612" s="16"/>
      <c r="C1612" s="19"/>
      <c r="D1612" s="10"/>
      <c r="E1612" s="10"/>
      <c r="F1612" s="47"/>
      <c r="G1612" s="10"/>
      <c r="H1612" s="20"/>
      <c r="I1612" s="20"/>
      <c r="J1612" s="10"/>
      <c r="K1612" s="10"/>
      <c r="L1612" s="10"/>
      <c r="M1612" s="10"/>
      <c r="N1612" s="10"/>
      <c r="O1612" s="21"/>
    </row>
    <row r="1613" spans="1:15" x14ac:dyDescent="0.35">
      <c r="A1613" s="15">
        <f t="shared" si="25"/>
        <v>1611</v>
      </c>
      <c r="B1613" s="16"/>
      <c r="C1613" s="19"/>
      <c r="D1613" s="10"/>
      <c r="E1613" s="10"/>
      <c r="F1613" s="47"/>
      <c r="G1613" s="10"/>
      <c r="H1613" s="20"/>
      <c r="I1613" s="20"/>
      <c r="J1613" s="10"/>
      <c r="K1613" s="10"/>
      <c r="L1613" s="10"/>
      <c r="M1613" s="10"/>
      <c r="N1613" s="10"/>
      <c r="O1613" s="21"/>
    </row>
    <row r="1614" spans="1:15" x14ac:dyDescent="0.35">
      <c r="A1614" s="15">
        <f t="shared" si="25"/>
        <v>1612</v>
      </c>
      <c r="B1614" s="16"/>
      <c r="C1614" s="19"/>
      <c r="D1614" s="10"/>
      <c r="E1614" s="10"/>
      <c r="F1614" s="47"/>
      <c r="G1614" s="10"/>
      <c r="H1614" s="20"/>
      <c r="I1614" s="20"/>
      <c r="J1614" s="10"/>
      <c r="K1614" s="10"/>
      <c r="L1614" s="10"/>
      <c r="M1614" s="10"/>
      <c r="N1614" s="10"/>
      <c r="O1614" s="21"/>
    </row>
    <row r="1615" spans="1:15" x14ac:dyDescent="0.35">
      <c r="A1615" s="15">
        <f t="shared" si="25"/>
        <v>1613</v>
      </c>
      <c r="B1615" s="16"/>
      <c r="C1615" s="19"/>
      <c r="D1615" s="10"/>
      <c r="E1615" s="10"/>
      <c r="F1615" s="47"/>
      <c r="G1615" s="10"/>
      <c r="H1615" s="20"/>
      <c r="I1615" s="20"/>
      <c r="J1615" s="10"/>
      <c r="K1615" s="10"/>
      <c r="L1615" s="10"/>
      <c r="M1615" s="10"/>
      <c r="N1615" s="10"/>
      <c r="O1615" s="21"/>
    </row>
    <row r="1616" spans="1:15" x14ac:dyDescent="0.35">
      <c r="A1616" s="15">
        <f t="shared" si="25"/>
        <v>1614</v>
      </c>
      <c r="B1616" s="16"/>
      <c r="C1616" s="19"/>
      <c r="D1616" s="10"/>
      <c r="E1616" s="10"/>
      <c r="F1616" s="47"/>
      <c r="G1616" s="10"/>
      <c r="H1616" s="20"/>
      <c r="I1616" s="20"/>
      <c r="J1616" s="10"/>
      <c r="K1616" s="10"/>
      <c r="L1616" s="10"/>
      <c r="M1616" s="10"/>
      <c r="N1616" s="10"/>
      <c r="O1616" s="21"/>
    </row>
    <row r="1617" spans="1:15" x14ac:dyDescent="0.35">
      <c r="A1617" s="15">
        <f t="shared" si="25"/>
        <v>1615</v>
      </c>
      <c r="B1617" s="16"/>
      <c r="C1617" s="19"/>
      <c r="D1617" s="10"/>
      <c r="E1617" s="10"/>
      <c r="F1617" s="47"/>
      <c r="G1617" s="10"/>
      <c r="H1617" s="20"/>
      <c r="I1617" s="20"/>
      <c r="J1617" s="10"/>
      <c r="K1617" s="10"/>
      <c r="L1617" s="10"/>
      <c r="M1617" s="10"/>
      <c r="N1617" s="10"/>
      <c r="O1617" s="21"/>
    </row>
    <row r="1618" spans="1:15" x14ac:dyDescent="0.35">
      <c r="A1618" s="15">
        <f t="shared" si="25"/>
        <v>1616</v>
      </c>
      <c r="B1618" s="16"/>
      <c r="C1618" s="19"/>
      <c r="D1618" s="10"/>
      <c r="E1618" s="10"/>
      <c r="F1618" s="47"/>
      <c r="G1618" s="10"/>
      <c r="H1618" s="20"/>
      <c r="I1618" s="20"/>
      <c r="J1618" s="10"/>
      <c r="K1618" s="10"/>
      <c r="L1618" s="10"/>
      <c r="M1618" s="10"/>
      <c r="N1618" s="10"/>
      <c r="O1618" s="21"/>
    </row>
    <row r="1619" spans="1:15" x14ac:dyDescent="0.35">
      <c r="A1619" s="15">
        <f t="shared" si="25"/>
        <v>1617</v>
      </c>
      <c r="B1619" s="16"/>
      <c r="C1619" s="19"/>
      <c r="D1619" s="10"/>
      <c r="E1619" s="10"/>
      <c r="F1619" s="47"/>
      <c r="G1619" s="10"/>
      <c r="H1619" s="20"/>
      <c r="I1619" s="20"/>
      <c r="J1619" s="10"/>
      <c r="K1619" s="10"/>
      <c r="L1619" s="10"/>
      <c r="M1619" s="10"/>
      <c r="N1619" s="10"/>
      <c r="O1619" s="21"/>
    </row>
    <row r="1620" spans="1:15" x14ac:dyDescent="0.35">
      <c r="A1620" s="15">
        <f t="shared" si="25"/>
        <v>1618</v>
      </c>
      <c r="B1620" s="16"/>
      <c r="C1620" s="19"/>
      <c r="D1620" s="10"/>
      <c r="E1620" s="10"/>
      <c r="F1620" s="47"/>
      <c r="G1620" s="10"/>
      <c r="H1620" s="20"/>
      <c r="I1620" s="20"/>
      <c r="J1620" s="10"/>
      <c r="K1620" s="10"/>
      <c r="L1620" s="10"/>
      <c r="M1620" s="10"/>
      <c r="N1620" s="10"/>
      <c r="O1620" s="21"/>
    </row>
    <row r="1621" spans="1:15" x14ac:dyDescent="0.35">
      <c r="A1621" s="15">
        <f t="shared" si="25"/>
        <v>1619</v>
      </c>
      <c r="B1621" s="16"/>
      <c r="C1621" s="19"/>
      <c r="D1621" s="10"/>
      <c r="E1621" s="10"/>
      <c r="F1621" s="47"/>
      <c r="G1621" s="10"/>
      <c r="H1621" s="20"/>
      <c r="I1621" s="20"/>
      <c r="J1621" s="10"/>
      <c r="K1621" s="10"/>
      <c r="L1621" s="10"/>
      <c r="M1621" s="10"/>
      <c r="N1621" s="10"/>
      <c r="O1621" s="21"/>
    </row>
    <row r="1622" spans="1:15" x14ac:dyDescent="0.35">
      <c r="A1622" s="15">
        <f t="shared" si="25"/>
        <v>1620</v>
      </c>
      <c r="B1622" s="16"/>
      <c r="C1622" s="19"/>
      <c r="D1622" s="10"/>
      <c r="E1622" s="10"/>
      <c r="F1622" s="47"/>
      <c r="G1622" s="10"/>
      <c r="H1622" s="20"/>
      <c r="I1622" s="20"/>
      <c r="J1622" s="10"/>
      <c r="K1622" s="10"/>
      <c r="L1622" s="10"/>
      <c r="M1622" s="10"/>
      <c r="N1622" s="10"/>
      <c r="O1622" s="21"/>
    </row>
    <row r="1623" spans="1:15" x14ac:dyDescent="0.35">
      <c r="A1623" s="15">
        <f t="shared" si="25"/>
        <v>1621</v>
      </c>
      <c r="B1623" s="16"/>
      <c r="C1623" s="19"/>
      <c r="D1623" s="10"/>
      <c r="E1623" s="10"/>
      <c r="F1623" s="47"/>
      <c r="G1623" s="10"/>
      <c r="H1623" s="20"/>
      <c r="I1623" s="20"/>
      <c r="J1623" s="10"/>
      <c r="K1623" s="10"/>
      <c r="L1623" s="10"/>
      <c r="M1623" s="10"/>
      <c r="N1623" s="10"/>
      <c r="O1623" s="21"/>
    </row>
    <row r="1624" spans="1:15" x14ac:dyDescent="0.35">
      <c r="A1624" s="15">
        <f t="shared" si="25"/>
        <v>1622</v>
      </c>
      <c r="B1624" s="16"/>
      <c r="C1624" s="19"/>
      <c r="D1624" s="10"/>
      <c r="E1624" s="10"/>
      <c r="F1624" s="47"/>
      <c r="G1624" s="10"/>
      <c r="H1624" s="20"/>
      <c r="I1624" s="20"/>
      <c r="J1624" s="10"/>
      <c r="K1624" s="10"/>
      <c r="L1624" s="10"/>
      <c r="M1624" s="10"/>
      <c r="N1624" s="10"/>
      <c r="O1624" s="21"/>
    </row>
    <row r="1625" spans="1:15" x14ac:dyDescent="0.35">
      <c r="A1625" s="15">
        <f t="shared" si="25"/>
        <v>1623</v>
      </c>
      <c r="B1625" s="16"/>
      <c r="C1625" s="19"/>
      <c r="D1625" s="10"/>
      <c r="E1625" s="10"/>
      <c r="F1625" s="47"/>
      <c r="G1625" s="10"/>
      <c r="H1625" s="20"/>
      <c r="I1625" s="20"/>
      <c r="J1625" s="10"/>
      <c r="K1625" s="10"/>
      <c r="L1625" s="10"/>
      <c r="M1625" s="10"/>
      <c r="N1625" s="10"/>
      <c r="O1625" s="21"/>
    </row>
    <row r="1626" spans="1:15" x14ac:dyDescent="0.35">
      <c r="A1626" s="15">
        <f t="shared" si="25"/>
        <v>1624</v>
      </c>
      <c r="B1626" s="16"/>
      <c r="C1626" s="19"/>
      <c r="D1626" s="10"/>
      <c r="E1626" s="10"/>
      <c r="F1626" s="47"/>
      <c r="G1626" s="10"/>
      <c r="H1626" s="20"/>
      <c r="I1626" s="20"/>
      <c r="J1626" s="10"/>
      <c r="K1626" s="10"/>
      <c r="L1626" s="10"/>
      <c r="M1626" s="10"/>
      <c r="N1626" s="10"/>
      <c r="O1626" s="21"/>
    </row>
    <row r="1627" spans="1:15" x14ac:dyDescent="0.35">
      <c r="A1627" s="15">
        <f t="shared" si="25"/>
        <v>1625</v>
      </c>
      <c r="B1627" s="16"/>
      <c r="C1627" s="19"/>
      <c r="D1627" s="10"/>
      <c r="E1627" s="10"/>
      <c r="F1627" s="47"/>
      <c r="G1627" s="10"/>
      <c r="H1627" s="20"/>
      <c r="I1627" s="20"/>
      <c r="J1627" s="10"/>
      <c r="K1627" s="10"/>
      <c r="L1627" s="10"/>
      <c r="M1627" s="10"/>
      <c r="N1627" s="10"/>
      <c r="O1627" s="21"/>
    </row>
    <row r="1628" spans="1:15" x14ac:dyDescent="0.35">
      <c r="A1628" s="15">
        <f t="shared" si="25"/>
        <v>1626</v>
      </c>
      <c r="B1628" s="16"/>
      <c r="C1628" s="19"/>
      <c r="D1628" s="10"/>
      <c r="E1628" s="10"/>
      <c r="F1628" s="47"/>
      <c r="G1628" s="10"/>
      <c r="H1628" s="20"/>
      <c r="I1628" s="20"/>
      <c r="J1628" s="10"/>
      <c r="K1628" s="10"/>
      <c r="L1628" s="10"/>
      <c r="M1628" s="10"/>
      <c r="N1628" s="10"/>
      <c r="O1628" s="21"/>
    </row>
    <row r="1629" spans="1:15" x14ac:dyDescent="0.35">
      <c r="A1629" s="15">
        <f t="shared" si="25"/>
        <v>1627</v>
      </c>
      <c r="B1629" s="16"/>
      <c r="C1629" s="19"/>
      <c r="D1629" s="10"/>
      <c r="E1629" s="10"/>
      <c r="F1629" s="47"/>
      <c r="G1629" s="10"/>
      <c r="H1629" s="20"/>
      <c r="I1629" s="20"/>
      <c r="J1629" s="10"/>
      <c r="K1629" s="10"/>
      <c r="L1629" s="10"/>
      <c r="M1629" s="10"/>
      <c r="N1629" s="10"/>
      <c r="O1629" s="21"/>
    </row>
    <row r="1630" spans="1:15" x14ac:dyDescent="0.35">
      <c r="A1630" s="15">
        <f t="shared" si="25"/>
        <v>1628</v>
      </c>
      <c r="B1630" s="16"/>
      <c r="C1630" s="19"/>
      <c r="D1630" s="10"/>
      <c r="E1630" s="10"/>
      <c r="F1630" s="47"/>
      <c r="G1630" s="10"/>
      <c r="H1630" s="20"/>
      <c r="I1630" s="20"/>
      <c r="J1630" s="10"/>
      <c r="K1630" s="10"/>
      <c r="L1630" s="10"/>
      <c r="M1630" s="10"/>
      <c r="N1630" s="10"/>
      <c r="O1630" s="21"/>
    </row>
    <row r="1631" spans="1:15" x14ac:dyDescent="0.35">
      <c r="A1631" s="15">
        <f t="shared" si="25"/>
        <v>1629</v>
      </c>
      <c r="B1631" s="16"/>
      <c r="C1631" s="19"/>
      <c r="D1631" s="10"/>
      <c r="E1631" s="10"/>
      <c r="F1631" s="47"/>
      <c r="G1631" s="10"/>
      <c r="H1631" s="20"/>
      <c r="I1631" s="20"/>
      <c r="J1631" s="10"/>
      <c r="K1631" s="10"/>
      <c r="L1631" s="10"/>
      <c r="M1631" s="10"/>
      <c r="N1631" s="10"/>
      <c r="O1631" s="21"/>
    </row>
    <row r="1632" spans="1:15" x14ac:dyDescent="0.35">
      <c r="A1632" s="15">
        <f t="shared" si="25"/>
        <v>1630</v>
      </c>
      <c r="B1632" s="16"/>
      <c r="C1632" s="19"/>
      <c r="D1632" s="10"/>
      <c r="E1632" s="10"/>
      <c r="F1632" s="47"/>
      <c r="G1632" s="10"/>
      <c r="H1632" s="20"/>
      <c r="I1632" s="20"/>
      <c r="J1632" s="10"/>
      <c r="K1632" s="10"/>
      <c r="L1632" s="10"/>
      <c r="M1632" s="10"/>
      <c r="N1632" s="10"/>
      <c r="O1632" s="21"/>
    </row>
    <row r="1633" spans="1:15" x14ac:dyDescent="0.35">
      <c r="A1633" s="15">
        <f t="shared" si="25"/>
        <v>1631</v>
      </c>
      <c r="B1633" s="16"/>
      <c r="C1633" s="19"/>
      <c r="D1633" s="10"/>
      <c r="E1633" s="10"/>
      <c r="F1633" s="47"/>
      <c r="G1633" s="10"/>
      <c r="H1633" s="20"/>
      <c r="I1633" s="20"/>
      <c r="J1633" s="10"/>
      <c r="K1633" s="10"/>
      <c r="L1633" s="10"/>
      <c r="M1633" s="10"/>
      <c r="N1633" s="10"/>
      <c r="O1633" s="21"/>
    </row>
    <row r="1634" spans="1:15" x14ac:dyDescent="0.35">
      <c r="A1634" s="15">
        <f t="shared" si="25"/>
        <v>1632</v>
      </c>
      <c r="B1634" s="16"/>
      <c r="C1634" s="19"/>
      <c r="D1634" s="10"/>
      <c r="E1634" s="10"/>
      <c r="F1634" s="47"/>
      <c r="G1634" s="10"/>
      <c r="H1634" s="20"/>
      <c r="I1634" s="20"/>
      <c r="J1634" s="10"/>
      <c r="K1634" s="10"/>
      <c r="L1634" s="10"/>
      <c r="M1634" s="10"/>
      <c r="N1634" s="10"/>
      <c r="O1634" s="21"/>
    </row>
    <row r="1635" spans="1:15" x14ac:dyDescent="0.35">
      <c r="A1635" s="15">
        <f t="shared" si="25"/>
        <v>1633</v>
      </c>
      <c r="B1635" s="16"/>
      <c r="C1635" s="19"/>
      <c r="D1635" s="10"/>
      <c r="E1635" s="10"/>
      <c r="F1635" s="47"/>
      <c r="G1635" s="10"/>
      <c r="H1635" s="20"/>
      <c r="I1635" s="20"/>
      <c r="J1635" s="10"/>
      <c r="K1635" s="10"/>
      <c r="L1635" s="10"/>
      <c r="M1635" s="10"/>
      <c r="N1635" s="10"/>
      <c r="O1635" s="21"/>
    </row>
    <row r="1636" spans="1:15" x14ac:dyDescent="0.35">
      <c r="A1636" s="15">
        <f t="shared" si="25"/>
        <v>1634</v>
      </c>
      <c r="B1636" s="16"/>
      <c r="C1636" s="19"/>
      <c r="D1636" s="10"/>
      <c r="E1636" s="10"/>
      <c r="F1636" s="47"/>
      <c r="G1636" s="10"/>
      <c r="H1636" s="20"/>
      <c r="I1636" s="20"/>
      <c r="J1636" s="10"/>
      <c r="K1636" s="10"/>
      <c r="L1636" s="10"/>
      <c r="M1636" s="10"/>
      <c r="N1636" s="10"/>
      <c r="O1636" s="21"/>
    </row>
    <row r="1637" spans="1:15" x14ac:dyDescent="0.35">
      <c r="A1637" s="15">
        <f t="shared" si="25"/>
        <v>1635</v>
      </c>
      <c r="B1637" s="16"/>
      <c r="C1637" s="19"/>
      <c r="D1637" s="10"/>
      <c r="E1637" s="10"/>
      <c r="F1637" s="47"/>
      <c r="G1637" s="10"/>
      <c r="H1637" s="20"/>
      <c r="I1637" s="20"/>
      <c r="J1637" s="10"/>
      <c r="K1637" s="10"/>
      <c r="L1637" s="10"/>
      <c r="M1637" s="10"/>
      <c r="N1637" s="10"/>
      <c r="O1637" s="21"/>
    </row>
    <row r="1638" spans="1:15" x14ac:dyDescent="0.35">
      <c r="A1638" s="15">
        <f t="shared" si="25"/>
        <v>1636</v>
      </c>
      <c r="B1638" s="16"/>
      <c r="C1638" s="19"/>
      <c r="D1638" s="10"/>
      <c r="E1638" s="10"/>
      <c r="F1638" s="47"/>
      <c r="G1638" s="10"/>
      <c r="H1638" s="20"/>
      <c r="I1638" s="20"/>
      <c r="J1638" s="10"/>
      <c r="K1638" s="10"/>
      <c r="L1638" s="10"/>
      <c r="M1638" s="10"/>
      <c r="N1638" s="10"/>
      <c r="O1638" s="21"/>
    </row>
    <row r="1639" spans="1:15" x14ac:dyDescent="0.35">
      <c r="A1639" s="15">
        <f t="shared" si="25"/>
        <v>1637</v>
      </c>
      <c r="B1639" s="16"/>
      <c r="C1639" s="19"/>
      <c r="D1639" s="10"/>
      <c r="E1639" s="10"/>
      <c r="F1639" s="47"/>
      <c r="G1639" s="10"/>
      <c r="H1639" s="20"/>
      <c r="I1639" s="20"/>
      <c r="J1639" s="10"/>
      <c r="K1639" s="10"/>
      <c r="L1639" s="10"/>
      <c r="M1639" s="10"/>
      <c r="N1639" s="10"/>
      <c r="O1639" s="21"/>
    </row>
    <row r="1640" spans="1:15" x14ac:dyDescent="0.35">
      <c r="A1640" s="15">
        <f t="shared" si="25"/>
        <v>1638</v>
      </c>
      <c r="B1640" s="16"/>
      <c r="C1640" s="19"/>
      <c r="D1640" s="10"/>
      <c r="E1640" s="10"/>
      <c r="F1640" s="47"/>
      <c r="G1640" s="10"/>
      <c r="H1640" s="20"/>
      <c r="I1640" s="20"/>
      <c r="J1640" s="10"/>
      <c r="K1640" s="10"/>
      <c r="L1640" s="10"/>
      <c r="M1640" s="10"/>
      <c r="N1640" s="10"/>
      <c r="O1640" s="21"/>
    </row>
    <row r="1641" spans="1:15" x14ac:dyDescent="0.35">
      <c r="A1641" s="15">
        <f t="shared" si="25"/>
        <v>1639</v>
      </c>
      <c r="B1641" s="16"/>
      <c r="C1641" s="19"/>
      <c r="D1641" s="10"/>
      <c r="E1641" s="10"/>
      <c r="F1641" s="47"/>
      <c r="G1641" s="10"/>
      <c r="H1641" s="20"/>
      <c r="I1641" s="20"/>
      <c r="J1641" s="10"/>
      <c r="K1641" s="10"/>
      <c r="L1641" s="10"/>
      <c r="M1641" s="10"/>
      <c r="N1641" s="10"/>
      <c r="O1641" s="21"/>
    </row>
    <row r="1642" spans="1:15" x14ac:dyDescent="0.35">
      <c r="A1642" s="15">
        <f t="shared" si="25"/>
        <v>1640</v>
      </c>
      <c r="B1642" s="16"/>
      <c r="C1642" s="19"/>
      <c r="D1642" s="10"/>
      <c r="E1642" s="10"/>
      <c r="F1642" s="47"/>
      <c r="G1642" s="10"/>
      <c r="H1642" s="20"/>
      <c r="I1642" s="20"/>
      <c r="J1642" s="10"/>
      <c r="K1642" s="10"/>
      <c r="L1642" s="10"/>
      <c r="M1642" s="10"/>
      <c r="N1642" s="10"/>
      <c r="O1642" s="21"/>
    </row>
    <row r="1643" spans="1:15" x14ac:dyDescent="0.35">
      <c r="A1643" s="15">
        <f t="shared" si="25"/>
        <v>1641</v>
      </c>
      <c r="B1643" s="16"/>
      <c r="C1643" s="19"/>
      <c r="D1643" s="10"/>
      <c r="E1643" s="10"/>
      <c r="F1643" s="47"/>
      <c r="G1643" s="10"/>
      <c r="H1643" s="20"/>
      <c r="I1643" s="20"/>
      <c r="J1643" s="10"/>
      <c r="K1643" s="10"/>
      <c r="L1643" s="10"/>
      <c r="M1643" s="10"/>
      <c r="N1643" s="10"/>
      <c r="O1643" s="21"/>
    </row>
    <row r="1644" spans="1:15" x14ac:dyDescent="0.35">
      <c r="A1644" s="15">
        <f t="shared" si="25"/>
        <v>1642</v>
      </c>
      <c r="B1644" s="16"/>
      <c r="C1644" s="19"/>
      <c r="D1644" s="10"/>
      <c r="E1644" s="10"/>
      <c r="F1644" s="47"/>
      <c r="G1644" s="10"/>
      <c r="H1644" s="20"/>
      <c r="I1644" s="20"/>
      <c r="J1644" s="10"/>
      <c r="K1644" s="10"/>
      <c r="L1644" s="10"/>
      <c r="M1644" s="10"/>
      <c r="N1644" s="10"/>
      <c r="O1644" s="21"/>
    </row>
    <row r="1645" spans="1:15" x14ac:dyDescent="0.35">
      <c r="A1645" s="15">
        <f t="shared" si="25"/>
        <v>1643</v>
      </c>
      <c r="B1645" s="16"/>
      <c r="C1645" s="19"/>
      <c r="D1645" s="10"/>
      <c r="E1645" s="10"/>
      <c r="F1645" s="47"/>
      <c r="G1645" s="10"/>
      <c r="H1645" s="20"/>
      <c r="I1645" s="20"/>
      <c r="J1645" s="10"/>
      <c r="K1645" s="10"/>
      <c r="L1645" s="10"/>
      <c r="M1645" s="10"/>
      <c r="N1645" s="10"/>
      <c r="O1645" s="21"/>
    </row>
    <row r="1646" spans="1:15" x14ac:dyDescent="0.35">
      <c r="A1646" s="15">
        <f t="shared" si="25"/>
        <v>1644</v>
      </c>
      <c r="B1646" s="16"/>
      <c r="C1646" s="19"/>
      <c r="D1646" s="10"/>
      <c r="E1646" s="10"/>
      <c r="F1646" s="47"/>
      <c r="G1646" s="10"/>
      <c r="H1646" s="20"/>
      <c r="I1646" s="20"/>
      <c r="J1646" s="10"/>
      <c r="K1646" s="10"/>
      <c r="L1646" s="10"/>
      <c r="M1646" s="10"/>
      <c r="N1646" s="10"/>
      <c r="O1646" s="21"/>
    </row>
    <row r="1647" spans="1:15" x14ac:dyDescent="0.35">
      <c r="A1647" s="15">
        <f t="shared" si="25"/>
        <v>1645</v>
      </c>
      <c r="B1647" s="16"/>
      <c r="C1647" s="19"/>
      <c r="D1647" s="10"/>
      <c r="E1647" s="10"/>
      <c r="F1647" s="47"/>
      <c r="G1647" s="10"/>
      <c r="H1647" s="20"/>
      <c r="I1647" s="20"/>
      <c r="J1647" s="10"/>
      <c r="K1647" s="10"/>
      <c r="L1647" s="10"/>
      <c r="M1647" s="10"/>
      <c r="N1647" s="10"/>
      <c r="O1647" s="21"/>
    </row>
    <row r="1648" spans="1:15" x14ac:dyDescent="0.35">
      <c r="A1648" s="15">
        <f t="shared" si="25"/>
        <v>1646</v>
      </c>
      <c r="B1648" s="16"/>
      <c r="C1648" s="19"/>
      <c r="D1648" s="10"/>
      <c r="E1648" s="10"/>
      <c r="F1648" s="47"/>
      <c r="G1648" s="10"/>
      <c r="H1648" s="20"/>
      <c r="I1648" s="20"/>
      <c r="J1648" s="10"/>
      <c r="K1648" s="10"/>
      <c r="L1648" s="10"/>
      <c r="M1648" s="10"/>
      <c r="N1648" s="10"/>
      <c r="O1648" s="21"/>
    </row>
    <row r="1649" spans="1:15" x14ac:dyDescent="0.35">
      <c r="A1649" s="15">
        <f t="shared" si="25"/>
        <v>1647</v>
      </c>
      <c r="B1649" s="16"/>
      <c r="C1649" s="19"/>
      <c r="D1649" s="10"/>
      <c r="E1649" s="10"/>
      <c r="F1649" s="47"/>
      <c r="G1649" s="10"/>
      <c r="H1649" s="20"/>
      <c r="I1649" s="20"/>
      <c r="J1649" s="10"/>
      <c r="K1649" s="10"/>
      <c r="L1649" s="10"/>
      <c r="M1649" s="10"/>
      <c r="N1649" s="10"/>
      <c r="O1649" s="21"/>
    </row>
    <row r="1650" spans="1:15" x14ac:dyDescent="0.35">
      <c r="A1650" s="15">
        <f t="shared" si="25"/>
        <v>1648</v>
      </c>
      <c r="B1650" s="16"/>
      <c r="C1650" s="19"/>
      <c r="D1650" s="10"/>
      <c r="E1650" s="10"/>
      <c r="F1650" s="47"/>
      <c r="G1650" s="10"/>
      <c r="H1650" s="20"/>
      <c r="I1650" s="20"/>
      <c r="J1650" s="10"/>
      <c r="K1650" s="10"/>
      <c r="L1650" s="10"/>
      <c r="M1650" s="10"/>
      <c r="N1650" s="10"/>
      <c r="O1650" s="21"/>
    </row>
    <row r="1651" spans="1:15" x14ac:dyDescent="0.35">
      <c r="A1651" s="15">
        <f t="shared" si="25"/>
        <v>1649</v>
      </c>
      <c r="B1651" s="16"/>
      <c r="C1651" s="19"/>
      <c r="D1651" s="10"/>
      <c r="E1651" s="10"/>
      <c r="F1651" s="47"/>
      <c r="G1651" s="10"/>
      <c r="H1651" s="20"/>
      <c r="I1651" s="20"/>
      <c r="J1651" s="10"/>
      <c r="K1651" s="10"/>
      <c r="L1651" s="10"/>
      <c r="M1651" s="10"/>
      <c r="N1651" s="10"/>
      <c r="O1651" s="21"/>
    </row>
    <row r="1652" spans="1:15" x14ac:dyDescent="0.35">
      <c r="A1652" s="15">
        <f t="shared" si="25"/>
        <v>1650</v>
      </c>
      <c r="B1652" s="16"/>
      <c r="C1652" s="19"/>
      <c r="D1652" s="10"/>
      <c r="E1652" s="10"/>
      <c r="F1652" s="47"/>
      <c r="G1652" s="10"/>
      <c r="H1652" s="20"/>
      <c r="I1652" s="20"/>
      <c r="J1652" s="10"/>
      <c r="K1652" s="10"/>
      <c r="L1652" s="10"/>
      <c r="M1652" s="10"/>
      <c r="N1652" s="10"/>
      <c r="O1652" s="21"/>
    </row>
    <row r="1653" spans="1:15" x14ac:dyDescent="0.35">
      <c r="A1653" s="15">
        <f t="shared" si="25"/>
        <v>1651</v>
      </c>
      <c r="B1653" s="16"/>
      <c r="C1653" s="19"/>
      <c r="D1653" s="10"/>
      <c r="E1653" s="10"/>
      <c r="F1653" s="47"/>
      <c r="G1653" s="10"/>
      <c r="H1653" s="20"/>
      <c r="I1653" s="20"/>
      <c r="J1653" s="10"/>
      <c r="K1653" s="10"/>
      <c r="L1653" s="10"/>
      <c r="M1653" s="10"/>
      <c r="N1653" s="10"/>
      <c r="O1653" s="21"/>
    </row>
    <row r="1654" spans="1:15" x14ac:dyDescent="0.35">
      <c r="A1654" s="15">
        <f t="shared" si="25"/>
        <v>1652</v>
      </c>
      <c r="B1654" s="16"/>
      <c r="C1654" s="19"/>
      <c r="D1654" s="10"/>
      <c r="E1654" s="10"/>
      <c r="F1654" s="47"/>
      <c r="G1654" s="10"/>
      <c r="H1654" s="20"/>
      <c r="I1654" s="20"/>
      <c r="J1654" s="10"/>
      <c r="K1654" s="10"/>
      <c r="L1654" s="10"/>
      <c r="M1654" s="10"/>
      <c r="N1654" s="10"/>
      <c r="O1654" s="21"/>
    </row>
    <row r="1655" spans="1:15" x14ac:dyDescent="0.35">
      <c r="A1655" s="15">
        <f t="shared" si="25"/>
        <v>1653</v>
      </c>
      <c r="B1655" s="16"/>
      <c r="C1655" s="19"/>
      <c r="D1655" s="10"/>
      <c r="E1655" s="10"/>
      <c r="F1655" s="47"/>
      <c r="G1655" s="10"/>
      <c r="H1655" s="20"/>
      <c r="I1655" s="20"/>
      <c r="J1655" s="10"/>
      <c r="K1655" s="10"/>
      <c r="L1655" s="10"/>
      <c r="M1655" s="10"/>
      <c r="N1655" s="10"/>
      <c r="O1655" s="21"/>
    </row>
    <row r="1656" spans="1:15" x14ac:dyDescent="0.35">
      <c r="A1656" s="15">
        <f t="shared" si="25"/>
        <v>1654</v>
      </c>
      <c r="B1656" s="16"/>
      <c r="C1656" s="19"/>
      <c r="D1656" s="10"/>
      <c r="E1656" s="10"/>
      <c r="F1656" s="47"/>
      <c r="G1656" s="10"/>
      <c r="H1656" s="20"/>
      <c r="I1656" s="20"/>
      <c r="J1656" s="10"/>
      <c r="K1656" s="10"/>
      <c r="L1656" s="10"/>
      <c r="M1656" s="10"/>
      <c r="N1656" s="10"/>
      <c r="O1656" s="21"/>
    </row>
    <row r="1657" spans="1:15" x14ac:dyDescent="0.35">
      <c r="A1657" s="15">
        <f t="shared" si="25"/>
        <v>1655</v>
      </c>
      <c r="B1657" s="16"/>
      <c r="C1657" s="19"/>
      <c r="D1657" s="10"/>
      <c r="E1657" s="10"/>
      <c r="F1657" s="47"/>
      <c r="G1657" s="10"/>
      <c r="H1657" s="20"/>
      <c r="I1657" s="20"/>
      <c r="J1657" s="10"/>
      <c r="K1657" s="10"/>
      <c r="L1657" s="10"/>
      <c r="M1657" s="10"/>
      <c r="N1657" s="10"/>
      <c r="O1657" s="21"/>
    </row>
    <row r="1658" spans="1:15" x14ac:dyDescent="0.35">
      <c r="A1658" s="15">
        <f t="shared" si="25"/>
        <v>1656</v>
      </c>
      <c r="B1658" s="16"/>
      <c r="C1658" s="19"/>
      <c r="D1658" s="10"/>
      <c r="E1658" s="10"/>
      <c r="F1658" s="47"/>
      <c r="G1658" s="10"/>
      <c r="H1658" s="20"/>
      <c r="I1658" s="20"/>
      <c r="J1658" s="10"/>
      <c r="K1658" s="10"/>
      <c r="L1658" s="10"/>
      <c r="M1658" s="10"/>
      <c r="N1658" s="10"/>
      <c r="O1658" s="21"/>
    </row>
    <row r="1659" spans="1:15" x14ac:dyDescent="0.35">
      <c r="A1659" s="15">
        <f t="shared" si="25"/>
        <v>1657</v>
      </c>
      <c r="B1659" s="16"/>
      <c r="C1659" s="19"/>
      <c r="D1659" s="10"/>
      <c r="E1659" s="10"/>
      <c r="F1659" s="47"/>
      <c r="G1659" s="10"/>
      <c r="H1659" s="20"/>
      <c r="I1659" s="20"/>
      <c r="J1659" s="10"/>
      <c r="K1659" s="10"/>
      <c r="L1659" s="10"/>
      <c r="M1659" s="10"/>
      <c r="N1659" s="10"/>
      <c r="O1659" s="21"/>
    </row>
    <row r="1660" spans="1:15" x14ac:dyDescent="0.35">
      <c r="A1660" s="15">
        <f t="shared" si="25"/>
        <v>1658</v>
      </c>
      <c r="B1660" s="16"/>
      <c r="C1660" s="19"/>
      <c r="D1660" s="10"/>
      <c r="E1660" s="10"/>
      <c r="F1660" s="47"/>
      <c r="G1660" s="10"/>
      <c r="H1660" s="20"/>
      <c r="I1660" s="20"/>
      <c r="J1660" s="10"/>
      <c r="K1660" s="10"/>
      <c r="L1660" s="10"/>
      <c r="M1660" s="10"/>
      <c r="N1660" s="10"/>
      <c r="O1660" s="21"/>
    </row>
    <row r="1661" spans="1:15" x14ac:dyDescent="0.35">
      <c r="A1661" s="15">
        <f t="shared" si="25"/>
        <v>1659</v>
      </c>
      <c r="B1661" s="16"/>
      <c r="C1661" s="19"/>
      <c r="D1661" s="10"/>
      <c r="E1661" s="10"/>
      <c r="F1661" s="47"/>
      <c r="G1661" s="10"/>
      <c r="H1661" s="20"/>
      <c r="I1661" s="20"/>
      <c r="J1661" s="10"/>
      <c r="K1661" s="10"/>
      <c r="L1661" s="10"/>
      <c r="M1661" s="10"/>
      <c r="N1661" s="10"/>
      <c r="O1661" s="21"/>
    </row>
    <row r="1662" spans="1:15" x14ac:dyDescent="0.35">
      <c r="A1662" s="15">
        <f t="shared" si="25"/>
        <v>1660</v>
      </c>
      <c r="B1662" s="16"/>
      <c r="C1662" s="19"/>
      <c r="D1662" s="10"/>
      <c r="E1662" s="10"/>
      <c r="F1662" s="47"/>
      <c r="G1662" s="10"/>
      <c r="H1662" s="20"/>
      <c r="I1662" s="20"/>
      <c r="J1662" s="10"/>
      <c r="K1662" s="10"/>
      <c r="L1662" s="10"/>
      <c r="M1662" s="10"/>
      <c r="N1662" s="10"/>
      <c r="O1662" s="21"/>
    </row>
    <row r="1663" spans="1:15" x14ac:dyDescent="0.35">
      <c r="A1663" s="15">
        <f t="shared" si="25"/>
        <v>1661</v>
      </c>
      <c r="B1663" s="16"/>
      <c r="C1663" s="19"/>
      <c r="D1663" s="10"/>
      <c r="E1663" s="10"/>
      <c r="F1663" s="47"/>
      <c r="G1663" s="10"/>
      <c r="H1663" s="20"/>
      <c r="I1663" s="20"/>
      <c r="J1663" s="10"/>
      <c r="K1663" s="10"/>
      <c r="L1663" s="10"/>
      <c r="M1663" s="10"/>
      <c r="N1663" s="10"/>
      <c r="O1663" s="21"/>
    </row>
    <row r="1664" spans="1:15" x14ac:dyDescent="0.35">
      <c r="A1664" s="15">
        <f t="shared" si="25"/>
        <v>1662</v>
      </c>
      <c r="B1664" s="16"/>
      <c r="C1664" s="19"/>
      <c r="D1664" s="10"/>
      <c r="E1664" s="10"/>
      <c r="F1664" s="47"/>
      <c r="G1664" s="10"/>
      <c r="H1664" s="20"/>
      <c r="I1664" s="20"/>
      <c r="J1664" s="10"/>
      <c r="K1664" s="10"/>
      <c r="L1664" s="10"/>
      <c r="M1664" s="10"/>
      <c r="N1664" s="10"/>
      <c r="O1664" s="21"/>
    </row>
    <row r="1665" spans="1:15" x14ac:dyDescent="0.35">
      <c r="A1665" s="15">
        <f t="shared" si="25"/>
        <v>1663</v>
      </c>
      <c r="B1665" s="16"/>
      <c r="C1665" s="19"/>
      <c r="D1665" s="10"/>
      <c r="E1665" s="10"/>
      <c r="F1665" s="47"/>
      <c r="G1665" s="10"/>
      <c r="H1665" s="20"/>
      <c r="I1665" s="20"/>
      <c r="J1665" s="10"/>
      <c r="K1665" s="10"/>
      <c r="L1665" s="10"/>
      <c r="M1665" s="10"/>
      <c r="N1665" s="10"/>
      <c r="O1665" s="21"/>
    </row>
    <row r="1666" spans="1:15" x14ac:dyDescent="0.35">
      <c r="A1666" s="15">
        <f t="shared" si="25"/>
        <v>1664</v>
      </c>
      <c r="B1666" s="16"/>
      <c r="C1666" s="19"/>
      <c r="D1666" s="10"/>
      <c r="E1666" s="10"/>
      <c r="F1666" s="47"/>
      <c r="G1666" s="10"/>
      <c r="H1666" s="20"/>
      <c r="I1666" s="20"/>
      <c r="J1666" s="10"/>
      <c r="K1666" s="10"/>
      <c r="L1666" s="10"/>
      <c r="M1666" s="10"/>
      <c r="N1666" s="10"/>
      <c r="O1666" s="21"/>
    </row>
    <row r="1667" spans="1:15" x14ac:dyDescent="0.35">
      <c r="A1667" s="15">
        <f t="shared" si="25"/>
        <v>1665</v>
      </c>
      <c r="B1667" s="16"/>
      <c r="C1667" s="19"/>
      <c r="D1667" s="10"/>
      <c r="E1667" s="10"/>
      <c r="F1667" s="47"/>
      <c r="G1667" s="10"/>
      <c r="H1667" s="20"/>
      <c r="I1667" s="20"/>
      <c r="J1667" s="10"/>
      <c r="K1667" s="10"/>
      <c r="L1667" s="10"/>
      <c r="M1667" s="10"/>
      <c r="N1667" s="10"/>
      <c r="O1667" s="21"/>
    </row>
    <row r="1668" spans="1:15" x14ac:dyDescent="0.35">
      <c r="A1668" s="15">
        <f t="shared" si="25"/>
        <v>1666</v>
      </c>
      <c r="B1668" s="16"/>
      <c r="C1668" s="19"/>
      <c r="D1668" s="10"/>
      <c r="E1668" s="10"/>
      <c r="F1668" s="47"/>
      <c r="G1668" s="10"/>
      <c r="H1668" s="20"/>
      <c r="I1668" s="20"/>
      <c r="J1668" s="10"/>
      <c r="K1668" s="10"/>
      <c r="L1668" s="10"/>
      <c r="M1668" s="10"/>
      <c r="N1668" s="10"/>
      <c r="O1668" s="21"/>
    </row>
    <row r="1669" spans="1:15" x14ac:dyDescent="0.35">
      <c r="A1669" s="15">
        <f t="shared" si="25"/>
        <v>1667</v>
      </c>
      <c r="B1669" s="16"/>
      <c r="C1669" s="19"/>
      <c r="D1669" s="10"/>
      <c r="E1669" s="10"/>
      <c r="F1669" s="47"/>
      <c r="G1669" s="10"/>
      <c r="H1669" s="20"/>
      <c r="I1669" s="20"/>
      <c r="J1669" s="10"/>
      <c r="K1669" s="10"/>
      <c r="L1669" s="10"/>
      <c r="M1669" s="10"/>
      <c r="N1669" s="10"/>
      <c r="O1669" s="21"/>
    </row>
    <row r="1670" spans="1:15" x14ac:dyDescent="0.35">
      <c r="A1670" s="15">
        <f t="shared" si="25"/>
        <v>1668</v>
      </c>
      <c r="B1670" s="16"/>
      <c r="C1670" s="19"/>
      <c r="D1670" s="10"/>
      <c r="E1670" s="10"/>
      <c r="F1670" s="47"/>
      <c r="G1670" s="10"/>
      <c r="H1670" s="20"/>
      <c r="I1670" s="20"/>
      <c r="J1670" s="10"/>
      <c r="K1670" s="10"/>
      <c r="L1670" s="10"/>
      <c r="M1670" s="10"/>
      <c r="N1670" s="10"/>
      <c r="O1670" s="21"/>
    </row>
    <row r="1671" spans="1:15" x14ac:dyDescent="0.35">
      <c r="A1671" s="15">
        <f t="shared" si="25"/>
        <v>1669</v>
      </c>
      <c r="B1671" s="16"/>
      <c r="C1671" s="19"/>
      <c r="D1671" s="10"/>
      <c r="E1671" s="10"/>
      <c r="F1671" s="47"/>
      <c r="G1671" s="10"/>
      <c r="H1671" s="20"/>
      <c r="I1671" s="20"/>
      <c r="J1671" s="10"/>
      <c r="K1671" s="10"/>
      <c r="L1671" s="10"/>
      <c r="M1671" s="10"/>
      <c r="N1671" s="10"/>
      <c r="O1671" s="21"/>
    </row>
    <row r="1672" spans="1:15" x14ac:dyDescent="0.35">
      <c r="A1672" s="15">
        <f t="shared" si="25"/>
        <v>1670</v>
      </c>
      <c r="B1672" s="16"/>
      <c r="C1672" s="19"/>
      <c r="D1672" s="10"/>
      <c r="E1672" s="10"/>
      <c r="F1672" s="47"/>
      <c r="G1672" s="10"/>
      <c r="H1672" s="20"/>
      <c r="I1672" s="20"/>
      <c r="J1672" s="10"/>
      <c r="K1672" s="10"/>
      <c r="L1672" s="10"/>
      <c r="M1672" s="10"/>
      <c r="N1672" s="10"/>
      <c r="O1672" s="21"/>
    </row>
    <row r="1673" spans="1:15" x14ac:dyDescent="0.35">
      <c r="A1673" s="15">
        <f t="shared" si="25"/>
        <v>1671</v>
      </c>
      <c r="B1673" s="16"/>
      <c r="C1673" s="19"/>
      <c r="D1673" s="10"/>
      <c r="E1673" s="10"/>
      <c r="F1673" s="47"/>
      <c r="G1673" s="10"/>
      <c r="H1673" s="20"/>
      <c r="I1673" s="20"/>
      <c r="J1673" s="10"/>
      <c r="K1673" s="10"/>
      <c r="L1673" s="10"/>
      <c r="M1673" s="10"/>
      <c r="N1673" s="10"/>
      <c r="O1673" s="21"/>
    </row>
    <row r="1674" spans="1:15" x14ac:dyDescent="0.35">
      <c r="A1674" s="15">
        <f t="shared" si="25"/>
        <v>1672</v>
      </c>
      <c r="B1674" s="16"/>
      <c r="C1674" s="19"/>
      <c r="D1674" s="10"/>
      <c r="E1674" s="10"/>
      <c r="F1674" s="47"/>
      <c r="G1674" s="10"/>
      <c r="H1674" s="20"/>
      <c r="I1674" s="20"/>
      <c r="J1674" s="10"/>
      <c r="K1674" s="10"/>
      <c r="L1674" s="10"/>
      <c r="M1674" s="10"/>
      <c r="N1674" s="10"/>
      <c r="O1674" s="21"/>
    </row>
    <row r="1675" spans="1:15" x14ac:dyDescent="0.35">
      <c r="A1675" s="15">
        <f t="shared" ref="A1675:A1738" si="26">+A1674+1</f>
        <v>1673</v>
      </c>
      <c r="B1675" s="16"/>
      <c r="C1675" s="19"/>
      <c r="D1675" s="10"/>
      <c r="E1675" s="10"/>
      <c r="F1675" s="47"/>
      <c r="G1675" s="10"/>
      <c r="H1675" s="20"/>
      <c r="I1675" s="20"/>
      <c r="J1675" s="10"/>
      <c r="K1675" s="10"/>
      <c r="L1675" s="10"/>
      <c r="M1675" s="10"/>
      <c r="N1675" s="10"/>
      <c r="O1675" s="21"/>
    </row>
    <row r="1676" spans="1:15" x14ac:dyDescent="0.35">
      <c r="A1676" s="15">
        <f t="shared" si="26"/>
        <v>1674</v>
      </c>
      <c r="B1676" s="16"/>
      <c r="C1676" s="19"/>
      <c r="D1676" s="10"/>
      <c r="E1676" s="10"/>
      <c r="F1676" s="47"/>
      <c r="G1676" s="10"/>
      <c r="H1676" s="20"/>
      <c r="I1676" s="20"/>
      <c r="J1676" s="10"/>
      <c r="K1676" s="10"/>
      <c r="L1676" s="10"/>
      <c r="M1676" s="10"/>
      <c r="N1676" s="10"/>
      <c r="O1676" s="21"/>
    </row>
    <row r="1677" spans="1:15" x14ac:dyDescent="0.35">
      <c r="A1677" s="15">
        <f t="shared" si="26"/>
        <v>1675</v>
      </c>
      <c r="B1677" s="16"/>
      <c r="C1677" s="19"/>
      <c r="D1677" s="10"/>
      <c r="E1677" s="10"/>
      <c r="F1677" s="47"/>
      <c r="G1677" s="10"/>
      <c r="H1677" s="20"/>
      <c r="I1677" s="20"/>
      <c r="J1677" s="10"/>
      <c r="K1677" s="10"/>
      <c r="L1677" s="10"/>
      <c r="M1677" s="10"/>
      <c r="N1677" s="10"/>
      <c r="O1677" s="21"/>
    </row>
    <row r="1678" spans="1:15" x14ac:dyDescent="0.35">
      <c r="A1678" s="15">
        <f t="shared" si="26"/>
        <v>1676</v>
      </c>
      <c r="B1678" s="16"/>
      <c r="C1678" s="19"/>
      <c r="D1678" s="10"/>
      <c r="E1678" s="10"/>
      <c r="F1678" s="47"/>
      <c r="G1678" s="10"/>
      <c r="H1678" s="20"/>
      <c r="I1678" s="20"/>
      <c r="J1678" s="10"/>
      <c r="K1678" s="10"/>
      <c r="L1678" s="10"/>
      <c r="M1678" s="10"/>
      <c r="N1678" s="10"/>
      <c r="O1678" s="21"/>
    </row>
    <row r="1679" spans="1:15" x14ac:dyDescent="0.35">
      <c r="A1679" s="15">
        <f t="shared" si="26"/>
        <v>1677</v>
      </c>
      <c r="B1679" s="16"/>
      <c r="C1679" s="19"/>
      <c r="D1679" s="10"/>
      <c r="E1679" s="10"/>
      <c r="F1679" s="47"/>
      <c r="G1679" s="10"/>
      <c r="H1679" s="20"/>
      <c r="I1679" s="20"/>
      <c r="J1679" s="10"/>
      <c r="K1679" s="10"/>
      <c r="L1679" s="10"/>
      <c r="M1679" s="10"/>
      <c r="N1679" s="10"/>
      <c r="O1679" s="21"/>
    </row>
    <row r="1680" spans="1:15" x14ac:dyDescent="0.35">
      <c r="A1680" s="15">
        <f t="shared" si="26"/>
        <v>1678</v>
      </c>
      <c r="B1680" s="16"/>
      <c r="C1680" s="19"/>
      <c r="D1680" s="10"/>
      <c r="E1680" s="10"/>
      <c r="F1680" s="47"/>
      <c r="G1680" s="10"/>
      <c r="H1680" s="20"/>
      <c r="I1680" s="20"/>
      <c r="J1680" s="10"/>
      <c r="K1680" s="10"/>
      <c r="L1680" s="10"/>
      <c r="M1680" s="10"/>
      <c r="N1680" s="10"/>
      <c r="O1680" s="21"/>
    </row>
    <row r="1681" spans="1:15" x14ac:dyDescent="0.35">
      <c r="A1681" s="15">
        <f t="shared" si="26"/>
        <v>1679</v>
      </c>
      <c r="B1681" s="16"/>
      <c r="C1681" s="19"/>
      <c r="D1681" s="10"/>
      <c r="E1681" s="10"/>
      <c r="F1681" s="47"/>
      <c r="G1681" s="10"/>
      <c r="H1681" s="20"/>
      <c r="I1681" s="20"/>
      <c r="J1681" s="10"/>
      <c r="K1681" s="10"/>
      <c r="L1681" s="10"/>
      <c r="M1681" s="10"/>
      <c r="N1681" s="10"/>
      <c r="O1681" s="21"/>
    </row>
    <row r="1682" spans="1:15" x14ac:dyDescent="0.35">
      <c r="A1682" s="15">
        <f t="shared" si="26"/>
        <v>1680</v>
      </c>
      <c r="B1682" s="16"/>
      <c r="C1682" s="19"/>
      <c r="D1682" s="10"/>
      <c r="E1682" s="10"/>
      <c r="F1682" s="47"/>
      <c r="G1682" s="10"/>
      <c r="H1682" s="20"/>
      <c r="I1682" s="20"/>
      <c r="J1682" s="10"/>
      <c r="K1682" s="10"/>
      <c r="L1682" s="10"/>
      <c r="M1682" s="10"/>
      <c r="N1682" s="10"/>
      <c r="O1682" s="21"/>
    </row>
    <row r="1683" spans="1:15" x14ac:dyDescent="0.35">
      <c r="A1683" s="15">
        <f t="shared" si="26"/>
        <v>1681</v>
      </c>
      <c r="B1683" s="16"/>
      <c r="C1683" s="19"/>
      <c r="D1683" s="10"/>
      <c r="E1683" s="10"/>
      <c r="F1683" s="47"/>
      <c r="G1683" s="10"/>
      <c r="H1683" s="20"/>
      <c r="I1683" s="20"/>
      <c r="J1683" s="10"/>
      <c r="K1683" s="10"/>
      <c r="L1683" s="10"/>
      <c r="M1683" s="10"/>
      <c r="N1683" s="10"/>
      <c r="O1683" s="21"/>
    </row>
    <row r="1684" spans="1:15" x14ac:dyDescent="0.35">
      <c r="A1684" s="15">
        <f t="shared" si="26"/>
        <v>1682</v>
      </c>
      <c r="B1684" s="16"/>
      <c r="C1684" s="19"/>
      <c r="D1684" s="10"/>
      <c r="E1684" s="10"/>
      <c r="F1684" s="47"/>
      <c r="G1684" s="10"/>
      <c r="H1684" s="20"/>
      <c r="I1684" s="20"/>
      <c r="J1684" s="10"/>
      <c r="K1684" s="10"/>
      <c r="L1684" s="10"/>
      <c r="M1684" s="10"/>
      <c r="N1684" s="10"/>
      <c r="O1684" s="21"/>
    </row>
    <row r="1685" spans="1:15" x14ac:dyDescent="0.35">
      <c r="A1685" s="15">
        <f t="shared" si="26"/>
        <v>1683</v>
      </c>
      <c r="B1685" s="16"/>
      <c r="C1685" s="19"/>
      <c r="D1685" s="10"/>
      <c r="E1685" s="10"/>
      <c r="F1685" s="47"/>
      <c r="G1685" s="10"/>
      <c r="H1685" s="20"/>
      <c r="I1685" s="20"/>
      <c r="J1685" s="10"/>
      <c r="K1685" s="10"/>
      <c r="L1685" s="10"/>
      <c r="M1685" s="10"/>
      <c r="N1685" s="10"/>
      <c r="O1685" s="21"/>
    </row>
    <row r="1686" spans="1:15" x14ac:dyDescent="0.35">
      <c r="A1686" s="15">
        <f t="shared" si="26"/>
        <v>1684</v>
      </c>
      <c r="B1686" s="16"/>
      <c r="C1686" s="19"/>
      <c r="D1686" s="10"/>
      <c r="E1686" s="10"/>
      <c r="F1686" s="47"/>
      <c r="G1686" s="10"/>
      <c r="H1686" s="20"/>
      <c r="I1686" s="20"/>
      <c r="J1686" s="10"/>
      <c r="K1686" s="10"/>
      <c r="L1686" s="10"/>
      <c r="M1686" s="10"/>
      <c r="N1686" s="10"/>
      <c r="O1686" s="21"/>
    </row>
    <row r="1687" spans="1:15" x14ac:dyDescent="0.35">
      <c r="A1687" s="15">
        <f t="shared" si="26"/>
        <v>1685</v>
      </c>
      <c r="B1687" s="16"/>
      <c r="C1687" s="19"/>
      <c r="D1687" s="10"/>
      <c r="E1687" s="10"/>
      <c r="F1687" s="47"/>
      <c r="G1687" s="10"/>
      <c r="H1687" s="20"/>
      <c r="I1687" s="20"/>
      <c r="J1687" s="10"/>
      <c r="K1687" s="10"/>
      <c r="L1687" s="10"/>
      <c r="M1687" s="10"/>
      <c r="N1687" s="10"/>
      <c r="O1687" s="21"/>
    </row>
    <row r="1688" spans="1:15" x14ac:dyDescent="0.35">
      <c r="A1688" s="15">
        <f t="shared" si="26"/>
        <v>1686</v>
      </c>
      <c r="B1688" s="16"/>
      <c r="C1688" s="19"/>
      <c r="D1688" s="10"/>
      <c r="E1688" s="10"/>
      <c r="F1688" s="47"/>
      <c r="G1688" s="10"/>
      <c r="H1688" s="20"/>
      <c r="I1688" s="20"/>
      <c r="J1688" s="10"/>
      <c r="K1688" s="10"/>
      <c r="L1688" s="10"/>
      <c r="M1688" s="10"/>
      <c r="N1688" s="10"/>
      <c r="O1688" s="21"/>
    </row>
    <row r="1689" spans="1:15" x14ac:dyDescent="0.35">
      <c r="A1689" s="15">
        <f t="shared" si="26"/>
        <v>1687</v>
      </c>
      <c r="B1689" s="16"/>
      <c r="C1689" s="19"/>
      <c r="D1689" s="10"/>
      <c r="E1689" s="10"/>
      <c r="F1689" s="47"/>
      <c r="G1689" s="10"/>
      <c r="H1689" s="20"/>
      <c r="I1689" s="20"/>
      <c r="J1689" s="10"/>
      <c r="K1689" s="10"/>
      <c r="L1689" s="10"/>
      <c r="M1689" s="10"/>
      <c r="N1689" s="10"/>
      <c r="O1689" s="21"/>
    </row>
    <row r="1690" spans="1:15" x14ac:dyDescent="0.35">
      <c r="A1690" s="15">
        <f t="shared" si="26"/>
        <v>1688</v>
      </c>
      <c r="B1690" s="16"/>
      <c r="C1690" s="19"/>
      <c r="D1690" s="10"/>
      <c r="E1690" s="10"/>
      <c r="F1690" s="47"/>
      <c r="G1690" s="10"/>
      <c r="H1690" s="20"/>
      <c r="I1690" s="20"/>
      <c r="J1690" s="10"/>
      <c r="K1690" s="10"/>
      <c r="L1690" s="10"/>
      <c r="M1690" s="10"/>
      <c r="N1690" s="10"/>
      <c r="O1690" s="21"/>
    </row>
    <row r="1691" spans="1:15" x14ac:dyDescent="0.35">
      <c r="A1691" s="15">
        <f t="shared" si="26"/>
        <v>1689</v>
      </c>
      <c r="B1691" s="16"/>
      <c r="C1691" s="19"/>
      <c r="D1691" s="10"/>
      <c r="E1691" s="10"/>
      <c r="F1691" s="47"/>
      <c r="G1691" s="10"/>
      <c r="H1691" s="20"/>
      <c r="I1691" s="20"/>
      <c r="J1691" s="10"/>
      <c r="K1691" s="10"/>
      <c r="L1691" s="10"/>
      <c r="M1691" s="10"/>
      <c r="N1691" s="10"/>
      <c r="O1691" s="21"/>
    </row>
    <row r="1692" spans="1:15" x14ac:dyDescent="0.35">
      <c r="A1692" s="15">
        <f t="shared" si="26"/>
        <v>1690</v>
      </c>
      <c r="B1692" s="16"/>
      <c r="C1692" s="19"/>
      <c r="D1692" s="10"/>
      <c r="E1692" s="10"/>
      <c r="F1692" s="47"/>
      <c r="G1692" s="10"/>
      <c r="H1692" s="20"/>
      <c r="I1692" s="20"/>
      <c r="J1692" s="10"/>
      <c r="K1692" s="10"/>
      <c r="L1692" s="10"/>
      <c r="M1692" s="10"/>
      <c r="N1692" s="10"/>
      <c r="O1692" s="21"/>
    </row>
    <row r="1693" spans="1:15" x14ac:dyDescent="0.35">
      <c r="A1693" s="15">
        <f t="shared" si="26"/>
        <v>1691</v>
      </c>
      <c r="B1693" s="16"/>
      <c r="C1693" s="19"/>
      <c r="D1693" s="10"/>
      <c r="E1693" s="10"/>
      <c r="F1693" s="47"/>
      <c r="G1693" s="10"/>
      <c r="H1693" s="20"/>
      <c r="I1693" s="20"/>
      <c r="J1693" s="10"/>
      <c r="K1693" s="10"/>
      <c r="L1693" s="10"/>
      <c r="M1693" s="10"/>
      <c r="N1693" s="10"/>
      <c r="O1693" s="21"/>
    </row>
    <row r="1694" spans="1:15" x14ac:dyDescent="0.35">
      <c r="A1694" s="15">
        <f t="shared" si="26"/>
        <v>1692</v>
      </c>
      <c r="B1694" s="16"/>
      <c r="C1694" s="19"/>
      <c r="D1694" s="10"/>
      <c r="E1694" s="10"/>
      <c r="F1694" s="47"/>
      <c r="G1694" s="10"/>
      <c r="H1694" s="20"/>
      <c r="I1694" s="20"/>
      <c r="J1694" s="10"/>
      <c r="K1694" s="10"/>
      <c r="L1694" s="10"/>
      <c r="M1694" s="10"/>
      <c r="N1694" s="10"/>
      <c r="O1694" s="21"/>
    </row>
    <row r="1695" spans="1:15" x14ac:dyDescent="0.35">
      <c r="A1695" s="15">
        <f t="shared" si="26"/>
        <v>1693</v>
      </c>
      <c r="B1695" s="16"/>
      <c r="C1695" s="19"/>
      <c r="D1695" s="10"/>
      <c r="E1695" s="10"/>
      <c r="F1695" s="47"/>
      <c r="G1695" s="10"/>
      <c r="H1695" s="20"/>
      <c r="I1695" s="20"/>
      <c r="J1695" s="10"/>
      <c r="K1695" s="10"/>
      <c r="L1695" s="10"/>
      <c r="M1695" s="10"/>
      <c r="N1695" s="10"/>
      <c r="O1695" s="21"/>
    </row>
    <row r="1696" spans="1:15" x14ac:dyDescent="0.35">
      <c r="A1696" s="15">
        <f t="shared" si="26"/>
        <v>1694</v>
      </c>
      <c r="B1696" s="16"/>
      <c r="C1696" s="19"/>
      <c r="D1696" s="10"/>
      <c r="E1696" s="10"/>
      <c r="F1696" s="47"/>
      <c r="G1696" s="10"/>
      <c r="H1696" s="20"/>
      <c r="I1696" s="20"/>
      <c r="J1696" s="10"/>
      <c r="K1696" s="10"/>
      <c r="L1696" s="10"/>
      <c r="M1696" s="10"/>
      <c r="N1696" s="10"/>
      <c r="O1696" s="21"/>
    </row>
    <row r="1697" spans="1:15" x14ac:dyDescent="0.35">
      <c r="A1697" s="15">
        <f t="shared" si="26"/>
        <v>1695</v>
      </c>
      <c r="B1697" s="16"/>
      <c r="C1697" s="19"/>
      <c r="D1697" s="10"/>
      <c r="E1697" s="10"/>
      <c r="F1697" s="47"/>
      <c r="G1697" s="10"/>
      <c r="H1697" s="20"/>
      <c r="I1697" s="20"/>
      <c r="J1697" s="10"/>
      <c r="K1697" s="10"/>
      <c r="L1697" s="10"/>
      <c r="M1697" s="10"/>
      <c r="N1697" s="10"/>
      <c r="O1697" s="21"/>
    </row>
    <row r="1698" spans="1:15" x14ac:dyDescent="0.35">
      <c r="A1698" s="15">
        <f t="shared" si="26"/>
        <v>1696</v>
      </c>
      <c r="B1698" s="16"/>
      <c r="C1698" s="19"/>
      <c r="D1698" s="10"/>
      <c r="E1698" s="10"/>
      <c r="F1698" s="47"/>
      <c r="G1698" s="10"/>
      <c r="H1698" s="20"/>
      <c r="I1698" s="20"/>
      <c r="J1698" s="10"/>
      <c r="K1698" s="10"/>
      <c r="L1698" s="10"/>
      <c r="M1698" s="10"/>
      <c r="N1698" s="10"/>
      <c r="O1698" s="21"/>
    </row>
    <row r="1699" spans="1:15" x14ac:dyDescent="0.35">
      <c r="A1699" s="15">
        <f t="shared" si="26"/>
        <v>1697</v>
      </c>
      <c r="B1699" s="16"/>
      <c r="C1699" s="19"/>
      <c r="D1699" s="10"/>
      <c r="E1699" s="10"/>
      <c r="F1699" s="47"/>
      <c r="G1699" s="10"/>
      <c r="H1699" s="20"/>
      <c r="I1699" s="20"/>
      <c r="J1699" s="10"/>
      <c r="K1699" s="10"/>
      <c r="L1699" s="10"/>
      <c r="M1699" s="10"/>
      <c r="N1699" s="10"/>
      <c r="O1699" s="21"/>
    </row>
    <row r="1700" spans="1:15" x14ac:dyDescent="0.35">
      <c r="A1700" s="15">
        <f t="shared" si="26"/>
        <v>1698</v>
      </c>
      <c r="B1700" s="16"/>
      <c r="C1700" s="19"/>
      <c r="D1700" s="10"/>
      <c r="E1700" s="10"/>
      <c r="F1700" s="47"/>
      <c r="G1700" s="10"/>
      <c r="H1700" s="20"/>
      <c r="I1700" s="20"/>
      <c r="J1700" s="10"/>
      <c r="K1700" s="10"/>
      <c r="L1700" s="10"/>
      <c r="M1700" s="10"/>
      <c r="N1700" s="10"/>
      <c r="O1700" s="21"/>
    </row>
    <row r="1701" spans="1:15" x14ac:dyDescent="0.35">
      <c r="A1701" s="15">
        <f t="shared" si="26"/>
        <v>1699</v>
      </c>
      <c r="B1701" s="16"/>
      <c r="C1701" s="19"/>
      <c r="D1701" s="10"/>
      <c r="E1701" s="10"/>
      <c r="F1701" s="47"/>
      <c r="G1701" s="10"/>
      <c r="H1701" s="20"/>
      <c r="I1701" s="20"/>
      <c r="J1701" s="10"/>
      <c r="K1701" s="10"/>
      <c r="L1701" s="10"/>
      <c r="M1701" s="10"/>
      <c r="N1701" s="10"/>
      <c r="O1701" s="21"/>
    </row>
    <row r="1702" spans="1:15" x14ac:dyDescent="0.35">
      <c r="A1702" s="15">
        <f t="shared" si="26"/>
        <v>1700</v>
      </c>
      <c r="B1702" s="16"/>
      <c r="C1702" s="19"/>
      <c r="D1702" s="10"/>
      <c r="E1702" s="10"/>
      <c r="F1702" s="47"/>
      <c r="G1702" s="10"/>
      <c r="H1702" s="20"/>
      <c r="I1702" s="20"/>
      <c r="J1702" s="10"/>
      <c r="K1702" s="10"/>
      <c r="L1702" s="10"/>
      <c r="M1702" s="10"/>
      <c r="N1702" s="10"/>
      <c r="O1702" s="21"/>
    </row>
    <row r="1703" spans="1:15" x14ac:dyDescent="0.35">
      <c r="A1703" s="15">
        <f t="shared" si="26"/>
        <v>1701</v>
      </c>
      <c r="B1703" s="16"/>
      <c r="C1703" s="19"/>
      <c r="D1703" s="10"/>
      <c r="E1703" s="10"/>
      <c r="F1703" s="47"/>
      <c r="G1703" s="10"/>
      <c r="H1703" s="20"/>
      <c r="I1703" s="20"/>
      <c r="J1703" s="10"/>
      <c r="K1703" s="10"/>
      <c r="L1703" s="10"/>
      <c r="M1703" s="10"/>
      <c r="N1703" s="10"/>
      <c r="O1703" s="21"/>
    </row>
    <row r="1704" spans="1:15" x14ac:dyDescent="0.35">
      <c r="A1704" s="15">
        <f t="shared" si="26"/>
        <v>1702</v>
      </c>
      <c r="B1704" s="16"/>
      <c r="C1704" s="19"/>
      <c r="D1704" s="10"/>
      <c r="E1704" s="10"/>
      <c r="F1704" s="47"/>
      <c r="G1704" s="10"/>
      <c r="H1704" s="20"/>
      <c r="I1704" s="20"/>
      <c r="J1704" s="10"/>
      <c r="K1704" s="10"/>
      <c r="L1704" s="10"/>
      <c r="M1704" s="10"/>
      <c r="N1704" s="10"/>
      <c r="O1704" s="21"/>
    </row>
    <row r="1705" spans="1:15" x14ac:dyDescent="0.35">
      <c r="A1705" s="15">
        <f t="shared" si="26"/>
        <v>1703</v>
      </c>
      <c r="B1705" s="16"/>
      <c r="C1705" s="19"/>
      <c r="D1705" s="10"/>
      <c r="E1705" s="10"/>
      <c r="F1705" s="47"/>
      <c r="G1705" s="10"/>
      <c r="H1705" s="20"/>
      <c r="I1705" s="20"/>
      <c r="J1705" s="10"/>
      <c r="K1705" s="10"/>
      <c r="L1705" s="10"/>
      <c r="M1705" s="10"/>
      <c r="N1705" s="10"/>
      <c r="O1705" s="21"/>
    </row>
    <row r="1706" spans="1:15" x14ac:dyDescent="0.35">
      <c r="A1706" s="15">
        <f t="shared" si="26"/>
        <v>1704</v>
      </c>
      <c r="B1706" s="16"/>
      <c r="C1706" s="19"/>
      <c r="D1706" s="10"/>
      <c r="E1706" s="10"/>
      <c r="F1706" s="47"/>
      <c r="G1706" s="10"/>
      <c r="H1706" s="20"/>
      <c r="I1706" s="20"/>
      <c r="J1706" s="10"/>
      <c r="K1706" s="10"/>
      <c r="L1706" s="10"/>
      <c r="M1706" s="10"/>
      <c r="N1706" s="10"/>
      <c r="O1706" s="21"/>
    </row>
    <row r="1707" spans="1:15" x14ac:dyDescent="0.35">
      <c r="A1707" s="15">
        <f t="shared" si="26"/>
        <v>1705</v>
      </c>
      <c r="B1707" s="16"/>
      <c r="C1707" s="19"/>
      <c r="D1707" s="10"/>
      <c r="E1707" s="10"/>
      <c r="F1707" s="47"/>
      <c r="G1707" s="10"/>
      <c r="H1707" s="20"/>
      <c r="I1707" s="20"/>
      <c r="J1707" s="10"/>
      <c r="K1707" s="10"/>
      <c r="L1707" s="10"/>
      <c r="M1707" s="10"/>
      <c r="N1707" s="10"/>
      <c r="O1707" s="21"/>
    </row>
    <row r="1708" spans="1:15" x14ac:dyDescent="0.35">
      <c r="A1708" s="15">
        <f t="shared" si="26"/>
        <v>1706</v>
      </c>
      <c r="B1708" s="16"/>
      <c r="C1708" s="19"/>
      <c r="D1708" s="10"/>
      <c r="E1708" s="10"/>
      <c r="F1708" s="47"/>
      <c r="G1708" s="10"/>
      <c r="H1708" s="20"/>
      <c r="I1708" s="20"/>
      <c r="J1708" s="10"/>
      <c r="K1708" s="10"/>
      <c r="L1708" s="10"/>
      <c r="M1708" s="10"/>
      <c r="N1708" s="10"/>
      <c r="O1708" s="21"/>
    </row>
    <row r="1709" spans="1:15" x14ac:dyDescent="0.35">
      <c r="A1709" s="15">
        <f t="shared" si="26"/>
        <v>1707</v>
      </c>
      <c r="B1709" s="16"/>
      <c r="C1709" s="19"/>
      <c r="D1709" s="10"/>
      <c r="E1709" s="10"/>
      <c r="F1709" s="47"/>
      <c r="G1709" s="10"/>
      <c r="H1709" s="20"/>
      <c r="I1709" s="20"/>
      <c r="J1709" s="10"/>
      <c r="K1709" s="10"/>
      <c r="L1709" s="10"/>
      <c r="M1709" s="10"/>
      <c r="N1709" s="10"/>
      <c r="O1709" s="21"/>
    </row>
    <row r="1710" spans="1:15" x14ac:dyDescent="0.35">
      <c r="A1710" s="15">
        <f t="shared" si="26"/>
        <v>1708</v>
      </c>
      <c r="B1710" s="16"/>
      <c r="C1710" s="19"/>
      <c r="D1710" s="10"/>
      <c r="E1710" s="10"/>
      <c r="F1710" s="47"/>
      <c r="G1710" s="10"/>
      <c r="H1710" s="20"/>
      <c r="I1710" s="20"/>
      <c r="J1710" s="10"/>
      <c r="K1710" s="10"/>
      <c r="L1710" s="10"/>
      <c r="M1710" s="10"/>
      <c r="N1710" s="10"/>
      <c r="O1710" s="21"/>
    </row>
    <row r="1711" spans="1:15" x14ac:dyDescent="0.35">
      <c r="A1711" s="15">
        <f t="shared" si="26"/>
        <v>1709</v>
      </c>
      <c r="B1711" s="16"/>
      <c r="C1711" s="19"/>
      <c r="D1711" s="10"/>
      <c r="E1711" s="10"/>
      <c r="F1711" s="47"/>
      <c r="G1711" s="10"/>
      <c r="H1711" s="20"/>
      <c r="I1711" s="20"/>
      <c r="J1711" s="10"/>
      <c r="K1711" s="10"/>
      <c r="L1711" s="10"/>
      <c r="M1711" s="10"/>
      <c r="N1711" s="10"/>
      <c r="O1711" s="21"/>
    </row>
    <row r="1712" spans="1:15" x14ac:dyDescent="0.35">
      <c r="A1712" s="15">
        <f t="shared" si="26"/>
        <v>1710</v>
      </c>
      <c r="B1712" s="16"/>
      <c r="C1712" s="19"/>
      <c r="D1712" s="10"/>
      <c r="E1712" s="10"/>
      <c r="F1712" s="47"/>
      <c r="G1712" s="10"/>
      <c r="H1712" s="20"/>
      <c r="I1712" s="20"/>
      <c r="J1712" s="10"/>
      <c r="K1712" s="10"/>
      <c r="L1712" s="10"/>
      <c r="M1712" s="10"/>
      <c r="N1712" s="10"/>
      <c r="O1712" s="21"/>
    </row>
    <row r="1713" spans="1:15" x14ac:dyDescent="0.35">
      <c r="A1713" s="15">
        <f t="shared" si="26"/>
        <v>1711</v>
      </c>
      <c r="B1713" s="16"/>
      <c r="C1713" s="19"/>
      <c r="D1713" s="10"/>
      <c r="E1713" s="10"/>
      <c r="F1713" s="47"/>
      <c r="G1713" s="10"/>
      <c r="H1713" s="20"/>
      <c r="I1713" s="20"/>
      <c r="J1713" s="10"/>
      <c r="K1713" s="10"/>
      <c r="L1713" s="10"/>
      <c r="M1713" s="10"/>
      <c r="N1713" s="10"/>
      <c r="O1713" s="21"/>
    </row>
    <row r="1714" spans="1:15" x14ac:dyDescent="0.35">
      <c r="A1714" s="15">
        <f t="shared" si="26"/>
        <v>1712</v>
      </c>
      <c r="B1714" s="16"/>
      <c r="C1714" s="19"/>
      <c r="D1714" s="10"/>
      <c r="E1714" s="10"/>
      <c r="F1714" s="47"/>
      <c r="G1714" s="10"/>
      <c r="H1714" s="20"/>
      <c r="I1714" s="20"/>
      <c r="J1714" s="10"/>
      <c r="K1714" s="10"/>
      <c r="L1714" s="10"/>
      <c r="M1714" s="10"/>
      <c r="N1714" s="10"/>
      <c r="O1714" s="21"/>
    </row>
    <row r="1715" spans="1:15" x14ac:dyDescent="0.35">
      <c r="A1715" s="15">
        <f t="shared" si="26"/>
        <v>1713</v>
      </c>
      <c r="B1715" s="16"/>
      <c r="C1715" s="19"/>
      <c r="D1715" s="10"/>
      <c r="E1715" s="10"/>
      <c r="F1715" s="47"/>
      <c r="G1715" s="10"/>
      <c r="H1715" s="20"/>
      <c r="I1715" s="20"/>
      <c r="J1715" s="10"/>
      <c r="K1715" s="10"/>
      <c r="L1715" s="10"/>
      <c r="M1715" s="10"/>
      <c r="N1715" s="10"/>
      <c r="O1715" s="21"/>
    </row>
    <row r="1716" spans="1:15" x14ac:dyDescent="0.35">
      <c r="A1716" s="15">
        <f t="shared" si="26"/>
        <v>1714</v>
      </c>
      <c r="B1716" s="16"/>
      <c r="C1716" s="19"/>
      <c r="D1716" s="10"/>
      <c r="E1716" s="10"/>
      <c r="F1716" s="47"/>
      <c r="G1716" s="10"/>
      <c r="H1716" s="20"/>
      <c r="I1716" s="20"/>
      <c r="J1716" s="10"/>
      <c r="K1716" s="10"/>
      <c r="L1716" s="10"/>
      <c r="M1716" s="10"/>
      <c r="N1716" s="10"/>
      <c r="O1716" s="21"/>
    </row>
    <row r="1717" spans="1:15" x14ac:dyDescent="0.35">
      <c r="A1717" s="15">
        <f t="shared" si="26"/>
        <v>1715</v>
      </c>
      <c r="B1717" s="16"/>
      <c r="C1717" s="19"/>
      <c r="D1717" s="10"/>
      <c r="E1717" s="10"/>
      <c r="F1717" s="47"/>
      <c r="G1717" s="10"/>
      <c r="H1717" s="20"/>
      <c r="I1717" s="20"/>
      <c r="J1717" s="10"/>
      <c r="K1717" s="10"/>
      <c r="L1717" s="10"/>
      <c r="M1717" s="10"/>
      <c r="N1717" s="10"/>
      <c r="O1717" s="21"/>
    </row>
    <row r="1718" spans="1:15" x14ac:dyDescent="0.35">
      <c r="A1718" s="15">
        <f t="shared" si="26"/>
        <v>1716</v>
      </c>
      <c r="B1718" s="16"/>
      <c r="C1718" s="19"/>
      <c r="D1718" s="10"/>
      <c r="E1718" s="10"/>
      <c r="F1718" s="47"/>
      <c r="G1718" s="10"/>
      <c r="H1718" s="20"/>
      <c r="I1718" s="20"/>
      <c r="J1718" s="10"/>
      <c r="K1718" s="10"/>
      <c r="L1718" s="10"/>
      <c r="M1718" s="10"/>
      <c r="N1718" s="10"/>
      <c r="O1718" s="21"/>
    </row>
    <row r="1719" spans="1:15" x14ac:dyDescent="0.35">
      <c r="A1719" s="15">
        <f t="shared" si="26"/>
        <v>1717</v>
      </c>
      <c r="B1719" s="16"/>
      <c r="C1719" s="19"/>
      <c r="D1719" s="10"/>
      <c r="E1719" s="10"/>
      <c r="F1719" s="47"/>
      <c r="G1719" s="10"/>
      <c r="H1719" s="20"/>
      <c r="I1719" s="20"/>
      <c r="J1719" s="10"/>
      <c r="K1719" s="10"/>
      <c r="L1719" s="10"/>
      <c r="M1719" s="10"/>
      <c r="N1719" s="10"/>
      <c r="O1719" s="21"/>
    </row>
    <row r="1720" spans="1:15" x14ac:dyDescent="0.35">
      <c r="A1720" s="15">
        <f t="shared" si="26"/>
        <v>1718</v>
      </c>
      <c r="B1720" s="16"/>
      <c r="C1720" s="19"/>
      <c r="D1720" s="10"/>
      <c r="E1720" s="10"/>
      <c r="F1720" s="47"/>
      <c r="G1720" s="10"/>
      <c r="H1720" s="20"/>
      <c r="I1720" s="20"/>
      <c r="J1720" s="10"/>
      <c r="K1720" s="10"/>
      <c r="L1720" s="10"/>
      <c r="M1720" s="10"/>
      <c r="N1720" s="10"/>
      <c r="O1720" s="21"/>
    </row>
    <row r="1721" spans="1:15" x14ac:dyDescent="0.35">
      <c r="A1721" s="15">
        <f t="shared" si="26"/>
        <v>1719</v>
      </c>
      <c r="B1721" s="16"/>
      <c r="C1721" s="19"/>
      <c r="D1721" s="10"/>
      <c r="E1721" s="10"/>
      <c r="F1721" s="47"/>
      <c r="G1721" s="10"/>
      <c r="H1721" s="20"/>
      <c r="I1721" s="20"/>
      <c r="J1721" s="10"/>
      <c r="K1721" s="10"/>
      <c r="L1721" s="10"/>
      <c r="M1721" s="10"/>
      <c r="N1721" s="10"/>
      <c r="O1721" s="21"/>
    </row>
    <row r="1722" spans="1:15" x14ac:dyDescent="0.35">
      <c r="A1722" s="15">
        <f t="shared" si="26"/>
        <v>1720</v>
      </c>
      <c r="B1722" s="16"/>
      <c r="C1722" s="19"/>
      <c r="D1722" s="10"/>
      <c r="E1722" s="10"/>
      <c r="F1722" s="47"/>
      <c r="G1722" s="10"/>
      <c r="H1722" s="20"/>
      <c r="I1722" s="20"/>
      <c r="J1722" s="10"/>
      <c r="K1722" s="10"/>
      <c r="L1722" s="10"/>
      <c r="M1722" s="10"/>
      <c r="N1722" s="10"/>
      <c r="O1722" s="21"/>
    </row>
    <row r="1723" spans="1:15" x14ac:dyDescent="0.35">
      <c r="A1723" s="15">
        <f t="shared" si="26"/>
        <v>1721</v>
      </c>
      <c r="B1723" s="16"/>
      <c r="C1723" s="19"/>
      <c r="D1723" s="10"/>
      <c r="E1723" s="10"/>
      <c r="F1723" s="47"/>
      <c r="G1723" s="10"/>
      <c r="H1723" s="20"/>
      <c r="I1723" s="20"/>
      <c r="J1723" s="10"/>
      <c r="K1723" s="10"/>
      <c r="L1723" s="10"/>
      <c r="M1723" s="10"/>
      <c r="N1723" s="10"/>
      <c r="O1723" s="21"/>
    </row>
    <row r="1724" spans="1:15" x14ac:dyDescent="0.35">
      <c r="A1724" s="15">
        <f t="shared" si="26"/>
        <v>1722</v>
      </c>
      <c r="B1724" s="16"/>
      <c r="C1724" s="19"/>
      <c r="D1724" s="10"/>
      <c r="E1724" s="10"/>
      <c r="F1724" s="47"/>
      <c r="G1724" s="10"/>
      <c r="H1724" s="20"/>
      <c r="I1724" s="20"/>
      <c r="J1724" s="10"/>
      <c r="K1724" s="10"/>
      <c r="L1724" s="10"/>
      <c r="M1724" s="10"/>
      <c r="N1724" s="10"/>
      <c r="O1724" s="21"/>
    </row>
    <row r="1725" spans="1:15" x14ac:dyDescent="0.35">
      <c r="A1725" s="15">
        <f t="shared" si="26"/>
        <v>1723</v>
      </c>
      <c r="B1725" s="16"/>
      <c r="C1725" s="19"/>
      <c r="D1725" s="10"/>
      <c r="E1725" s="10"/>
      <c r="F1725" s="47"/>
      <c r="G1725" s="10"/>
      <c r="H1725" s="20"/>
      <c r="I1725" s="20"/>
      <c r="J1725" s="10"/>
      <c r="K1725" s="10"/>
      <c r="L1725" s="10"/>
      <c r="M1725" s="10"/>
      <c r="N1725" s="10"/>
      <c r="O1725" s="21"/>
    </row>
    <row r="1726" spans="1:15" x14ac:dyDescent="0.35">
      <c r="A1726" s="15">
        <f t="shared" si="26"/>
        <v>1724</v>
      </c>
      <c r="B1726" s="16"/>
      <c r="C1726" s="19"/>
      <c r="D1726" s="10"/>
      <c r="E1726" s="10"/>
      <c r="F1726" s="47"/>
      <c r="G1726" s="10"/>
      <c r="H1726" s="20"/>
      <c r="I1726" s="20"/>
      <c r="J1726" s="10"/>
      <c r="K1726" s="10"/>
      <c r="L1726" s="10"/>
      <c r="M1726" s="10"/>
      <c r="N1726" s="10"/>
      <c r="O1726" s="21"/>
    </row>
    <row r="1727" spans="1:15" x14ac:dyDescent="0.35">
      <c r="A1727" s="15">
        <f t="shared" si="26"/>
        <v>1725</v>
      </c>
      <c r="B1727" s="16"/>
      <c r="C1727" s="19"/>
      <c r="D1727" s="10"/>
      <c r="E1727" s="10"/>
      <c r="F1727" s="47"/>
      <c r="G1727" s="10"/>
      <c r="H1727" s="20"/>
      <c r="I1727" s="20"/>
      <c r="J1727" s="10"/>
      <c r="K1727" s="10"/>
      <c r="L1727" s="10"/>
      <c r="M1727" s="10"/>
      <c r="N1727" s="10"/>
      <c r="O1727" s="21"/>
    </row>
    <row r="1728" spans="1:15" x14ac:dyDescent="0.35">
      <c r="A1728" s="15">
        <f t="shared" si="26"/>
        <v>1726</v>
      </c>
      <c r="B1728" s="16"/>
      <c r="C1728" s="19"/>
      <c r="D1728" s="10"/>
      <c r="E1728" s="10"/>
      <c r="F1728" s="47"/>
      <c r="G1728" s="10"/>
      <c r="H1728" s="20"/>
      <c r="I1728" s="20"/>
      <c r="J1728" s="10"/>
      <c r="K1728" s="10"/>
      <c r="L1728" s="10"/>
      <c r="M1728" s="10"/>
      <c r="N1728" s="10"/>
      <c r="O1728" s="21"/>
    </row>
    <row r="1729" spans="1:15" x14ac:dyDescent="0.35">
      <c r="A1729" s="15">
        <f t="shared" si="26"/>
        <v>1727</v>
      </c>
      <c r="B1729" s="16"/>
      <c r="C1729" s="19"/>
      <c r="D1729" s="10"/>
      <c r="E1729" s="10"/>
      <c r="F1729" s="47"/>
      <c r="G1729" s="10"/>
      <c r="H1729" s="20"/>
      <c r="I1729" s="20"/>
      <c r="J1729" s="10"/>
      <c r="K1729" s="10"/>
      <c r="L1729" s="10"/>
      <c r="M1729" s="10"/>
      <c r="N1729" s="10"/>
      <c r="O1729" s="21"/>
    </row>
    <row r="1730" spans="1:15" x14ac:dyDescent="0.35">
      <c r="A1730" s="15">
        <f t="shared" si="26"/>
        <v>1728</v>
      </c>
      <c r="B1730" s="16"/>
      <c r="C1730" s="19"/>
      <c r="D1730" s="10"/>
      <c r="E1730" s="10"/>
      <c r="F1730" s="47"/>
      <c r="G1730" s="10"/>
      <c r="H1730" s="20"/>
      <c r="I1730" s="20"/>
      <c r="J1730" s="10"/>
      <c r="K1730" s="10"/>
      <c r="L1730" s="10"/>
      <c r="M1730" s="10"/>
      <c r="N1730" s="10"/>
      <c r="O1730" s="21"/>
    </row>
    <row r="1731" spans="1:15" x14ac:dyDescent="0.35">
      <c r="A1731" s="15">
        <f t="shared" si="26"/>
        <v>1729</v>
      </c>
      <c r="B1731" s="16"/>
      <c r="C1731" s="19"/>
      <c r="D1731" s="10"/>
      <c r="E1731" s="10"/>
      <c r="F1731" s="47"/>
      <c r="G1731" s="10"/>
      <c r="H1731" s="20"/>
      <c r="I1731" s="20"/>
      <c r="J1731" s="10"/>
      <c r="K1731" s="10"/>
      <c r="L1731" s="10"/>
      <c r="M1731" s="10"/>
      <c r="N1731" s="10"/>
      <c r="O1731" s="21"/>
    </row>
    <row r="1732" spans="1:15" x14ac:dyDescent="0.35">
      <c r="A1732" s="15">
        <f t="shared" si="26"/>
        <v>1730</v>
      </c>
      <c r="B1732" s="16"/>
      <c r="C1732" s="19"/>
      <c r="D1732" s="10"/>
      <c r="E1732" s="10"/>
      <c r="F1732" s="47"/>
      <c r="G1732" s="10"/>
      <c r="H1732" s="20"/>
      <c r="I1732" s="20"/>
      <c r="J1732" s="10"/>
      <c r="K1732" s="10"/>
      <c r="L1732" s="10"/>
      <c r="M1732" s="10"/>
      <c r="N1732" s="10"/>
      <c r="O1732" s="21"/>
    </row>
    <row r="1733" spans="1:15" x14ac:dyDescent="0.35">
      <c r="A1733" s="15">
        <f t="shared" si="26"/>
        <v>1731</v>
      </c>
      <c r="B1733" s="16"/>
      <c r="C1733" s="19"/>
      <c r="D1733" s="10"/>
      <c r="E1733" s="10"/>
      <c r="F1733" s="47"/>
      <c r="G1733" s="10"/>
      <c r="H1733" s="20"/>
      <c r="I1733" s="20"/>
      <c r="J1733" s="10"/>
      <c r="K1733" s="10"/>
      <c r="L1733" s="10"/>
      <c r="M1733" s="10"/>
      <c r="N1733" s="10"/>
      <c r="O1733" s="21"/>
    </row>
    <row r="1734" spans="1:15" x14ac:dyDescent="0.35">
      <c r="A1734" s="15">
        <f t="shared" si="26"/>
        <v>1732</v>
      </c>
      <c r="B1734" s="16"/>
      <c r="C1734" s="19"/>
      <c r="D1734" s="10"/>
      <c r="E1734" s="10"/>
      <c r="F1734" s="47"/>
      <c r="G1734" s="10"/>
      <c r="H1734" s="20"/>
      <c r="I1734" s="20"/>
      <c r="J1734" s="10"/>
      <c r="K1734" s="10"/>
      <c r="L1734" s="10"/>
      <c r="M1734" s="10"/>
      <c r="N1734" s="10"/>
      <c r="O1734" s="21"/>
    </row>
    <row r="1735" spans="1:15" x14ac:dyDescent="0.35">
      <c r="A1735" s="15">
        <f t="shared" si="26"/>
        <v>1733</v>
      </c>
      <c r="B1735" s="16"/>
      <c r="C1735" s="19"/>
      <c r="D1735" s="10"/>
      <c r="E1735" s="10"/>
      <c r="F1735" s="47"/>
      <c r="G1735" s="10"/>
      <c r="H1735" s="20"/>
      <c r="I1735" s="20"/>
      <c r="J1735" s="10"/>
      <c r="K1735" s="10"/>
      <c r="L1735" s="10"/>
      <c r="M1735" s="10"/>
      <c r="N1735" s="10"/>
      <c r="O1735" s="21"/>
    </row>
    <row r="1736" spans="1:15" x14ac:dyDescent="0.35">
      <c r="A1736" s="15">
        <f t="shared" si="26"/>
        <v>1734</v>
      </c>
      <c r="B1736" s="16"/>
      <c r="C1736" s="19"/>
      <c r="D1736" s="10"/>
      <c r="E1736" s="10"/>
      <c r="F1736" s="47"/>
      <c r="G1736" s="10"/>
      <c r="H1736" s="20"/>
      <c r="I1736" s="20"/>
      <c r="J1736" s="10"/>
      <c r="K1736" s="10"/>
      <c r="L1736" s="10"/>
      <c r="M1736" s="10"/>
      <c r="N1736" s="10"/>
      <c r="O1736" s="21"/>
    </row>
    <row r="1737" spans="1:15" x14ac:dyDescent="0.35">
      <c r="A1737" s="15">
        <f t="shared" si="26"/>
        <v>1735</v>
      </c>
      <c r="B1737" s="16"/>
      <c r="C1737" s="19"/>
      <c r="D1737" s="10"/>
      <c r="E1737" s="10"/>
      <c r="F1737" s="47"/>
      <c r="G1737" s="10"/>
      <c r="H1737" s="20"/>
      <c r="I1737" s="20"/>
      <c r="J1737" s="10"/>
      <c r="K1737" s="10"/>
      <c r="L1737" s="10"/>
      <c r="M1737" s="10"/>
      <c r="N1737" s="10"/>
      <c r="O1737" s="21"/>
    </row>
    <row r="1738" spans="1:15" x14ac:dyDescent="0.35">
      <c r="A1738" s="15">
        <f t="shared" si="26"/>
        <v>1736</v>
      </c>
      <c r="B1738" s="16"/>
      <c r="C1738" s="19"/>
      <c r="D1738" s="10"/>
      <c r="E1738" s="10"/>
      <c r="F1738" s="47"/>
      <c r="G1738" s="10"/>
      <c r="H1738" s="20"/>
      <c r="I1738" s="20"/>
      <c r="J1738" s="10"/>
      <c r="K1738" s="10"/>
      <c r="L1738" s="10"/>
      <c r="M1738" s="10"/>
      <c r="N1738" s="10"/>
      <c r="O1738" s="21"/>
    </row>
    <row r="1739" spans="1:15" x14ac:dyDescent="0.35">
      <c r="A1739" s="15">
        <f t="shared" ref="A1739:A1802" si="27">+A1738+1</f>
        <v>1737</v>
      </c>
      <c r="B1739" s="16"/>
      <c r="C1739" s="19"/>
      <c r="D1739" s="10"/>
      <c r="E1739" s="10"/>
      <c r="F1739" s="47"/>
      <c r="G1739" s="10"/>
      <c r="H1739" s="20"/>
      <c r="I1739" s="20"/>
      <c r="J1739" s="10"/>
      <c r="K1739" s="10"/>
      <c r="L1739" s="10"/>
      <c r="M1739" s="10"/>
      <c r="N1739" s="10"/>
      <c r="O1739" s="21"/>
    </row>
    <row r="1740" spans="1:15" x14ac:dyDescent="0.35">
      <c r="A1740" s="15">
        <f t="shared" si="27"/>
        <v>1738</v>
      </c>
      <c r="B1740" s="16"/>
      <c r="C1740" s="19"/>
      <c r="D1740" s="10"/>
      <c r="E1740" s="10"/>
      <c r="F1740" s="47"/>
      <c r="G1740" s="10"/>
      <c r="H1740" s="20"/>
      <c r="I1740" s="20"/>
      <c r="J1740" s="10"/>
      <c r="K1740" s="10"/>
      <c r="L1740" s="10"/>
      <c r="M1740" s="10"/>
      <c r="N1740" s="10"/>
      <c r="O1740" s="21"/>
    </row>
    <row r="1741" spans="1:15" x14ac:dyDescent="0.35">
      <c r="A1741" s="15">
        <f t="shared" si="27"/>
        <v>1739</v>
      </c>
      <c r="B1741" s="16"/>
      <c r="C1741" s="19"/>
      <c r="D1741" s="10"/>
      <c r="E1741" s="10"/>
      <c r="F1741" s="47"/>
      <c r="G1741" s="10"/>
      <c r="H1741" s="20"/>
      <c r="I1741" s="20"/>
      <c r="J1741" s="10"/>
      <c r="K1741" s="10"/>
      <c r="L1741" s="10"/>
      <c r="M1741" s="10"/>
      <c r="N1741" s="10"/>
      <c r="O1741" s="21"/>
    </row>
    <row r="1742" spans="1:15" x14ac:dyDescent="0.35">
      <c r="A1742" s="15">
        <f t="shared" si="27"/>
        <v>1740</v>
      </c>
      <c r="B1742" s="16"/>
      <c r="C1742" s="19"/>
      <c r="D1742" s="10"/>
      <c r="E1742" s="10"/>
      <c r="F1742" s="47"/>
      <c r="G1742" s="10"/>
      <c r="H1742" s="20"/>
      <c r="I1742" s="20"/>
      <c r="J1742" s="10"/>
      <c r="K1742" s="10"/>
      <c r="L1742" s="10"/>
      <c r="M1742" s="10"/>
      <c r="N1742" s="10"/>
      <c r="O1742" s="21"/>
    </row>
    <row r="1743" spans="1:15" x14ac:dyDescent="0.35">
      <c r="A1743" s="15">
        <f t="shared" si="27"/>
        <v>1741</v>
      </c>
      <c r="B1743" s="16"/>
      <c r="C1743" s="19"/>
      <c r="D1743" s="10"/>
      <c r="E1743" s="10"/>
      <c r="F1743" s="47"/>
      <c r="G1743" s="10"/>
      <c r="H1743" s="20"/>
      <c r="I1743" s="20"/>
      <c r="J1743" s="10"/>
      <c r="K1743" s="10"/>
      <c r="L1743" s="10"/>
      <c r="M1743" s="10"/>
      <c r="N1743" s="10"/>
      <c r="O1743" s="21"/>
    </row>
    <row r="1744" spans="1:15" x14ac:dyDescent="0.35">
      <c r="A1744" s="15">
        <f t="shared" si="27"/>
        <v>1742</v>
      </c>
      <c r="B1744" s="16"/>
      <c r="C1744" s="19"/>
      <c r="D1744" s="10"/>
      <c r="E1744" s="10"/>
      <c r="F1744" s="47"/>
      <c r="G1744" s="10"/>
      <c r="H1744" s="20"/>
      <c r="I1744" s="20"/>
      <c r="J1744" s="10"/>
      <c r="K1744" s="10"/>
      <c r="L1744" s="10"/>
      <c r="M1744" s="10"/>
      <c r="N1744" s="10"/>
      <c r="O1744" s="21"/>
    </row>
    <row r="1745" spans="1:15" x14ac:dyDescent="0.35">
      <c r="A1745" s="15">
        <f t="shared" si="27"/>
        <v>1743</v>
      </c>
      <c r="B1745" s="16"/>
      <c r="C1745" s="19"/>
      <c r="D1745" s="10"/>
      <c r="E1745" s="10"/>
      <c r="F1745" s="47"/>
      <c r="G1745" s="10"/>
      <c r="H1745" s="20"/>
      <c r="I1745" s="20"/>
      <c r="J1745" s="10"/>
      <c r="K1745" s="10"/>
      <c r="L1745" s="10"/>
      <c r="M1745" s="10"/>
      <c r="N1745" s="10"/>
      <c r="O1745" s="21"/>
    </row>
    <row r="1746" spans="1:15" x14ac:dyDescent="0.35">
      <c r="A1746" s="15">
        <f t="shared" si="27"/>
        <v>1744</v>
      </c>
      <c r="B1746" s="16"/>
      <c r="C1746" s="19"/>
      <c r="D1746" s="10"/>
      <c r="E1746" s="10"/>
      <c r="F1746" s="47"/>
      <c r="G1746" s="10"/>
      <c r="H1746" s="20"/>
      <c r="I1746" s="20"/>
      <c r="J1746" s="10"/>
      <c r="K1746" s="10"/>
      <c r="L1746" s="10"/>
      <c r="M1746" s="10"/>
      <c r="N1746" s="10"/>
      <c r="O1746" s="21"/>
    </row>
    <row r="1747" spans="1:15" x14ac:dyDescent="0.35">
      <c r="A1747" s="15">
        <f t="shared" si="27"/>
        <v>1745</v>
      </c>
      <c r="B1747" s="16"/>
      <c r="C1747" s="19"/>
      <c r="D1747" s="10"/>
      <c r="E1747" s="10"/>
      <c r="F1747" s="47"/>
      <c r="G1747" s="10"/>
      <c r="H1747" s="20"/>
      <c r="I1747" s="20"/>
      <c r="J1747" s="10"/>
      <c r="K1747" s="10"/>
      <c r="L1747" s="10"/>
      <c r="M1747" s="10"/>
      <c r="N1747" s="10"/>
      <c r="O1747" s="21"/>
    </row>
    <row r="1748" spans="1:15" x14ac:dyDescent="0.35">
      <c r="A1748" s="15">
        <f t="shared" si="27"/>
        <v>1746</v>
      </c>
      <c r="B1748" s="16"/>
      <c r="C1748" s="19"/>
      <c r="D1748" s="10"/>
      <c r="E1748" s="10"/>
      <c r="F1748" s="47"/>
      <c r="G1748" s="10"/>
      <c r="H1748" s="20"/>
      <c r="I1748" s="20"/>
      <c r="J1748" s="10"/>
      <c r="K1748" s="10"/>
      <c r="L1748" s="10"/>
      <c r="M1748" s="10"/>
      <c r="N1748" s="10"/>
      <c r="O1748" s="21"/>
    </row>
    <row r="1749" spans="1:15" x14ac:dyDescent="0.35">
      <c r="A1749" s="15">
        <f t="shared" si="27"/>
        <v>1747</v>
      </c>
      <c r="B1749" s="16"/>
      <c r="C1749" s="19"/>
      <c r="D1749" s="10"/>
      <c r="E1749" s="10"/>
      <c r="F1749" s="47"/>
      <c r="G1749" s="10"/>
      <c r="H1749" s="20"/>
      <c r="I1749" s="20"/>
      <c r="J1749" s="10"/>
      <c r="K1749" s="10"/>
      <c r="L1749" s="10"/>
      <c r="M1749" s="10"/>
      <c r="N1749" s="10"/>
      <c r="O1749" s="21"/>
    </row>
    <row r="1750" spans="1:15" x14ac:dyDescent="0.35">
      <c r="A1750" s="15">
        <f t="shared" si="27"/>
        <v>1748</v>
      </c>
      <c r="B1750" s="16"/>
      <c r="C1750" s="19"/>
      <c r="D1750" s="10"/>
      <c r="E1750" s="10"/>
      <c r="F1750" s="47"/>
      <c r="G1750" s="10"/>
      <c r="H1750" s="20"/>
      <c r="I1750" s="20"/>
      <c r="J1750" s="10"/>
      <c r="K1750" s="10"/>
      <c r="L1750" s="10"/>
      <c r="M1750" s="10"/>
      <c r="N1750" s="10"/>
      <c r="O1750" s="21"/>
    </row>
    <row r="1751" spans="1:15" x14ac:dyDescent="0.35">
      <c r="A1751" s="15">
        <f t="shared" si="27"/>
        <v>1749</v>
      </c>
      <c r="B1751" s="16"/>
      <c r="C1751" s="19"/>
      <c r="D1751" s="10"/>
      <c r="E1751" s="10"/>
      <c r="F1751" s="47"/>
      <c r="G1751" s="10"/>
      <c r="H1751" s="20"/>
      <c r="I1751" s="20"/>
      <c r="J1751" s="10"/>
      <c r="K1751" s="10"/>
      <c r="L1751" s="10"/>
      <c r="M1751" s="10"/>
      <c r="N1751" s="10"/>
      <c r="O1751" s="21"/>
    </row>
    <row r="1752" spans="1:15" x14ac:dyDescent="0.35">
      <c r="A1752" s="15">
        <f t="shared" si="27"/>
        <v>1750</v>
      </c>
      <c r="B1752" s="16"/>
      <c r="C1752" s="19"/>
      <c r="D1752" s="10"/>
      <c r="E1752" s="10"/>
      <c r="F1752" s="47"/>
      <c r="G1752" s="10"/>
      <c r="H1752" s="20"/>
      <c r="I1752" s="20"/>
      <c r="J1752" s="10"/>
      <c r="K1752" s="10"/>
      <c r="L1752" s="10"/>
      <c r="M1752" s="10"/>
      <c r="N1752" s="10"/>
      <c r="O1752" s="21"/>
    </row>
    <row r="1753" spans="1:15" x14ac:dyDescent="0.35">
      <c r="A1753" s="15">
        <f t="shared" si="27"/>
        <v>1751</v>
      </c>
      <c r="B1753" s="16"/>
      <c r="C1753" s="19"/>
      <c r="D1753" s="10"/>
      <c r="E1753" s="10"/>
      <c r="F1753" s="47"/>
      <c r="G1753" s="10"/>
      <c r="H1753" s="20"/>
      <c r="I1753" s="20"/>
      <c r="J1753" s="10"/>
      <c r="K1753" s="10"/>
      <c r="L1753" s="10"/>
      <c r="M1753" s="10"/>
      <c r="N1753" s="10"/>
      <c r="O1753" s="21"/>
    </row>
    <row r="1754" spans="1:15" x14ac:dyDescent="0.35">
      <c r="A1754" s="15">
        <f t="shared" si="27"/>
        <v>1752</v>
      </c>
      <c r="B1754" s="16"/>
      <c r="C1754" s="19"/>
      <c r="D1754" s="10"/>
      <c r="E1754" s="10"/>
      <c r="F1754" s="47"/>
      <c r="G1754" s="10"/>
      <c r="H1754" s="20"/>
      <c r="I1754" s="20"/>
      <c r="J1754" s="10"/>
      <c r="K1754" s="10"/>
      <c r="L1754" s="10"/>
      <c r="M1754" s="10"/>
      <c r="N1754" s="10"/>
      <c r="O1754" s="21"/>
    </row>
    <row r="1755" spans="1:15" x14ac:dyDescent="0.35">
      <c r="A1755" s="15">
        <f t="shared" si="27"/>
        <v>1753</v>
      </c>
      <c r="B1755" s="16"/>
      <c r="C1755" s="19"/>
      <c r="D1755" s="10"/>
      <c r="E1755" s="10"/>
      <c r="F1755" s="47"/>
      <c r="G1755" s="10"/>
      <c r="H1755" s="20"/>
      <c r="I1755" s="20"/>
      <c r="J1755" s="10"/>
      <c r="K1755" s="10"/>
      <c r="L1755" s="10"/>
      <c r="M1755" s="10"/>
      <c r="N1755" s="10"/>
      <c r="O1755" s="21"/>
    </row>
    <row r="1756" spans="1:15" x14ac:dyDescent="0.35">
      <c r="A1756" s="15">
        <f t="shared" si="27"/>
        <v>1754</v>
      </c>
      <c r="B1756" s="16"/>
      <c r="C1756" s="19"/>
      <c r="D1756" s="10"/>
      <c r="E1756" s="10"/>
      <c r="F1756" s="47"/>
      <c r="G1756" s="10"/>
      <c r="H1756" s="20"/>
      <c r="I1756" s="20"/>
      <c r="J1756" s="10"/>
      <c r="K1756" s="10"/>
      <c r="L1756" s="10"/>
      <c r="M1756" s="10"/>
      <c r="N1756" s="10"/>
      <c r="O1756" s="21"/>
    </row>
    <row r="1757" spans="1:15" x14ac:dyDescent="0.35">
      <c r="A1757" s="15">
        <f t="shared" si="27"/>
        <v>1755</v>
      </c>
      <c r="B1757" s="16"/>
      <c r="C1757" s="19"/>
      <c r="D1757" s="10"/>
      <c r="E1757" s="10"/>
      <c r="F1757" s="47"/>
      <c r="G1757" s="10"/>
      <c r="H1757" s="20"/>
      <c r="I1757" s="20"/>
      <c r="J1757" s="10"/>
      <c r="K1757" s="10"/>
      <c r="L1757" s="10"/>
      <c r="M1757" s="10"/>
      <c r="N1757" s="10"/>
      <c r="O1757" s="21"/>
    </row>
    <row r="1758" spans="1:15" x14ac:dyDescent="0.35">
      <c r="A1758" s="15">
        <f t="shared" si="27"/>
        <v>1756</v>
      </c>
      <c r="B1758" s="16"/>
      <c r="C1758" s="19"/>
      <c r="D1758" s="10"/>
      <c r="E1758" s="10"/>
      <c r="F1758" s="47"/>
      <c r="G1758" s="10"/>
      <c r="H1758" s="20"/>
      <c r="I1758" s="20"/>
      <c r="J1758" s="10"/>
      <c r="K1758" s="10"/>
      <c r="L1758" s="10"/>
      <c r="M1758" s="10"/>
      <c r="N1758" s="10"/>
      <c r="O1758" s="21"/>
    </row>
    <row r="1759" spans="1:15" x14ac:dyDescent="0.35">
      <c r="A1759" s="15">
        <f t="shared" si="27"/>
        <v>1757</v>
      </c>
      <c r="B1759" s="16"/>
      <c r="C1759" s="19"/>
      <c r="D1759" s="10"/>
      <c r="E1759" s="10"/>
      <c r="F1759" s="47"/>
      <c r="G1759" s="10"/>
      <c r="H1759" s="20"/>
      <c r="I1759" s="20"/>
      <c r="J1759" s="10"/>
      <c r="K1759" s="10"/>
      <c r="L1759" s="10"/>
      <c r="M1759" s="10"/>
      <c r="N1759" s="10"/>
      <c r="O1759" s="21"/>
    </row>
    <row r="1760" spans="1:15" x14ac:dyDescent="0.35">
      <c r="A1760" s="15">
        <f t="shared" si="27"/>
        <v>1758</v>
      </c>
      <c r="B1760" s="16"/>
      <c r="C1760" s="19"/>
      <c r="D1760" s="10"/>
      <c r="E1760" s="10"/>
      <c r="F1760" s="47"/>
      <c r="G1760" s="10"/>
      <c r="H1760" s="20"/>
      <c r="I1760" s="20"/>
      <c r="J1760" s="10"/>
      <c r="K1760" s="10"/>
      <c r="L1760" s="10"/>
      <c r="M1760" s="10"/>
      <c r="N1760" s="10"/>
      <c r="O1760" s="21"/>
    </row>
    <row r="1761" spans="1:15" x14ac:dyDescent="0.35">
      <c r="A1761" s="15">
        <f t="shared" si="27"/>
        <v>1759</v>
      </c>
      <c r="B1761" s="16"/>
      <c r="C1761" s="19"/>
      <c r="D1761" s="10"/>
      <c r="E1761" s="10"/>
      <c r="F1761" s="47"/>
      <c r="G1761" s="10"/>
      <c r="H1761" s="20"/>
      <c r="I1761" s="20"/>
      <c r="J1761" s="10"/>
      <c r="K1761" s="10"/>
      <c r="L1761" s="10"/>
      <c r="M1761" s="10"/>
      <c r="N1761" s="10"/>
      <c r="O1761" s="21"/>
    </row>
    <row r="1762" spans="1:15" x14ac:dyDescent="0.35">
      <c r="A1762" s="15">
        <f t="shared" si="27"/>
        <v>1760</v>
      </c>
      <c r="B1762" s="16"/>
      <c r="C1762" s="19"/>
      <c r="D1762" s="10"/>
      <c r="E1762" s="10"/>
      <c r="F1762" s="47"/>
      <c r="G1762" s="10"/>
      <c r="H1762" s="20"/>
      <c r="I1762" s="20"/>
      <c r="J1762" s="10"/>
      <c r="K1762" s="10"/>
      <c r="L1762" s="10"/>
      <c r="M1762" s="10"/>
      <c r="N1762" s="10"/>
      <c r="O1762" s="21"/>
    </row>
    <row r="1763" spans="1:15" x14ac:dyDescent="0.35">
      <c r="A1763" s="15">
        <f t="shared" si="27"/>
        <v>1761</v>
      </c>
      <c r="B1763" s="16"/>
      <c r="C1763" s="19"/>
      <c r="D1763" s="10"/>
      <c r="E1763" s="10"/>
      <c r="F1763" s="47"/>
      <c r="G1763" s="10"/>
      <c r="H1763" s="20"/>
      <c r="I1763" s="20"/>
      <c r="J1763" s="10"/>
      <c r="K1763" s="10"/>
      <c r="L1763" s="10"/>
      <c r="M1763" s="10"/>
      <c r="N1763" s="10"/>
      <c r="O1763" s="21"/>
    </row>
    <row r="1764" spans="1:15" x14ac:dyDescent="0.35">
      <c r="A1764" s="15">
        <f t="shared" si="27"/>
        <v>1762</v>
      </c>
      <c r="B1764" s="16"/>
      <c r="C1764" s="19"/>
      <c r="D1764" s="10"/>
      <c r="E1764" s="10"/>
      <c r="F1764" s="47"/>
      <c r="G1764" s="10"/>
      <c r="H1764" s="20"/>
      <c r="I1764" s="20"/>
      <c r="J1764" s="10"/>
      <c r="K1764" s="10"/>
      <c r="L1764" s="10"/>
      <c r="M1764" s="10"/>
      <c r="N1764" s="10"/>
      <c r="O1764" s="21"/>
    </row>
    <row r="1765" spans="1:15" x14ac:dyDescent="0.35">
      <c r="A1765" s="15">
        <f t="shared" si="27"/>
        <v>1763</v>
      </c>
      <c r="B1765" s="16"/>
      <c r="C1765" s="19"/>
      <c r="D1765" s="10"/>
      <c r="E1765" s="10"/>
      <c r="F1765" s="47"/>
      <c r="G1765" s="10"/>
      <c r="H1765" s="20"/>
      <c r="I1765" s="20"/>
      <c r="J1765" s="10"/>
      <c r="K1765" s="10"/>
      <c r="L1765" s="10"/>
      <c r="M1765" s="10"/>
      <c r="N1765" s="10"/>
      <c r="O1765" s="21"/>
    </row>
    <row r="1766" spans="1:15" x14ac:dyDescent="0.35">
      <c r="A1766" s="15">
        <f t="shared" si="27"/>
        <v>1764</v>
      </c>
      <c r="B1766" s="16"/>
      <c r="C1766" s="19"/>
      <c r="D1766" s="10"/>
      <c r="E1766" s="10"/>
      <c r="F1766" s="47"/>
      <c r="G1766" s="10"/>
      <c r="H1766" s="20"/>
      <c r="I1766" s="20"/>
      <c r="J1766" s="10"/>
      <c r="K1766" s="10"/>
      <c r="L1766" s="10"/>
      <c r="M1766" s="10"/>
      <c r="N1766" s="10"/>
      <c r="O1766" s="21"/>
    </row>
    <row r="1767" spans="1:15" x14ac:dyDescent="0.35">
      <c r="A1767" s="15">
        <f t="shared" si="27"/>
        <v>1765</v>
      </c>
      <c r="B1767" s="16"/>
      <c r="C1767" s="19"/>
      <c r="D1767" s="10"/>
      <c r="E1767" s="10"/>
      <c r="F1767" s="47"/>
      <c r="G1767" s="10"/>
      <c r="H1767" s="20"/>
      <c r="I1767" s="20"/>
      <c r="J1767" s="10"/>
      <c r="K1767" s="10"/>
      <c r="L1767" s="10"/>
      <c r="M1767" s="10"/>
      <c r="N1767" s="10"/>
      <c r="O1767" s="21"/>
    </row>
    <row r="1768" spans="1:15" x14ac:dyDescent="0.35">
      <c r="A1768" s="15">
        <f t="shared" si="27"/>
        <v>1766</v>
      </c>
      <c r="B1768" s="16"/>
      <c r="C1768" s="19"/>
      <c r="D1768" s="10"/>
      <c r="E1768" s="10"/>
      <c r="F1768" s="47"/>
      <c r="G1768" s="10"/>
      <c r="H1768" s="20"/>
      <c r="I1768" s="20"/>
      <c r="J1768" s="10"/>
      <c r="K1768" s="10"/>
      <c r="L1768" s="10"/>
      <c r="M1768" s="10"/>
      <c r="N1768" s="10"/>
      <c r="O1768" s="21"/>
    </row>
    <row r="1769" spans="1:15" x14ac:dyDescent="0.35">
      <c r="A1769" s="15">
        <f t="shared" si="27"/>
        <v>1767</v>
      </c>
      <c r="B1769" s="16"/>
      <c r="C1769" s="19"/>
      <c r="D1769" s="10"/>
      <c r="E1769" s="10"/>
      <c r="F1769" s="47"/>
      <c r="G1769" s="10"/>
      <c r="H1769" s="20"/>
      <c r="I1769" s="20"/>
      <c r="J1769" s="10"/>
      <c r="K1769" s="10"/>
      <c r="L1769" s="10"/>
      <c r="M1769" s="10"/>
      <c r="N1769" s="10"/>
      <c r="O1769" s="21"/>
    </row>
    <row r="1770" spans="1:15" x14ac:dyDescent="0.35">
      <c r="A1770" s="15">
        <f t="shared" si="27"/>
        <v>1768</v>
      </c>
      <c r="B1770" s="16"/>
      <c r="C1770" s="19"/>
      <c r="D1770" s="10"/>
      <c r="E1770" s="10"/>
      <c r="F1770" s="47"/>
      <c r="G1770" s="10"/>
      <c r="H1770" s="20"/>
      <c r="I1770" s="20"/>
      <c r="J1770" s="10"/>
      <c r="K1770" s="10"/>
      <c r="L1770" s="10"/>
      <c r="M1770" s="10"/>
      <c r="N1770" s="10"/>
      <c r="O1770" s="21"/>
    </row>
    <row r="1771" spans="1:15" x14ac:dyDescent="0.35">
      <c r="A1771" s="15">
        <f t="shared" si="27"/>
        <v>1769</v>
      </c>
      <c r="B1771" s="16"/>
      <c r="C1771" s="19"/>
      <c r="D1771" s="10"/>
      <c r="E1771" s="10"/>
      <c r="F1771" s="47"/>
      <c r="G1771" s="10"/>
      <c r="H1771" s="20"/>
      <c r="I1771" s="20"/>
      <c r="J1771" s="10"/>
      <c r="K1771" s="10"/>
      <c r="L1771" s="10"/>
      <c r="M1771" s="10"/>
      <c r="N1771" s="10"/>
      <c r="O1771" s="21"/>
    </row>
    <row r="1772" spans="1:15" x14ac:dyDescent="0.35">
      <c r="A1772" s="15">
        <f t="shared" si="27"/>
        <v>1770</v>
      </c>
      <c r="B1772" s="16"/>
      <c r="C1772" s="19"/>
      <c r="D1772" s="10"/>
      <c r="E1772" s="10"/>
      <c r="F1772" s="47"/>
      <c r="G1772" s="10"/>
      <c r="H1772" s="20"/>
      <c r="I1772" s="20"/>
      <c r="J1772" s="10"/>
      <c r="K1772" s="10"/>
      <c r="L1772" s="10"/>
      <c r="M1772" s="10"/>
      <c r="N1772" s="10"/>
      <c r="O1772" s="21"/>
    </row>
    <row r="1773" spans="1:15" x14ac:dyDescent="0.35">
      <c r="A1773" s="15">
        <f t="shared" si="27"/>
        <v>1771</v>
      </c>
      <c r="B1773" s="16"/>
      <c r="C1773" s="19"/>
      <c r="D1773" s="10"/>
      <c r="E1773" s="10"/>
      <c r="F1773" s="47"/>
      <c r="G1773" s="10"/>
      <c r="H1773" s="20"/>
      <c r="I1773" s="20"/>
      <c r="J1773" s="10"/>
      <c r="K1773" s="10"/>
      <c r="L1773" s="10"/>
      <c r="M1773" s="10"/>
      <c r="N1773" s="10"/>
      <c r="O1773" s="21"/>
    </row>
    <row r="1774" spans="1:15" x14ac:dyDescent="0.35">
      <c r="A1774" s="15">
        <f t="shared" si="27"/>
        <v>1772</v>
      </c>
      <c r="B1774" s="16"/>
      <c r="C1774" s="19"/>
      <c r="D1774" s="10"/>
      <c r="E1774" s="10"/>
      <c r="F1774" s="47"/>
      <c r="G1774" s="10"/>
      <c r="H1774" s="20"/>
      <c r="I1774" s="20"/>
      <c r="J1774" s="10"/>
      <c r="K1774" s="10"/>
      <c r="L1774" s="10"/>
      <c r="M1774" s="10"/>
      <c r="N1774" s="10"/>
      <c r="O1774" s="21"/>
    </row>
    <row r="1775" spans="1:15" x14ac:dyDescent="0.35">
      <c r="A1775" s="15">
        <f t="shared" si="27"/>
        <v>1773</v>
      </c>
      <c r="B1775" s="16"/>
      <c r="C1775" s="19"/>
      <c r="D1775" s="10"/>
      <c r="E1775" s="10"/>
      <c r="F1775" s="47"/>
      <c r="G1775" s="10"/>
      <c r="H1775" s="20"/>
      <c r="I1775" s="20"/>
      <c r="J1775" s="10"/>
      <c r="K1775" s="10"/>
      <c r="L1775" s="10"/>
      <c r="M1775" s="10"/>
      <c r="N1775" s="10"/>
      <c r="O1775" s="21"/>
    </row>
    <row r="1776" spans="1:15" x14ac:dyDescent="0.35">
      <c r="A1776" s="15">
        <f t="shared" si="27"/>
        <v>1774</v>
      </c>
      <c r="B1776" s="16"/>
      <c r="C1776" s="19"/>
      <c r="D1776" s="10"/>
      <c r="E1776" s="10"/>
      <c r="F1776" s="47"/>
      <c r="G1776" s="10"/>
      <c r="H1776" s="20"/>
      <c r="I1776" s="20"/>
      <c r="J1776" s="10"/>
      <c r="K1776" s="10"/>
      <c r="L1776" s="10"/>
      <c r="M1776" s="10"/>
      <c r="N1776" s="10"/>
      <c r="O1776" s="21"/>
    </row>
    <row r="1777" spans="1:15" x14ac:dyDescent="0.35">
      <c r="A1777" s="15">
        <f t="shared" si="27"/>
        <v>1775</v>
      </c>
      <c r="B1777" s="16"/>
      <c r="C1777" s="19"/>
      <c r="D1777" s="10"/>
      <c r="E1777" s="10"/>
      <c r="F1777" s="47"/>
      <c r="G1777" s="10"/>
      <c r="H1777" s="20"/>
      <c r="I1777" s="20"/>
      <c r="J1777" s="10"/>
      <c r="K1777" s="10"/>
      <c r="L1777" s="10"/>
      <c r="M1777" s="10"/>
      <c r="N1777" s="10"/>
      <c r="O1777" s="21"/>
    </row>
    <row r="1778" spans="1:15" x14ac:dyDescent="0.35">
      <c r="A1778" s="15">
        <f t="shared" si="27"/>
        <v>1776</v>
      </c>
      <c r="B1778" s="16"/>
      <c r="C1778" s="19"/>
      <c r="D1778" s="10"/>
      <c r="E1778" s="10"/>
      <c r="F1778" s="47"/>
      <c r="G1778" s="10"/>
      <c r="H1778" s="20"/>
      <c r="I1778" s="20"/>
      <c r="J1778" s="10"/>
      <c r="K1778" s="10"/>
      <c r="L1778" s="10"/>
      <c r="M1778" s="10"/>
      <c r="N1778" s="10"/>
      <c r="O1778" s="21"/>
    </row>
    <row r="1779" spans="1:15" x14ac:dyDescent="0.35">
      <c r="A1779" s="15">
        <f t="shared" si="27"/>
        <v>1777</v>
      </c>
      <c r="B1779" s="16"/>
      <c r="C1779" s="19"/>
      <c r="D1779" s="10"/>
      <c r="E1779" s="10"/>
      <c r="F1779" s="47"/>
      <c r="G1779" s="10"/>
      <c r="H1779" s="20"/>
      <c r="I1779" s="20"/>
      <c r="J1779" s="10"/>
      <c r="K1779" s="10"/>
      <c r="L1779" s="10"/>
      <c r="M1779" s="10"/>
      <c r="N1779" s="10"/>
      <c r="O1779" s="21"/>
    </row>
    <row r="1780" spans="1:15" x14ac:dyDescent="0.35">
      <c r="A1780" s="15">
        <f t="shared" si="27"/>
        <v>1778</v>
      </c>
      <c r="B1780" s="16"/>
      <c r="C1780" s="19"/>
      <c r="D1780" s="10"/>
      <c r="E1780" s="10"/>
      <c r="F1780" s="47"/>
      <c r="G1780" s="10"/>
      <c r="H1780" s="20"/>
      <c r="I1780" s="20"/>
      <c r="J1780" s="10"/>
      <c r="K1780" s="10"/>
      <c r="L1780" s="10"/>
      <c r="M1780" s="10"/>
      <c r="N1780" s="10"/>
      <c r="O1780" s="21"/>
    </row>
    <row r="1781" spans="1:15" x14ac:dyDescent="0.35">
      <c r="A1781" s="15">
        <f t="shared" si="27"/>
        <v>1779</v>
      </c>
      <c r="B1781" s="16"/>
      <c r="C1781" s="19"/>
      <c r="D1781" s="10"/>
      <c r="E1781" s="10"/>
      <c r="F1781" s="47"/>
      <c r="G1781" s="10"/>
      <c r="H1781" s="20"/>
      <c r="I1781" s="20"/>
      <c r="J1781" s="10"/>
      <c r="K1781" s="10"/>
      <c r="L1781" s="10"/>
      <c r="M1781" s="10"/>
      <c r="N1781" s="10"/>
      <c r="O1781" s="21"/>
    </row>
    <row r="1782" spans="1:15" x14ac:dyDescent="0.35">
      <c r="A1782" s="15">
        <f t="shared" si="27"/>
        <v>1780</v>
      </c>
      <c r="B1782" s="16"/>
      <c r="C1782" s="19"/>
      <c r="D1782" s="10"/>
      <c r="E1782" s="10"/>
      <c r="F1782" s="47"/>
      <c r="G1782" s="10"/>
      <c r="H1782" s="20"/>
      <c r="I1782" s="20"/>
      <c r="J1782" s="10"/>
      <c r="K1782" s="10"/>
      <c r="L1782" s="10"/>
      <c r="M1782" s="10"/>
      <c r="N1782" s="10"/>
      <c r="O1782" s="21"/>
    </row>
    <row r="1783" spans="1:15" x14ac:dyDescent="0.35">
      <c r="A1783" s="15">
        <f t="shared" si="27"/>
        <v>1781</v>
      </c>
      <c r="B1783" s="16"/>
      <c r="C1783" s="19"/>
      <c r="D1783" s="10"/>
      <c r="E1783" s="10"/>
      <c r="F1783" s="47"/>
      <c r="G1783" s="10"/>
      <c r="H1783" s="20"/>
      <c r="I1783" s="20"/>
      <c r="J1783" s="10"/>
      <c r="K1783" s="10"/>
      <c r="L1783" s="10"/>
      <c r="M1783" s="10"/>
      <c r="N1783" s="10"/>
      <c r="O1783" s="21"/>
    </row>
    <row r="1784" spans="1:15" x14ac:dyDescent="0.35">
      <c r="A1784" s="15">
        <f t="shared" si="27"/>
        <v>1782</v>
      </c>
      <c r="B1784" s="16"/>
      <c r="C1784" s="19"/>
      <c r="D1784" s="10"/>
      <c r="E1784" s="10"/>
      <c r="F1784" s="47"/>
      <c r="G1784" s="10"/>
      <c r="H1784" s="20"/>
      <c r="I1784" s="20"/>
      <c r="J1784" s="10"/>
      <c r="K1784" s="10"/>
      <c r="L1784" s="10"/>
      <c r="M1784" s="10"/>
      <c r="N1784" s="10"/>
      <c r="O1784" s="21"/>
    </row>
    <row r="1785" spans="1:15" x14ac:dyDescent="0.35">
      <c r="A1785" s="15">
        <f t="shared" si="27"/>
        <v>1783</v>
      </c>
      <c r="B1785" s="16"/>
      <c r="C1785" s="19"/>
      <c r="D1785" s="10"/>
      <c r="E1785" s="10"/>
      <c r="F1785" s="47"/>
      <c r="G1785" s="10"/>
      <c r="H1785" s="20"/>
      <c r="I1785" s="20"/>
      <c r="J1785" s="10"/>
      <c r="K1785" s="10"/>
      <c r="L1785" s="10"/>
      <c r="M1785" s="10"/>
      <c r="N1785" s="10"/>
      <c r="O1785" s="21"/>
    </row>
    <row r="1786" spans="1:15" x14ac:dyDescent="0.35">
      <c r="A1786" s="15">
        <f t="shared" si="27"/>
        <v>1784</v>
      </c>
      <c r="B1786" s="16"/>
      <c r="C1786" s="19"/>
      <c r="D1786" s="10"/>
      <c r="E1786" s="10"/>
      <c r="F1786" s="47"/>
      <c r="G1786" s="10"/>
      <c r="H1786" s="20"/>
      <c r="I1786" s="20"/>
      <c r="J1786" s="10"/>
      <c r="K1786" s="10"/>
      <c r="L1786" s="10"/>
      <c r="M1786" s="10"/>
      <c r="N1786" s="10"/>
      <c r="O1786" s="21"/>
    </row>
    <row r="1787" spans="1:15" x14ac:dyDescent="0.35">
      <c r="A1787" s="15">
        <f t="shared" si="27"/>
        <v>1785</v>
      </c>
      <c r="B1787" s="16"/>
      <c r="C1787" s="19"/>
      <c r="D1787" s="10"/>
      <c r="E1787" s="10"/>
      <c r="F1787" s="47"/>
      <c r="G1787" s="10"/>
      <c r="H1787" s="20"/>
      <c r="I1787" s="20"/>
      <c r="J1787" s="10"/>
      <c r="K1787" s="10"/>
      <c r="L1787" s="10"/>
      <c r="M1787" s="10"/>
      <c r="N1787" s="10"/>
      <c r="O1787" s="21"/>
    </row>
    <row r="1788" spans="1:15" x14ac:dyDescent="0.35">
      <c r="A1788" s="15">
        <f t="shared" si="27"/>
        <v>1786</v>
      </c>
      <c r="B1788" s="16"/>
      <c r="C1788" s="19"/>
      <c r="D1788" s="10"/>
      <c r="E1788" s="10"/>
      <c r="F1788" s="47"/>
      <c r="G1788" s="10"/>
      <c r="H1788" s="20"/>
      <c r="I1788" s="20"/>
      <c r="J1788" s="10"/>
      <c r="K1788" s="10"/>
      <c r="L1788" s="10"/>
      <c r="M1788" s="10"/>
      <c r="N1788" s="10"/>
      <c r="O1788" s="21"/>
    </row>
    <row r="1789" spans="1:15" x14ac:dyDescent="0.35">
      <c r="A1789" s="15">
        <f t="shared" si="27"/>
        <v>1787</v>
      </c>
      <c r="B1789" s="16"/>
      <c r="C1789" s="19"/>
      <c r="D1789" s="10"/>
      <c r="E1789" s="10"/>
      <c r="F1789" s="47"/>
      <c r="G1789" s="10"/>
      <c r="H1789" s="20"/>
      <c r="I1789" s="20"/>
      <c r="J1789" s="10"/>
      <c r="K1789" s="10"/>
      <c r="L1789" s="10"/>
      <c r="M1789" s="10"/>
      <c r="N1789" s="10"/>
      <c r="O1789" s="21"/>
    </row>
    <row r="1790" spans="1:15" x14ac:dyDescent="0.35">
      <c r="A1790" s="15">
        <f t="shared" si="27"/>
        <v>1788</v>
      </c>
      <c r="B1790" s="16"/>
      <c r="C1790" s="19"/>
      <c r="D1790" s="10"/>
      <c r="E1790" s="10"/>
      <c r="F1790" s="47"/>
      <c r="G1790" s="10"/>
      <c r="H1790" s="20"/>
      <c r="I1790" s="20"/>
      <c r="J1790" s="10"/>
      <c r="K1790" s="10"/>
      <c r="L1790" s="10"/>
      <c r="M1790" s="10"/>
      <c r="N1790" s="10"/>
      <c r="O1790" s="21"/>
    </row>
    <row r="1791" spans="1:15" x14ac:dyDescent="0.35">
      <c r="A1791" s="15">
        <f t="shared" si="27"/>
        <v>1789</v>
      </c>
      <c r="B1791" s="16"/>
      <c r="C1791" s="19"/>
      <c r="D1791" s="10"/>
      <c r="E1791" s="10"/>
      <c r="F1791" s="47"/>
      <c r="G1791" s="10"/>
      <c r="H1791" s="20"/>
      <c r="I1791" s="20"/>
      <c r="J1791" s="10"/>
      <c r="K1791" s="10"/>
      <c r="L1791" s="10"/>
      <c r="M1791" s="10"/>
      <c r="N1791" s="10"/>
      <c r="O1791" s="21"/>
    </row>
    <row r="1792" spans="1:15" x14ac:dyDescent="0.35">
      <c r="A1792" s="15">
        <f t="shared" si="27"/>
        <v>1790</v>
      </c>
      <c r="B1792" s="16"/>
      <c r="C1792" s="19"/>
      <c r="D1792" s="10"/>
      <c r="E1792" s="10"/>
      <c r="F1792" s="47"/>
      <c r="G1792" s="10"/>
      <c r="H1792" s="20"/>
      <c r="I1792" s="20"/>
      <c r="J1792" s="10"/>
      <c r="K1792" s="10"/>
      <c r="L1792" s="10"/>
      <c r="M1792" s="10"/>
      <c r="N1792" s="10"/>
      <c r="O1792" s="21"/>
    </row>
    <row r="1793" spans="1:15" x14ac:dyDescent="0.35">
      <c r="A1793" s="15">
        <f t="shared" si="27"/>
        <v>1791</v>
      </c>
      <c r="B1793" s="16"/>
      <c r="C1793" s="19"/>
      <c r="D1793" s="10"/>
      <c r="E1793" s="10"/>
      <c r="F1793" s="47"/>
      <c r="G1793" s="10"/>
      <c r="H1793" s="20"/>
      <c r="I1793" s="20"/>
      <c r="J1793" s="10"/>
      <c r="K1793" s="10"/>
      <c r="L1793" s="10"/>
      <c r="M1793" s="10"/>
      <c r="N1793" s="10"/>
      <c r="O1793" s="21"/>
    </row>
    <row r="1794" spans="1:15" x14ac:dyDescent="0.35">
      <c r="A1794" s="15">
        <f t="shared" si="27"/>
        <v>1792</v>
      </c>
      <c r="B1794" s="16"/>
      <c r="C1794" s="19"/>
      <c r="D1794" s="10"/>
      <c r="E1794" s="10"/>
      <c r="F1794" s="47"/>
      <c r="G1794" s="10"/>
      <c r="H1794" s="20"/>
      <c r="I1794" s="20"/>
      <c r="J1794" s="10"/>
      <c r="K1794" s="10"/>
      <c r="L1794" s="10"/>
      <c r="M1794" s="10"/>
      <c r="N1794" s="10"/>
      <c r="O1794" s="21"/>
    </row>
    <row r="1795" spans="1:15" x14ac:dyDescent="0.35">
      <c r="A1795" s="15">
        <f t="shared" si="27"/>
        <v>1793</v>
      </c>
      <c r="B1795" s="16"/>
      <c r="C1795" s="19"/>
      <c r="D1795" s="10"/>
      <c r="E1795" s="10"/>
      <c r="F1795" s="47"/>
      <c r="G1795" s="10"/>
      <c r="H1795" s="20"/>
      <c r="I1795" s="20"/>
      <c r="J1795" s="10"/>
      <c r="K1795" s="10"/>
      <c r="L1795" s="10"/>
      <c r="M1795" s="10"/>
      <c r="N1795" s="10"/>
      <c r="O1795" s="21"/>
    </row>
    <row r="1796" spans="1:15" x14ac:dyDescent="0.35">
      <c r="A1796" s="15">
        <f t="shared" si="27"/>
        <v>1794</v>
      </c>
      <c r="B1796" s="16"/>
      <c r="C1796" s="19"/>
      <c r="D1796" s="10"/>
      <c r="E1796" s="10"/>
      <c r="F1796" s="47"/>
      <c r="G1796" s="10"/>
      <c r="H1796" s="20"/>
      <c r="I1796" s="20"/>
      <c r="J1796" s="10"/>
      <c r="K1796" s="10"/>
      <c r="L1796" s="10"/>
      <c r="M1796" s="10"/>
      <c r="N1796" s="10"/>
      <c r="O1796" s="21"/>
    </row>
    <row r="1797" spans="1:15" x14ac:dyDescent="0.35">
      <c r="A1797" s="15">
        <f t="shared" si="27"/>
        <v>1795</v>
      </c>
      <c r="B1797" s="16"/>
      <c r="C1797" s="19"/>
      <c r="D1797" s="10"/>
      <c r="E1797" s="10"/>
      <c r="F1797" s="47"/>
      <c r="G1797" s="10"/>
      <c r="H1797" s="20"/>
      <c r="I1797" s="20"/>
      <c r="J1797" s="10"/>
      <c r="K1797" s="10"/>
      <c r="L1797" s="10"/>
      <c r="M1797" s="10"/>
      <c r="N1797" s="10"/>
      <c r="O1797" s="21"/>
    </row>
    <row r="1798" spans="1:15" x14ac:dyDescent="0.35">
      <c r="A1798" s="15">
        <f t="shared" si="27"/>
        <v>1796</v>
      </c>
      <c r="B1798" s="16"/>
      <c r="C1798" s="19"/>
      <c r="D1798" s="10"/>
      <c r="E1798" s="10"/>
      <c r="F1798" s="47"/>
      <c r="G1798" s="10"/>
      <c r="H1798" s="20"/>
      <c r="I1798" s="20"/>
      <c r="J1798" s="10"/>
      <c r="K1798" s="10"/>
      <c r="L1798" s="10"/>
      <c r="M1798" s="10"/>
      <c r="N1798" s="10"/>
      <c r="O1798" s="21"/>
    </row>
    <row r="1799" spans="1:15" x14ac:dyDescent="0.35">
      <c r="A1799" s="15">
        <f t="shared" si="27"/>
        <v>1797</v>
      </c>
      <c r="B1799" s="16"/>
      <c r="C1799" s="19"/>
      <c r="D1799" s="10"/>
      <c r="E1799" s="10"/>
      <c r="F1799" s="47"/>
      <c r="G1799" s="10"/>
      <c r="H1799" s="20"/>
      <c r="I1799" s="20"/>
      <c r="J1799" s="10"/>
      <c r="K1799" s="10"/>
      <c r="L1799" s="10"/>
      <c r="M1799" s="10"/>
      <c r="N1799" s="10"/>
      <c r="O1799" s="21"/>
    </row>
    <row r="1800" spans="1:15" x14ac:dyDescent="0.35">
      <c r="A1800" s="15">
        <f t="shared" si="27"/>
        <v>1798</v>
      </c>
      <c r="B1800" s="16"/>
      <c r="C1800" s="19"/>
      <c r="D1800" s="10"/>
      <c r="E1800" s="10"/>
      <c r="F1800" s="47"/>
      <c r="G1800" s="10"/>
      <c r="H1800" s="20"/>
      <c r="I1800" s="20"/>
      <c r="J1800" s="10"/>
      <c r="K1800" s="10"/>
      <c r="L1800" s="10"/>
      <c r="M1800" s="10"/>
      <c r="N1800" s="10"/>
      <c r="O1800" s="21"/>
    </row>
    <row r="1801" spans="1:15" x14ac:dyDescent="0.35">
      <c r="A1801" s="15">
        <f t="shared" si="27"/>
        <v>1799</v>
      </c>
      <c r="B1801" s="16"/>
      <c r="C1801" s="19"/>
      <c r="D1801" s="10"/>
      <c r="E1801" s="10"/>
      <c r="F1801" s="47"/>
      <c r="G1801" s="10"/>
      <c r="H1801" s="20"/>
      <c r="I1801" s="20"/>
      <c r="J1801" s="10"/>
      <c r="K1801" s="10"/>
      <c r="L1801" s="10"/>
      <c r="M1801" s="10"/>
      <c r="N1801" s="10"/>
      <c r="O1801" s="21"/>
    </row>
    <row r="1802" spans="1:15" x14ac:dyDescent="0.35">
      <c r="A1802" s="15">
        <f t="shared" si="27"/>
        <v>1800</v>
      </c>
      <c r="B1802" s="16"/>
      <c r="C1802" s="19"/>
      <c r="D1802" s="10"/>
      <c r="E1802" s="10"/>
      <c r="F1802" s="47"/>
      <c r="G1802" s="10"/>
      <c r="H1802" s="20"/>
      <c r="I1802" s="20"/>
      <c r="J1802" s="10"/>
      <c r="K1802" s="10"/>
      <c r="L1802" s="10"/>
      <c r="M1802" s="10"/>
      <c r="N1802" s="10"/>
      <c r="O1802" s="21"/>
    </row>
    <row r="1803" spans="1:15" x14ac:dyDescent="0.35">
      <c r="A1803" s="15">
        <f t="shared" ref="A1803:A1866" si="28">+A1802+1</f>
        <v>1801</v>
      </c>
      <c r="B1803" s="16"/>
      <c r="C1803" s="19"/>
      <c r="D1803" s="10"/>
      <c r="E1803" s="10"/>
      <c r="F1803" s="47"/>
      <c r="G1803" s="10"/>
      <c r="H1803" s="20"/>
      <c r="I1803" s="20"/>
      <c r="J1803" s="10"/>
      <c r="K1803" s="10"/>
      <c r="L1803" s="10"/>
      <c r="M1803" s="10"/>
      <c r="N1803" s="10"/>
      <c r="O1803" s="21"/>
    </row>
    <row r="1804" spans="1:15" x14ac:dyDescent="0.35">
      <c r="A1804" s="15">
        <f t="shared" si="28"/>
        <v>1802</v>
      </c>
      <c r="B1804" s="16"/>
      <c r="C1804" s="19"/>
      <c r="D1804" s="10"/>
      <c r="E1804" s="10"/>
      <c r="F1804" s="47"/>
      <c r="G1804" s="10"/>
      <c r="H1804" s="20"/>
      <c r="I1804" s="20"/>
      <c r="J1804" s="10"/>
      <c r="K1804" s="10"/>
      <c r="L1804" s="10"/>
      <c r="M1804" s="10"/>
      <c r="N1804" s="10"/>
      <c r="O1804" s="21"/>
    </row>
    <row r="1805" spans="1:15" x14ac:dyDescent="0.35">
      <c r="A1805" s="15">
        <f t="shared" si="28"/>
        <v>1803</v>
      </c>
      <c r="B1805" s="16"/>
      <c r="C1805" s="19"/>
      <c r="D1805" s="10"/>
      <c r="E1805" s="10"/>
      <c r="F1805" s="47"/>
      <c r="G1805" s="10"/>
      <c r="H1805" s="20"/>
      <c r="I1805" s="20"/>
      <c r="J1805" s="10"/>
      <c r="K1805" s="10"/>
      <c r="L1805" s="10"/>
      <c r="M1805" s="10"/>
      <c r="N1805" s="10"/>
      <c r="O1805" s="21"/>
    </row>
    <row r="1806" spans="1:15" x14ac:dyDescent="0.35">
      <c r="A1806" s="15">
        <f t="shared" si="28"/>
        <v>1804</v>
      </c>
      <c r="B1806" s="16"/>
      <c r="C1806" s="19"/>
      <c r="D1806" s="10"/>
      <c r="E1806" s="10"/>
      <c r="F1806" s="47"/>
      <c r="G1806" s="10"/>
      <c r="H1806" s="20"/>
      <c r="I1806" s="20"/>
      <c r="J1806" s="10"/>
      <c r="K1806" s="10"/>
      <c r="L1806" s="10"/>
      <c r="M1806" s="10"/>
      <c r="N1806" s="10"/>
      <c r="O1806" s="21"/>
    </row>
    <row r="1807" spans="1:15" x14ac:dyDescent="0.35">
      <c r="A1807" s="15">
        <f t="shared" si="28"/>
        <v>1805</v>
      </c>
      <c r="B1807" s="16"/>
      <c r="C1807" s="19"/>
      <c r="D1807" s="10"/>
      <c r="E1807" s="10"/>
      <c r="F1807" s="47"/>
      <c r="G1807" s="10"/>
      <c r="H1807" s="20"/>
      <c r="I1807" s="20"/>
      <c r="J1807" s="10"/>
      <c r="K1807" s="10"/>
      <c r="L1807" s="10"/>
      <c r="M1807" s="10"/>
      <c r="N1807" s="10"/>
      <c r="O1807" s="21"/>
    </row>
    <row r="1808" spans="1:15" x14ac:dyDescent="0.35">
      <c r="A1808" s="15">
        <f t="shared" si="28"/>
        <v>1806</v>
      </c>
      <c r="B1808" s="16"/>
      <c r="C1808" s="19"/>
      <c r="D1808" s="10"/>
      <c r="E1808" s="10"/>
      <c r="F1808" s="47"/>
      <c r="G1808" s="10"/>
      <c r="H1808" s="20"/>
      <c r="I1808" s="20"/>
      <c r="J1808" s="10"/>
      <c r="K1808" s="10"/>
      <c r="L1808" s="10"/>
      <c r="M1808" s="10"/>
      <c r="N1808" s="10"/>
      <c r="O1808" s="21"/>
    </row>
    <row r="1809" spans="1:15" x14ac:dyDescent="0.35">
      <c r="A1809" s="15">
        <f t="shared" si="28"/>
        <v>1807</v>
      </c>
      <c r="B1809" s="16"/>
      <c r="C1809" s="19"/>
      <c r="D1809" s="10"/>
      <c r="E1809" s="10"/>
      <c r="F1809" s="47"/>
      <c r="G1809" s="10"/>
      <c r="H1809" s="20"/>
      <c r="I1809" s="20"/>
      <c r="J1809" s="10"/>
      <c r="K1809" s="10"/>
      <c r="L1809" s="10"/>
      <c r="M1809" s="10"/>
      <c r="N1809" s="10"/>
      <c r="O1809" s="21"/>
    </row>
    <row r="1810" spans="1:15" x14ac:dyDescent="0.35">
      <c r="A1810" s="15">
        <f t="shared" si="28"/>
        <v>1808</v>
      </c>
      <c r="B1810" s="16"/>
      <c r="C1810" s="19"/>
      <c r="D1810" s="10"/>
      <c r="E1810" s="10"/>
      <c r="F1810" s="47"/>
      <c r="G1810" s="10"/>
      <c r="H1810" s="20"/>
      <c r="I1810" s="20"/>
      <c r="J1810" s="10"/>
      <c r="K1810" s="10"/>
      <c r="L1810" s="10"/>
      <c r="M1810" s="10"/>
      <c r="N1810" s="10"/>
      <c r="O1810" s="21"/>
    </row>
    <row r="1811" spans="1:15" x14ac:dyDescent="0.35">
      <c r="A1811" s="15">
        <f t="shared" si="28"/>
        <v>1809</v>
      </c>
      <c r="B1811" s="16"/>
      <c r="C1811" s="19"/>
      <c r="D1811" s="10"/>
      <c r="E1811" s="10"/>
      <c r="F1811" s="47"/>
      <c r="G1811" s="10"/>
      <c r="H1811" s="20"/>
      <c r="I1811" s="20"/>
      <c r="J1811" s="10"/>
      <c r="K1811" s="10"/>
      <c r="L1811" s="10"/>
      <c r="M1811" s="10"/>
      <c r="N1811" s="10"/>
      <c r="O1811" s="21"/>
    </row>
    <row r="1812" spans="1:15" x14ac:dyDescent="0.35">
      <c r="A1812" s="15">
        <f t="shared" si="28"/>
        <v>1810</v>
      </c>
      <c r="B1812" s="16"/>
      <c r="C1812" s="19"/>
      <c r="D1812" s="10"/>
      <c r="E1812" s="10"/>
      <c r="F1812" s="47"/>
      <c r="G1812" s="10"/>
      <c r="H1812" s="20"/>
      <c r="I1812" s="20"/>
      <c r="J1812" s="10"/>
      <c r="K1812" s="10"/>
      <c r="L1812" s="10"/>
      <c r="M1812" s="10"/>
      <c r="N1812" s="10"/>
      <c r="O1812" s="21"/>
    </row>
    <row r="1813" spans="1:15" x14ac:dyDescent="0.35">
      <c r="A1813" s="15">
        <f t="shared" si="28"/>
        <v>1811</v>
      </c>
      <c r="B1813" s="16"/>
      <c r="C1813" s="19"/>
      <c r="D1813" s="10"/>
      <c r="E1813" s="10"/>
      <c r="F1813" s="47"/>
      <c r="G1813" s="10"/>
      <c r="H1813" s="20"/>
      <c r="I1813" s="20"/>
      <c r="J1813" s="10"/>
      <c r="K1813" s="10"/>
      <c r="L1813" s="10"/>
      <c r="M1813" s="10"/>
      <c r="N1813" s="10"/>
      <c r="O1813" s="21"/>
    </row>
    <row r="1814" spans="1:15" x14ac:dyDescent="0.35">
      <c r="A1814" s="15">
        <f t="shared" si="28"/>
        <v>1812</v>
      </c>
      <c r="B1814" s="16"/>
      <c r="C1814" s="19"/>
      <c r="D1814" s="10"/>
      <c r="E1814" s="10"/>
      <c r="F1814" s="47"/>
      <c r="G1814" s="10"/>
      <c r="H1814" s="20"/>
      <c r="I1814" s="20"/>
      <c r="J1814" s="10"/>
      <c r="K1814" s="10"/>
      <c r="L1814" s="10"/>
      <c r="M1814" s="10"/>
      <c r="N1814" s="10"/>
      <c r="O1814" s="21"/>
    </row>
    <row r="1815" spans="1:15" x14ac:dyDescent="0.35">
      <c r="A1815" s="15">
        <f t="shared" si="28"/>
        <v>1813</v>
      </c>
      <c r="B1815" s="16"/>
      <c r="C1815" s="19"/>
      <c r="D1815" s="10"/>
      <c r="E1815" s="10"/>
      <c r="F1815" s="47"/>
      <c r="G1815" s="10"/>
      <c r="H1815" s="20"/>
      <c r="I1815" s="20"/>
      <c r="J1815" s="10"/>
      <c r="K1815" s="10"/>
      <c r="L1815" s="10"/>
      <c r="M1815" s="10"/>
      <c r="N1815" s="10"/>
      <c r="O1815" s="21"/>
    </row>
    <row r="1816" spans="1:15" x14ac:dyDescent="0.35">
      <c r="A1816" s="15">
        <f t="shared" si="28"/>
        <v>1814</v>
      </c>
      <c r="B1816" s="16"/>
      <c r="C1816" s="19"/>
      <c r="D1816" s="10"/>
      <c r="E1816" s="10"/>
      <c r="F1816" s="47"/>
      <c r="G1816" s="10"/>
      <c r="H1816" s="20"/>
      <c r="I1816" s="20"/>
      <c r="J1816" s="10"/>
      <c r="K1816" s="10"/>
      <c r="L1816" s="10"/>
      <c r="M1816" s="10"/>
      <c r="N1816" s="10"/>
      <c r="O1816" s="21"/>
    </row>
    <row r="1817" spans="1:15" x14ac:dyDescent="0.35">
      <c r="A1817" s="15">
        <f t="shared" si="28"/>
        <v>1815</v>
      </c>
      <c r="B1817" s="16"/>
      <c r="C1817" s="19"/>
      <c r="D1817" s="10"/>
      <c r="E1817" s="10"/>
      <c r="F1817" s="47"/>
      <c r="G1817" s="10"/>
      <c r="H1817" s="20"/>
      <c r="I1817" s="20"/>
      <c r="J1817" s="10"/>
      <c r="K1817" s="10"/>
      <c r="L1817" s="10"/>
      <c r="M1817" s="10"/>
      <c r="N1817" s="10"/>
      <c r="O1817" s="21"/>
    </row>
    <row r="1818" spans="1:15" x14ac:dyDescent="0.35">
      <c r="A1818" s="15">
        <f t="shared" si="28"/>
        <v>1816</v>
      </c>
      <c r="B1818" s="16"/>
      <c r="C1818" s="19"/>
      <c r="D1818" s="10"/>
      <c r="E1818" s="10"/>
      <c r="F1818" s="47"/>
      <c r="G1818" s="10"/>
      <c r="H1818" s="20"/>
      <c r="I1818" s="20"/>
      <c r="J1818" s="10"/>
      <c r="K1818" s="10"/>
      <c r="L1818" s="10"/>
      <c r="M1818" s="10"/>
      <c r="N1818" s="10"/>
      <c r="O1818" s="21"/>
    </row>
    <row r="1819" spans="1:15" x14ac:dyDescent="0.35">
      <c r="A1819" s="15">
        <f t="shared" si="28"/>
        <v>1817</v>
      </c>
      <c r="B1819" s="16"/>
      <c r="C1819" s="19"/>
      <c r="D1819" s="10"/>
      <c r="E1819" s="10"/>
      <c r="F1819" s="47"/>
      <c r="G1819" s="10"/>
      <c r="H1819" s="20"/>
      <c r="I1819" s="20"/>
      <c r="J1819" s="10"/>
      <c r="K1819" s="10"/>
      <c r="L1819" s="10"/>
      <c r="M1819" s="10"/>
      <c r="N1819" s="10"/>
      <c r="O1819" s="21"/>
    </row>
    <row r="1820" spans="1:15" x14ac:dyDescent="0.35">
      <c r="A1820" s="15">
        <f t="shared" si="28"/>
        <v>1818</v>
      </c>
      <c r="B1820" s="16"/>
      <c r="C1820" s="19"/>
      <c r="D1820" s="10"/>
      <c r="E1820" s="10"/>
      <c r="F1820" s="47"/>
      <c r="G1820" s="10"/>
      <c r="H1820" s="20"/>
      <c r="I1820" s="20"/>
      <c r="J1820" s="10"/>
      <c r="K1820" s="10"/>
      <c r="L1820" s="10"/>
      <c r="M1820" s="10"/>
      <c r="N1820" s="10"/>
      <c r="O1820" s="21"/>
    </row>
    <row r="1821" spans="1:15" x14ac:dyDescent="0.35">
      <c r="A1821" s="15">
        <f t="shared" si="28"/>
        <v>1819</v>
      </c>
      <c r="B1821" s="16"/>
      <c r="C1821" s="19"/>
      <c r="D1821" s="10"/>
      <c r="E1821" s="10"/>
      <c r="F1821" s="47"/>
      <c r="G1821" s="10"/>
      <c r="H1821" s="20"/>
      <c r="I1821" s="20"/>
      <c r="J1821" s="10"/>
      <c r="K1821" s="10"/>
      <c r="L1821" s="10"/>
      <c r="M1821" s="10"/>
      <c r="N1821" s="10"/>
      <c r="O1821" s="21"/>
    </row>
    <row r="1822" spans="1:15" x14ac:dyDescent="0.35">
      <c r="A1822" s="15">
        <f t="shared" si="28"/>
        <v>1820</v>
      </c>
      <c r="B1822" s="16"/>
      <c r="C1822" s="19"/>
      <c r="D1822" s="10"/>
      <c r="E1822" s="10"/>
      <c r="F1822" s="47"/>
      <c r="G1822" s="10"/>
      <c r="H1822" s="20"/>
      <c r="I1822" s="20"/>
      <c r="J1822" s="10"/>
      <c r="K1822" s="10"/>
      <c r="L1822" s="10"/>
      <c r="M1822" s="10"/>
      <c r="N1822" s="10"/>
      <c r="O1822" s="21"/>
    </row>
    <row r="1823" spans="1:15" x14ac:dyDescent="0.35">
      <c r="A1823" s="15">
        <f t="shared" si="28"/>
        <v>1821</v>
      </c>
      <c r="B1823" s="16"/>
      <c r="C1823" s="19"/>
      <c r="D1823" s="10"/>
      <c r="E1823" s="10"/>
      <c r="F1823" s="47"/>
      <c r="G1823" s="10"/>
      <c r="H1823" s="20"/>
      <c r="I1823" s="20"/>
      <c r="J1823" s="10"/>
      <c r="K1823" s="10"/>
      <c r="L1823" s="10"/>
      <c r="M1823" s="10"/>
      <c r="N1823" s="10"/>
      <c r="O1823" s="21"/>
    </row>
    <row r="1824" spans="1:15" x14ac:dyDescent="0.35">
      <c r="A1824" s="15">
        <f t="shared" si="28"/>
        <v>1822</v>
      </c>
      <c r="B1824" s="16"/>
      <c r="C1824" s="19"/>
      <c r="D1824" s="10"/>
      <c r="E1824" s="10"/>
      <c r="F1824" s="47"/>
      <c r="G1824" s="10"/>
      <c r="H1824" s="20"/>
      <c r="I1824" s="20"/>
      <c r="J1824" s="10"/>
      <c r="K1824" s="10"/>
      <c r="L1824" s="10"/>
      <c r="M1824" s="10"/>
      <c r="N1824" s="10"/>
      <c r="O1824" s="21"/>
    </row>
    <row r="1825" spans="1:15" x14ac:dyDescent="0.35">
      <c r="A1825" s="15">
        <f t="shared" si="28"/>
        <v>1823</v>
      </c>
      <c r="B1825" s="16"/>
      <c r="C1825" s="19"/>
      <c r="D1825" s="10"/>
      <c r="E1825" s="10"/>
      <c r="F1825" s="47"/>
      <c r="G1825" s="10"/>
      <c r="H1825" s="20"/>
      <c r="I1825" s="20"/>
      <c r="J1825" s="10"/>
      <c r="K1825" s="10"/>
      <c r="L1825" s="10"/>
      <c r="M1825" s="10"/>
      <c r="N1825" s="10"/>
      <c r="O1825" s="21"/>
    </row>
    <row r="1826" spans="1:15" x14ac:dyDescent="0.35">
      <c r="A1826" s="15">
        <f t="shared" si="28"/>
        <v>1824</v>
      </c>
      <c r="B1826" s="16"/>
      <c r="C1826" s="19"/>
      <c r="D1826" s="10"/>
      <c r="E1826" s="10"/>
      <c r="F1826" s="47"/>
      <c r="G1826" s="10"/>
      <c r="H1826" s="20"/>
      <c r="I1826" s="20"/>
      <c r="J1826" s="10"/>
      <c r="K1826" s="10"/>
      <c r="L1826" s="10"/>
      <c r="M1826" s="10"/>
      <c r="N1826" s="10"/>
      <c r="O1826" s="21"/>
    </row>
    <row r="1827" spans="1:15" x14ac:dyDescent="0.35">
      <c r="A1827" s="15">
        <f t="shared" si="28"/>
        <v>1825</v>
      </c>
      <c r="B1827" s="16"/>
      <c r="C1827" s="19"/>
      <c r="D1827" s="10"/>
      <c r="E1827" s="10"/>
      <c r="F1827" s="47"/>
      <c r="G1827" s="10"/>
      <c r="H1827" s="20"/>
      <c r="I1827" s="20"/>
      <c r="J1827" s="10"/>
      <c r="K1827" s="10"/>
      <c r="L1827" s="10"/>
      <c r="M1827" s="10"/>
      <c r="N1827" s="10"/>
      <c r="O1827" s="21"/>
    </row>
    <row r="1828" spans="1:15" x14ac:dyDescent="0.35">
      <c r="A1828" s="15">
        <f t="shared" si="28"/>
        <v>1826</v>
      </c>
      <c r="B1828" s="16"/>
      <c r="C1828" s="19"/>
      <c r="D1828" s="10"/>
      <c r="E1828" s="10"/>
      <c r="F1828" s="47"/>
      <c r="G1828" s="10"/>
      <c r="H1828" s="20"/>
      <c r="I1828" s="20"/>
      <c r="J1828" s="10"/>
      <c r="K1828" s="10"/>
      <c r="L1828" s="10"/>
      <c r="M1828" s="10"/>
      <c r="N1828" s="10"/>
      <c r="O1828" s="21"/>
    </row>
    <row r="1829" spans="1:15" x14ac:dyDescent="0.35">
      <c r="A1829" s="15">
        <f t="shared" si="28"/>
        <v>1827</v>
      </c>
      <c r="B1829" s="16"/>
      <c r="C1829" s="19"/>
      <c r="D1829" s="10"/>
      <c r="E1829" s="10"/>
      <c r="F1829" s="47"/>
      <c r="G1829" s="10"/>
      <c r="H1829" s="20"/>
      <c r="I1829" s="20"/>
      <c r="J1829" s="10"/>
      <c r="K1829" s="10"/>
      <c r="L1829" s="10"/>
      <c r="M1829" s="10"/>
      <c r="N1829" s="10"/>
      <c r="O1829" s="21"/>
    </row>
    <row r="1830" spans="1:15" x14ac:dyDescent="0.35">
      <c r="A1830" s="15">
        <f t="shared" si="28"/>
        <v>1828</v>
      </c>
      <c r="B1830" s="16"/>
      <c r="C1830" s="19"/>
      <c r="D1830" s="10"/>
      <c r="E1830" s="10"/>
      <c r="F1830" s="47"/>
      <c r="G1830" s="10"/>
      <c r="H1830" s="20"/>
      <c r="I1830" s="20"/>
      <c r="J1830" s="10"/>
      <c r="K1830" s="10"/>
      <c r="L1830" s="10"/>
      <c r="M1830" s="10"/>
      <c r="N1830" s="10"/>
      <c r="O1830" s="21"/>
    </row>
    <row r="1831" spans="1:15" x14ac:dyDescent="0.35">
      <c r="A1831" s="15">
        <f t="shared" si="28"/>
        <v>1829</v>
      </c>
      <c r="B1831" s="16"/>
      <c r="C1831" s="19"/>
      <c r="D1831" s="10"/>
      <c r="E1831" s="10"/>
      <c r="F1831" s="47"/>
      <c r="G1831" s="10"/>
      <c r="H1831" s="20"/>
      <c r="I1831" s="20"/>
      <c r="J1831" s="10"/>
      <c r="K1831" s="10"/>
      <c r="L1831" s="10"/>
      <c r="M1831" s="10"/>
      <c r="N1831" s="10"/>
      <c r="O1831" s="21"/>
    </row>
    <row r="1832" spans="1:15" x14ac:dyDescent="0.35">
      <c r="A1832" s="15">
        <f t="shared" si="28"/>
        <v>1830</v>
      </c>
      <c r="B1832" s="16"/>
      <c r="C1832" s="19"/>
      <c r="D1832" s="10"/>
      <c r="E1832" s="10"/>
      <c r="F1832" s="47"/>
      <c r="G1832" s="10"/>
      <c r="H1832" s="20"/>
      <c r="I1832" s="20"/>
      <c r="J1832" s="10"/>
      <c r="K1832" s="10"/>
      <c r="L1832" s="10"/>
      <c r="M1832" s="10"/>
      <c r="N1832" s="10"/>
      <c r="O1832" s="21"/>
    </row>
    <row r="1833" spans="1:15" x14ac:dyDescent="0.35">
      <c r="A1833" s="15">
        <f t="shared" si="28"/>
        <v>1831</v>
      </c>
      <c r="B1833" s="16"/>
      <c r="C1833" s="19"/>
      <c r="D1833" s="10"/>
      <c r="E1833" s="10"/>
      <c r="F1833" s="47"/>
      <c r="G1833" s="10"/>
      <c r="H1833" s="20"/>
      <c r="I1833" s="20"/>
      <c r="J1833" s="10"/>
      <c r="K1833" s="10"/>
      <c r="L1833" s="10"/>
      <c r="M1833" s="10"/>
      <c r="N1833" s="10"/>
      <c r="O1833" s="21"/>
    </row>
    <row r="1834" spans="1:15" x14ac:dyDescent="0.35">
      <c r="A1834" s="15">
        <f t="shared" si="28"/>
        <v>1832</v>
      </c>
      <c r="B1834" s="16"/>
      <c r="C1834" s="19"/>
      <c r="D1834" s="10"/>
      <c r="E1834" s="10"/>
      <c r="F1834" s="47"/>
      <c r="G1834" s="10"/>
      <c r="H1834" s="20"/>
      <c r="I1834" s="20"/>
      <c r="J1834" s="10"/>
      <c r="K1834" s="10"/>
      <c r="L1834" s="10"/>
      <c r="M1834" s="10"/>
      <c r="N1834" s="10"/>
      <c r="O1834" s="21"/>
    </row>
    <row r="1835" spans="1:15" x14ac:dyDescent="0.35">
      <c r="A1835" s="15">
        <f t="shared" si="28"/>
        <v>1833</v>
      </c>
      <c r="B1835" s="16"/>
      <c r="C1835" s="19"/>
      <c r="D1835" s="10"/>
      <c r="E1835" s="10"/>
      <c r="F1835" s="47"/>
      <c r="G1835" s="10"/>
      <c r="H1835" s="20"/>
      <c r="I1835" s="20"/>
      <c r="J1835" s="10"/>
      <c r="K1835" s="10"/>
      <c r="L1835" s="10"/>
      <c r="M1835" s="10"/>
      <c r="N1835" s="10"/>
      <c r="O1835" s="21"/>
    </row>
    <row r="1836" spans="1:15" x14ac:dyDescent="0.35">
      <c r="A1836" s="15">
        <f t="shared" si="28"/>
        <v>1834</v>
      </c>
      <c r="B1836" s="16"/>
      <c r="C1836" s="19"/>
      <c r="D1836" s="10"/>
      <c r="E1836" s="10"/>
      <c r="F1836" s="47"/>
      <c r="G1836" s="10"/>
      <c r="H1836" s="20"/>
      <c r="I1836" s="20"/>
      <c r="J1836" s="10"/>
      <c r="K1836" s="10"/>
      <c r="L1836" s="10"/>
      <c r="M1836" s="10"/>
      <c r="N1836" s="10"/>
      <c r="O1836" s="21"/>
    </row>
    <row r="1837" spans="1:15" x14ac:dyDescent="0.35">
      <c r="A1837" s="15">
        <f t="shared" si="28"/>
        <v>1835</v>
      </c>
      <c r="B1837" s="16"/>
      <c r="C1837" s="19"/>
      <c r="D1837" s="10"/>
      <c r="E1837" s="10"/>
      <c r="F1837" s="47"/>
      <c r="G1837" s="10"/>
      <c r="H1837" s="20"/>
      <c r="I1837" s="20"/>
      <c r="J1837" s="10"/>
      <c r="K1837" s="10"/>
      <c r="L1837" s="10"/>
      <c r="M1837" s="10"/>
      <c r="N1837" s="10"/>
      <c r="O1837" s="21"/>
    </row>
    <row r="1838" spans="1:15" x14ac:dyDescent="0.35">
      <c r="A1838" s="15">
        <f t="shared" si="28"/>
        <v>1836</v>
      </c>
      <c r="B1838" s="16"/>
      <c r="C1838" s="19"/>
      <c r="D1838" s="10"/>
      <c r="E1838" s="10"/>
      <c r="F1838" s="47"/>
      <c r="G1838" s="10"/>
      <c r="H1838" s="20"/>
      <c r="I1838" s="20"/>
      <c r="J1838" s="10"/>
      <c r="K1838" s="10"/>
      <c r="L1838" s="10"/>
      <c r="M1838" s="10"/>
      <c r="N1838" s="10"/>
      <c r="O1838" s="21"/>
    </row>
    <row r="1839" spans="1:15" x14ac:dyDescent="0.35">
      <c r="A1839" s="15">
        <f t="shared" si="28"/>
        <v>1837</v>
      </c>
      <c r="B1839" s="16"/>
      <c r="C1839" s="19"/>
      <c r="D1839" s="10"/>
      <c r="E1839" s="10"/>
      <c r="F1839" s="47"/>
      <c r="G1839" s="10"/>
      <c r="H1839" s="20"/>
      <c r="I1839" s="20"/>
      <c r="J1839" s="10"/>
      <c r="K1839" s="10"/>
      <c r="L1839" s="10"/>
      <c r="M1839" s="10"/>
      <c r="N1839" s="10"/>
      <c r="O1839" s="21"/>
    </row>
    <row r="1840" spans="1:15" x14ac:dyDescent="0.35">
      <c r="A1840" s="15">
        <f t="shared" si="28"/>
        <v>1838</v>
      </c>
      <c r="B1840" s="16"/>
      <c r="C1840" s="19"/>
      <c r="D1840" s="10"/>
      <c r="E1840" s="10"/>
      <c r="F1840" s="47"/>
      <c r="G1840" s="10"/>
      <c r="H1840" s="20"/>
      <c r="I1840" s="20"/>
      <c r="J1840" s="10"/>
      <c r="K1840" s="10"/>
      <c r="L1840" s="10"/>
      <c r="M1840" s="10"/>
      <c r="N1840" s="10"/>
      <c r="O1840" s="21"/>
    </row>
    <row r="1841" spans="1:15" x14ac:dyDescent="0.35">
      <c r="A1841" s="15">
        <f t="shared" si="28"/>
        <v>1839</v>
      </c>
      <c r="B1841" s="16"/>
      <c r="C1841" s="19"/>
      <c r="D1841" s="10"/>
      <c r="E1841" s="10"/>
      <c r="F1841" s="47"/>
      <c r="G1841" s="10"/>
      <c r="H1841" s="20"/>
      <c r="I1841" s="20"/>
      <c r="J1841" s="10"/>
      <c r="K1841" s="10"/>
      <c r="L1841" s="10"/>
      <c r="M1841" s="10"/>
      <c r="N1841" s="10"/>
      <c r="O1841" s="21"/>
    </row>
    <row r="1842" spans="1:15" x14ac:dyDescent="0.35">
      <c r="A1842" s="15">
        <f t="shared" si="28"/>
        <v>1840</v>
      </c>
      <c r="B1842" s="16"/>
      <c r="C1842" s="19"/>
      <c r="D1842" s="10"/>
      <c r="E1842" s="10"/>
      <c r="F1842" s="47"/>
      <c r="G1842" s="10"/>
      <c r="H1842" s="20"/>
      <c r="I1842" s="20"/>
      <c r="J1842" s="10"/>
      <c r="K1842" s="10"/>
      <c r="L1842" s="10"/>
      <c r="M1842" s="10"/>
      <c r="N1842" s="10"/>
      <c r="O1842" s="21"/>
    </row>
    <row r="1843" spans="1:15" x14ac:dyDescent="0.35">
      <c r="A1843" s="15">
        <f t="shared" si="28"/>
        <v>1841</v>
      </c>
      <c r="B1843" s="16"/>
      <c r="C1843" s="19"/>
      <c r="D1843" s="10"/>
      <c r="E1843" s="10"/>
      <c r="F1843" s="47"/>
      <c r="G1843" s="10"/>
      <c r="H1843" s="20"/>
      <c r="I1843" s="20"/>
      <c r="J1843" s="10"/>
      <c r="K1843" s="10"/>
      <c r="L1843" s="10"/>
      <c r="M1843" s="10"/>
      <c r="N1843" s="10"/>
      <c r="O1843" s="21"/>
    </row>
    <row r="1844" spans="1:15" x14ac:dyDescent="0.35">
      <c r="A1844" s="15">
        <f t="shared" si="28"/>
        <v>1842</v>
      </c>
      <c r="B1844" s="16"/>
      <c r="C1844" s="19"/>
      <c r="D1844" s="10"/>
      <c r="E1844" s="10"/>
      <c r="F1844" s="47"/>
      <c r="G1844" s="10"/>
      <c r="H1844" s="20"/>
      <c r="I1844" s="20"/>
      <c r="J1844" s="10"/>
      <c r="K1844" s="10"/>
      <c r="L1844" s="10"/>
      <c r="M1844" s="10"/>
      <c r="N1844" s="10"/>
      <c r="O1844" s="21"/>
    </row>
    <row r="1845" spans="1:15" x14ac:dyDescent="0.35">
      <c r="A1845" s="15">
        <f t="shared" si="28"/>
        <v>1843</v>
      </c>
      <c r="B1845" s="16"/>
      <c r="C1845" s="19"/>
      <c r="D1845" s="10"/>
      <c r="E1845" s="10"/>
      <c r="F1845" s="47"/>
      <c r="G1845" s="10"/>
      <c r="H1845" s="20"/>
      <c r="I1845" s="20"/>
      <c r="J1845" s="10"/>
      <c r="K1845" s="10"/>
      <c r="L1845" s="10"/>
      <c r="M1845" s="10"/>
      <c r="N1845" s="10"/>
      <c r="O1845" s="21"/>
    </row>
    <row r="1846" spans="1:15" x14ac:dyDescent="0.35">
      <c r="A1846" s="15">
        <f t="shared" si="28"/>
        <v>1844</v>
      </c>
      <c r="B1846" s="16"/>
      <c r="C1846" s="19"/>
      <c r="D1846" s="10"/>
      <c r="E1846" s="10"/>
      <c r="F1846" s="47"/>
      <c r="G1846" s="10"/>
      <c r="H1846" s="20"/>
      <c r="I1846" s="20"/>
      <c r="J1846" s="10"/>
      <c r="K1846" s="10"/>
      <c r="L1846" s="10"/>
      <c r="M1846" s="10"/>
      <c r="N1846" s="10"/>
      <c r="O1846" s="21"/>
    </row>
    <row r="1847" spans="1:15" x14ac:dyDescent="0.35">
      <c r="A1847" s="15">
        <f t="shared" si="28"/>
        <v>1845</v>
      </c>
      <c r="B1847" s="16"/>
      <c r="C1847" s="19"/>
      <c r="D1847" s="10"/>
      <c r="E1847" s="10"/>
      <c r="F1847" s="47"/>
      <c r="G1847" s="10"/>
      <c r="H1847" s="20"/>
      <c r="I1847" s="20"/>
      <c r="J1847" s="10"/>
      <c r="K1847" s="10"/>
      <c r="L1847" s="10"/>
      <c r="M1847" s="10"/>
      <c r="N1847" s="10"/>
      <c r="O1847" s="21"/>
    </row>
    <row r="1848" spans="1:15" x14ac:dyDescent="0.35">
      <c r="A1848" s="15">
        <f t="shared" si="28"/>
        <v>1846</v>
      </c>
      <c r="B1848" s="16"/>
      <c r="C1848" s="19"/>
      <c r="D1848" s="10"/>
      <c r="E1848" s="10"/>
      <c r="F1848" s="47"/>
      <c r="G1848" s="10"/>
      <c r="H1848" s="20"/>
      <c r="I1848" s="20"/>
      <c r="J1848" s="10"/>
      <c r="K1848" s="10"/>
      <c r="L1848" s="10"/>
      <c r="M1848" s="10"/>
      <c r="N1848" s="10"/>
      <c r="O1848" s="21"/>
    </row>
    <row r="1849" spans="1:15" x14ac:dyDescent="0.35">
      <c r="A1849" s="15">
        <f t="shared" si="28"/>
        <v>1847</v>
      </c>
      <c r="B1849" s="16"/>
      <c r="C1849" s="19"/>
      <c r="D1849" s="10"/>
      <c r="E1849" s="10"/>
      <c r="F1849" s="47"/>
      <c r="G1849" s="10"/>
      <c r="H1849" s="20"/>
      <c r="I1849" s="20"/>
      <c r="J1849" s="10"/>
      <c r="K1849" s="10"/>
      <c r="L1849" s="10"/>
      <c r="M1849" s="10"/>
      <c r="N1849" s="10"/>
      <c r="O1849" s="21"/>
    </row>
    <row r="1850" spans="1:15" x14ac:dyDescent="0.35">
      <c r="A1850" s="15">
        <f t="shared" si="28"/>
        <v>1848</v>
      </c>
      <c r="B1850" s="16"/>
      <c r="C1850" s="19"/>
      <c r="D1850" s="10"/>
      <c r="E1850" s="10"/>
      <c r="F1850" s="47"/>
      <c r="G1850" s="10"/>
      <c r="H1850" s="20"/>
      <c r="I1850" s="20"/>
      <c r="J1850" s="10"/>
      <c r="K1850" s="10"/>
      <c r="L1850" s="10"/>
      <c r="M1850" s="10"/>
      <c r="N1850" s="10"/>
      <c r="O1850" s="21"/>
    </row>
    <row r="1851" spans="1:15" x14ac:dyDescent="0.35">
      <c r="A1851" s="15">
        <f t="shared" si="28"/>
        <v>1849</v>
      </c>
      <c r="B1851" s="16"/>
      <c r="C1851" s="19"/>
      <c r="D1851" s="10"/>
      <c r="E1851" s="10"/>
      <c r="F1851" s="47"/>
      <c r="G1851" s="10"/>
      <c r="H1851" s="20"/>
      <c r="I1851" s="20"/>
      <c r="J1851" s="10"/>
      <c r="K1851" s="10"/>
      <c r="L1851" s="10"/>
      <c r="M1851" s="10"/>
      <c r="N1851" s="10"/>
      <c r="O1851" s="21"/>
    </row>
    <row r="1852" spans="1:15" x14ac:dyDescent="0.35">
      <c r="A1852" s="15">
        <f t="shared" si="28"/>
        <v>1850</v>
      </c>
      <c r="B1852" s="16"/>
      <c r="C1852" s="19"/>
      <c r="D1852" s="10"/>
      <c r="E1852" s="10"/>
      <c r="F1852" s="47"/>
      <c r="G1852" s="10"/>
      <c r="H1852" s="20"/>
      <c r="I1852" s="20"/>
      <c r="J1852" s="10"/>
      <c r="K1852" s="10"/>
      <c r="L1852" s="10"/>
      <c r="M1852" s="10"/>
      <c r="N1852" s="10"/>
      <c r="O1852" s="21"/>
    </row>
    <row r="1853" spans="1:15" x14ac:dyDescent="0.35">
      <c r="A1853" s="15">
        <f t="shared" si="28"/>
        <v>1851</v>
      </c>
      <c r="B1853" s="16"/>
      <c r="C1853" s="19"/>
      <c r="D1853" s="10"/>
      <c r="E1853" s="10"/>
      <c r="F1853" s="47"/>
      <c r="G1853" s="10"/>
      <c r="H1853" s="20"/>
      <c r="I1853" s="20"/>
      <c r="J1853" s="10"/>
      <c r="K1853" s="10"/>
      <c r="L1853" s="10"/>
      <c r="M1853" s="10"/>
      <c r="N1853" s="10"/>
      <c r="O1853" s="21"/>
    </row>
    <row r="1854" spans="1:15" x14ac:dyDescent="0.35">
      <c r="A1854" s="15">
        <f t="shared" si="28"/>
        <v>1852</v>
      </c>
      <c r="B1854" s="16"/>
      <c r="C1854" s="19"/>
      <c r="D1854" s="10"/>
      <c r="E1854" s="10"/>
      <c r="F1854" s="47"/>
      <c r="G1854" s="10"/>
      <c r="H1854" s="20"/>
      <c r="I1854" s="20"/>
      <c r="J1854" s="10"/>
      <c r="K1854" s="10"/>
      <c r="L1854" s="10"/>
      <c r="M1854" s="10"/>
      <c r="N1854" s="10"/>
      <c r="O1854" s="21"/>
    </row>
    <row r="1855" spans="1:15" x14ac:dyDescent="0.35">
      <c r="A1855" s="15">
        <f t="shared" si="28"/>
        <v>1853</v>
      </c>
      <c r="B1855" s="16"/>
      <c r="C1855" s="19"/>
      <c r="D1855" s="10"/>
      <c r="E1855" s="10"/>
      <c r="F1855" s="47"/>
      <c r="G1855" s="10"/>
      <c r="H1855" s="20"/>
      <c r="I1855" s="20"/>
      <c r="J1855" s="10"/>
      <c r="K1855" s="10"/>
      <c r="L1855" s="10"/>
      <c r="M1855" s="10"/>
      <c r="N1855" s="10"/>
      <c r="O1855" s="21"/>
    </row>
    <row r="1856" spans="1:15" x14ac:dyDescent="0.35">
      <c r="A1856" s="15">
        <f t="shared" si="28"/>
        <v>1854</v>
      </c>
      <c r="B1856" s="16"/>
      <c r="C1856" s="19"/>
      <c r="D1856" s="10"/>
      <c r="E1856" s="10"/>
      <c r="F1856" s="47"/>
      <c r="G1856" s="10"/>
      <c r="H1856" s="20"/>
      <c r="I1856" s="20"/>
      <c r="J1856" s="10"/>
      <c r="K1856" s="10"/>
      <c r="L1856" s="10"/>
      <c r="M1856" s="10"/>
      <c r="N1856" s="10"/>
      <c r="O1856" s="21"/>
    </row>
    <row r="1857" spans="1:15" x14ac:dyDescent="0.35">
      <c r="A1857" s="15">
        <f t="shared" si="28"/>
        <v>1855</v>
      </c>
      <c r="B1857" s="16"/>
      <c r="C1857" s="19"/>
      <c r="D1857" s="10"/>
      <c r="E1857" s="10"/>
      <c r="F1857" s="47"/>
      <c r="G1857" s="10"/>
      <c r="H1857" s="20"/>
      <c r="I1857" s="20"/>
      <c r="J1857" s="10"/>
      <c r="K1857" s="10"/>
      <c r="L1857" s="10"/>
      <c r="M1857" s="10"/>
      <c r="N1857" s="10"/>
      <c r="O1857" s="21"/>
    </row>
    <row r="1858" spans="1:15" x14ac:dyDescent="0.35">
      <c r="A1858" s="15">
        <f t="shared" si="28"/>
        <v>1856</v>
      </c>
      <c r="B1858" s="16"/>
      <c r="C1858" s="19"/>
      <c r="D1858" s="10"/>
      <c r="E1858" s="10"/>
      <c r="F1858" s="47"/>
      <c r="G1858" s="10"/>
      <c r="H1858" s="20"/>
      <c r="I1858" s="20"/>
      <c r="J1858" s="10"/>
      <c r="K1858" s="10"/>
      <c r="L1858" s="10"/>
      <c r="M1858" s="10"/>
      <c r="N1858" s="10"/>
      <c r="O1858" s="21"/>
    </row>
    <row r="1859" spans="1:15" x14ac:dyDescent="0.35">
      <c r="A1859" s="15">
        <f t="shared" si="28"/>
        <v>1857</v>
      </c>
      <c r="B1859" s="16"/>
      <c r="C1859" s="19"/>
      <c r="D1859" s="10"/>
      <c r="E1859" s="10"/>
      <c r="F1859" s="47"/>
      <c r="G1859" s="10"/>
      <c r="H1859" s="20"/>
      <c r="I1859" s="20"/>
      <c r="J1859" s="10"/>
      <c r="K1859" s="10"/>
      <c r="L1859" s="10"/>
      <c r="M1859" s="10"/>
      <c r="N1859" s="10"/>
      <c r="O1859" s="21"/>
    </row>
    <row r="1860" spans="1:15" x14ac:dyDescent="0.35">
      <c r="A1860" s="15">
        <f t="shared" si="28"/>
        <v>1858</v>
      </c>
      <c r="B1860" s="16"/>
      <c r="C1860" s="19"/>
      <c r="D1860" s="10"/>
      <c r="E1860" s="10"/>
      <c r="F1860" s="47"/>
      <c r="G1860" s="10"/>
      <c r="H1860" s="20"/>
      <c r="I1860" s="20"/>
      <c r="J1860" s="10"/>
      <c r="K1860" s="10"/>
      <c r="L1860" s="10"/>
      <c r="M1860" s="10"/>
      <c r="N1860" s="10"/>
      <c r="O1860" s="21"/>
    </row>
    <row r="1861" spans="1:15" x14ac:dyDescent="0.35">
      <c r="A1861" s="15">
        <f t="shared" si="28"/>
        <v>1859</v>
      </c>
      <c r="B1861" s="16"/>
      <c r="C1861" s="19"/>
      <c r="D1861" s="10"/>
      <c r="E1861" s="10"/>
      <c r="F1861" s="47"/>
      <c r="G1861" s="10"/>
      <c r="H1861" s="20"/>
      <c r="I1861" s="20"/>
      <c r="J1861" s="10"/>
      <c r="K1861" s="10"/>
      <c r="L1861" s="10"/>
      <c r="M1861" s="10"/>
      <c r="N1861" s="10"/>
      <c r="O1861" s="21"/>
    </row>
    <row r="1862" spans="1:15" x14ac:dyDescent="0.35">
      <c r="A1862" s="15">
        <f t="shared" si="28"/>
        <v>1860</v>
      </c>
      <c r="B1862" s="16"/>
      <c r="C1862" s="19"/>
      <c r="D1862" s="10"/>
      <c r="E1862" s="10"/>
      <c r="F1862" s="47"/>
      <c r="G1862" s="10"/>
      <c r="H1862" s="20"/>
      <c r="I1862" s="20"/>
      <c r="J1862" s="10"/>
      <c r="K1862" s="10"/>
      <c r="L1862" s="10"/>
      <c r="M1862" s="10"/>
      <c r="N1862" s="10"/>
      <c r="O1862" s="21"/>
    </row>
    <row r="1863" spans="1:15" x14ac:dyDescent="0.35">
      <c r="A1863" s="15">
        <f t="shared" si="28"/>
        <v>1861</v>
      </c>
      <c r="B1863" s="16"/>
      <c r="C1863" s="19"/>
      <c r="D1863" s="10"/>
      <c r="E1863" s="10"/>
      <c r="F1863" s="47"/>
      <c r="G1863" s="10"/>
      <c r="H1863" s="20"/>
      <c r="I1863" s="20"/>
      <c r="J1863" s="10"/>
      <c r="K1863" s="10"/>
      <c r="L1863" s="10"/>
      <c r="M1863" s="10"/>
      <c r="N1863" s="10"/>
      <c r="O1863" s="21"/>
    </row>
    <row r="1864" spans="1:15" x14ac:dyDescent="0.35">
      <c r="A1864" s="15">
        <f t="shared" si="28"/>
        <v>1862</v>
      </c>
      <c r="B1864" s="16"/>
      <c r="C1864" s="19"/>
      <c r="D1864" s="10"/>
      <c r="E1864" s="10"/>
      <c r="F1864" s="47"/>
      <c r="G1864" s="10"/>
      <c r="H1864" s="20"/>
      <c r="I1864" s="20"/>
      <c r="J1864" s="10"/>
      <c r="K1864" s="10"/>
      <c r="L1864" s="10"/>
      <c r="M1864" s="10"/>
      <c r="N1864" s="10"/>
      <c r="O1864" s="21"/>
    </row>
    <row r="1865" spans="1:15" x14ac:dyDescent="0.35">
      <c r="A1865" s="15">
        <f t="shared" si="28"/>
        <v>1863</v>
      </c>
      <c r="B1865" s="16"/>
      <c r="C1865" s="19"/>
      <c r="D1865" s="10"/>
      <c r="E1865" s="10"/>
      <c r="F1865" s="47"/>
      <c r="G1865" s="10"/>
      <c r="H1865" s="20"/>
      <c r="I1865" s="20"/>
      <c r="J1865" s="10"/>
      <c r="K1865" s="10"/>
      <c r="L1865" s="10"/>
      <c r="M1865" s="10"/>
      <c r="N1865" s="10"/>
      <c r="O1865" s="21"/>
    </row>
    <row r="1866" spans="1:15" x14ac:dyDescent="0.35">
      <c r="A1866" s="15">
        <f t="shared" si="28"/>
        <v>1864</v>
      </c>
      <c r="B1866" s="16"/>
      <c r="C1866" s="19"/>
      <c r="D1866" s="10"/>
      <c r="E1866" s="10"/>
      <c r="F1866" s="47"/>
      <c r="G1866" s="10"/>
      <c r="H1866" s="20"/>
      <c r="I1866" s="20"/>
      <c r="J1866" s="10"/>
      <c r="K1866" s="10"/>
      <c r="L1866" s="10"/>
      <c r="M1866" s="10"/>
      <c r="N1866" s="10"/>
      <c r="O1866" s="21"/>
    </row>
    <row r="1867" spans="1:15" x14ac:dyDescent="0.35">
      <c r="A1867" s="15">
        <f t="shared" ref="A1867:A1930" si="29">+A1866+1</f>
        <v>1865</v>
      </c>
      <c r="B1867" s="16"/>
      <c r="C1867" s="19"/>
      <c r="D1867" s="10"/>
      <c r="E1867" s="10"/>
      <c r="F1867" s="47"/>
      <c r="G1867" s="10"/>
      <c r="H1867" s="20"/>
      <c r="I1867" s="20"/>
      <c r="J1867" s="10"/>
      <c r="K1867" s="10"/>
      <c r="L1867" s="10"/>
      <c r="M1867" s="10"/>
      <c r="N1867" s="10"/>
      <c r="O1867" s="21"/>
    </row>
    <row r="1868" spans="1:15" x14ac:dyDescent="0.35">
      <c r="A1868" s="15">
        <f t="shared" si="29"/>
        <v>1866</v>
      </c>
      <c r="B1868" s="16"/>
      <c r="C1868" s="19"/>
      <c r="D1868" s="10"/>
      <c r="E1868" s="10"/>
      <c r="F1868" s="47"/>
      <c r="G1868" s="10"/>
      <c r="H1868" s="20"/>
      <c r="I1868" s="20"/>
      <c r="J1868" s="10"/>
      <c r="K1868" s="10"/>
      <c r="L1868" s="10"/>
      <c r="M1868" s="10"/>
      <c r="N1868" s="10"/>
      <c r="O1868" s="21"/>
    </row>
    <row r="1869" spans="1:15" x14ac:dyDescent="0.35">
      <c r="A1869" s="15">
        <f t="shared" si="29"/>
        <v>1867</v>
      </c>
      <c r="B1869" s="16"/>
      <c r="C1869" s="19"/>
      <c r="D1869" s="10"/>
      <c r="E1869" s="10"/>
      <c r="F1869" s="47"/>
      <c r="G1869" s="10"/>
      <c r="H1869" s="20"/>
      <c r="I1869" s="20"/>
      <c r="J1869" s="10"/>
      <c r="K1869" s="10"/>
      <c r="L1869" s="10"/>
      <c r="M1869" s="10"/>
      <c r="N1869" s="10"/>
      <c r="O1869" s="21"/>
    </row>
    <row r="1870" spans="1:15" x14ac:dyDescent="0.35">
      <c r="A1870" s="15">
        <f t="shared" si="29"/>
        <v>1868</v>
      </c>
      <c r="B1870" s="16"/>
      <c r="C1870" s="19"/>
      <c r="D1870" s="10"/>
      <c r="E1870" s="10"/>
      <c r="F1870" s="47"/>
      <c r="G1870" s="10"/>
      <c r="H1870" s="20"/>
      <c r="I1870" s="20"/>
      <c r="J1870" s="10"/>
      <c r="K1870" s="10"/>
      <c r="L1870" s="10"/>
      <c r="M1870" s="10"/>
      <c r="N1870" s="10"/>
      <c r="O1870" s="21"/>
    </row>
    <row r="1871" spans="1:15" x14ac:dyDescent="0.35">
      <c r="A1871" s="15">
        <f t="shared" si="29"/>
        <v>1869</v>
      </c>
      <c r="B1871" s="16"/>
      <c r="C1871" s="19"/>
      <c r="D1871" s="10"/>
      <c r="E1871" s="10"/>
      <c r="F1871" s="47"/>
      <c r="G1871" s="10"/>
      <c r="H1871" s="20"/>
      <c r="I1871" s="20"/>
      <c r="J1871" s="10"/>
      <c r="K1871" s="10"/>
      <c r="L1871" s="10"/>
      <c r="M1871" s="10"/>
      <c r="N1871" s="10"/>
      <c r="O1871" s="21"/>
    </row>
    <row r="1872" spans="1:15" x14ac:dyDescent="0.35">
      <c r="A1872" s="15">
        <f t="shared" si="29"/>
        <v>1870</v>
      </c>
      <c r="B1872" s="16"/>
      <c r="C1872" s="19"/>
      <c r="D1872" s="10"/>
      <c r="E1872" s="10"/>
      <c r="F1872" s="47"/>
      <c r="G1872" s="10"/>
      <c r="H1872" s="20"/>
      <c r="I1872" s="20"/>
      <c r="J1872" s="10"/>
      <c r="K1872" s="10"/>
      <c r="L1872" s="10"/>
      <c r="M1872" s="10"/>
      <c r="N1872" s="10"/>
      <c r="O1872" s="21"/>
    </row>
    <row r="1873" spans="1:15" x14ac:dyDescent="0.35">
      <c r="A1873" s="15">
        <f t="shared" si="29"/>
        <v>1871</v>
      </c>
      <c r="B1873" s="16"/>
      <c r="C1873" s="19"/>
      <c r="D1873" s="10"/>
      <c r="E1873" s="10"/>
      <c r="F1873" s="47"/>
      <c r="G1873" s="10"/>
      <c r="H1873" s="20"/>
      <c r="I1873" s="20"/>
      <c r="J1873" s="10"/>
      <c r="K1873" s="10"/>
      <c r="L1873" s="10"/>
      <c r="M1873" s="10"/>
      <c r="N1873" s="10"/>
      <c r="O1873" s="21"/>
    </row>
    <row r="1874" spans="1:15" x14ac:dyDescent="0.35">
      <c r="A1874" s="15">
        <f t="shared" si="29"/>
        <v>1872</v>
      </c>
      <c r="B1874" s="16"/>
      <c r="C1874" s="19"/>
      <c r="D1874" s="10"/>
      <c r="E1874" s="10"/>
      <c r="F1874" s="47"/>
      <c r="G1874" s="10"/>
      <c r="H1874" s="20"/>
      <c r="I1874" s="20"/>
      <c r="J1874" s="10"/>
      <c r="K1874" s="10"/>
      <c r="L1874" s="10"/>
      <c r="M1874" s="10"/>
      <c r="N1874" s="10"/>
      <c r="O1874" s="21"/>
    </row>
    <row r="1875" spans="1:15" x14ac:dyDescent="0.35">
      <c r="A1875" s="15">
        <f t="shared" si="29"/>
        <v>1873</v>
      </c>
      <c r="B1875" s="16"/>
      <c r="C1875" s="19"/>
      <c r="D1875" s="10"/>
      <c r="E1875" s="10"/>
      <c r="F1875" s="47"/>
      <c r="G1875" s="10"/>
      <c r="H1875" s="20"/>
      <c r="I1875" s="20"/>
      <c r="J1875" s="10"/>
      <c r="K1875" s="10"/>
      <c r="L1875" s="10"/>
      <c r="M1875" s="10"/>
      <c r="N1875" s="10"/>
      <c r="O1875" s="21"/>
    </row>
    <row r="1876" spans="1:15" x14ac:dyDescent="0.35">
      <c r="A1876" s="15">
        <f t="shared" si="29"/>
        <v>1874</v>
      </c>
      <c r="B1876" s="16"/>
      <c r="C1876" s="19"/>
      <c r="D1876" s="10"/>
      <c r="E1876" s="10"/>
      <c r="F1876" s="47"/>
      <c r="G1876" s="10"/>
      <c r="H1876" s="20"/>
      <c r="I1876" s="20"/>
      <c r="J1876" s="10"/>
      <c r="K1876" s="10"/>
      <c r="L1876" s="10"/>
      <c r="M1876" s="10"/>
      <c r="N1876" s="10"/>
      <c r="O1876" s="21"/>
    </row>
    <row r="1877" spans="1:15" x14ac:dyDescent="0.35">
      <c r="A1877" s="15">
        <f t="shared" si="29"/>
        <v>1875</v>
      </c>
      <c r="B1877" s="16"/>
      <c r="C1877" s="19"/>
      <c r="D1877" s="10"/>
      <c r="E1877" s="10"/>
      <c r="F1877" s="47"/>
      <c r="G1877" s="10"/>
      <c r="H1877" s="20"/>
      <c r="I1877" s="20"/>
      <c r="J1877" s="10"/>
      <c r="K1877" s="10"/>
      <c r="L1877" s="10"/>
      <c r="M1877" s="10"/>
      <c r="N1877" s="10"/>
      <c r="O1877" s="21"/>
    </row>
    <row r="1878" spans="1:15" x14ac:dyDescent="0.35">
      <c r="A1878" s="15">
        <f t="shared" si="29"/>
        <v>1876</v>
      </c>
      <c r="B1878" s="16"/>
      <c r="C1878" s="19"/>
      <c r="D1878" s="10"/>
      <c r="E1878" s="10"/>
      <c r="F1878" s="47"/>
      <c r="G1878" s="10"/>
      <c r="H1878" s="20"/>
      <c r="I1878" s="20"/>
      <c r="J1878" s="10"/>
      <c r="K1878" s="10"/>
      <c r="L1878" s="10"/>
      <c r="M1878" s="10"/>
      <c r="N1878" s="10"/>
      <c r="O1878" s="21"/>
    </row>
    <row r="1879" spans="1:15" x14ac:dyDescent="0.35">
      <c r="A1879" s="15">
        <f t="shared" si="29"/>
        <v>1877</v>
      </c>
      <c r="B1879" s="16"/>
      <c r="C1879" s="19"/>
      <c r="D1879" s="10"/>
      <c r="E1879" s="10"/>
      <c r="F1879" s="47"/>
      <c r="G1879" s="10"/>
      <c r="H1879" s="20"/>
      <c r="I1879" s="20"/>
      <c r="J1879" s="10"/>
      <c r="K1879" s="10"/>
      <c r="L1879" s="10"/>
      <c r="M1879" s="10"/>
      <c r="N1879" s="10"/>
      <c r="O1879" s="21"/>
    </row>
    <row r="1880" spans="1:15" x14ac:dyDescent="0.35">
      <c r="A1880" s="15">
        <f t="shared" si="29"/>
        <v>1878</v>
      </c>
      <c r="B1880" s="16"/>
      <c r="C1880" s="19"/>
      <c r="D1880" s="10"/>
      <c r="E1880" s="10"/>
      <c r="F1880" s="47"/>
      <c r="G1880" s="10"/>
      <c r="H1880" s="20"/>
      <c r="I1880" s="20"/>
      <c r="J1880" s="10"/>
      <c r="K1880" s="10"/>
      <c r="L1880" s="10"/>
      <c r="M1880" s="10"/>
      <c r="N1880" s="10"/>
      <c r="O1880" s="21"/>
    </row>
    <row r="1881" spans="1:15" x14ac:dyDescent="0.35">
      <c r="A1881" s="15">
        <f t="shared" si="29"/>
        <v>1879</v>
      </c>
      <c r="B1881" s="16"/>
      <c r="C1881" s="19"/>
      <c r="D1881" s="10"/>
      <c r="E1881" s="10"/>
      <c r="F1881" s="47"/>
      <c r="G1881" s="10"/>
      <c r="H1881" s="20"/>
      <c r="I1881" s="20"/>
      <c r="J1881" s="10"/>
      <c r="K1881" s="10"/>
      <c r="L1881" s="10"/>
      <c r="M1881" s="10"/>
      <c r="N1881" s="10"/>
      <c r="O1881" s="21"/>
    </row>
    <row r="1882" spans="1:15" x14ac:dyDescent="0.35">
      <c r="A1882" s="15">
        <f t="shared" si="29"/>
        <v>1880</v>
      </c>
      <c r="B1882" s="16"/>
      <c r="C1882" s="19"/>
      <c r="D1882" s="10"/>
      <c r="E1882" s="10"/>
      <c r="F1882" s="47"/>
      <c r="G1882" s="10"/>
      <c r="H1882" s="20"/>
      <c r="I1882" s="20"/>
      <c r="J1882" s="10"/>
      <c r="K1882" s="10"/>
      <c r="L1882" s="10"/>
      <c r="M1882" s="10"/>
      <c r="N1882" s="10"/>
      <c r="O1882" s="21"/>
    </row>
    <row r="1883" spans="1:15" x14ac:dyDescent="0.35">
      <c r="A1883" s="15">
        <f t="shared" si="29"/>
        <v>1881</v>
      </c>
      <c r="B1883" s="16"/>
      <c r="C1883" s="19"/>
      <c r="D1883" s="10"/>
      <c r="E1883" s="10"/>
      <c r="F1883" s="47"/>
      <c r="G1883" s="10"/>
      <c r="H1883" s="20"/>
      <c r="I1883" s="20"/>
      <c r="J1883" s="10"/>
      <c r="K1883" s="10"/>
      <c r="L1883" s="10"/>
      <c r="M1883" s="10"/>
      <c r="N1883" s="10"/>
      <c r="O1883" s="21"/>
    </row>
    <row r="1884" spans="1:15" x14ac:dyDescent="0.35">
      <c r="A1884" s="15">
        <f t="shared" si="29"/>
        <v>1882</v>
      </c>
      <c r="B1884" s="16"/>
      <c r="C1884" s="19"/>
      <c r="D1884" s="10"/>
      <c r="E1884" s="10"/>
      <c r="F1884" s="47"/>
      <c r="G1884" s="10"/>
      <c r="H1884" s="20"/>
      <c r="I1884" s="20"/>
      <c r="J1884" s="10"/>
      <c r="K1884" s="10"/>
      <c r="L1884" s="10"/>
      <c r="M1884" s="10"/>
      <c r="N1884" s="10"/>
      <c r="O1884" s="21"/>
    </row>
    <row r="1885" spans="1:15" x14ac:dyDescent="0.35">
      <c r="A1885" s="15">
        <f t="shared" si="29"/>
        <v>1883</v>
      </c>
      <c r="B1885" s="16"/>
      <c r="C1885" s="19"/>
      <c r="D1885" s="10"/>
      <c r="E1885" s="10"/>
      <c r="F1885" s="47"/>
      <c r="G1885" s="10"/>
      <c r="H1885" s="20"/>
      <c r="I1885" s="20"/>
      <c r="J1885" s="10"/>
      <c r="K1885" s="10"/>
      <c r="L1885" s="10"/>
      <c r="M1885" s="10"/>
      <c r="N1885" s="10"/>
      <c r="O1885" s="21"/>
    </row>
    <row r="1886" spans="1:15" x14ac:dyDescent="0.35">
      <c r="A1886" s="15">
        <f t="shared" si="29"/>
        <v>1884</v>
      </c>
      <c r="B1886" s="16"/>
      <c r="C1886" s="19"/>
      <c r="D1886" s="10"/>
      <c r="E1886" s="10"/>
      <c r="F1886" s="47"/>
      <c r="G1886" s="10"/>
      <c r="H1886" s="20"/>
      <c r="I1886" s="20"/>
      <c r="J1886" s="10"/>
      <c r="K1886" s="10"/>
      <c r="L1886" s="10"/>
      <c r="M1886" s="10"/>
      <c r="N1886" s="10"/>
      <c r="O1886" s="21"/>
    </row>
    <row r="1887" spans="1:15" x14ac:dyDescent="0.35">
      <c r="A1887" s="15">
        <f t="shared" si="29"/>
        <v>1885</v>
      </c>
      <c r="B1887" s="16"/>
      <c r="C1887" s="19"/>
      <c r="D1887" s="10"/>
      <c r="E1887" s="10"/>
      <c r="F1887" s="47"/>
      <c r="G1887" s="10"/>
      <c r="H1887" s="20"/>
      <c r="I1887" s="20"/>
      <c r="J1887" s="10"/>
      <c r="K1887" s="10"/>
      <c r="L1887" s="10"/>
      <c r="M1887" s="10"/>
      <c r="N1887" s="10"/>
      <c r="O1887" s="21"/>
    </row>
    <row r="1888" spans="1:15" x14ac:dyDescent="0.35">
      <c r="A1888" s="15">
        <f t="shared" si="29"/>
        <v>1886</v>
      </c>
      <c r="B1888" s="16"/>
      <c r="C1888" s="19"/>
      <c r="D1888" s="10"/>
      <c r="E1888" s="10"/>
      <c r="F1888" s="47"/>
      <c r="G1888" s="10"/>
      <c r="H1888" s="20"/>
      <c r="I1888" s="20"/>
      <c r="J1888" s="10"/>
      <c r="K1888" s="10"/>
      <c r="L1888" s="10"/>
      <c r="M1888" s="10"/>
      <c r="N1888" s="10"/>
      <c r="O1888" s="21"/>
    </row>
    <row r="1889" spans="1:15" x14ac:dyDescent="0.35">
      <c r="A1889" s="15">
        <f t="shared" si="29"/>
        <v>1887</v>
      </c>
      <c r="B1889" s="16"/>
      <c r="C1889" s="19"/>
      <c r="D1889" s="10"/>
      <c r="E1889" s="10"/>
      <c r="F1889" s="47"/>
      <c r="G1889" s="10"/>
      <c r="H1889" s="20"/>
      <c r="I1889" s="20"/>
      <c r="J1889" s="10"/>
      <c r="K1889" s="10"/>
      <c r="L1889" s="10"/>
      <c r="M1889" s="10"/>
      <c r="N1889" s="10"/>
      <c r="O1889" s="21"/>
    </row>
    <row r="1890" spans="1:15" x14ac:dyDescent="0.35">
      <c r="A1890" s="15">
        <f t="shared" si="29"/>
        <v>1888</v>
      </c>
      <c r="B1890" s="16"/>
      <c r="C1890" s="19"/>
      <c r="D1890" s="10"/>
      <c r="E1890" s="10"/>
      <c r="F1890" s="47"/>
      <c r="G1890" s="10"/>
      <c r="H1890" s="20"/>
      <c r="I1890" s="20"/>
      <c r="J1890" s="10"/>
      <c r="K1890" s="10"/>
      <c r="L1890" s="10"/>
      <c r="M1890" s="10"/>
      <c r="N1890" s="10"/>
      <c r="O1890" s="21"/>
    </row>
    <row r="1891" spans="1:15" x14ac:dyDescent="0.35">
      <c r="A1891" s="15">
        <f t="shared" si="29"/>
        <v>1889</v>
      </c>
      <c r="B1891" s="16"/>
      <c r="C1891" s="19"/>
      <c r="D1891" s="10"/>
      <c r="E1891" s="10"/>
      <c r="F1891" s="47"/>
      <c r="G1891" s="10"/>
      <c r="H1891" s="20"/>
      <c r="I1891" s="20"/>
      <c r="J1891" s="10"/>
      <c r="K1891" s="10"/>
      <c r="L1891" s="10"/>
      <c r="M1891" s="10"/>
      <c r="N1891" s="10"/>
      <c r="O1891" s="21"/>
    </row>
    <row r="1892" spans="1:15" x14ac:dyDescent="0.35">
      <c r="A1892" s="15">
        <f t="shared" si="29"/>
        <v>1890</v>
      </c>
      <c r="B1892" s="16"/>
      <c r="C1892" s="19"/>
      <c r="D1892" s="10"/>
      <c r="E1892" s="10"/>
      <c r="F1892" s="47"/>
      <c r="G1892" s="10"/>
      <c r="H1892" s="20"/>
      <c r="I1892" s="20"/>
      <c r="J1892" s="10"/>
      <c r="K1892" s="10"/>
      <c r="L1892" s="10"/>
      <c r="M1892" s="10"/>
      <c r="N1892" s="10"/>
      <c r="O1892" s="21"/>
    </row>
    <row r="1893" spans="1:15" x14ac:dyDescent="0.35">
      <c r="A1893" s="15">
        <f t="shared" si="29"/>
        <v>1891</v>
      </c>
      <c r="B1893" s="16"/>
      <c r="C1893" s="19"/>
      <c r="D1893" s="10"/>
      <c r="E1893" s="10"/>
      <c r="F1893" s="47"/>
      <c r="G1893" s="10"/>
      <c r="H1893" s="20"/>
      <c r="I1893" s="20"/>
      <c r="J1893" s="10"/>
      <c r="K1893" s="10"/>
      <c r="L1893" s="10"/>
      <c r="M1893" s="10"/>
      <c r="N1893" s="10"/>
      <c r="O1893" s="21"/>
    </row>
    <row r="1894" spans="1:15" x14ac:dyDescent="0.35">
      <c r="A1894" s="15">
        <f t="shared" si="29"/>
        <v>1892</v>
      </c>
      <c r="B1894" s="16"/>
      <c r="C1894" s="19"/>
      <c r="D1894" s="10"/>
      <c r="E1894" s="10"/>
      <c r="F1894" s="47"/>
      <c r="G1894" s="10"/>
      <c r="H1894" s="20"/>
      <c r="I1894" s="20"/>
      <c r="J1894" s="10"/>
      <c r="K1894" s="10"/>
      <c r="L1894" s="10"/>
      <c r="M1894" s="10"/>
      <c r="N1894" s="10"/>
      <c r="O1894" s="21"/>
    </row>
    <row r="1895" spans="1:15" x14ac:dyDescent="0.35">
      <c r="A1895" s="15">
        <f t="shared" si="29"/>
        <v>1893</v>
      </c>
      <c r="B1895" s="16"/>
      <c r="C1895" s="19"/>
      <c r="D1895" s="10"/>
      <c r="E1895" s="10"/>
      <c r="F1895" s="47"/>
      <c r="G1895" s="10"/>
      <c r="H1895" s="20"/>
      <c r="I1895" s="20"/>
      <c r="J1895" s="10"/>
      <c r="K1895" s="10"/>
      <c r="L1895" s="10"/>
      <c r="M1895" s="10"/>
      <c r="N1895" s="10"/>
      <c r="O1895" s="21"/>
    </row>
    <row r="1896" spans="1:15" x14ac:dyDescent="0.35">
      <c r="A1896" s="15">
        <f t="shared" si="29"/>
        <v>1894</v>
      </c>
      <c r="B1896" s="16"/>
      <c r="C1896" s="19"/>
      <c r="D1896" s="10"/>
      <c r="E1896" s="10"/>
      <c r="F1896" s="47"/>
      <c r="G1896" s="10"/>
      <c r="H1896" s="20"/>
      <c r="I1896" s="20"/>
      <c r="J1896" s="10"/>
      <c r="K1896" s="10"/>
      <c r="L1896" s="10"/>
      <c r="M1896" s="10"/>
      <c r="N1896" s="10"/>
      <c r="O1896" s="21"/>
    </row>
    <row r="1897" spans="1:15" x14ac:dyDescent="0.35">
      <c r="A1897" s="15">
        <f t="shared" si="29"/>
        <v>1895</v>
      </c>
      <c r="B1897" s="16"/>
      <c r="C1897" s="19"/>
      <c r="D1897" s="10"/>
      <c r="E1897" s="10"/>
      <c r="F1897" s="47"/>
      <c r="G1897" s="10"/>
      <c r="H1897" s="20"/>
      <c r="I1897" s="20"/>
      <c r="J1897" s="10"/>
      <c r="K1897" s="10"/>
      <c r="L1897" s="10"/>
      <c r="M1897" s="10"/>
      <c r="N1897" s="10"/>
      <c r="O1897" s="21"/>
    </row>
    <row r="1898" spans="1:15" x14ac:dyDescent="0.35">
      <c r="A1898" s="15">
        <f t="shared" si="29"/>
        <v>1896</v>
      </c>
      <c r="B1898" s="16"/>
      <c r="C1898" s="19"/>
      <c r="D1898" s="10"/>
      <c r="E1898" s="10"/>
      <c r="F1898" s="47"/>
      <c r="G1898" s="10"/>
      <c r="H1898" s="20"/>
      <c r="I1898" s="20"/>
      <c r="J1898" s="10"/>
      <c r="K1898" s="10"/>
      <c r="L1898" s="10"/>
      <c r="M1898" s="10"/>
      <c r="N1898" s="10"/>
      <c r="O1898" s="21"/>
    </row>
    <row r="1899" spans="1:15" x14ac:dyDescent="0.35">
      <c r="A1899" s="15">
        <f t="shared" si="29"/>
        <v>1897</v>
      </c>
      <c r="B1899" s="16"/>
      <c r="C1899" s="19"/>
      <c r="D1899" s="10"/>
      <c r="E1899" s="10"/>
      <c r="F1899" s="47"/>
      <c r="G1899" s="10"/>
      <c r="H1899" s="20"/>
      <c r="I1899" s="20"/>
      <c r="J1899" s="10"/>
      <c r="K1899" s="10"/>
      <c r="L1899" s="10"/>
      <c r="M1899" s="10"/>
      <c r="N1899" s="10"/>
      <c r="O1899" s="21"/>
    </row>
    <row r="1900" spans="1:15" x14ac:dyDescent="0.35">
      <c r="A1900" s="15">
        <f t="shared" si="29"/>
        <v>1898</v>
      </c>
      <c r="B1900" s="16"/>
      <c r="C1900" s="19"/>
      <c r="D1900" s="10"/>
      <c r="E1900" s="10"/>
      <c r="F1900" s="47"/>
      <c r="G1900" s="10"/>
      <c r="H1900" s="20"/>
      <c r="I1900" s="20"/>
      <c r="J1900" s="10"/>
      <c r="K1900" s="10"/>
      <c r="L1900" s="10"/>
      <c r="M1900" s="10"/>
      <c r="N1900" s="10"/>
      <c r="O1900" s="21"/>
    </row>
    <row r="1901" spans="1:15" x14ac:dyDescent="0.35">
      <c r="A1901" s="15">
        <f t="shared" si="29"/>
        <v>1899</v>
      </c>
      <c r="B1901" s="16"/>
      <c r="C1901" s="19"/>
      <c r="D1901" s="10"/>
      <c r="E1901" s="10"/>
      <c r="F1901" s="47"/>
      <c r="G1901" s="10"/>
      <c r="H1901" s="20"/>
      <c r="I1901" s="20"/>
      <c r="J1901" s="10"/>
      <c r="K1901" s="10"/>
      <c r="L1901" s="10"/>
      <c r="M1901" s="10"/>
      <c r="N1901" s="10"/>
      <c r="O1901" s="21"/>
    </row>
    <row r="1902" spans="1:15" x14ac:dyDescent="0.35">
      <c r="A1902" s="15">
        <f t="shared" si="29"/>
        <v>1900</v>
      </c>
      <c r="B1902" s="16"/>
      <c r="C1902" s="19"/>
      <c r="D1902" s="10"/>
      <c r="E1902" s="10"/>
      <c r="F1902" s="47"/>
      <c r="G1902" s="10"/>
      <c r="H1902" s="20"/>
      <c r="I1902" s="20"/>
      <c r="J1902" s="10"/>
      <c r="K1902" s="10"/>
      <c r="L1902" s="10"/>
      <c r="M1902" s="10"/>
      <c r="N1902" s="10"/>
      <c r="O1902" s="21"/>
    </row>
    <row r="1903" spans="1:15" x14ac:dyDescent="0.35">
      <c r="A1903" s="15">
        <f t="shared" si="29"/>
        <v>1901</v>
      </c>
      <c r="B1903" s="16"/>
      <c r="C1903" s="19"/>
      <c r="D1903" s="10"/>
      <c r="E1903" s="10"/>
      <c r="F1903" s="47"/>
      <c r="G1903" s="10"/>
      <c r="H1903" s="20"/>
      <c r="I1903" s="20"/>
      <c r="J1903" s="10"/>
      <c r="K1903" s="10"/>
      <c r="L1903" s="10"/>
      <c r="M1903" s="10"/>
      <c r="N1903" s="10"/>
      <c r="O1903" s="21"/>
    </row>
    <row r="1904" spans="1:15" x14ac:dyDescent="0.35">
      <c r="A1904" s="15">
        <f t="shared" si="29"/>
        <v>1902</v>
      </c>
      <c r="B1904" s="16"/>
      <c r="C1904" s="19"/>
      <c r="D1904" s="10"/>
      <c r="E1904" s="10"/>
      <c r="F1904" s="47"/>
      <c r="G1904" s="10"/>
      <c r="H1904" s="20"/>
      <c r="I1904" s="20"/>
      <c r="J1904" s="10"/>
      <c r="K1904" s="10"/>
      <c r="L1904" s="10"/>
      <c r="M1904" s="10"/>
      <c r="N1904" s="10"/>
      <c r="O1904" s="21"/>
    </row>
    <row r="1905" spans="1:15" x14ac:dyDescent="0.35">
      <c r="A1905" s="15">
        <f t="shared" si="29"/>
        <v>1903</v>
      </c>
      <c r="B1905" s="16"/>
      <c r="C1905" s="19"/>
      <c r="D1905" s="10"/>
      <c r="E1905" s="10"/>
      <c r="F1905" s="47"/>
      <c r="G1905" s="10"/>
      <c r="H1905" s="20"/>
      <c r="I1905" s="20"/>
      <c r="J1905" s="10"/>
      <c r="K1905" s="10"/>
      <c r="L1905" s="10"/>
      <c r="M1905" s="10"/>
      <c r="N1905" s="10"/>
      <c r="O1905" s="21"/>
    </row>
    <row r="1906" spans="1:15" x14ac:dyDescent="0.35">
      <c r="A1906" s="15">
        <f t="shared" si="29"/>
        <v>1904</v>
      </c>
      <c r="B1906" s="16"/>
      <c r="C1906" s="19"/>
      <c r="D1906" s="10"/>
      <c r="E1906" s="10"/>
      <c r="F1906" s="47"/>
      <c r="G1906" s="10"/>
      <c r="H1906" s="20"/>
      <c r="I1906" s="20"/>
      <c r="J1906" s="10"/>
      <c r="K1906" s="10"/>
      <c r="L1906" s="10"/>
      <c r="M1906" s="10"/>
      <c r="N1906" s="10"/>
      <c r="O1906" s="21"/>
    </row>
    <row r="1907" spans="1:15" x14ac:dyDescent="0.35">
      <c r="A1907" s="15">
        <f t="shared" si="29"/>
        <v>1905</v>
      </c>
      <c r="B1907" s="16"/>
      <c r="C1907" s="19"/>
      <c r="D1907" s="10"/>
      <c r="E1907" s="10"/>
      <c r="F1907" s="47"/>
      <c r="G1907" s="10"/>
      <c r="H1907" s="20"/>
      <c r="I1907" s="20"/>
      <c r="J1907" s="10"/>
      <c r="K1907" s="10"/>
      <c r="L1907" s="10"/>
      <c r="M1907" s="10"/>
      <c r="N1907" s="10"/>
      <c r="O1907" s="21"/>
    </row>
    <row r="1908" spans="1:15" x14ac:dyDescent="0.35">
      <c r="A1908" s="15">
        <f t="shared" si="29"/>
        <v>1906</v>
      </c>
      <c r="B1908" s="16"/>
      <c r="C1908" s="19"/>
      <c r="D1908" s="10"/>
      <c r="E1908" s="10"/>
      <c r="F1908" s="47"/>
      <c r="G1908" s="10"/>
      <c r="H1908" s="20"/>
      <c r="I1908" s="20"/>
      <c r="J1908" s="10"/>
      <c r="K1908" s="10"/>
      <c r="L1908" s="10"/>
      <c r="M1908" s="10"/>
      <c r="N1908" s="10"/>
      <c r="O1908" s="21"/>
    </row>
    <row r="1909" spans="1:15" x14ac:dyDescent="0.35">
      <c r="A1909" s="15">
        <f t="shared" si="29"/>
        <v>1907</v>
      </c>
      <c r="B1909" s="16"/>
      <c r="C1909" s="19"/>
      <c r="D1909" s="10"/>
      <c r="E1909" s="10"/>
      <c r="F1909" s="47"/>
      <c r="G1909" s="10"/>
      <c r="H1909" s="20"/>
      <c r="I1909" s="20"/>
      <c r="J1909" s="10"/>
      <c r="K1909" s="10"/>
      <c r="L1909" s="10"/>
      <c r="M1909" s="10"/>
      <c r="N1909" s="10"/>
      <c r="O1909" s="21"/>
    </row>
    <row r="1910" spans="1:15" x14ac:dyDescent="0.35">
      <c r="A1910" s="15">
        <f t="shared" si="29"/>
        <v>1908</v>
      </c>
      <c r="B1910" s="16"/>
      <c r="C1910" s="19"/>
      <c r="D1910" s="10"/>
      <c r="E1910" s="10"/>
      <c r="F1910" s="47"/>
      <c r="G1910" s="10"/>
      <c r="H1910" s="20"/>
      <c r="I1910" s="20"/>
      <c r="J1910" s="10"/>
      <c r="K1910" s="10"/>
      <c r="L1910" s="10"/>
      <c r="M1910" s="10"/>
      <c r="N1910" s="10"/>
      <c r="O1910" s="21"/>
    </row>
    <row r="1911" spans="1:15" x14ac:dyDescent="0.35">
      <c r="A1911" s="15">
        <f t="shared" si="29"/>
        <v>1909</v>
      </c>
      <c r="B1911" s="16"/>
      <c r="C1911" s="19"/>
      <c r="D1911" s="10"/>
      <c r="E1911" s="10"/>
      <c r="F1911" s="47"/>
      <c r="G1911" s="10"/>
      <c r="H1911" s="20"/>
      <c r="I1911" s="20"/>
      <c r="J1911" s="10"/>
      <c r="K1911" s="10"/>
      <c r="L1911" s="10"/>
      <c r="M1911" s="10"/>
      <c r="N1911" s="10"/>
      <c r="O1911" s="21"/>
    </row>
    <row r="1912" spans="1:15" x14ac:dyDescent="0.35">
      <c r="A1912" s="15">
        <f t="shared" si="29"/>
        <v>1910</v>
      </c>
      <c r="B1912" s="16"/>
      <c r="C1912" s="19"/>
      <c r="D1912" s="10"/>
      <c r="E1912" s="10"/>
      <c r="F1912" s="47"/>
      <c r="G1912" s="10"/>
      <c r="H1912" s="20"/>
      <c r="I1912" s="20"/>
      <c r="J1912" s="10"/>
      <c r="K1912" s="10"/>
      <c r="L1912" s="10"/>
      <c r="M1912" s="10"/>
      <c r="N1912" s="10"/>
      <c r="O1912" s="21"/>
    </row>
    <row r="1913" spans="1:15" x14ac:dyDescent="0.35">
      <c r="A1913" s="15">
        <f t="shared" si="29"/>
        <v>1911</v>
      </c>
      <c r="B1913" s="16"/>
      <c r="C1913" s="19"/>
      <c r="D1913" s="10"/>
      <c r="E1913" s="10"/>
      <c r="F1913" s="47"/>
      <c r="G1913" s="10"/>
      <c r="H1913" s="20"/>
      <c r="I1913" s="20"/>
      <c r="J1913" s="10"/>
      <c r="K1913" s="10"/>
      <c r="L1913" s="10"/>
      <c r="M1913" s="10"/>
      <c r="N1913" s="10"/>
      <c r="O1913" s="21"/>
    </row>
    <row r="1914" spans="1:15" x14ac:dyDescent="0.35">
      <c r="A1914" s="15">
        <f t="shared" si="29"/>
        <v>1912</v>
      </c>
      <c r="B1914" s="16"/>
      <c r="C1914" s="19"/>
      <c r="D1914" s="10"/>
      <c r="E1914" s="10"/>
      <c r="F1914" s="47"/>
      <c r="G1914" s="10"/>
      <c r="H1914" s="20"/>
      <c r="I1914" s="20"/>
      <c r="J1914" s="10"/>
      <c r="K1914" s="10"/>
      <c r="L1914" s="10"/>
      <c r="M1914" s="10"/>
      <c r="N1914" s="10"/>
      <c r="O1914" s="21"/>
    </row>
    <row r="1915" spans="1:15" x14ac:dyDescent="0.35">
      <c r="A1915" s="15">
        <f t="shared" si="29"/>
        <v>1913</v>
      </c>
      <c r="B1915" s="16"/>
      <c r="C1915" s="19"/>
      <c r="D1915" s="10"/>
      <c r="E1915" s="10"/>
      <c r="F1915" s="47"/>
      <c r="G1915" s="10"/>
      <c r="H1915" s="20"/>
      <c r="I1915" s="20"/>
      <c r="J1915" s="10"/>
      <c r="K1915" s="10"/>
      <c r="L1915" s="10"/>
      <c r="M1915" s="10"/>
      <c r="N1915" s="10"/>
      <c r="O1915" s="21"/>
    </row>
    <row r="1916" spans="1:15" x14ac:dyDescent="0.35">
      <c r="A1916" s="15">
        <f t="shared" si="29"/>
        <v>1914</v>
      </c>
      <c r="B1916" s="16"/>
      <c r="C1916" s="19"/>
      <c r="D1916" s="10"/>
      <c r="E1916" s="10"/>
      <c r="F1916" s="47"/>
      <c r="G1916" s="10"/>
      <c r="H1916" s="20"/>
      <c r="I1916" s="20"/>
      <c r="J1916" s="10"/>
      <c r="K1916" s="10"/>
      <c r="L1916" s="10"/>
      <c r="M1916" s="10"/>
      <c r="N1916" s="10"/>
      <c r="O1916" s="21"/>
    </row>
    <row r="1917" spans="1:15" x14ac:dyDescent="0.35">
      <c r="A1917" s="15">
        <f t="shared" si="29"/>
        <v>1915</v>
      </c>
      <c r="B1917" s="16"/>
      <c r="C1917" s="19"/>
      <c r="D1917" s="10"/>
      <c r="E1917" s="10"/>
      <c r="F1917" s="47"/>
      <c r="G1917" s="10"/>
      <c r="H1917" s="20"/>
      <c r="I1917" s="20"/>
      <c r="J1917" s="10"/>
      <c r="K1917" s="10"/>
      <c r="L1917" s="10"/>
      <c r="M1917" s="10"/>
      <c r="N1917" s="10"/>
      <c r="O1917" s="21"/>
    </row>
    <row r="1918" spans="1:15" x14ac:dyDescent="0.35">
      <c r="A1918" s="15">
        <f t="shared" si="29"/>
        <v>1916</v>
      </c>
      <c r="B1918" s="16"/>
      <c r="C1918" s="19"/>
      <c r="D1918" s="10"/>
      <c r="E1918" s="10"/>
      <c r="F1918" s="47"/>
      <c r="G1918" s="10"/>
      <c r="H1918" s="20"/>
      <c r="I1918" s="20"/>
      <c r="J1918" s="10"/>
      <c r="K1918" s="10"/>
      <c r="L1918" s="10"/>
      <c r="M1918" s="10"/>
      <c r="N1918" s="10"/>
      <c r="O1918" s="21"/>
    </row>
    <row r="1919" spans="1:15" x14ac:dyDescent="0.35">
      <c r="A1919" s="15">
        <f t="shared" si="29"/>
        <v>1917</v>
      </c>
      <c r="B1919" s="16"/>
      <c r="C1919" s="19"/>
      <c r="D1919" s="10"/>
      <c r="E1919" s="10"/>
      <c r="F1919" s="47"/>
      <c r="G1919" s="10"/>
      <c r="H1919" s="20"/>
      <c r="I1919" s="20"/>
      <c r="J1919" s="10"/>
      <c r="K1919" s="10"/>
      <c r="L1919" s="10"/>
      <c r="M1919" s="10"/>
      <c r="N1919" s="10"/>
      <c r="O1919" s="21"/>
    </row>
    <row r="1920" spans="1:15" x14ac:dyDescent="0.35">
      <c r="A1920" s="15">
        <f t="shared" si="29"/>
        <v>1918</v>
      </c>
      <c r="B1920" s="16"/>
      <c r="C1920" s="19"/>
      <c r="D1920" s="10"/>
      <c r="E1920" s="10"/>
      <c r="F1920" s="47"/>
      <c r="G1920" s="10"/>
      <c r="H1920" s="20"/>
      <c r="I1920" s="20"/>
      <c r="J1920" s="10"/>
      <c r="K1920" s="10"/>
      <c r="L1920" s="10"/>
      <c r="M1920" s="10"/>
      <c r="N1920" s="10"/>
      <c r="O1920" s="21"/>
    </row>
    <row r="1921" spans="1:15" x14ac:dyDescent="0.35">
      <c r="A1921" s="15">
        <f t="shared" si="29"/>
        <v>1919</v>
      </c>
      <c r="B1921" s="16"/>
      <c r="C1921" s="19"/>
      <c r="D1921" s="10"/>
      <c r="E1921" s="10"/>
      <c r="F1921" s="47"/>
      <c r="G1921" s="10"/>
      <c r="H1921" s="20"/>
      <c r="I1921" s="20"/>
      <c r="J1921" s="10"/>
      <c r="K1921" s="10"/>
      <c r="L1921" s="10"/>
      <c r="M1921" s="10"/>
      <c r="N1921" s="10"/>
      <c r="O1921" s="21"/>
    </row>
    <row r="1922" spans="1:15" x14ac:dyDescent="0.35">
      <c r="A1922" s="15">
        <f t="shared" si="29"/>
        <v>1920</v>
      </c>
      <c r="B1922" s="16"/>
      <c r="C1922" s="19"/>
      <c r="D1922" s="10"/>
      <c r="E1922" s="10"/>
      <c r="F1922" s="47"/>
      <c r="G1922" s="10"/>
      <c r="H1922" s="20"/>
      <c r="I1922" s="20"/>
      <c r="J1922" s="10"/>
      <c r="K1922" s="10"/>
      <c r="L1922" s="10"/>
      <c r="M1922" s="10"/>
      <c r="N1922" s="10"/>
      <c r="O1922" s="21"/>
    </row>
    <row r="1923" spans="1:15" x14ac:dyDescent="0.35">
      <c r="A1923" s="15">
        <f t="shared" si="29"/>
        <v>1921</v>
      </c>
      <c r="B1923" s="16"/>
      <c r="C1923" s="19"/>
      <c r="D1923" s="10"/>
      <c r="E1923" s="10"/>
      <c r="F1923" s="47"/>
      <c r="G1923" s="10"/>
      <c r="H1923" s="20"/>
      <c r="I1923" s="20"/>
      <c r="J1923" s="10"/>
      <c r="K1923" s="10"/>
      <c r="L1923" s="10"/>
      <c r="M1923" s="10"/>
      <c r="N1923" s="10"/>
      <c r="O1923" s="21"/>
    </row>
    <row r="1924" spans="1:15" x14ac:dyDescent="0.35">
      <c r="A1924" s="15">
        <f t="shared" si="29"/>
        <v>1922</v>
      </c>
      <c r="B1924" s="16"/>
      <c r="C1924" s="19"/>
      <c r="D1924" s="10"/>
      <c r="E1924" s="10"/>
      <c r="F1924" s="47"/>
      <c r="G1924" s="10"/>
      <c r="H1924" s="20"/>
      <c r="I1924" s="20"/>
      <c r="J1924" s="10"/>
      <c r="K1924" s="10"/>
      <c r="L1924" s="10"/>
      <c r="M1924" s="10"/>
      <c r="N1924" s="10"/>
      <c r="O1924" s="21"/>
    </row>
    <row r="1925" spans="1:15" x14ac:dyDescent="0.35">
      <c r="A1925" s="15">
        <f t="shared" si="29"/>
        <v>1923</v>
      </c>
      <c r="B1925" s="16"/>
      <c r="C1925" s="19"/>
      <c r="D1925" s="10"/>
      <c r="E1925" s="10"/>
      <c r="F1925" s="47"/>
      <c r="G1925" s="10"/>
      <c r="H1925" s="20"/>
      <c r="I1925" s="20"/>
      <c r="J1925" s="10"/>
      <c r="K1925" s="10"/>
      <c r="L1925" s="10"/>
      <c r="M1925" s="10"/>
      <c r="N1925" s="10"/>
      <c r="O1925" s="21"/>
    </row>
    <row r="1926" spans="1:15" x14ac:dyDescent="0.35">
      <c r="A1926" s="15">
        <f t="shared" si="29"/>
        <v>1924</v>
      </c>
      <c r="B1926" s="16"/>
      <c r="C1926" s="19"/>
      <c r="D1926" s="10"/>
      <c r="E1926" s="10"/>
      <c r="F1926" s="47"/>
      <c r="G1926" s="10"/>
      <c r="H1926" s="20"/>
      <c r="I1926" s="20"/>
      <c r="J1926" s="10"/>
      <c r="K1926" s="10"/>
      <c r="L1926" s="10"/>
      <c r="M1926" s="10"/>
      <c r="N1926" s="10"/>
      <c r="O1926" s="21"/>
    </row>
    <row r="1927" spans="1:15" x14ac:dyDescent="0.35">
      <c r="A1927" s="15">
        <f t="shared" si="29"/>
        <v>1925</v>
      </c>
      <c r="B1927" s="16"/>
      <c r="C1927" s="19"/>
      <c r="D1927" s="10"/>
      <c r="E1927" s="10"/>
      <c r="F1927" s="47"/>
      <c r="G1927" s="10"/>
      <c r="H1927" s="20"/>
      <c r="I1927" s="20"/>
      <c r="J1927" s="10"/>
      <c r="K1927" s="10"/>
      <c r="L1927" s="10"/>
      <c r="M1927" s="10"/>
      <c r="N1927" s="10"/>
      <c r="O1927" s="21"/>
    </row>
    <row r="1928" spans="1:15" x14ac:dyDescent="0.35">
      <c r="A1928" s="15">
        <f t="shared" si="29"/>
        <v>1926</v>
      </c>
      <c r="B1928" s="16"/>
      <c r="C1928" s="19"/>
      <c r="D1928" s="10"/>
      <c r="E1928" s="10"/>
      <c r="F1928" s="47"/>
      <c r="G1928" s="10"/>
      <c r="H1928" s="20"/>
      <c r="I1928" s="20"/>
      <c r="J1928" s="10"/>
      <c r="K1928" s="10"/>
      <c r="L1928" s="10"/>
      <c r="M1928" s="10"/>
      <c r="N1928" s="10"/>
      <c r="O1928" s="21"/>
    </row>
    <row r="1929" spans="1:15" x14ac:dyDescent="0.35">
      <c r="A1929" s="15">
        <f t="shared" si="29"/>
        <v>1927</v>
      </c>
      <c r="B1929" s="16"/>
      <c r="C1929" s="19"/>
      <c r="D1929" s="10"/>
      <c r="E1929" s="10"/>
      <c r="F1929" s="47"/>
      <c r="G1929" s="10"/>
      <c r="H1929" s="20"/>
      <c r="I1929" s="20"/>
      <c r="J1929" s="10"/>
      <c r="K1929" s="10"/>
      <c r="L1929" s="10"/>
      <c r="M1929" s="10"/>
      <c r="N1929" s="10"/>
      <c r="O1929" s="21"/>
    </row>
    <row r="1930" spans="1:15" x14ac:dyDescent="0.35">
      <c r="A1930" s="15">
        <f t="shared" si="29"/>
        <v>1928</v>
      </c>
      <c r="B1930" s="16"/>
      <c r="C1930" s="19"/>
      <c r="D1930" s="10"/>
      <c r="E1930" s="10"/>
      <c r="F1930" s="47"/>
      <c r="G1930" s="10"/>
      <c r="H1930" s="20"/>
      <c r="I1930" s="20"/>
      <c r="J1930" s="10"/>
      <c r="K1930" s="10"/>
      <c r="L1930" s="10"/>
      <c r="M1930" s="10"/>
      <c r="N1930" s="10"/>
      <c r="O1930" s="21"/>
    </row>
    <row r="1931" spans="1:15" x14ac:dyDescent="0.35">
      <c r="A1931" s="15">
        <f t="shared" ref="A1931:A1994" si="30">+A1930+1</f>
        <v>1929</v>
      </c>
      <c r="B1931" s="16"/>
      <c r="C1931" s="19"/>
      <c r="D1931" s="10"/>
      <c r="E1931" s="10"/>
      <c r="F1931" s="47"/>
      <c r="G1931" s="10"/>
      <c r="H1931" s="20"/>
      <c r="I1931" s="20"/>
      <c r="J1931" s="10"/>
      <c r="K1931" s="10"/>
      <c r="L1931" s="10"/>
      <c r="M1931" s="10"/>
      <c r="N1931" s="10"/>
      <c r="O1931" s="21"/>
    </row>
    <row r="1932" spans="1:15" x14ac:dyDescent="0.35">
      <c r="A1932" s="15">
        <f t="shared" si="30"/>
        <v>1930</v>
      </c>
      <c r="B1932" s="16"/>
      <c r="C1932" s="19"/>
      <c r="D1932" s="10"/>
      <c r="E1932" s="10"/>
      <c r="F1932" s="47"/>
      <c r="G1932" s="10"/>
      <c r="H1932" s="20"/>
      <c r="I1932" s="20"/>
      <c r="J1932" s="10"/>
      <c r="K1932" s="10"/>
      <c r="L1932" s="10"/>
      <c r="M1932" s="10"/>
      <c r="N1932" s="10"/>
      <c r="O1932" s="21"/>
    </row>
    <row r="1933" spans="1:15" x14ac:dyDescent="0.35">
      <c r="A1933" s="15">
        <f t="shared" si="30"/>
        <v>1931</v>
      </c>
      <c r="B1933" s="16"/>
      <c r="C1933" s="19"/>
      <c r="D1933" s="10"/>
      <c r="E1933" s="10"/>
      <c r="F1933" s="47"/>
      <c r="G1933" s="10"/>
      <c r="H1933" s="20"/>
      <c r="I1933" s="20"/>
      <c r="J1933" s="10"/>
      <c r="K1933" s="10"/>
      <c r="L1933" s="10"/>
      <c r="M1933" s="10"/>
      <c r="N1933" s="10"/>
      <c r="O1933" s="21"/>
    </row>
    <row r="1934" spans="1:15" x14ac:dyDescent="0.35">
      <c r="A1934" s="15">
        <f t="shared" si="30"/>
        <v>1932</v>
      </c>
      <c r="B1934" s="16"/>
      <c r="C1934" s="19"/>
      <c r="D1934" s="10"/>
      <c r="E1934" s="10"/>
      <c r="F1934" s="47"/>
      <c r="G1934" s="10"/>
      <c r="H1934" s="20"/>
      <c r="I1934" s="20"/>
      <c r="J1934" s="10"/>
      <c r="K1934" s="10"/>
      <c r="L1934" s="10"/>
      <c r="M1934" s="10"/>
      <c r="N1934" s="10"/>
      <c r="O1934" s="21"/>
    </row>
    <row r="1935" spans="1:15" x14ac:dyDescent="0.35">
      <c r="A1935" s="15">
        <f t="shared" si="30"/>
        <v>1933</v>
      </c>
      <c r="B1935" s="16"/>
      <c r="C1935" s="19"/>
      <c r="D1935" s="10"/>
      <c r="E1935" s="10"/>
      <c r="F1935" s="47"/>
      <c r="G1935" s="10"/>
      <c r="H1935" s="20"/>
      <c r="I1935" s="20"/>
      <c r="J1935" s="10"/>
      <c r="K1935" s="10"/>
      <c r="L1935" s="10"/>
      <c r="M1935" s="10"/>
      <c r="N1935" s="10"/>
      <c r="O1935" s="21"/>
    </row>
    <row r="1936" spans="1:15" x14ac:dyDescent="0.35">
      <c r="A1936" s="15">
        <f t="shared" si="30"/>
        <v>1934</v>
      </c>
      <c r="B1936" s="16"/>
      <c r="C1936" s="19"/>
      <c r="D1936" s="10"/>
      <c r="E1936" s="10"/>
      <c r="F1936" s="47"/>
      <c r="G1936" s="10"/>
      <c r="H1936" s="20"/>
      <c r="I1936" s="20"/>
      <c r="J1936" s="10"/>
      <c r="K1936" s="10"/>
      <c r="L1936" s="10"/>
      <c r="M1936" s="10"/>
      <c r="N1936" s="10"/>
      <c r="O1936" s="21"/>
    </row>
    <row r="1937" spans="1:15" x14ac:dyDescent="0.35">
      <c r="A1937" s="15">
        <f t="shared" si="30"/>
        <v>1935</v>
      </c>
      <c r="B1937" s="16"/>
      <c r="C1937" s="19"/>
      <c r="D1937" s="10"/>
      <c r="E1937" s="10"/>
      <c r="F1937" s="47"/>
      <c r="G1937" s="10"/>
      <c r="H1937" s="20"/>
      <c r="I1937" s="20"/>
      <c r="J1937" s="10"/>
      <c r="K1937" s="10"/>
      <c r="L1937" s="10"/>
      <c r="M1937" s="10"/>
      <c r="N1937" s="10"/>
      <c r="O1937" s="21"/>
    </row>
    <row r="1938" spans="1:15" x14ac:dyDescent="0.35">
      <c r="A1938" s="15">
        <f t="shared" si="30"/>
        <v>1936</v>
      </c>
      <c r="B1938" s="16"/>
      <c r="C1938" s="19"/>
      <c r="D1938" s="10"/>
      <c r="E1938" s="10"/>
      <c r="F1938" s="47"/>
      <c r="G1938" s="10"/>
      <c r="H1938" s="20"/>
      <c r="I1938" s="20"/>
      <c r="J1938" s="10"/>
      <c r="K1938" s="10"/>
      <c r="L1938" s="10"/>
      <c r="M1938" s="10"/>
      <c r="N1938" s="10"/>
      <c r="O1938" s="21"/>
    </row>
    <row r="1939" spans="1:15" x14ac:dyDescent="0.35">
      <c r="A1939" s="15">
        <f t="shared" si="30"/>
        <v>1937</v>
      </c>
      <c r="B1939" s="16"/>
      <c r="C1939" s="19"/>
      <c r="D1939" s="10"/>
      <c r="E1939" s="10"/>
      <c r="F1939" s="47"/>
      <c r="G1939" s="10"/>
      <c r="H1939" s="20"/>
      <c r="I1939" s="20"/>
      <c r="J1939" s="10"/>
      <c r="K1939" s="10"/>
      <c r="L1939" s="10"/>
      <c r="M1939" s="10"/>
      <c r="N1939" s="10"/>
      <c r="O1939" s="21"/>
    </row>
    <row r="1940" spans="1:15" x14ac:dyDescent="0.35">
      <c r="A1940" s="15">
        <f t="shared" si="30"/>
        <v>1938</v>
      </c>
      <c r="B1940" s="16"/>
      <c r="C1940" s="19"/>
      <c r="D1940" s="10"/>
      <c r="E1940" s="10"/>
      <c r="F1940" s="47"/>
      <c r="G1940" s="10"/>
      <c r="H1940" s="20"/>
      <c r="I1940" s="20"/>
      <c r="J1940" s="10"/>
      <c r="K1940" s="10"/>
      <c r="L1940" s="10"/>
      <c r="M1940" s="10"/>
      <c r="N1940" s="10"/>
      <c r="O1940" s="21"/>
    </row>
    <row r="1941" spans="1:15" x14ac:dyDescent="0.35">
      <c r="A1941" s="15">
        <f t="shared" si="30"/>
        <v>1939</v>
      </c>
      <c r="B1941" s="16"/>
      <c r="C1941" s="19"/>
      <c r="D1941" s="10"/>
      <c r="E1941" s="10"/>
      <c r="F1941" s="47"/>
      <c r="G1941" s="10"/>
      <c r="H1941" s="20"/>
      <c r="I1941" s="20"/>
      <c r="J1941" s="10"/>
      <c r="K1941" s="10"/>
      <c r="L1941" s="10"/>
      <c r="M1941" s="10"/>
      <c r="N1941" s="10"/>
      <c r="O1941" s="21"/>
    </row>
    <row r="1942" spans="1:15" x14ac:dyDescent="0.35">
      <c r="A1942" s="15">
        <f t="shared" si="30"/>
        <v>1940</v>
      </c>
      <c r="B1942" s="16"/>
      <c r="C1942" s="19"/>
      <c r="D1942" s="10"/>
      <c r="E1942" s="10"/>
      <c r="F1942" s="47"/>
      <c r="G1942" s="10"/>
      <c r="H1942" s="20"/>
      <c r="I1942" s="20"/>
      <c r="J1942" s="10"/>
      <c r="K1942" s="10"/>
      <c r="L1942" s="10"/>
      <c r="M1942" s="10"/>
      <c r="N1942" s="10"/>
      <c r="O1942" s="21"/>
    </row>
    <row r="1943" spans="1:15" x14ac:dyDescent="0.35">
      <c r="A1943" s="15">
        <f t="shared" si="30"/>
        <v>1941</v>
      </c>
      <c r="B1943" s="16"/>
      <c r="C1943" s="19"/>
      <c r="D1943" s="10"/>
      <c r="E1943" s="10"/>
      <c r="F1943" s="47"/>
      <c r="G1943" s="10"/>
      <c r="H1943" s="20"/>
      <c r="I1943" s="20"/>
      <c r="J1943" s="10"/>
      <c r="K1943" s="10"/>
      <c r="L1943" s="10"/>
      <c r="M1943" s="10"/>
      <c r="N1943" s="10"/>
      <c r="O1943" s="21"/>
    </row>
    <row r="1944" spans="1:15" x14ac:dyDescent="0.35">
      <c r="A1944" s="15">
        <f t="shared" si="30"/>
        <v>1942</v>
      </c>
      <c r="B1944" s="16"/>
      <c r="C1944" s="19"/>
      <c r="D1944" s="10"/>
      <c r="E1944" s="10"/>
      <c r="F1944" s="47"/>
      <c r="G1944" s="10"/>
      <c r="H1944" s="20"/>
      <c r="I1944" s="20"/>
      <c r="J1944" s="10"/>
      <c r="K1944" s="10"/>
      <c r="L1944" s="10"/>
      <c r="M1944" s="10"/>
      <c r="N1944" s="10"/>
      <c r="O1944" s="21"/>
    </row>
    <row r="1945" spans="1:15" x14ac:dyDescent="0.35">
      <c r="A1945" s="15">
        <f t="shared" si="30"/>
        <v>1943</v>
      </c>
      <c r="B1945" s="16"/>
      <c r="C1945" s="19"/>
      <c r="D1945" s="10"/>
      <c r="E1945" s="10"/>
      <c r="F1945" s="47"/>
      <c r="G1945" s="10"/>
      <c r="H1945" s="20"/>
      <c r="I1945" s="20"/>
      <c r="J1945" s="10"/>
      <c r="K1945" s="10"/>
      <c r="L1945" s="10"/>
      <c r="M1945" s="10"/>
      <c r="N1945" s="10"/>
      <c r="O1945" s="21"/>
    </row>
    <row r="1946" spans="1:15" x14ac:dyDescent="0.35">
      <c r="A1946" s="15">
        <f t="shared" si="30"/>
        <v>1944</v>
      </c>
      <c r="B1946" s="16"/>
      <c r="C1946" s="19"/>
      <c r="D1946" s="10"/>
      <c r="E1946" s="10"/>
      <c r="F1946" s="47"/>
      <c r="G1946" s="10"/>
      <c r="H1946" s="20"/>
      <c r="I1946" s="20"/>
      <c r="J1946" s="10"/>
      <c r="K1946" s="10"/>
      <c r="L1946" s="10"/>
      <c r="M1946" s="10"/>
      <c r="N1946" s="10"/>
      <c r="O1946" s="21"/>
    </row>
    <row r="1947" spans="1:15" x14ac:dyDescent="0.35">
      <c r="A1947" s="15">
        <f t="shared" si="30"/>
        <v>1945</v>
      </c>
      <c r="B1947" s="16"/>
      <c r="C1947" s="19"/>
      <c r="D1947" s="10"/>
      <c r="E1947" s="10"/>
      <c r="F1947" s="47"/>
      <c r="G1947" s="10"/>
      <c r="H1947" s="20"/>
      <c r="I1947" s="20"/>
      <c r="J1947" s="10"/>
      <c r="K1947" s="10"/>
      <c r="L1947" s="10"/>
      <c r="M1947" s="10"/>
      <c r="N1947" s="10"/>
      <c r="O1947" s="21"/>
    </row>
    <row r="1948" spans="1:15" x14ac:dyDescent="0.35">
      <c r="A1948" s="15">
        <f t="shared" si="30"/>
        <v>1946</v>
      </c>
      <c r="B1948" s="16"/>
      <c r="C1948" s="19"/>
      <c r="D1948" s="10"/>
      <c r="E1948" s="10"/>
      <c r="F1948" s="47"/>
      <c r="G1948" s="10"/>
      <c r="H1948" s="20"/>
      <c r="I1948" s="20"/>
      <c r="J1948" s="10"/>
      <c r="K1948" s="10"/>
      <c r="L1948" s="10"/>
      <c r="M1948" s="10"/>
      <c r="N1948" s="10"/>
      <c r="O1948" s="21"/>
    </row>
    <row r="1949" spans="1:15" x14ac:dyDescent="0.35">
      <c r="A1949" s="15">
        <f t="shared" si="30"/>
        <v>1947</v>
      </c>
      <c r="B1949" s="16"/>
      <c r="C1949" s="19"/>
      <c r="D1949" s="10"/>
      <c r="E1949" s="10"/>
      <c r="F1949" s="47"/>
      <c r="G1949" s="10"/>
      <c r="H1949" s="20"/>
      <c r="I1949" s="20"/>
      <c r="J1949" s="10"/>
      <c r="K1949" s="10"/>
      <c r="L1949" s="10"/>
      <c r="M1949" s="10"/>
      <c r="N1949" s="10"/>
      <c r="O1949" s="21"/>
    </row>
    <row r="1950" spans="1:15" x14ac:dyDescent="0.35">
      <c r="A1950" s="15">
        <f t="shared" si="30"/>
        <v>1948</v>
      </c>
      <c r="B1950" s="16"/>
      <c r="C1950" s="19"/>
      <c r="D1950" s="10"/>
      <c r="E1950" s="10"/>
      <c r="F1950" s="47"/>
      <c r="G1950" s="10"/>
      <c r="H1950" s="20"/>
      <c r="I1950" s="20"/>
      <c r="J1950" s="10"/>
      <c r="K1950" s="10"/>
      <c r="L1950" s="10"/>
      <c r="M1950" s="10"/>
      <c r="N1950" s="10"/>
      <c r="O1950" s="21"/>
    </row>
    <row r="1951" spans="1:15" x14ac:dyDescent="0.35">
      <c r="A1951" s="15">
        <f t="shared" si="30"/>
        <v>1949</v>
      </c>
      <c r="B1951" s="16"/>
      <c r="C1951" s="19"/>
      <c r="D1951" s="10"/>
      <c r="E1951" s="10"/>
      <c r="F1951" s="47"/>
      <c r="G1951" s="10"/>
      <c r="H1951" s="20"/>
      <c r="I1951" s="20"/>
      <c r="J1951" s="10"/>
      <c r="K1951" s="10"/>
      <c r="L1951" s="10"/>
      <c r="M1951" s="10"/>
      <c r="N1951" s="10"/>
      <c r="O1951" s="21"/>
    </row>
    <row r="1952" spans="1:15" x14ac:dyDescent="0.35">
      <c r="A1952" s="15">
        <f t="shared" si="30"/>
        <v>1950</v>
      </c>
      <c r="B1952" s="16"/>
      <c r="C1952" s="19"/>
      <c r="D1952" s="10"/>
      <c r="E1952" s="10"/>
      <c r="F1952" s="47"/>
      <c r="G1952" s="10"/>
      <c r="H1952" s="20"/>
      <c r="I1952" s="20"/>
      <c r="J1952" s="10"/>
      <c r="K1952" s="10"/>
      <c r="L1952" s="10"/>
      <c r="M1952" s="10"/>
      <c r="N1952" s="10"/>
      <c r="O1952" s="21"/>
    </row>
    <row r="1953" spans="1:15" x14ac:dyDescent="0.35">
      <c r="A1953" s="15">
        <f t="shared" si="30"/>
        <v>1951</v>
      </c>
      <c r="B1953" s="16"/>
      <c r="C1953" s="19"/>
      <c r="D1953" s="10"/>
      <c r="E1953" s="10"/>
      <c r="F1953" s="47"/>
      <c r="G1953" s="10"/>
      <c r="H1953" s="20"/>
      <c r="I1953" s="20"/>
      <c r="J1953" s="10"/>
      <c r="K1953" s="10"/>
      <c r="L1953" s="10"/>
      <c r="M1953" s="10"/>
      <c r="N1953" s="10"/>
      <c r="O1953" s="21"/>
    </row>
    <row r="1954" spans="1:15" x14ac:dyDescent="0.35">
      <c r="A1954" s="15">
        <f t="shared" si="30"/>
        <v>1952</v>
      </c>
      <c r="B1954" s="16"/>
      <c r="C1954" s="19"/>
      <c r="D1954" s="10"/>
      <c r="E1954" s="10"/>
      <c r="F1954" s="47"/>
      <c r="G1954" s="10"/>
      <c r="H1954" s="20"/>
      <c r="I1954" s="20"/>
      <c r="J1954" s="10"/>
      <c r="K1954" s="10"/>
      <c r="L1954" s="10"/>
      <c r="M1954" s="10"/>
      <c r="N1954" s="10"/>
      <c r="O1954" s="21"/>
    </row>
    <row r="1955" spans="1:15" x14ac:dyDescent="0.35">
      <c r="A1955" s="15">
        <f t="shared" si="30"/>
        <v>1953</v>
      </c>
      <c r="B1955" s="16"/>
      <c r="C1955" s="19"/>
      <c r="D1955" s="10"/>
      <c r="E1955" s="10"/>
      <c r="F1955" s="47"/>
      <c r="G1955" s="10"/>
      <c r="H1955" s="20"/>
      <c r="I1955" s="20"/>
      <c r="J1955" s="10"/>
      <c r="K1955" s="10"/>
      <c r="L1955" s="10"/>
      <c r="M1955" s="10"/>
      <c r="N1955" s="10"/>
      <c r="O1955" s="21"/>
    </row>
    <row r="1956" spans="1:15" x14ac:dyDescent="0.35">
      <c r="A1956" s="15">
        <f t="shared" si="30"/>
        <v>1954</v>
      </c>
      <c r="B1956" s="16"/>
      <c r="C1956" s="19"/>
      <c r="D1956" s="10"/>
      <c r="E1956" s="10"/>
      <c r="F1956" s="47"/>
      <c r="G1956" s="10"/>
      <c r="H1956" s="20"/>
      <c r="I1956" s="20"/>
      <c r="J1956" s="10"/>
      <c r="K1956" s="10"/>
      <c r="L1956" s="10"/>
      <c r="M1956" s="10"/>
      <c r="N1956" s="10"/>
      <c r="O1956" s="21"/>
    </row>
    <row r="1957" spans="1:15" x14ac:dyDescent="0.35">
      <c r="A1957" s="15">
        <f t="shared" si="30"/>
        <v>1955</v>
      </c>
      <c r="B1957" s="16"/>
      <c r="C1957" s="19"/>
      <c r="D1957" s="10"/>
      <c r="E1957" s="10"/>
      <c r="F1957" s="47"/>
      <c r="G1957" s="10"/>
      <c r="H1957" s="20"/>
      <c r="I1957" s="20"/>
      <c r="J1957" s="10"/>
      <c r="K1957" s="10"/>
      <c r="L1957" s="10"/>
      <c r="M1957" s="10"/>
      <c r="N1957" s="10"/>
      <c r="O1957" s="21"/>
    </row>
    <row r="1958" spans="1:15" x14ac:dyDescent="0.35">
      <c r="A1958" s="15">
        <f t="shared" si="30"/>
        <v>1956</v>
      </c>
      <c r="B1958" s="16"/>
      <c r="C1958" s="19"/>
      <c r="D1958" s="10"/>
      <c r="E1958" s="10"/>
      <c r="F1958" s="47"/>
      <c r="G1958" s="10"/>
      <c r="H1958" s="20"/>
      <c r="I1958" s="20"/>
      <c r="J1958" s="10"/>
      <c r="K1958" s="10"/>
      <c r="L1958" s="10"/>
      <c r="M1958" s="10"/>
      <c r="N1958" s="10"/>
      <c r="O1958" s="21"/>
    </row>
    <row r="1959" spans="1:15" x14ac:dyDescent="0.35">
      <c r="A1959" s="15">
        <f t="shared" si="30"/>
        <v>1957</v>
      </c>
      <c r="B1959" s="16"/>
      <c r="C1959" s="19"/>
      <c r="D1959" s="10"/>
      <c r="E1959" s="10"/>
      <c r="F1959" s="47"/>
      <c r="G1959" s="10"/>
      <c r="H1959" s="20"/>
      <c r="I1959" s="20"/>
      <c r="J1959" s="10"/>
      <c r="K1959" s="10"/>
      <c r="L1959" s="10"/>
      <c r="M1959" s="10"/>
      <c r="N1959" s="10"/>
      <c r="O1959" s="21"/>
    </row>
    <row r="1960" spans="1:15" x14ac:dyDescent="0.35">
      <c r="A1960" s="15">
        <f t="shared" si="30"/>
        <v>1958</v>
      </c>
      <c r="B1960" s="16"/>
      <c r="C1960" s="19"/>
      <c r="D1960" s="10"/>
      <c r="E1960" s="10"/>
      <c r="F1960" s="47"/>
      <c r="G1960" s="10"/>
      <c r="H1960" s="20"/>
      <c r="I1960" s="20"/>
      <c r="J1960" s="10"/>
      <c r="K1960" s="10"/>
      <c r="L1960" s="10"/>
      <c r="M1960" s="10"/>
      <c r="N1960" s="10"/>
      <c r="O1960" s="21"/>
    </row>
    <row r="1961" spans="1:15" x14ac:dyDescent="0.35">
      <c r="A1961" s="15">
        <f t="shared" si="30"/>
        <v>1959</v>
      </c>
      <c r="B1961" s="16"/>
      <c r="C1961" s="19"/>
      <c r="D1961" s="10"/>
      <c r="E1961" s="10"/>
      <c r="F1961" s="47"/>
      <c r="G1961" s="10"/>
      <c r="H1961" s="20"/>
      <c r="I1961" s="20"/>
      <c r="J1961" s="10"/>
      <c r="K1961" s="10"/>
      <c r="L1961" s="10"/>
      <c r="M1961" s="10"/>
      <c r="N1961" s="10"/>
      <c r="O1961" s="21"/>
    </row>
    <row r="1962" spans="1:15" x14ac:dyDescent="0.35">
      <c r="A1962" s="15">
        <f t="shared" si="30"/>
        <v>1960</v>
      </c>
      <c r="B1962" s="16"/>
      <c r="C1962" s="19"/>
      <c r="D1962" s="10"/>
      <c r="E1962" s="10"/>
      <c r="F1962" s="47"/>
      <c r="G1962" s="10"/>
      <c r="H1962" s="20"/>
      <c r="I1962" s="20"/>
      <c r="J1962" s="10"/>
      <c r="K1962" s="10"/>
      <c r="L1962" s="10"/>
      <c r="M1962" s="10"/>
      <c r="N1962" s="10"/>
      <c r="O1962" s="21"/>
    </row>
    <row r="1963" spans="1:15" x14ac:dyDescent="0.35">
      <c r="A1963" s="15">
        <f t="shared" si="30"/>
        <v>1961</v>
      </c>
      <c r="B1963" s="16"/>
      <c r="C1963" s="19"/>
      <c r="D1963" s="10"/>
      <c r="E1963" s="10"/>
      <c r="F1963" s="47"/>
      <c r="G1963" s="10"/>
      <c r="H1963" s="20"/>
      <c r="I1963" s="20"/>
      <c r="J1963" s="10"/>
      <c r="K1963" s="10"/>
      <c r="L1963" s="10"/>
      <c r="M1963" s="10"/>
      <c r="N1963" s="10"/>
      <c r="O1963" s="21"/>
    </row>
    <row r="1964" spans="1:15" x14ac:dyDescent="0.35">
      <c r="A1964" s="15">
        <f t="shared" si="30"/>
        <v>1962</v>
      </c>
      <c r="B1964" s="16"/>
      <c r="C1964" s="19"/>
      <c r="D1964" s="10"/>
      <c r="E1964" s="10"/>
      <c r="F1964" s="47"/>
      <c r="G1964" s="10"/>
      <c r="H1964" s="20"/>
      <c r="I1964" s="20"/>
      <c r="J1964" s="10"/>
      <c r="K1964" s="10"/>
      <c r="L1964" s="10"/>
      <c r="M1964" s="10"/>
      <c r="N1964" s="10"/>
      <c r="O1964" s="21"/>
    </row>
    <row r="1965" spans="1:15" x14ac:dyDescent="0.35">
      <c r="A1965" s="15">
        <f t="shared" si="30"/>
        <v>1963</v>
      </c>
      <c r="B1965" s="16"/>
      <c r="C1965" s="19"/>
      <c r="D1965" s="10"/>
      <c r="E1965" s="10"/>
      <c r="F1965" s="47"/>
      <c r="G1965" s="10"/>
      <c r="H1965" s="20"/>
      <c r="I1965" s="20"/>
      <c r="J1965" s="10"/>
      <c r="K1965" s="10"/>
      <c r="L1965" s="10"/>
      <c r="M1965" s="10"/>
      <c r="N1965" s="10"/>
      <c r="O1965" s="21"/>
    </row>
    <row r="1966" spans="1:15" x14ac:dyDescent="0.35">
      <c r="A1966" s="15">
        <f t="shared" si="30"/>
        <v>1964</v>
      </c>
      <c r="B1966" s="16"/>
      <c r="C1966" s="19"/>
      <c r="D1966" s="10"/>
      <c r="E1966" s="10"/>
      <c r="F1966" s="47"/>
      <c r="G1966" s="10"/>
      <c r="H1966" s="20"/>
      <c r="I1966" s="20"/>
      <c r="J1966" s="10"/>
      <c r="K1966" s="10"/>
      <c r="L1966" s="10"/>
      <c r="M1966" s="10"/>
      <c r="N1966" s="10"/>
      <c r="O1966" s="21"/>
    </row>
    <row r="1967" spans="1:15" x14ac:dyDescent="0.35">
      <c r="A1967" s="15">
        <f t="shared" si="30"/>
        <v>1965</v>
      </c>
      <c r="B1967" s="16"/>
      <c r="C1967" s="19"/>
      <c r="D1967" s="10"/>
      <c r="E1967" s="10"/>
      <c r="F1967" s="47"/>
      <c r="G1967" s="10"/>
      <c r="H1967" s="20"/>
      <c r="I1967" s="20"/>
      <c r="J1967" s="10"/>
      <c r="K1967" s="10"/>
      <c r="L1967" s="10"/>
      <c r="M1967" s="10"/>
      <c r="N1967" s="10"/>
      <c r="O1967" s="21"/>
    </row>
    <row r="1968" spans="1:15" x14ac:dyDescent="0.35">
      <c r="A1968" s="15">
        <f t="shared" si="30"/>
        <v>1966</v>
      </c>
      <c r="B1968" s="16"/>
      <c r="C1968" s="19"/>
      <c r="D1968" s="10"/>
      <c r="E1968" s="10"/>
      <c r="F1968" s="47"/>
      <c r="G1968" s="10"/>
      <c r="H1968" s="20"/>
      <c r="I1968" s="20"/>
      <c r="J1968" s="10"/>
      <c r="K1968" s="10"/>
      <c r="L1968" s="10"/>
      <c r="M1968" s="10"/>
      <c r="N1968" s="10"/>
      <c r="O1968" s="21"/>
    </row>
    <row r="1969" spans="1:15" x14ac:dyDescent="0.35">
      <c r="A1969" s="15">
        <f t="shared" si="30"/>
        <v>1967</v>
      </c>
      <c r="B1969" s="16"/>
      <c r="C1969" s="19"/>
      <c r="D1969" s="10"/>
      <c r="E1969" s="10"/>
      <c r="F1969" s="47"/>
      <c r="G1969" s="10"/>
      <c r="H1969" s="20"/>
      <c r="I1969" s="20"/>
      <c r="J1969" s="10"/>
      <c r="K1969" s="10"/>
      <c r="L1969" s="10"/>
      <c r="M1969" s="10"/>
      <c r="N1969" s="10"/>
      <c r="O1969" s="21"/>
    </row>
    <row r="1970" spans="1:15" x14ac:dyDescent="0.35">
      <c r="A1970" s="15">
        <f t="shared" si="30"/>
        <v>1968</v>
      </c>
      <c r="B1970" s="16"/>
      <c r="C1970" s="19"/>
      <c r="D1970" s="10"/>
      <c r="E1970" s="10"/>
      <c r="F1970" s="47"/>
      <c r="G1970" s="10"/>
      <c r="H1970" s="20"/>
      <c r="I1970" s="20"/>
      <c r="J1970" s="10"/>
      <c r="K1970" s="10"/>
      <c r="L1970" s="10"/>
      <c r="M1970" s="10"/>
      <c r="N1970" s="10"/>
      <c r="O1970" s="21"/>
    </row>
    <row r="1971" spans="1:15" x14ac:dyDescent="0.35">
      <c r="A1971" s="15">
        <f t="shared" si="30"/>
        <v>1969</v>
      </c>
      <c r="B1971" s="16"/>
      <c r="C1971" s="19"/>
      <c r="D1971" s="10"/>
      <c r="E1971" s="10"/>
      <c r="F1971" s="47"/>
      <c r="G1971" s="10"/>
      <c r="H1971" s="20"/>
      <c r="I1971" s="20"/>
      <c r="J1971" s="10"/>
      <c r="K1971" s="10"/>
      <c r="L1971" s="10"/>
      <c r="M1971" s="10"/>
      <c r="N1971" s="10"/>
      <c r="O1971" s="21"/>
    </row>
    <row r="1972" spans="1:15" x14ac:dyDescent="0.35">
      <c r="A1972" s="15">
        <f t="shared" si="30"/>
        <v>1970</v>
      </c>
      <c r="B1972" s="16"/>
      <c r="C1972" s="19"/>
      <c r="D1972" s="10"/>
      <c r="E1972" s="10"/>
      <c r="F1972" s="47"/>
      <c r="G1972" s="10"/>
      <c r="H1972" s="20"/>
      <c r="I1972" s="20"/>
      <c r="J1972" s="10"/>
      <c r="K1972" s="10"/>
      <c r="L1972" s="10"/>
      <c r="M1972" s="10"/>
      <c r="N1972" s="10"/>
      <c r="O1972" s="21"/>
    </row>
    <row r="1973" spans="1:15" x14ac:dyDescent="0.35">
      <c r="A1973" s="15">
        <f t="shared" si="30"/>
        <v>1971</v>
      </c>
      <c r="B1973" s="16"/>
      <c r="C1973" s="19"/>
      <c r="D1973" s="10"/>
      <c r="E1973" s="10"/>
      <c r="F1973" s="47"/>
      <c r="G1973" s="10"/>
      <c r="H1973" s="20"/>
      <c r="I1973" s="20"/>
      <c r="J1973" s="10"/>
      <c r="K1973" s="10"/>
      <c r="L1973" s="10"/>
      <c r="M1973" s="10"/>
      <c r="N1973" s="10"/>
      <c r="O1973" s="21"/>
    </row>
    <row r="1974" spans="1:15" x14ac:dyDescent="0.35">
      <c r="A1974" s="15">
        <f t="shared" si="30"/>
        <v>1972</v>
      </c>
      <c r="B1974" s="16"/>
      <c r="C1974" s="19"/>
      <c r="D1974" s="10"/>
      <c r="E1974" s="10"/>
      <c r="F1974" s="47"/>
      <c r="G1974" s="10"/>
      <c r="H1974" s="20"/>
      <c r="I1974" s="20"/>
      <c r="J1974" s="10"/>
      <c r="K1974" s="10"/>
      <c r="L1974" s="10"/>
      <c r="M1974" s="10"/>
      <c r="N1974" s="10"/>
      <c r="O1974" s="21"/>
    </row>
    <row r="1975" spans="1:15" x14ac:dyDescent="0.35">
      <c r="A1975" s="15">
        <f t="shared" si="30"/>
        <v>1973</v>
      </c>
      <c r="B1975" s="16"/>
      <c r="C1975" s="19"/>
      <c r="D1975" s="10"/>
      <c r="E1975" s="10"/>
      <c r="F1975" s="47"/>
      <c r="G1975" s="10"/>
      <c r="H1975" s="20"/>
      <c r="I1975" s="20"/>
      <c r="J1975" s="10"/>
      <c r="K1975" s="10"/>
      <c r="L1975" s="10"/>
      <c r="M1975" s="10"/>
      <c r="N1975" s="10"/>
      <c r="O1975" s="21"/>
    </row>
    <row r="1976" spans="1:15" x14ac:dyDescent="0.35">
      <c r="A1976" s="15">
        <f t="shared" si="30"/>
        <v>1974</v>
      </c>
      <c r="B1976" s="16"/>
      <c r="C1976" s="19"/>
      <c r="D1976" s="10"/>
      <c r="E1976" s="10"/>
      <c r="F1976" s="47"/>
      <c r="G1976" s="10"/>
      <c r="H1976" s="20"/>
      <c r="I1976" s="20"/>
      <c r="J1976" s="10"/>
      <c r="K1976" s="10"/>
      <c r="L1976" s="10"/>
      <c r="M1976" s="10"/>
      <c r="N1976" s="10"/>
      <c r="O1976" s="21"/>
    </row>
    <row r="1977" spans="1:15" x14ac:dyDescent="0.35">
      <c r="A1977" s="15">
        <f t="shared" si="30"/>
        <v>1975</v>
      </c>
      <c r="B1977" s="16"/>
      <c r="C1977" s="19"/>
      <c r="D1977" s="10"/>
      <c r="E1977" s="10"/>
      <c r="F1977" s="47"/>
      <c r="G1977" s="10"/>
      <c r="H1977" s="20"/>
      <c r="I1977" s="20"/>
      <c r="J1977" s="10"/>
      <c r="K1977" s="10"/>
      <c r="L1977" s="10"/>
      <c r="M1977" s="10"/>
      <c r="N1977" s="10"/>
      <c r="O1977" s="21"/>
    </row>
    <row r="1978" spans="1:15" x14ac:dyDescent="0.35">
      <c r="A1978" s="15">
        <f t="shared" si="30"/>
        <v>1976</v>
      </c>
      <c r="B1978" s="16"/>
      <c r="C1978" s="19"/>
      <c r="D1978" s="10"/>
      <c r="E1978" s="10"/>
      <c r="F1978" s="47"/>
      <c r="G1978" s="10"/>
      <c r="H1978" s="20"/>
      <c r="I1978" s="20"/>
      <c r="J1978" s="10"/>
      <c r="K1978" s="10"/>
      <c r="L1978" s="10"/>
      <c r="M1978" s="10"/>
      <c r="N1978" s="10"/>
      <c r="O1978" s="21"/>
    </row>
    <row r="1979" spans="1:15" x14ac:dyDescent="0.35">
      <c r="A1979" s="15">
        <f t="shared" si="30"/>
        <v>1977</v>
      </c>
      <c r="B1979" s="16"/>
      <c r="C1979" s="19"/>
      <c r="D1979" s="10"/>
      <c r="E1979" s="10"/>
      <c r="F1979" s="47"/>
      <c r="G1979" s="10"/>
      <c r="H1979" s="20"/>
      <c r="I1979" s="20"/>
      <c r="J1979" s="10"/>
      <c r="K1979" s="10"/>
      <c r="L1979" s="10"/>
      <c r="M1979" s="10"/>
      <c r="N1979" s="10"/>
      <c r="O1979" s="21"/>
    </row>
    <row r="1980" spans="1:15" x14ac:dyDescent="0.35">
      <c r="A1980" s="15">
        <f t="shared" si="30"/>
        <v>1978</v>
      </c>
      <c r="B1980" s="16"/>
      <c r="C1980" s="19"/>
      <c r="D1980" s="10"/>
      <c r="E1980" s="10"/>
      <c r="F1980" s="47"/>
      <c r="G1980" s="10"/>
      <c r="H1980" s="20"/>
      <c r="I1980" s="20"/>
      <c r="J1980" s="10"/>
      <c r="K1980" s="10"/>
      <c r="L1980" s="10"/>
      <c r="M1980" s="10"/>
      <c r="N1980" s="10"/>
      <c r="O1980" s="21"/>
    </row>
    <row r="1981" spans="1:15" x14ac:dyDescent="0.35">
      <c r="A1981" s="15">
        <f t="shared" si="30"/>
        <v>1979</v>
      </c>
      <c r="B1981" s="16"/>
      <c r="C1981" s="19"/>
      <c r="D1981" s="10"/>
      <c r="E1981" s="10"/>
      <c r="F1981" s="47"/>
      <c r="G1981" s="10"/>
      <c r="H1981" s="20"/>
      <c r="I1981" s="20"/>
      <c r="J1981" s="10"/>
      <c r="K1981" s="10"/>
      <c r="L1981" s="10"/>
      <c r="M1981" s="10"/>
      <c r="N1981" s="10"/>
      <c r="O1981" s="21"/>
    </row>
    <row r="1982" spans="1:15" x14ac:dyDescent="0.35">
      <c r="A1982" s="15">
        <f t="shared" si="30"/>
        <v>1980</v>
      </c>
      <c r="B1982" s="16"/>
      <c r="C1982" s="19"/>
      <c r="D1982" s="10"/>
      <c r="E1982" s="10"/>
      <c r="F1982" s="47"/>
      <c r="G1982" s="10"/>
      <c r="H1982" s="20"/>
      <c r="I1982" s="20"/>
      <c r="J1982" s="10"/>
      <c r="K1982" s="10"/>
      <c r="L1982" s="10"/>
      <c r="M1982" s="10"/>
      <c r="N1982" s="10"/>
      <c r="O1982" s="21"/>
    </row>
    <row r="1983" spans="1:15" x14ac:dyDescent="0.35">
      <c r="A1983" s="15">
        <f t="shared" si="30"/>
        <v>1981</v>
      </c>
      <c r="B1983" s="16"/>
      <c r="C1983" s="19"/>
      <c r="D1983" s="10"/>
      <c r="E1983" s="10"/>
      <c r="F1983" s="47"/>
      <c r="G1983" s="10"/>
      <c r="H1983" s="20"/>
      <c r="I1983" s="20"/>
      <c r="J1983" s="10"/>
      <c r="K1983" s="10"/>
      <c r="L1983" s="10"/>
      <c r="M1983" s="10"/>
      <c r="N1983" s="10"/>
      <c r="O1983" s="21"/>
    </row>
    <row r="1984" spans="1:15" x14ac:dyDescent="0.35">
      <c r="A1984" s="15">
        <f t="shared" si="30"/>
        <v>1982</v>
      </c>
      <c r="B1984" s="16"/>
      <c r="C1984" s="19"/>
      <c r="D1984" s="10"/>
      <c r="E1984" s="10"/>
      <c r="F1984" s="47"/>
      <c r="G1984" s="10"/>
      <c r="H1984" s="20"/>
      <c r="I1984" s="20"/>
      <c r="J1984" s="10"/>
      <c r="K1984" s="10"/>
      <c r="L1984" s="10"/>
      <c r="M1984" s="10"/>
      <c r="N1984" s="10"/>
      <c r="O1984" s="21"/>
    </row>
    <row r="1985" spans="1:15" x14ac:dyDescent="0.35">
      <c r="A1985" s="15">
        <f t="shared" si="30"/>
        <v>1983</v>
      </c>
      <c r="B1985" s="16"/>
      <c r="C1985" s="19"/>
      <c r="D1985" s="10"/>
      <c r="E1985" s="10"/>
      <c r="F1985" s="47"/>
      <c r="G1985" s="10"/>
      <c r="H1985" s="20"/>
      <c r="I1985" s="20"/>
      <c r="J1985" s="10"/>
      <c r="K1985" s="10"/>
      <c r="L1985" s="10"/>
      <c r="M1985" s="10"/>
      <c r="N1985" s="10"/>
      <c r="O1985" s="21"/>
    </row>
    <row r="1986" spans="1:15" x14ac:dyDescent="0.35">
      <c r="A1986" s="15">
        <f t="shared" si="30"/>
        <v>1984</v>
      </c>
      <c r="B1986" s="16"/>
      <c r="C1986" s="19"/>
      <c r="D1986" s="10"/>
      <c r="E1986" s="10"/>
      <c r="F1986" s="47"/>
      <c r="G1986" s="10"/>
      <c r="H1986" s="20"/>
      <c r="I1986" s="20"/>
      <c r="J1986" s="10"/>
      <c r="K1986" s="10"/>
      <c r="L1986" s="10"/>
      <c r="M1986" s="10"/>
      <c r="N1986" s="10"/>
      <c r="O1986" s="21"/>
    </row>
    <row r="1987" spans="1:15" x14ac:dyDescent="0.35">
      <c r="A1987" s="15">
        <f t="shared" si="30"/>
        <v>1985</v>
      </c>
      <c r="B1987" s="16"/>
      <c r="C1987" s="19"/>
      <c r="D1987" s="10"/>
      <c r="E1987" s="10"/>
      <c r="F1987" s="47"/>
      <c r="G1987" s="10"/>
      <c r="H1987" s="20"/>
      <c r="I1987" s="20"/>
      <c r="J1987" s="10"/>
      <c r="K1987" s="10"/>
      <c r="L1987" s="10"/>
      <c r="M1987" s="10"/>
      <c r="N1987" s="10"/>
      <c r="O1987" s="21"/>
    </row>
    <row r="1988" spans="1:15" x14ac:dyDescent="0.35">
      <c r="A1988" s="15">
        <f t="shared" si="30"/>
        <v>1986</v>
      </c>
      <c r="B1988" s="16"/>
      <c r="C1988" s="19"/>
      <c r="D1988" s="10"/>
      <c r="E1988" s="10"/>
      <c r="F1988" s="47"/>
      <c r="G1988" s="10"/>
      <c r="H1988" s="20"/>
      <c r="I1988" s="20"/>
      <c r="J1988" s="10"/>
      <c r="K1988" s="10"/>
      <c r="L1988" s="10"/>
      <c r="M1988" s="10"/>
      <c r="N1988" s="10"/>
      <c r="O1988" s="21"/>
    </row>
    <row r="1989" spans="1:15" x14ac:dyDescent="0.35">
      <c r="A1989" s="15">
        <f t="shared" si="30"/>
        <v>1987</v>
      </c>
      <c r="B1989" s="16"/>
      <c r="C1989" s="19"/>
      <c r="D1989" s="10"/>
      <c r="E1989" s="10"/>
      <c r="F1989" s="47"/>
      <c r="G1989" s="10"/>
      <c r="H1989" s="20"/>
      <c r="I1989" s="20"/>
      <c r="J1989" s="10"/>
      <c r="K1989" s="10"/>
      <c r="L1989" s="10"/>
      <c r="M1989" s="10"/>
      <c r="N1989" s="10"/>
      <c r="O1989" s="21"/>
    </row>
    <row r="1990" spans="1:15" x14ac:dyDescent="0.35">
      <c r="A1990" s="15">
        <f t="shared" si="30"/>
        <v>1988</v>
      </c>
      <c r="B1990" s="16"/>
      <c r="C1990" s="19"/>
      <c r="D1990" s="10"/>
      <c r="E1990" s="10"/>
      <c r="F1990" s="47"/>
      <c r="G1990" s="10"/>
      <c r="H1990" s="20"/>
      <c r="I1990" s="20"/>
      <c r="J1990" s="10"/>
      <c r="K1990" s="10"/>
      <c r="L1990" s="10"/>
      <c r="M1990" s="10"/>
      <c r="N1990" s="10"/>
      <c r="O1990" s="21"/>
    </row>
    <row r="1991" spans="1:15" x14ac:dyDescent="0.35">
      <c r="A1991" s="15">
        <f t="shared" si="30"/>
        <v>1989</v>
      </c>
      <c r="B1991" s="16"/>
      <c r="C1991" s="19"/>
      <c r="D1991" s="10"/>
      <c r="E1991" s="10"/>
      <c r="F1991" s="47"/>
      <c r="G1991" s="10"/>
      <c r="H1991" s="20"/>
      <c r="I1991" s="20"/>
      <c r="J1991" s="10"/>
      <c r="K1991" s="10"/>
      <c r="L1991" s="10"/>
      <c r="M1991" s="10"/>
      <c r="N1991" s="10"/>
      <c r="O1991" s="21"/>
    </row>
    <row r="1992" spans="1:15" x14ac:dyDescent="0.35">
      <c r="A1992" s="15">
        <f t="shared" si="30"/>
        <v>1990</v>
      </c>
      <c r="B1992" s="16"/>
      <c r="C1992" s="19"/>
      <c r="D1992" s="10"/>
      <c r="E1992" s="10"/>
      <c r="F1992" s="47"/>
      <c r="G1992" s="10"/>
      <c r="H1992" s="20"/>
      <c r="I1992" s="20"/>
      <c r="J1992" s="10"/>
      <c r="K1992" s="10"/>
      <c r="L1992" s="10"/>
      <c r="M1992" s="10"/>
      <c r="N1992" s="10"/>
      <c r="O1992" s="21"/>
    </row>
    <row r="1993" spans="1:15" x14ac:dyDescent="0.35">
      <c r="A1993" s="15">
        <f t="shared" si="30"/>
        <v>1991</v>
      </c>
      <c r="B1993" s="16"/>
      <c r="C1993" s="19"/>
      <c r="D1993" s="10"/>
      <c r="E1993" s="10"/>
      <c r="F1993" s="47"/>
      <c r="G1993" s="10"/>
      <c r="H1993" s="20"/>
      <c r="I1993" s="20"/>
      <c r="J1993" s="10"/>
      <c r="K1993" s="10"/>
      <c r="L1993" s="10"/>
      <c r="M1993" s="10"/>
      <c r="N1993" s="10"/>
      <c r="O1993" s="21"/>
    </row>
    <row r="1994" spans="1:15" x14ac:dyDescent="0.35">
      <c r="A1994" s="15">
        <f t="shared" si="30"/>
        <v>1992</v>
      </c>
      <c r="B1994" s="16"/>
      <c r="C1994" s="19"/>
      <c r="D1994" s="10"/>
      <c r="E1994" s="10"/>
      <c r="F1994" s="47"/>
      <c r="G1994" s="10"/>
      <c r="H1994" s="20"/>
      <c r="I1994" s="20"/>
      <c r="J1994" s="10"/>
      <c r="K1994" s="10"/>
      <c r="L1994" s="10"/>
      <c r="M1994" s="10"/>
      <c r="N1994" s="10"/>
      <c r="O1994" s="21"/>
    </row>
    <row r="1995" spans="1:15" x14ac:dyDescent="0.35">
      <c r="A1995" s="15">
        <f t="shared" ref="A1995:A2058" si="31">+A1994+1</f>
        <v>1993</v>
      </c>
      <c r="B1995" s="16"/>
      <c r="C1995" s="19"/>
      <c r="D1995" s="10"/>
      <c r="E1995" s="10"/>
      <c r="F1995" s="47"/>
      <c r="G1995" s="10"/>
      <c r="H1995" s="20"/>
      <c r="I1995" s="20"/>
      <c r="J1995" s="10"/>
      <c r="K1995" s="10"/>
      <c r="L1995" s="10"/>
      <c r="M1995" s="10"/>
      <c r="N1995" s="10"/>
      <c r="O1995" s="21"/>
    </row>
    <row r="1996" spans="1:15" x14ac:dyDescent="0.35">
      <c r="A1996" s="15">
        <f t="shared" si="31"/>
        <v>1994</v>
      </c>
      <c r="B1996" s="16"/>
      <c r="C1996" s="19"/>
      <c r="D1996" s="10"/>
      <c r="E1996" s="10"/>
      <c r="F1996" s="47"/>
      <c r="G1996" s="10"/>
      <c r="H1996" s="20"/>
      <c r="I1996" s="20"/>
      <c r="J1996" s="10"/>
      <c r="K1996" s="10"/>
      <c r="L1996" s="10"/>
      <c r="M1996" s="10"/>
      <c r="N1996" s="10"/>
      <c r="O1996" s="21"/>
    </row>
    <row r="1997" spans="1:15" x14ac:dyDescent="0.35">
      <c r="A1997" s="15">
        <f t="shared" si="31"/>
        <v>1995</v>
      </c>
      <c r="B1997" s="16"/>
      <c r="C1997" s="19"/>
      <c r="D1997" s="10"/>
      <c r="E1997" s="10"/>
      <c r="F1997" s="47"/>
      <c r="G1997" s="10"/>
      <c r="H1997" s="20"/>
      <c r="I1997" s="20"/>
      <c r="J1997" s="10"/>
      <c r="K1997" s="10"/>
      <c r="L1997" s="10"/>
      <c r="M1997" s="10"/>
      <c r="N1997" s="10"/>
      <c r="O1997" s="21"/>
    </row>
    <row r="1998" spans="1:15" x14ac:dyDescent="0.35">
      <c r="A1998" s="15">
        <f t="shared" si="31"/>
        <v>1996</v>
      </c>
      <c r="B1998" s="16"/>
      <c r="C1998" s="19"/>
      <c r="D1998" s="10"/>
      <c r="E1998" s="10"/>
      <c r="F1998" s="47"/>
      <c r="G1998" s="10"/>
      <c r="H1998" s="20"/>
      <c r="I1998" s="20"/>
      <c r="J1998" s="10"/>
      <c r="K1998" s="10"/>
      <c r="L1998" s="10"/>
      <c r="M1998" s="10"/>
      <c r="N1998" s="10"/>
      <c r="O1998" s="21"/>
    </row>
    <row r="1999" spans="1:15" x14ac:dyDescent="0.35">
      <c r="A1999" s="15">
        <f t="shared" si="31"/>
        <v>1997</v>
      </c>
      <c r="B1999" s="16"/>
      <c r="C1999" s="19"/>
      <c r="D1999" s="10"/>
      <c r="E1999" s="10"/>
      <c r="F1999" s="47"/>
      <c r="G1999" s="10"/>
      <c r="H1999" s="20"/>
      <c r="I1999" s="20"/>
      <c r="J1999" s="10"/>
      <c r="K1999" s="10"/>
      <c r="L1999" s="10"/>
      <c r="M1999" s="10"/>
      <c r="N1999" s="10"/>
      <c r="O1999" s="21"/>
    </row>
    <row r="2000" spans="1:15" x14ac:dyDescent="0.35">
      <c r="A2000" s="15">
        <f t="shared" si="31"/>
        <v>1998</v>
      </c>
      <c r="B2000" s="16"/>
      <c r="C2000" s="19"/>
      <c r="D2000" s="10"/>
      <c r="E2000" s="10"/>
      <c r="F2000" s="47"/>
      <c r="G2000" s="10"/>
      <c r="H2000" s="20"/>
      <c r="I2000" s="20"/>
      <c r="J2000" s="10"/>
      <c r="K2000" s="10"/>
      <c r="L2000" s="10"/>
      <c r="M2000" s="10"/>
      <c r="N2000" s="10"/>
      <c r="O2000" s="21"/>
    </row>
    <row r="2001" spans="1:15" x14ac:dyDescent="0.35">
      <c r="A2001" s="15">
        <f t="shared" si="31"/>
        <v>1999</v>
      </c>
      <c r="B2001" s="16"/>
      <c r="C2001" s="19"/>
      <c r="D2001" s="10"/>
      <c r="E2001" s="10"/>
      <c r="F2001" s="47"/>
      <c r="G2001" s="10"/>
      <c r="H2001" s="20"/>
      <c r="I2001" s="20"/>
      <c r="J2001" s="10"/>
      <c r="K2001" s="10"/>
      <c r="L2001" s="10"/>
      <c r="M2001" s="10"/>
      <c r="N2001" s="10"/>
      <c r="O2001" s="21"/>
    </row>
    <row r="2002" spans="1:15" x14ac:dyDescent="0.35">
      <c r="A2002" s="15">
        <f t="shared" si="31"/>
        <v>2000</v>
      </c>
      <c r="B2002" s="16"/>
      <c r="C2002" s="19"/>
      <c r="D2002" s="10"/>
      <c r="E2002" s="10"/>
      <c r="F2002" s="47"/>
      <c r="G2002" s="10"/>
      <c r="H2002" s="20"/>
      <c r="I2002" s="20"/>
      <c r="J2002" s="10"/>
      <c r="K2002" s="10"/>
      <c r="L2002" s="10"/>
      <c r="M2002" s="10"/>
      <c r="N2002" s="10"/>
      <c r="O2002" s="21"/>
    </row>
    <row r="2003" spans="1:15" x14ac:dyDescent="0.35">
      <c r="A2003" s="15">
        <f t="shared" si="31"/>
        <v>2001</v>
      </c>
      <c r="B2003" s="16"/>
      <c r="C2003" s="19"/>
      <c r="D2003" s="10"/>
      <c r="E2003" s="10"/>
      <c r="F2003" s="47"/>
      <c r="G2003" s="10"/>
      <c r="H2003" s="20"/>
      <c r="I2003" s="20"/>
      <c r="J2003" s="10"/>
      <c r="K2003" s="10"/>
      <c r="L2003" s="10"/>
      <c r="M2003" s="10"/>
      <c r="N2003" s="10"/>
      <c r="O2003" s="21"/>
    </row>
    <row r="2004" spans="1:15" x14ac:dyDescent="0.35">
      <c r="A2004" s="15">
        <f t="shared" si="31"/>
        <v>2002</v>
      </c>
      <c r="B2004" s="16"/>
      <c r="C2004" s="19"/>
      <c r="D2004" s="10"/>
      <c r="E2004" s="10"/>
      <c r="F2004" s="47"/>
      <c r="G2004" s="10"/>
      <c r="H2004" s="20"/>
      <c r="I2004" s="20"/>
      <c r="J2004" s="10"/>
      <c r="K2004" s="10"/>
      <c r="L2004" s="10"/>
      <c r="M2004" s="10"/>
      <c r="N2004" s="10"/>
      <c r="O2004" s="21"/>
    </row>
    <row r="2005" spans="1:15" x14ac:dyDescent="0.35">
      <c r="A2005" s="15">
        <f t="shared" si="31"/>
        <v>2003</v>
      </c>
      <c r="B2005" s="16"/>
      <c r="C2005" s="19"/>
      <c r="D2005" s="10"/>
      <c r="E2005" s="10"/>
      <c r="F2005" s="47"/>
      <c r="G2005" s="10"/>
      <c r="H2005" s="20"/>
      <c r="I2005" s="20"/>
      <c r="J2005" s="10"/>
      <c r="K2005" s="10"/>
      <c r="L2005" s="10"/>
      <c r="M2005" s="10"/>
      <c r="N2005" s="10"/>
      <c r="O2005" s="21"/>
    </row>
    <row r="2006" spans="1:15" x14ac:dyDescent="0.35">
      <c r="A2006" s="15">
        <f t="shared" si="31"/>
        <v>2004</v>
      </c>
      <c r="B2006" s="16"/>
      <c r="C2006" s="19"/>
      <c r="D2006" s="10"/>
      <c r="E2006" s="10"/>
      <c r="F2006" s="47"/>
      <c r="G2006" s="10"/>
      <c r="H2006" s="20"/>
      <c r="I2006" s="20"/>
      <c r="J2006" s="10"/>
      <c r="K2006" s="10"/>
      <c r="L2006" s="10"/>
      <c r="M2006" s="10"/>
      <c r="N2006" s="10"/>
      <c r="O2006" s="21"/>
    </row>
    <row r="2007" spans="1:15" x14ac:dyDescent="0.35">
      <c r="A2007" s="15">
        <f t="shared" si="31"/>
        <v>2005</v>
      </c>
      <c r="B2007" s="16"/>
      <c r="C2007" s="19"/>
      <c r="D2007" s="10"/>
      <c r="E2007" s="10"/>
      <c r="F2007" s="47"/>
      <c r="G2007" s="10"/>
      <c r="H2007" s="20"/>
      <c r="I2007" s="20"/>
      <c r="J2007" s="10"/>
      <c r="K2007" s="10"/>
      <c r="L2007" s="10"/>
      <c r="M2007" s="10"/>
      <c r="N2007" s="10"/>
      <c r="O2007" s="21"/>
    </row>
    <row r="2008" spans="1:15" x14ac:dyDescent="0.35">
      <c r="A2008" s="15">
        <f t="shared" si="31"/>
        <v>2006</v>
      </c>
      <c r="B2008" s="16"/>
      <c r="C2008" s="19"/>
      <c r="D2008" s="10"/>
      <c r="E2008" s="10"/>
      <c r="F2008" s="47"/>
      <c r="G2008" s="10"/>
      <c r="H2008" s="20"/>
      <c r="I2008" s="20"/>
      <c r="J2008" s="10"/>
      <c r="K2008" s="10"/>
      <c r="L2008" s="10"/>
      <c r="M2008" s="10"/>
      <c r="N2008" s="10"/>
      <c r="O2008" s="21"/>
    </row>
    <row r="2009" spans="1:15" x14ac:dyDescent="0.35">
      <c r="A2009" s="15">
        <f t="shared" si="31"/>
        <v>2007</v>
      </c>
      <c r="B2009" s="16"/>
      <c r="C2009" s="19"/>
      <c r="D2009" s="10"/>
      <c r="E2009" s="10"/>
      <c r="F2009" s="47"/>
      <c r="G2009" s="10"/>
      <c r="H2009" s="20"/>
      <c r="I2009" s="20"/>
      <c r="J2009" s="10"/>
      <c r="K2009" s="10"/>
      <c r="L2009" s="10"/>
      <c r="M2009" s="10"/>
      <c r="N2009" s="10"/>
      <c r="O2009" s="21"/>
    </row>
    <row r="2010" spans="1:15" x14ac:dyDescent="0.35">
      <c r="A2010" s="15">
        <f t="shared" si="31"/>
        <v>2008</v>
      </c>
      <c r="B2010" s="16"/>
      <c r="C2010" s="19"/>
      <c r="D2010" s="10"/>
      <c r="E2010" s="10"/>
      <c r="F2010" s="47"/>
      <c r="G2010" s="10"/>
      <c r="H2010" s="20"/>
      <c r="I2010" s="20"/>
      <c r="J2010" s="10"/>
      <c r="K2010" s="10"/>
      <c r="L2010" s="10"/>
      <c r="M2010" s="10"/>
      <c r="N2010" s="10"/>
      <c r="O2010" s="21"/>
    </row>
    <row r="2011" spans="1:15" x14ac:dyDescent="0.35">
      <c r="A2011" s="15">
        <f t="shared" si="31"/>
        <v>2009</v>
      </c>
      <c r="B2011" s="16"/>
      <c r="C2011" s="19"/>
      <c r="D2011" s="10"/>
      <c r="E2011" s="10"/>
      <c r="F2011" s="47"/>
      <c r="G2011" s="10"/>
      <c r="H2011" s="20"/>
      <c r="I2011" s="20"/>
      <c r="J2011" s="10"/>
      <c r="K2011" s="10"/>
      <c r="L2011" s="10"/>
      <c r="M2011" s="10"/>
      <c r="N2011" s="10"/>
      <c r="O2011" s="21"/>
    </row>
    <row r="2012" spans="1:15" x14ac:dyDescent="0.35">
      <c r="A2012" s="15">
        <f t="shared" si="31"/>
        <v>2010</v>
      </c>
      <c r="B2012" s="16"/>
      <c r="C2012" s="19"/>
      <c r="D2012" s="10"/>
      <c r="E2012" s="10"/>
      <c r="F2012" s="47"/>
      <c r="G2012" s="10"/>
      <c r="H2012" s="20"/>
      <c r="I2012" s="20"/>
      <c r="J2012" s="10"/>
      <c r="K2012" s="10"/>
      <c r="L2012" s="10"/>
      <c r="M2012" s="10"/>
      <c r="N2012" s="10"/>
      <c r="O2012" s="21"/>
    </row>
    <row r="2013" spans="1:15" x14ac:dyDescent="0.35">
      <c r="A2013" s="15">
        <f t="shared" si="31"/>
        <v>2011</v>
      </c>
      <c r="B2013" s="16"/>
      <c r="C2013" s="19"/>
      <c r="D2013" s="10"/>
      <c r="E2013" s="10"/>
      <c r="F2013" s="47"/>
      <c r="G2013" s="10"/>
      <c r="H2013" s="20"/>
      <c r="I2013" s="20"/>
      <c r="J2013" s="10"/>
      <c r="K2013" s="10"/>
      <c r="L2013" s="10"/>
      <c r="M2013" s="10"/>
      <c r="N2013" s="10"/>
      <c r="O2013" s="21"/>
    </row>
    <row r="2014" spans="1:15" x14ac:dyDescent="0.35">
      <c r="A2014" s="15">
        <f t="shared" si="31"/>
        <v>2012</v>
      </c>
      <c r="B2014" s="16"/>
      <c r="C2014" s="19"/>
      <c r="D2014" s="10"/>
      <c r="E2014" s="10"/>
      <c r="F2014" s="47"/>
      <c r="G2014" s="10"/>
      <c r="H2014" s="20"/>
      <c r="I2014" s="20"/>
      <c r="J2014" s="10"/>
      <c r="K2014" s="10"/>
      <c r="L2014" s="10"/>
      <c r="M2014" s="10"/>
      <c r="N2014" s="10"/>
      <c r="O2014" s="21"/>
    </row>
    <row r="2015" spans="1:15" x14ac:dyDescent="0.35">
      <c r="A2015" s="15">
        <f t="shared" si="31"/>
        <v>2013</v>
      </c>
      <c r="B2015" s="16"/>
      <c r="C2015" s="19"/>
      <c r="D2015" s="10"/>
      <c r="E2015" s="10"/>
      <c r="F2015" s="47"/>
      <c r="G2015" s="10"/>
      <c r="H2015" s="20"/>
      <c r="I2015" s="20"/>
      <c r="J2015" s="10"/>
      <c r="K2015" s="10"/>
      <c r="L2015" s="10"/>
      <c r="M2015" s="10"/>
      <c r="N2015" s="10"/>
      <c r="O2015" s="21"/>
    </row>
    <row r="2016" spans="1:15" x14ac:dyDescent="0.35">
      <c r="A2016" s="15">
        <f t="shared" si="31"/>
        <v>2014</v>
      </c>
      <c r="B2016" s="16"/>
      <c r="C2016" s="19"/>
      <c r="D2016" s="10"/>
      <c r="E2016" s="10"/>
      <c r="F2016" s="47"/>
      <c r="G2016" s="10"/>
      <c r="H2016" s="20"/>
      <c r="I2016" s="20"/>
      <c r="J2016" s="10"/>
      <c r="K2016" s="10"/>
      <c r="L2016" s="10"/>
      <c r="M2016" s="10"/>
      <c r="N2016" s="10"/>
      <c r="O2016" s="21"/>
    </row>
    <row r="2017" spans="1:15" x14ac:dyDescent="0.35">
      <c r="A2017" s="15">
        <f t="shared" si="31"/>
        <v>2015</v>
      </c>
      <c r="B2017" s="16"/>
      <c r="C2017" s="19"/>
      <c r="D2017" s="10"/>
      <c r="E2017" s="10"/>
      <c r="F2017" s="47"/>
      <c r="G2017" s="10"/>
      <c r="H2017" s="20"/>
      <c r="I2017" s="20"/>
      <c r="J2017" s="10"/>
      <c r="K2017" s="10"/>
      <c r="L2017" s="10"/>
      <c r="M2017" s="10"/>
      <c r="N2017" s="10"/>
      <c r="O2017" s="21"/>
    </row>
    <row r="2018" spans="1:15" x14ac:dyDescent="0.35">
      <c r="A2018" s="15">
        <f t="shared" si="31"/>
        <v>2016</v>
      </c>
      <c r="B2018" s="16"/>
      <c r="C2018" s="19"/>
      <c r="D2018" s="10"/>
      <c r="E2018" s="10"/>
      <c r="F2018" s="47"/>
      <c r="G2018" s="10"/>
      <c r="H2018" s="20"/>
      <c r="I2018" s="20"/>
      <c r="J2018" s="10"/>
      <c r="K2018" s="10"/>
      <c r="L2018" s="10"/>
      <c r="M2018" s="10"/>
      <c r="N2018" s="10"/>
      <c r="O2018" s="21"/>
    </row>
    <row r="2019" spans="1:15" x14ac:dyDescent="0.35">
      <c r="A2019" s="15">
        <f t="shared" si="31"/>
        <v>2017</v>
      </c>
      <c r="B2019" s="16"/>
      <c r="C2019" s="19"/>
      <c r="D2019" s="10"/>
      <c r="E2019" s="10"/>
      <c r="F2019" s="47"/>
      <c r="G2019" s="10"/>
      <c r="H2019" s="20"/>
      <c r="I2019" s="20"/>
      <c r="J2019" s="10"/>
      <c r="K2019" s="10"/>
      <c r="L2019" s="10"/>
      <c r="M2019" s="10"/>
      <c r="N2019" s="10"/>
      <c r="O2019" s="21"/>
    </row>
    <row r="2020" spans="1:15" x14ac:dyDescent="0.35">
      <c r="A2020" s="15">
        <f t="shared" si="31"/>
        <v>2018</v>
      </c>
      <c r="B2020" s="16"/>
      <c r="C2020" s="19"/>
      <c r="D2020" s="10"/>
      <c r="E2020" s="10"/>
      <c r="F2020" s="47"/>
      <c r="G2020" s="10"/>
      <c r="H2020" s="20"/>
      <c r="I2020" s="20"/>
      <c r="J2020" s="10"/>
      <c r="K2020" s="10"/>
      <c r="L2020" s="10"/>
      <c r="M2020" s="10"/>
      <c r="N2020" s="10"/>
      <c r="O2020" s="21"/>
    </row>
    <row r="2021" spans="1:15" x14ac:dyDescent="0.35">
      <c r="A2021" s="15">
        <f t="shared" si="31"/>
        <v>2019</v>
      </c>
      <c r="B2021" s="16"/>
      <c r="C2021" s="19"/>
      <c r="D2021" s="10"/>
      <c r="E2021" s="10"/>
      <c r="F2021" s="47"/>
      <c r="G2021" s="10"/>
      <c r="H2021" s="20"/>
      <c r="I2021" s="20"/>
      <c r="J2021" s="10"/>
      <c r="K2021" s="10"/>
      <c r="L2021" s="10"/>
      <c r="M2021" s="10"/>
      <c r="N2021" s="10"/>
      <c r="O2021" s="21"/>
    </row>
    <row r="2022" spans="1:15" x14ac:dyDescent="0.35">
      <c r="A2022" s="15">
        <f t="shared" si="31"/>
        <v>2020</v>
      </c>
      <c r="B2022" s="16"/>
      <c r="C2022" s="19"/>
      <c r="D2022" s="10"/>
      <c r="E2022" s="10"/>
      <c r="F2022" s="47"/>
      <c r="G2022" s="10"/>
      <c r="H2022" s="20"/>
      <c r="I2022" s="20"/>
      <c r="J2022" s="10"/>
      <c r="K2022" s="10"/>
      <c r="L2022" s="10"/>
      <c r="M2022" s="10"/>
      <c r="N2022" s="10"/>
      <c r="O2022" s="21"/>
    </row>
    <row r="2023" spans="1:15" x14ac:dyDescent="0.35">
      <c r="A2023" s="15">
        <f t="shared" si="31"/>
        <v>2021</v>
      </c>
      <c r="B2023" s="16"/>
      <c r="C2023" s="19"/>
      <c r="D2023" s="10"/>
      <c r="E2023" s="10"/>
      <c r="F2023" s="47"/>
      <c r="G2023" s="10"/>
      <c r="H2023" s="20"/>
      <c r="I2023" s="20"/>
      <c r="J2023" s="10"/>
      <c r="K2023" s="10"/>
      <c r="L2023" s="10"/>
      <c r="M2023" s="10"/>
      <c r="N2023" s="10"/>
      <c r="O2023" s="21"/>
    </row>
    <row r="2024" spans="1:15" x14ac:dyDescent="0.35">
      <c r="A2024" s="15">
        <f t="shared" si="31"/>
        <v>2022</v>
      </c>
      <c r="B2024" s="16"/>
      <c r="C2024" s="19"/>
      <c r="D2024" s="10"/>
      <c r="E2024" s="10"/>
      <c r="F2024" s="47"/>
      <c r="G2024" s="10"/>
      <c r="H2024" s="20"/>
      <c r="I2024" s="20"/>
      <c r="J2024" s="10"/>
      <c r="K2024" s="10"/>
      <c r="L2024" s="10"/>
      <c r="M2024" s="10"/>
      <c r="N2024" s="10"/>
      <c r="O2024" s="21"/>
    </row>
    <row r="2025" spans="1:15" x14ac:dyDescent="0.35">
      <c r="A2025" s="15">
        <f t="shared" si="31"/>
        <v>2023</v>
      </c>
      <c r="B2025" s="16"/>
      <c r="C2025" s="19"/>
      <c r="D2025" s="10"/>
      <c r="E2025" s="10"/>
      <c r="F2025" s="47"/>
      <c r="G2025" s="10"/>
      <c r="H2025" s="20"/>
      <c r="I2025" s="20"/>
      <c r="J2025" s="10"/>
      <c r="K2025" s="10"/>
      <c r="L2025" s="10"/>
      <c r="M2025" s="10"/>
      <c r="N2025" s="10"/>
      <c r="O2025" s="21"/>
    </row>
    <row r="2026" spans="1:15" x14ac:dyDescent="0.35">
      <c r="A2026" s="15">
        <f t="shared" si="31"/>
        <v>2024</v>
      </c>
      <c r="B2026" s="16"/>
      <c r="C2026" s="19"/>
      <c r="D2026" s="10"/>
      <c r="E2026" s="10"/>
      <c r="F2026" s="47"/>
      <c r="G2026" s="10"/>
      <c r="H2026" s="20"/>
      <c r="I2026" s="20"/>
      <c r="J2026" s="10"/>
      <c r="K2026" s="10"/>
      <c r="L2026" s="10"/>
      <c r="M2026" s="10"/>
      <c r="N2026" s="10"/>
      <c r="O2026" s="21"/>
    </row>
    <row r="2027" spans="1:15" x14ac:dyDescent="0.35">
      <c r="A2027" s="15">
        <f t="shared" si="31"/>
        <v>2025</v>
      </c>
      <c r="B2027" s="16"/>
      <c r="C2027" s="19"/>
      <c r="D2027" s="10"/>
      <c r="E2027" s="10"/>
      <c r="F2027" s="47"/>
      <c r="G2027" s="10"/>
      <c r="H2027" s="20"/>
      <c r="I2027" s="20"/>
      <c r="J2027" s="10"/>
      <c r="K2027" s="10"/>
      <c r="L2027" s="10"/>
      <c r="M2027" s="10"/>
      <c r="N2027" s="10"/>
      <c r="O2027" s="21"/>
    </row>
    <row r="2028" spans="1:15" x14ac:dyDescent="0.35">
      <c r="A2028" s="15">
        <f t="shared" si="31"/>
        <v>2026</v>
      </c>
      <c r="B2028" s="16"/>
      <c r="C2028" s="19"/>
      <c r="D2028" s="10"/>
      <c r="E2028" s="10"/>
      <c r="F2028" s="47"/>
      <c r="G2028" s="10"/>
      <c r="H2028" s="20"/>
      <c r="I2028" s="20"/>
      <c r="J2028" s="10"/>
      <c r="K2028" s="10"/>
      <c r="L2028" s="10"/>
      <c r="M2028" s="10"/>
      <c r="N2028" s="10"/>
      <c r="O2028" s="21"/>
    </row>
    <row r="2029" spans="1:15" x14ac:dyDescent="0.35">
      <c r="A2029" s="15">
        <f t="shared" si="31"/>
        <v>2027</v>
      </c>
      <c r="B2029" s="16"/>
      <c r="C2029" s="19"/>
      <c r="D2029" s="10"/>
      <c r="E2029" s="10"/>
      <c r="F2029" s="47"/>
      <c r="G2029" s="10"/>
      <c r="H2029" s="20"/>
      <c r="I2029" s="20"/>
      <c r="J2029" s="10"/>
      <c r="K2029" s="10"/>
      <c r="L2029" s="10"/>
      <c r="M2029" s="10"/>
      <c r="N2029" s="10"/>
      <c r="O2029" s="21"/>
    </row>
    <row r="2030" spans="1:15" x14ac:dyDescent="0.35">
      <c r="A2030" s="15">
        <f t="shared" si="31"/>
        <v>2028</v>
      </c>
      <c r="B2030" s="16"/>
      <c r="C2030" s="19"/>
      <c r="D2030" s="10"/>
      <c r="E2030" s="10"/>
      <c r="F2030" s="47"/>
      <c r="G2030" s="10"/>
      <c r="H2030" s="20"/>
      <c r="I2030" s="20"/>
      <c r="J2030" s="10"/>
      <c r="K2030" s="10"/>
      <c r="L2030" s="10"/>
      <c r="M2030" s="10"/>
      <c r="N2030" s="10"/>
      <c r="O2030" s="21"/>
    </row>
    <row r="2031" spans="1:15" x14ac:dyDescent="0.35">
      <c r="A2031" s="15">
        <f t="shared" si="31"/>
        <v>2029</v>
      </c>
      <c r="B2031" s="16"/>
      <c r="C2031" s="19"/>
      <c r="D2031" s="10"/>
      <c r="E2031" s="10"/>
      <c r="F2031" s="47"/>
      <c r="G2031" s="10"/>
      <c r="H2031" s="20"/>
      <c r="I2031" s="20"/>
      <c r="J2031" s="10"/>
      <c r="K2031" s="10"/>
      <c r="L2031" s="10"/>
      <c r="M2031" s="10"/>
      <c r="N2031" s="10"/>
      <c r="O2031" s="21"/>
    </row>
    <row r="2032" spans="1:15" x14ac:dyDescent="0.35">
      <c r="A2032" s="15">
        <f t="shared" si="31"/>
        <v>2030</v>
      </c>
      <c r="B2032" s="16"/>
      <c r="C2032" s="19"/>
      <c r="D2032" s="10"/>
      <c r="E2032" s="10"/>
      <c r="F2032" s="47"/>
      <c r="G2032" s="10"/>
      <c r="H2032" s="20"/>
      <c r="I2032" s="20"/>
      <c r="J2032" s="10"/>
      <c r="K2032" s="10"/>
      <c r="L2032" s="10"/>
      <c r="M2032" s="10"/>
      <c r="N2032" s="10"/>
      <c r="O2032" s="21"/>
    </row>
    <row r="2033" spans="1:15" x14ac:dyDescent="0.35">
      <c r="A2033" s="15">
        <f t="shared" si="31"/>
        <v>2031</v>
      </c>
      <c r="B2033" s="16"/>
      <c r="C2033" s="19"/>
      <c r="D2033" s="10"/>
      <c r="E2033" s="10"/>
      <c r="F2033" s="47"/>
      <c r="G2033" s="10"/>
      <c r="H2033" s="20"/>
      <c r="I2033" s="20"/>
      <c r="J2033" s="10"/>
      <c r="K2033" s="10"/>
      <c r="L2033" s="10"/>
      <c r="M2033" s="10"/>
      <c r="N2033" s="10"/>
      <c r="O2033" s="21"/>
    </row>
    <row r="2034" spans="1:15" x14ac:dyDescent="0.35">
      <c r="A2034" s="15">
        <f t="shared" si="31"/>
        <v>2032</v>
      </c>
      <c r="B2034" s="16"/>
      <c r="C2034" s="19"/>
      <c r="D2034" s="10"/>
      <c r="E2034" s="10"/>
      <c r="F2034" s="47"/>
      <c r="G2034" s="10"/>
      <c r="H2034" s="20"/>
      <c r="I2034" s="20"/>
      <c r="J2034" s="10"/>
      <c r="K2034" s="10"/>
      <c r="L2034" s="10"/>
      <c r="M2034" s="10"/>
      <c r="N2034" s="10"/>
      <c r="O2034" s="21"/>
    </row>
    <row r="2035" spans="1:15" x14ac:dyDescent="0.35">
      <c r="A2035" s="15">
        <f t="shared" si="31"/>
        <v>2033</v>
      </c>
      <c r="B2035" s="16"/>
      <c r="C2035" s="19"/>
      <c r="D2035" s="10"/>
      <c r="E2035" s="10"/>
      <c r="F2035" s="47"/>
      <c r="G2035" s="10"/>
      <c r="H2035" s="20"/>
      <c r="I2035" s="20"/>
      <c r="J2035" s="10"/>
      <c r="K2035" s="10"/>
      <c r="L2035" s="10"/>
      <c r="M2035" s="10"/>
      <c r="N2035" s="10"/>
      <c r="O2035" s="21"/>
    </row>
    <row r="2036" spans="1:15" x14ac:dyDescent="0.35">
      <c r="A2036" s="15">
        <f t="shared" si="31"/>
        <v>2034</v>
      </c>
      <c r="B2036" s="16"/>
      <c r="C2036" s="19"/>
      <c r="D2036" s="10"/>
      <c r="E2036" s="10"/>
      <c r="F2036" s="47"/>
      <c r="G2036" s="10"/>
      <c r="H2036" s="20"/>
      <c r="I2036" s="20"/>
      <c r="J2036" s="10"/>
      <c r="K2036" s="10"/>
      <c r="L2036" s="10"/>
      <c r="M2036" s="10"/>
      <c r="N2036" s="10"/>
      <c r="O2036" s="21"/>
    </row>
    <row r="2037" spans="1:15" x14ac:dyDescent="0.35">
      <c r="A2037" s="15">
        <f t="shared" si="31"/>
        <v>2035</v>
      </c>
      <c r="B2037" s="16"/>
      <c r="C2037" s="19"/>
      <c r="D2037" s="10"/>
      <c r="E2037" s="10"/>
      <c r="F2037" s="47"/>
      <c r="G2037" s="10"/>
      <c r="H2037" s="20"/>
      <c r="I2037" s="20"/>
      <c r="J2037" s="10"/>
      <c r="K2037" s="10"/>
      <c r="L2037" s="10"/>
      <c r="M2037" s="10"/>
      <c r="N2037" s="10"/>
      <c r="O2037" s="21"/>
    </row>
    <row r="2038" spans="1:15" x14ac:dyDescent="0.35">
      <c r="A2038" s="15">
        <f t="shared" si="31"/>
        <v>2036</v>
      </c>
      <c r="B2038" s="16"/>
      <c r="C2038" s="19"/>
      <c r="D2038" s="10"/>
      <c r="E2038" s="10"/>
      <c r="F2038" s="47"/>
      <c r="G2038" s="10"/>
      <c r="H2038" s="20"/>
      <c r="I2038" s="20"/>
      <c r="J2038" s="10"/>
      <c r="K2038" s="10"/>
      <c r="L2038" s="10"/>
      <c r="M2038" s="10"/>
      <c r="N2038" s="10"/>
      <c r="O2038" s="21"/>
    </row>
    <row r="2039" spans="1:15" x14ac:dyDescent="0.35">
      <c r="A2039" s="15">
        <f t="shared" si="31"/>
        <v>2037</v>
      </c>
      <c r="B2039" s="16"/>
      <c r="C2039" s="19"/>
      <c r="D2039" s="10"/>
      <c r="E2039" s="10"/>
      <c r="F2039" s="47"/>
      <c r="G2039" s="10"/>
      <c r="H2039" s="20"/>
      <c r="I2039" s="20"/>
      <c r="J2039" s="10"/>
      <c r="K2039" s="10"/>
      <c r="L2039" s="10"/>
      <c r="M2039" s="10"/>
      <c r="N2039" s="10"/>
      <c r="O2039" s="21"/>
    </row>
    <row r="2040" spans="1:15" x14ac:dyDescent="0.35">
      <c r="A2040" s="15">
        <f t="shared" si="31"/>
        <v>2038</v>
      </c>
      <c r="B2040" s="16"/>
      <c r="C2040" s="19"/>
      <c r="D2040" s="10"/>
      <c r="E2040" s="10"/>
      <c r="F2040" s="47"/>
      <c r="G2040" s="10"/>
      <c r="H2040" s="20"/>
      <c r="I2040" s="20"/>
      <c r="J2040" s="10"/>
      <c r="K2040" s="10"/>
      <c r="L2040" s="10"/>
      <c r="M2040" s="10"/>
      <c r="N2040" s="10"/>
      <c r="O2040" s="21"/>
    </row>
    <row r="2041" spans="1:15" x14ac:dyDescent="0.35">
      <c r="A2041" s="15">
        <f t="shared" si="31"/>
        <v>2039</v>
      </c>
      <c r="B2041" s="16"/>
      <c r="C2041" s="19"/>
      <c r="D2041" s="10"/>
      <c r="E2041" s="10"/>
      <c r="F2041" s="47"/>
      <c r="G2041" s="10"/>
      <c r="H2041" s="20"/>
      <c r="I2041" s="20"/>
      <c r="J2041" s="10"/>
      <c r="K2041" s="10"/>
      <c r="L2041" s="10"/>
      <c r="M2041" s="10"/>
      <c r="N2041" s="10"/>
      <c r="O2041" s="21"/>
    </row>
    <row r="2042" spans="1:15" x14ac:dyDescent="0.35">
      <c r="A2042" s="15">
        <f t="shared" si="31"/>
        <v>2040</v>
      </c>
      <c r="B2042" s="16"/>
      <c r="C2042" s="19"/>
      <c r="D2042" s="10"/>
      <c r="E2042" s="10"/>
      <c r="F2042" s="47"/>
      <c r="G2042" s="10"/>
      <c r="H2042" s="20"/>
      <c r="I2042" s="20"/>
      <c r="J2042" s="10"/>
      <c r="K2042" s="10"/>
      <c r="L2042" s="10"/>
      <c r="M2042" s="10"/>
      <c r="N2042" s="10"/>
      <c r="O2042" s="21"/>
    </row>
    <row r="2043" spans="1:15" x14ac:dyDescent="0.35">
      <c r="A2043" s="15">
        <f t="shared" si="31"/>
        <v>2041</v>
      </c>
      <c r="B2043" s="16"/>
      <c r="C2043" s="19"/>
      <c r="D2043" s="10"/>
      <c r="E2043" s="10"/>
      <c r="F2043" s="47"/>
      <c r="G2043" s="10"/>
      <c r="H2043" s="20"/>
      <c r="I2043" s="20"/>
      <c r="J2043" s="10"/>
      <c r="K2043" s="10"/>
      <c r="L2043" s="10"/>
      <c r="M2043" s="10"/>
      <c r="N2043" s="10"/>
      <c r="O2043" s="21"/>
    </row>
    <row r="2044" spans="1:15" x14ac:dyDescent="0.35">
      <c r="A2044" s="15">
        <f t="shared" si="31"/>
        <v>2042</v>
      </c>
      <c r="B2044" s="16"/>
      <c r="C2044" s="19"/>
      <c r="D2044" s="10"/>
      <c r="E2044" s="10"/>
      <c r="F2044" s="47"/>
      <c r="G2044" s="10"/>
      <c r="H2044" s="20"/>
      <c r="I2044" s="20"/>
      <c r="J2044" s="10"/>
      <c r="K2044" s="10"/>
      <c r="L2044" s="10"/>
      <c r="M2044" s="10"/>
      <c r="N2044" s="10"/>
      <c r="O2044" s="21"/>
    </row>
    <row r="2045" spans="1:15" x14ac:dyDescent="0.35">
      <c r="A2045" s="15">
        <f t="shared" si="31"/>
        <v>2043</v>
      </c>
      <c r="B2045" s="16"/>
      <c r="C2045" s="19"/>
      <c r="D2045" s="10"/>
      <c r="E2045" s="10"/>
      <c r="F2045" s="47"/>
      <c r="G2045" s="10"/>
      <c r="H2045" s="20"/>
      <c r="I2045" s="20"/>
      <c r="J2045" s="10"/>
      <c r="K2045" s="10"/>
      <c r="L2045" s="10"/>
      <c r="M2045" s="10"/>
      <c r="N2045" s="10"/>
      <c r="O2045" s="21"/>
    </row>
    <row r="2046" spans="1:15" x14ac:dyDescent="0.35">
      <c r="A2046" s="15">
        <f t="shared" si="31"/>
        <v>2044</v>
      </c>
      <c r="B2046" s="16"/>
      <c r="C2046" s="19"/>
      <c r="D2046" s="10"/>
      <c r="E2046" s="10"/>
      <c r="F2046" s="47"/>
      <c r="G2046" s="10"/>
      <c r="H2046" s="20"/>
      <c r="I2046" s="20"/>
      <c r="J2046" s="10"/>
      <c r="K2046" s="10"/>
      <c r="L2046" s="10"/>
      <c r="M2046" s="10"/>
      <c r="N2046" s="10"/>
      <c r="O2046" s="21"/>
    </row>
    <row r="2047" spans="1:15" x14ac:dyDescent="0.35">
      <c r="A2047" s="15">
        <f t="shared" si="31"/>
        <v>2045</v>
      </c>
      <c r="B2047" s="16"/>
      <c r="C2047" s="19"/>
      <c r="D2047" s="10"/>
      <c r="E2047" s="10"/>
      <c r="F2047" s="47"/>
      <c r="G2047" s="10"/>
      <c r="H2047" s="20"/>
      <c r="I2047" s="20"/>
      <c r="J2047" s="10"/>
      <c r="K2047" s="10"/>
      <c r="L2047" s="10"/>
      <c r="M2047" s="10"/>
      <c r="N2047" s="10"/>
      <c r="O2047" s="21"/>
    </row>
    <row r="2048" spans="1:15" x14ac:dyDescent="0.35">
      <c r="A2048" s="15">
        <f t="shared" si="31"/>
        <v>2046</v>
      </c>
      <c r="B2048" s="16"/>
      <c r="C2048" s="19"/>
      <c r="D2048" s="10"/>
      <c r="E2048" s="10"/>
      <c r="F2048" s="47"/>
      <c r="G2048" s="10"/>
      <c r="H2048" s="20"/>
      <c r="I2048" s="20"/>
      <c r="J2048" s="10"/>
      <c r="K2048" s="10"/>
      <c r="L2048" s="10"/>
      <c r="M2048" s="10"/>
      <c r="N2048" s="10"/>
      <c r="O2048" s="21"/>
    </row>
    <row r="2049" spans="1:15" x14ac:dyDescent="0.35">
      <c r="A2049" s="15">
        <f t="shared" si="31"/>
        <v>2047</v>
      </c>
      <c r="B2049" s="16"/>
      <c r="C2049" s="19"/>
      <c r="D2049" s="10"/>
      <c r="E2049" s="10"/>
      <c r="F2049" s="47"/>
      <c r="G2049" s="10"/>
      <c r="H2049" s="20"/>
      <c r="I2049" s="20"/>
      <c r="J2049" s="10"/>
      <c r="K2049" s="10"/>
      <c r="L2049" s="10"/>
      <c r="M2049" s="10"/>
      <c r="N2049" s="10"/>
      <c r="O2049" s="21"/>
    </row>
    <row r="2050" spans="1:15" x14ac:dyDescent="0.35">
      <c r="A2050" s="15">
        <f t="shared" si="31"/>
        <v>2048</v>
      </c>
      <c r="B2050" s="16"/>
      <c r="C2050" s="19"/>
      <c r="D2050" s="10"/>
      <c r="E2050" s="10"/>
      <c r="F2050" s="47"/>
      <c r="G2050" s="10"/>
      <c r="H2050" s="20"/>
      <c r="I2050" s="20"/>
      <c r="J2050" s="10"/>
      <c r="K2050" s="10"/>
      <c r="L2050" s="10"/>
      <c r="M2050" s="10"/>
      <c r="N2050" s="10"/>
      <c r="O2050" s="21"/>
    </row>
    <row r="2051" spans="1:15" x14ac:dyDescent="0.35">
      <c r="A2051" s="15">
        <f t="shared" si="31"/>
        <v>2049</v>
      </c>
      <c r="B2051" s="16"/>
      <c r="C2051" s="19"/>
      <c r="D2051" s="10"/>
      <c r="E2051" s="10"/>
      <c r="F2051" s="47"/>
      <c r="G2051" s="10"/>
      <c r="H2051" s="20"/>
      <c r="I2051" s="20"/>
      <c r="J2051" s="10"/>
      <c r="K2051" s="10"/>
      <c r="L2051" s="10"/>
      <c r="M2051" s="10"/>
      <c r="N2051" s="10"/>
      <c r="O2051" s="21"/>
    </row>
    <row r="2052" spans="1:15" x14ac:dyDescent="0.35">
      <c r="A2052" s="15">
        <f t="shared" si="31"/>
        <v>2050</v>
      </c>
      <c r="B2052" s="16"/>
      <c r="C2052" s="19"/>
      <c r="D2052" s="10"/>
      <c r="E2052" s="10"/>
      <c r="F2052" s="47"/>
      <c r="G2052" s="10"/>
      <c r="H2052" s="20"/>
      <c r="I2052" s="20"/>
      <c r="J2052" s="10"/>
      <c r="K2052" s="10"/>
      <c r="L2052" s="10"/>
      <c r="M2052" s="10"/>
      <c r="N2052" s="10"/>
      <c r="O2052" s="21"/>
    </row>
    <row r="2053" spans="1:15" x14ac:dyDescent="0.35">
      <c r="A2053" s="15">
        <f t="shared" si="31"/>
        <v>2051</v>
      </c>
      <c r="B2053" s="16"/>
      <c r="C2053" s="19"/>
      <c r="D2053" s="10"/>
      <c r="E2053" s="10"/>
      <c r="F2053" s="47"/>
      <c r="G2053" s="10"/>
      <c r="H2053" s="20"/>
      <c r="I2053" s="20"/>
      <c r="J2053" s="10"/>
      <c r="K2053" s="10"/>
      <c r="L2053" s="10"/>
      <c r="M2053" s="10"/>
      <c r="N2053" s="10"/>
      <c r="O2053" s="21"/>
    </row>
    <row r="2054" spans="1:15" x14ac:dyDescent="0.35">
      <c r="A2054" s="15">
        <f t="shared" si="31"/>
        <v>2052</v>
      </c>
      <c r="B2054" s="16"/>
      <c r="C2054" s="19"/>
      <c r="D2054" s="10"/>
      <c r="E2054" s="10"/>
      <c r="F2054" s="47"/>
      <c r="G2054" s="10"/>
      <c r="H2054" s="20"/>
      <c r="I2054" s="20"/>
      <c r="J2054" s="10"/>
      <c r="K2054" s="10"/>
      <c r="L2054" s="10"/>
      <c r="M2054" s="10"/>
      <c r="N2054" s="10"/>
      <c r="O2054" s="21"/>
    </row>
    <row r="2055" spans="1:15" x14ac:dyDescent="0.35">
      <c r="A2055" s="15">
        <f t="shared" si="31"/>
        <v>2053</v>
      </c>
      <c r="B2055" s="16"/>
      <c r="C2055" s="19"/>
      <c r="D2055" s="10"/>
      <c r="E2055" s="10"/>
      <c r="F2055" s="47"/>
      <c r="G2055" s="10"/>
      <c r="H2055" s="20"/>
      <c r="I2055" s="20"/>
      <c r="J2055" s="10"/>
      <c r="K2055" s="10"/>
      <c r="L2055" s="10"/>
      <c r="M2055" s="10"/>
      <c r="N2055" s="10"/>
      <c r="O2055" s="21"/>
    </row>
    <row r="2056" spans="1:15" x14ac:dyDescent="0.35">
      <c r="A2056" s="15">
        <f t="shared" si="31"/>
        <v>2054</v>
      </c>
      <c r="B2056" s="16"/>
      <c r="C2056" s="19"/>
      <c r="D2056" s="10"/>
      <c r="E2056" s="10"/>
      <c r="F2056" s="47"/>
      <c r="G2056" s="10"/>
      <c r="H2056" s="20"/>
      <c r="I2056" s="20"/>
      <c r="J2056" s="10"/>
      <c r="K2056" s="10"/>
      <c r="L2056" s="10"/>
      <c r="M2056" s="10"/>
      <c r="N2056" s="10"/>
      <c r="O2056" s="21"/>
    </row>
    <row r="2057" spans="1:15" x14ac:dyDescent="0.35">
      <c r="A2057" s="15">
        <f t="shared" si="31"/>
        <v>2055</v>
      </c>
      <c r="B2057" s="16"/>
      <c r="C2057" s="19"/>
      <c r="D2057" s="10"/>
      <c r="E2057" s="10"/>
      <c r="F2057" s="47"/>
      <c r="G2057" s="10"/>
      <c r="H2057" s="20"/>
      <c r="I2057" s="20"/>
      <c r="J2057" s="10"/>
      <c r="K2057" s="10"/>
      <c r="L2057" s="10"/>
      <c r="M2057" s="10"/>
      <c r="N2057" s="10"/>
      <c r="O2057" s="21"/>
    </row>
    <row r="2058" spans="1:15" x14ac:dyDescent="0.35">
      <c r="A2058" s="15">
        <f t="shared" si="31"/>
        <v>2056</v>
      </c>
      <c r="B2058" s="16"/>
      <c r="C2058" s="19"/>
      <c r="D2058" s="10"/>
      <c r="E2058" s="10"/>
      <c r="F2058" s="47"/>
      <c r="G2058" s="10"/>
      <c r="H2058" s="20"/>
      <c r="I2058" s="20"/>
      <c r="J2058" s="10"/>
      <c r="K2058" s="10"/>
      <c r="L2058" s="10"/>
      <c r="M2058" s="10"/>
      <c r="N2058" s="10"/>
      <c r="O2058" s="21"/>
    </row>
    <row r="2059" spans="1:15" x14ac:dyDescent="0.35">
      <c r="A2059" s="15">
        <f t="shared" ref="A2059:A2122" si="32">+A2058+1</f>
        <v>2057</v>
      </c>
      <c r="B2059" s="16"/>
      <c r="C2059" s="19"/>
      <c r="D2059" s="10"/>
      <c r="E2059" s="10"/>
      <c r="F2059" s="47"/>
      <c r="G2059" s="10"/>
      <c r="H2059" s="20"/>
      <c r="I2059" s="20"/>
      <c r="J2059" s="10"/>
      <c r="K2059" s="10"/>
      <c r="L2059" s="10"/>
      <c r="M2059" s="10"/>
      <c r="N2059" s="10"/>
      <c r="O2059" s="21"/>
    </row>
    <row r="2060" spans="1:15" x14ac:dyDescent="0.35">
      <c r="A2060" s="15">
        <f t="shared" si="32"/>
        <v>2058</v>
      </c>
      <c r="B2060" s="16"/>
      <c r="C2060" s="19"/>
      <c r="D2060" s="10"/>
      <c r="E2060" s="10"/>
      <c r="F2060" s="47"/>
      <c r="G2060" s="10"/>
      <c r="H2060" s="20"/>
      <c r="I2060" s="20"/>
      <c r="J2060" s="10"/>
      <c r="K2060" s="10"/>
      <c r="L2060" s="10"/>
      <c r="M2060" s="10"/>
      <c r="N2060" s="10"/>
      <c r="O2060" s="21"/>
    </row>
    <row r="2061" spans="1:15" x14ac:dyDescent="0.35">
      <c r="A2061" s="15">
        <f t="shared" si="32"/>
        <v>2059</v>
      </c>
      <c r="B2061" s="16"/>
      <c r="C2061" s="19"/>
      <c r="D2061" s="10"/>
      <c r="E2061" s="10"/>
      <c r="F2061" s="47"/>
      <c r="G2061" s="10"/>
      <c r="H2061" s="20"/>
      <c r="I2061" s="20"/>
      <c r="J2061" s="10"/>
      <c r="K2061" s="10"/>
      <c r="L2061" s="10"/>
      <c r="M2061" s="10"/>
      <c r="N2061" s="10"/>
      <c r="O2061" s="21"/>
    </row>
    <row r="2062" spans="1:15" x14ac:dyDescent="0.35">
      <c r="A2062" s="15">
        <f t="shared" si="32"/>
        <v>2060</v>
      </c>
      <c r="B2062" s="16"/>
      <c r="C2062" s="19"/>
      <c r="D2062" s="10"/>
      <c r="E2062" s="10"/>
      <c r="F2062" s="47"/>
      <c r="G2062" s="10"/>
      <c r="H2062" s="20"/>
      <c r="I2062" s="20"/>
      <c r="J2062" s="10"/>
      <c r="K2062" s="10"/>
      <c r="L2062" s="10"/>
      <c r="M2062" s="10"/>
      <c r="N2062" s="10"/>
      <c r="O2062" s="21"/>
    </row>
    <row r="2063" spans="1:15" x14ac:dyDescent="0.35">
      <c r="A2063" s="15">
        <f t="shared" si="32"/>
        <v>2061</v>
      </c>
      <c r="B2063" s="16"/>
      <c r="C2063" s="19"/>
      <c r="D2063" s="10"/>
      <c r="E2063" s="10"/>
      <c r="F2063" s="47"/>
      <c r="G2063" s="10"/>
      <c r="H2063" s="20"/>
      <c r="I2063" s="20"/>
      <c r="J2063" s="10"/>
      <c r="K2063" s="10"/>
      <c r="L2063" s="10"/>
      <c r="M2063" s="10"/>
      <c r="N2063" s="10"/>
      <c r="O2063" s="21"/>
    </row>
    <row r="2064" spans="1:15" x14ac:dyDescent="0.35">
      <c r="A2064" s="15">
        <f t="shared" si="32"/>
        <v>2062</v>
      </c>
      <c r="B2064" s="16"/>
      <c r="C2064" s="19"/>
      <c r="D2064" s="10"/>
      <c r="E2064" s="10"/>
      <c r="F2064" s="47"/>
      <c r="G2064" s="10"/>
      <c r="H2064" s="20"/>
      <c r="I2064" s="20"/>
      <c r="J2064" s="10"/>
      <c r="K2064" s="10"/>
      <c r="L2064" s="10"/>
      <c r="M2064" s="10"/>
      <c r="N2064" s="10"/>
      <c r="O2064" s="21"/>
    </row>
    <row r="2065" spans="1:15" x14ac:dyDescent="0.35">
      <c r="A2065" s="15">
        <f t="shared" si="32"/>
        <v>2063</v>
      </c>
      <c r="B2065" s="16"/>
      <c r="C2065" s="19"/>
      <c r="D2065" s="10"/>
      <c r="E2065" s="10"/>
      <c r="F2065" s="47"/>
      <c r="G2065" s="10"/>
      <c r="H2065" s="20"/>
      <c r="I2065" s="20"/>
      <c r="J2065" s="10"/>
      <c r="K2065" s="10"/>
      <c r="L2065" s="10"/>
      <c r="M2065" s="10"/>
      <c r="N2065" s="10"/>
      <c r="O2065" s="21"/>
    </row>
    <row r="2066" spans="1:15" x14ac:dyDescent="0.35">
      <c r="A2066" s="15">
        <f t="shared" si="32"/>
        <v>2064</v>
      </c>
      <c r="B2066" s="16"/>
      <c r="C2066" s="19"/>
      <c r="D2066" s="10"/>
      <c r="E2066" s="10"/>
      <c r="F2066" s="47"/>
      <c r="G2066" s="10"/>
      <c r="H2066" s="20"/>
      <c r="I2066" s="20"/>
      <c r="J2066" s="10"/>
      <c r="K2066" s="10"/>
      <c r="L2066" s="10"/>
      <c r="M2066" s="10"/>
      <c r="N2066" s="10"/>
      <c r="O2066" s="21"/>
    </row>
    <row r="2067" spans="1:15" x14ac:dyDescent="0.35">
      <c r="A2067" s="15">
        <f t="shared" si="32"/>
        <v>2065</v>
      </c>
      <c r="B2067" s="16"/>
      <c r="C2067" s="19"/>
      <c r="D2067" s="10"/>
      <c r="E2067" s="10"/>
      <c r="F2067" s="47"/>
      <c r="G2067" s="10"/>
      <c r="H2067" s="20"/>
      <c r="I2067" s="20"/>
      <c r="J2067" s="10"/>
      <c r="K2067" s="10"/>
      <c r="L2067" s="10"/>
      <c r="M2067" s="10"/>
      <c r="N2067" s="10"/>
      <c r="O2067" s="21"/>
    </row>
    <row r="2068" spans="1:15" x14ac:dyDescent="0.35">
      <c r="A2068" s="15">
        <f t="shared" si="32"/>
        <v>2066</v>
      </c>
      <c r="B2068" s="16"/>
      <c r="C2068" s="19"/>
      <c r="D2068" s="10"/>
      <c r="E2068" s="10"/>
      <c r="F2068" s="47"/>
      <c r="G2068" s="10"/>
      <c r="H2068" s="20"/>
      <c r="I2068" s="20"/>
      <c r="J2068" s="10"/>
      <c r="K2068" s="10"/>
      <c r="L2068" s="10"/>
      <c r="M2068" s="10"/>
      <c r="N2068" s="10"/>
      <c r="O2068" s="21"/>
    </row>
    <row r="2069" spans="1:15" x14ac:dyDescent="0.35">
      <c r="A2069" s="15">
        <f t="shared" si="32"/>
        <v>2067</v>
      </c>
      <c r="B2069" s="16"/>
      <c r="C2069" s="19"/>
      <c r="D2069" s="10"/>
      <c r="E2069" s="10"/>
      <c r="F2069" s="47"/>
      <c r="G2069" s="10"/>
      <c r="H2069" s="20"/>
      <c r="I2069" s="20"/>
      <c r="J2069" s="10"/>
      <c r="K2069" s="10"/>
      <c r="L2069" s="10"/>
      <c r="M2069" s="10"/>
      <c r="N2069" s="10"/>
      <c r="O2069" s="21"/>
    </row>
    <row r="2070" spans="1:15" x14ac:dyDescent="0.35">
      <c r="A2070" s="15">
        <f t="shared" si="32"/>
        <v>2068</v>
      </c>
      <c r="B2070" s="16"/>
      <c r="C2070" s="19"/>
      <c r="D2070" s="10"/>
      <c r="E2070" s="10"/>
      <c r="F2070" s="47"/>
      <c r="G2070" s="10"/>
      <c r="H2070" s="20"/>
      <c r="I2070" s="20"/>
      <c r="J2070" s="10"/>
      <c r="K2070" s="10"/>
      <c r="L2070" s="10"/>
      <c r="M2070" s="10"/>
      <c r="N2070" s="10"/>
      <c r="O2070" s="21"/>
    </row>
    <row r="2071" spans="1:15" x14ac:dyDescent="0.35">
      <c r="A2071" s="15">
        <f t="shared" si="32"/>
        <v>2069</v>
      </c>
      <c r="B2071" s="16"/>
      <c r="C2071" s="19"/>
      <c r="D2071" s="10"/>
      <c r="E2071" s="10"/>
      <c r="F2071" s="47"/>
      <c r="G2071" s="10"/>
      <c r="H2071" s="20"/>
      <c r="I2071" s="20"/>
      <c r="J2071" s="10"/>
      <c r="K2071" s="10"/>
      <c r="L2071" s="10"/>
      <c r="M2071" s="10"/>
      <c r="N2071" s="10"/>
      <c r="O2071" s="21"/>
    </row>
    <row r="2072" spans="1:15" x14ac:dyDescent="0.35">
      <c r="A2072" s="15">
        <f t="shared" si="32"/>
        <v>2070</v>
      </c>
      <c r="B2072" s="16"/>
      <c r="C2072" s="19"/>
      <c r="D2072" s="10"/>
      <c r="E2072" s="10"/>
      <c r="F2072" s="47"/>
      <c r="G2072" s="10"/>
      <c r="H2072" s="20"/>
      <c r="I2072" s="20"/>
      <c r="J2072" s="10"/>
      <c r="K2072" s="10"/>
      <c r="L2072" s="10"/>
      <c r="M2072" s="10"/>
      <c r="N2072" s="10"/>
      <c r="O2072" s="21"/>
    </row>
    <row r="2073" spans="1:15" x14ac:dyDescent="0.35">
      <c r="A2073" s="15">
        <f t="shared" si="32"/>
        <v>2071</v>
      </c>
      <c r="B2073" s="16"/>
      <c r="C2073" s="19"/>
      <c r="D2073" s="10"/>
      <c r="E2073" s="10"/>
      <c r="F2073" s="47"/>
      <c r="G2073" s="10"/>
      <c r="H2073" s="20"/>
      <c r="I2073" s="20"/>
      <c r="J2073" s="10"/>
      <c r="K2073" s="10"/>
      <c r="L2073" s="10"/>
      <c r="M2073" s="10"/>
      <c r="N2073" s="10"/>
      <c r="O2073" s="21"/>
    </row>
    <row r="2074" spans="1:15" x14ac:dyDescent="0.35">
      <c r="A2074" s="15">
        <f t="shared" si="32"/>
        <v>2072</v>
      </c>
      <c r="B2074" s="16"/>
      <c r="C2074" s="19"/>
      <c r="D2074" s="10"/>
      <c r="E2074" s="10"/>
      <c r="F2074" s="47"/>
      <c r="G2074" s="10"/>
      <c r="H2074" s="20"/>
      <c r="I2074" s="20"/>
      <c r="J2074" s="10"/>
      <c r="K2074" s="10"/>
      <c r="L2074" s="10"/>
      <c r="M2074" s="10"/>
      <c r="N2074" s="10"/>
      <c r="O2074" s="21"/>
    </row>
    <row r="2075" spans="1:15" x14ac:dyDescent="0.35">
      <c r="A2075" s="15">
        <f t="shared" si="32"/>
        <v>2073</v>
      </c>
      <c r="B2075" s="16"/>
      <c r="C2075" s="19"/>
      <c r="D2075" s="10"/>
      <c r="E2075" s="10"/>
      <c r="F2075" s="47"/>
      <c r="G2075" s="10"/>
      <c r="H2075" s="20"/>
      <c r="I2075" s="20"/>
      <c r="J2075" s="10"/>
      <c r="K2075" s="10"/>
      <c r="L2075" s="10"/>
      <c r="M2075" s="10"/>
      <c r="N2075" s="10"/>
      <c r="O2075" s="21"/>
    </row>
    <row r="2076" spans="1:15" x14ac:dyDescent="0.35">
      <c r="A2076" s="15">
        <f t="shared" si="32"/>
        <v>2074</v>
      </c>
      <c r="B2076" s="16"/>
      <c r="C2076" s="19"/>
      <c r="D2076" s="10"/>
      <c r="E2076" s="10"/>
      <c r="F2076" s="47"/>
      <c r="G2076" s="10"/>
      <c r="H2076" s="20"/>
      <c r="I2076" s="20"/>
      <c r="J2076" s="10"/>
      <c r="K2076" s="10"/>
      <c r="L2076" s="10"/>
      <c r="M2076" s="10"/>
      <c r="N2076" s="10"/>
      <c r="O2076" s="21"/>
    </row>
    <row r="2077" spans="1:15" x14ac:dyDescent="0.35">
      <c r="A2077" s="15">
        <f t="shared" si="32"/>
        <v>2075</v>
      </c>
      <c r="B2077" s="16"/>
      <c r="C2077" s="19"/>
      <c r="D2077" s="10"/>
      <c r="E2077" s="10"/>
      <c r="F2077" s="47"/>
      <c r="G2077" s="10"/>
      <c r="H2077" s="20"/>
      <c r="I2077" s="20"/>
      <c r="J2077" s="10"/>
      <c r="K2077" s="10"/>
      <c r="L2077" s="10"/>
      <c r="M2077" s="10"/>
      <c r="N2077" s="10"/>
      <c r="O2077" s="21"/>
    </row>
    <row r="2078" spans="1:15" x14ac:dyDescent="0.35">
      <c r="A2078" s="15">
        <f t="shared" si="32"/>
        <v>2076</v>
      </c>
      <c r="B2078" s="16"/>
      <c r="C2078" s="19"/>
      <c r="D2078" s="10"/>
      <c r="E2078" s="10"/>
      <c r="F2078" s="47"/>
      <c r="G2078" s="10"/>
      <c r="H2078" s="20"/>
      <c r="I2078" s="20"/>
      <c r="J2078" s="10"/>
      <c r="K2078" s="10"/>
      <c r="L2078" s="10"/>
      <c r="M2078" s="10"/>
      <c r="N2078" s="10"/>
      <c r="O2078" s="21"/>
    </row>
    <row r="2079" spans="1:15" x14ac:dyDescent="0.35">
      <c r="A2079" s="15">
        <f t="shared" si="32"/>
        <v>2077</v>
      </c>
      <c r="B2079" s="16"/>
      <c r="C2079" s="19"/>
      <c r="D2079" s="10"/>
      <c r="E2079" s="10"/>
      <c r="F2079" s="47"/>
      <c r="G2079" s="10"/>
      <c r="H2079" s="20"/>
      <c r="I2079" s="20"/>
      <c r="J2079" s="10"/>
      <c r="K2079" s="10"/>
      <c r="L2079" s="10"/>
      <c r="M2079" s="10"/>
      <c r="N2079" s="10"/>
      <c r="O2079" s="21"/>
    </row>
    <row r="2080" spans="1:15" x14ac:dyDescent="0.35">
      <c r="A2080" s="15">
        <f t="shared" si="32"/>
        <v>2078</v>
      </c>
      <c r="B2080" s="16"/>
      <c r="C2080" s="19"/>
      <c r="D2080" s="10"/>
      <c r="E2080" s="10"/>
      <c r="F2080" s="47"/>
      <c r="G2080" s="10"/>
      <c r="H2080" s="20"/>
      <c r="I2080" s="20"/>
      <c r="J2080" s="10"/>
      <c r="K2080" s="10"/>
      <c r="L2080" s="10"/>
      <c r="M2080" s="10"/>
      <c r="N2080" s="10"/>
      <c r="O2080" s="21"/>
    </row>
    <row r="2081" spans="1:15" x14ac:dyDescent="0.35">
      <c r="A2081" s="15">
        <f t="shared" si="32"/>
        <v>2079</v>
      </c>
      <c r="B2081" s="16"/>
      <c r="C2081" s="19"/>
      <c r="D2081" s="10"/>
      <c r="E2081" s="10"/>
      <c r="F2081" s="47"/>
      <c r="G2081" s="10"/>
      <c r="H2081" s="20"/>
      <c r="I2081" s="20"/>
      <c r="J2081" s="10"/>
      <c r="K2081" s="10"/>
      <c r="L2081" s="10"/>
      <c r="M2081" s="10"/>
      <c r="N2081" s="10"/>
      <c r="O2081" s="21"/>
    </row>
    <row r="2082" spans="1:15" x14ac:dyDescent="0.35">
      <c r="A2082" s="15">
        <f t="shared" si="32"/>
        <v>2080</v>
      </c>
      <c r="B2082" s="16"/>
      <c r="C2082" s="19"/>
      <c r="D2082" s="10"/>
      <c r="E2082" s="10"/>
      <c r="F2082" s="47"/>
      <c r="G2082" s="10"/>
      <c r="H2082" s="20"/>
      <c r="I2082" s="20"/>
      <c r="J2082" s="10"/>
      <c r="K2082" s="10"/>
      <c r="L2082" s="10"/>
      <c r="M2082" s="10"/>
      <c r="N2082" s="10"/>
      <c r="O2082" s="21"/>
    </row>
    <row r="2083" spans="1:15" x14ac:dyDescent="0.35">
      <c r="A2083" s="15">
        <f t="shared" si="32"/>
        <v>2081</v>
      </c>
      <c r="B2083" s="16"/>
      <c r="C2083" s="19"/>
      <c r="D2083" s="10"/>
      <c r="E2083" s="10"/>
      <c r="F2083" s="47"/>
      <c r="G2083" s="10"/>
      <c r="H2083" s="20"/>
      <c r="I2083" s="20"/>
      <c r="J2083" s="10"/>
      <c r="K2083" s="10"/>
      <c r="L2083" s="10"/>
      <c r="M2083" s="10"/>
      <c r="N2083" s="10"/>
      <c r="O2083" s="21"/>
    </row>
    <row r="2084" spans="1:15" x14ac:dyDescent="0.35">
      <c r="A2084" s="15">
        <f t="shared" si="32"/>
        <v>2082</v>
      </c>
      <c r="B2084" s="16"/>
      <c r="C2084" s="19"/>
      <c r="D2084" s="10"/>
      <c r="E2084" s="10"/>
      <c r="F2084" s="47"/>
      <c r="G2084" s="10"/>
      <c r="H2084" s="20"/>
      <c r="I2084" s="20"/>
      <c r="J2084" s="10"/>
      <c r="K2084" s="10"/>
      <c r="L2084" s="10"/>
      <c r="M2084" s="10"/>
      <c r="N2084" s="10"/>
      <c r="O2084" s="21"/>
    </row>
    <row r="2085" spans="1:15" x14ac:dyDescent="0.35">
      <c r="A2085" s="15">
        <f t="shared" si="32"/>
        <v>2083</v>
      </c>
      <c r="B2085" s="16"/>
      <c r="C2085" s="19"/>
      <c r="D2085" s="10"/>
      <c r="E2085" s="10"/>
      <c r="F2085" s="47"/>
      <c r="G2085" s="10"/>
      <c r="H2085" s="20"/>
      <c r="I2085" s="20"/>
      <c r="J2085" s="10"/>
      <c r="K2085" s="10"/>
      <c r="L2085" s="10"/>
      <c r="M2085" s="10"/>
      <c r="N2085" s="10"/>
      <c r="O2085" s="21"/>
    </row>
    <row r="2086" spans="1:15" x14ac:dyDescent="0.35">
      <c r="A2086" s="15">
        <f t="shared" si="32"/>
        <v>2084</v>
      </c>
      <c r="B2086" s="16"/>
      <c r="C2086" s="19"/>
      <c r="D2086" s="10"/>
      <c r="E2086" s="10"/>
      <c r="F2086" s="47"/>
      <c r="G2086" s="10"/>
      <c r="H2086" s="20"/>
      <c r="I2086" s="20"/>
      <c r="J2086" s="10"/>
      <c r="K2086" s="10"/>
      <c r="L2086" s="10"/>
      <c r="M2086" s="10"/>
      <c r="N2086" s="10"/>
      <c r="O2086" s="21"/>
    </row>
    <row r="2087" spans="1:15" x14ac:dyDescent="0.35">
      <c r="A2087" s="15">
        <f t="shared" si="32"/>
        <v>2085</v>
      </c>
      <c r="B2087" s="16"/>
      <c r="C2087" s="19"/>
      <c r="D2087" s="10"/>
      <c r="E2087" s="10"/>
      <c r="F2087" s="47"/>
      <c r="G2087" s="10"/>
      <c r="H2087" s="20"/>
      <c r="I2087" s="20"/>
      <c r="J2087" s="10"/>
      <c r="K2087" s="10"/>
      <c r="L2087" s="10"/>
      <c r="M2087" s="10"/>
      <c r="N2087" s="10"/>
      <c r="O2087" s="21"/>
    </row>
    <row r="2088" spans="1:15" x14ac:dyDescent="0.35">
      <c r="A2088" s="15">
        <f t="shared" si="32"/>
        <v>2086</v>
      </c>
      <c r="B2088" s="16"/>
      <c r="C2088" s="19"/>
      <c r="D2088" s="10"/>
      <c r="E2088" s="10"/>
      <c r="F2088" s="47"/>
      <c r="G2088" s="10"/>
      <c r="H2088" s="20"/>
      <c r="I2088" s="20"/>
      <c r="J2088" s="10"/>
      <c r="K2088" s="10"/>
      <c r="L2088" s="10"/>
      <c r="M2088" s="10"/>
      <c r="N2088" s="10"/>
      <c r="O2088" s="21"/>
    </row>
    <row r="2089" spans="1:15" x14ac:dyDescent="0.35">
      <c r="A2089" s="15">
        <f t="shared" si="32"/>
        <v>2087</v>
      </c>
      <c r="B2089" s="16"/>
      <c r="C2089" s="19"/>
      <c r="D2089" s="10"/>
      <c r="E2089" s="10"/>
      <c r="F2089" s="47"/>
      <c r="G2089" s="10"/>
      <c r="H2089" s="20"/>
      <c r="I2089" s="20"/>
      <c r="J2089" s="10"/>
      <c r="K2089" s="10"/>
      <c r="L2089" s="10"/>
      <c r="M2089" s="10"/>
      <c r="N2089" s="10"/>
      <c r="O2089" s="21"/>
    </row>
    <row r="2090" spans="1:15" x14ac:dyDescent="0.35">
      <c r="A2090" s="15">
        <f t="shared" si="32"/>
        <v>2088</v>
      </c>
      <c r="B2090" s="16"/>
      <c r="C2090" s="19"/>
      <c r="D2090" s="10"/>
      <c r="E2090" s="10"/>
      <c r="F2090" s="47"/>
      <c r="G2090" s="10"/>
      <c r="H2090" s="20"/>
      <c r="I2090" s="20"/>
      <c r="J2090" s="10"/>
      <c r="K2090" s="10"/>
      <c r="L2090" s="10"/>
      <c r="M2090" s="10"/>
      <c r="N2090" s="10"/>
      <c r="O2090" s="21"/>
    </row>
    <row r="2091" spans="1:15" x14ac:dyDescent="0.35">
      <c r="A2091" s="15">
        <f t="shared" si="32"/>
        <v>2089</v>
      </c>
      <c r="B2091" s="16"/>
      <c r="C2091" s="19"/>
      <c r="D2091" s="10"/>
      <c r="E2091" s="10"/>
      <c r="F2091" s="47"/>
      <c r="G2091" s="10"/>
      <c r="H2091" s="20"/>
      <c r="I2091" s="20"/>
      <c r="J2091" s="10"/>
      <c r="K2091" s="10"/>
      <c r="L2091" s="10"/>
      <c r="M2091" s="10"/>
      <c r="N2091" s="10"/>
      <c r="O2091" s="21"/>
    </row>
    <row r="2092" spans="1:15" x14ac:dyDescent="0.35">
      <c r="A2092" s="15">
        <f t="shared" si="32"/>
        <v>2090</v>
      </c>
      <c r="B2092" s="16"/>
      <c r="C2092" s="19"/>
      <c r="D2092" s="10"/>
      <c r="E2092" s="10"/>
      <c r="F2092" s="47"/>
      <c r="G2092" s="10"/>
      <c r="H2092" s="20"/>
      <c r="I2092" s="20"/>
      <c r="J2092" s="10"/>
      <c r="K2092" s="10"/>
      <c r="L2092" s="10"/>
      <c r="M2092" s="10"/>
      <c r="N2092" s="10"/>
      <c r="O2092" s="21"/>
    </row>
    <row r="2093" spans="1:15" x14ac:dyDescent="0.35">
      <c r="A2093" s="15">
        <f t="shared" si="32"/>
        <v>2091</v>
      </c>
      <c r="B2093" s="16"/>
      <c r="C2093" s="19"/>
      <c r="D2093" s="10"/>
      <c r="E2093" s="10"/>
      <c r="F2093" s="47"/>
      <c r="G2093" s="10"/>
      <c r="H2093" s="20"/>
      <c r="I2093" s="20"/>
      <c r="J2093" s="10"/>
      <c r="K2093" s="10"/>
      <c r="L2093" s="10"/>
      <c r="M2093" s="10"/>
      <c r="N2093" s="10"/>
      <c r="O2093" s="21"/>
    </row>
    <row r="2094" spans="1:15" x14ac:dyDescent="0.35">
      <c r="A2094" s="15">
        <f t="shared" si="32"/>
        <v>2092</v>
      </c>
      <c r="B2094" s="16"/>
      <c r="C2094" s="19"/>
      <c r="D2094" s="10"/>
      <c r="E2094" s="10"/>
      <c r="F2094" s="47"/>
      <c r="G2094" s="10"/>
      <c r="H2094" s="20"/>
      <c r="I2094" s="20"/>
      <c r="J2094" s="10"/>
      <c r="K2094" s="10"/>
      <c r="L2094" s="10"/>
      <c r="M2094" s="10"/>
      <c r="N2094" s="10"/>
      <c r="O2094" s="21"/>
    </row>
    <row r="2095" spans="1:15" x14ac:dyDescent="0.35">
      <c r="A2095" s="15">
        <f t="shared" si="32"/>
        <v>2093</v>
      </c>
      <c r="B2095" s="16"/>
      <c r="C2095" s="19"/>
      <c r="D2095" s="10"/>
      <c r="E2095" s="10"/>
      <c r="F2095" s="47"/>
      <c r="G2095" s="10"/>
      <c r="H2095" s="20"/>
      <c r="I2095" s="20"/>
      <c r="J2095" s="10"/>
      <c r="K2095" s="10"/>
      <c r="L2095" s="10"/>
      <c r="M2095" s="10"/>
      <c r="N2095" s="10"/>
      <c r="O2095" s="21"/>
    </row>
    <row r="2096" spans="1:15" x14ac:dyDescent="0.35">
      <c r="A2096" s="15">
        <f t="shared" si="32"/>
        <v>2094</v>
      </c>
      <c r="B2096" s="16"/>
      <c r="C2096" s="19"/>
      <c r="D2096" s="10"/>
      <c r="E2096" s="10"/>
      <c r="F2096" s="47"/>
      <c r="G2096" s="10"/>
      <c r="H2096" s="20"/>
      <c r="I2096" s="20"/>
      <c r="J2096" s="10"/>
      <c r="K2096" s="10"/>
      <c r="L2096" s="10"/>
      <c r="M2096" s="10"/>
      <c r="N2096" s="10"/>
      <c r="O2096" s="21"/>
    </row>
    <row r="2097" spans="1:15" x14ac:dyDescent="0.35">
      <c r="A2097" s="15">
        <f t="shared" si="32"/>
        <v>2095</v>
      </c>
      <c r="B2097" s="16"/>
      <c r="C2097" s="19"/>
      <c r="D2097" s="10"/>
      <c r="E2097" s="10"/>
      <c r="F2097" s="47"/>
      <c r="G2097" s="10"/>
      <c r="H2097" s="20"/>
      <c r="I2097" s="20"/>
      <c r="J2097" s="10"/>
      <c r="K2097" s="10"/>
      <c r="L2097" s="10"/>
      <c r="M2097" s="10"/>
      <c r="N2097" s="10"/>
      <c r="O2097" s="21"/>
    </row>
    <row r="2098" spans="1:15" x14ac:dyDescent="0.35">
      <c r="A2098" s="15">
        <f t="shared" si="32"/>
        <v>2096</v>
      </c>
      <c r="B2098" s="16"/>
      <c r="C2098" s="19"/>
      <c r="D2098" s="10"/>
      <c r="E2098" s="10"/>
      <c r="F2098" s="47"/>
      <c r="G2098" s="10"/>
      <c r="H2098" s="20"/>
      <c r="I2098" s="20"/>
      <c r="J2098" s="10"/>
      <c r="K2098" s="10"/>
      <c r="L2098" s="10"/>
      <c r="M2098" s="10"/>
      <c r="N2098" s="10"/>
      <c r="O2098" s="21"/>
    </row>
    <row r="2099" spans="1:15" x14ac:dyDescent="0.35">
      <c r="A2099" s="15">
        <f t="shared" si="32"/>
        <v>2097</v>
      </c>
      <c r="B2099" s="16"/>
      <c r="C2099" s="19"/>
      <c r="D2099" s="10"/>
      <c r="E2099" s="10"/>
      <c r="F2099" s="47"/>
      <c r="G2099" s="10"/>
      <c r="H2099" s="20"/>
      <c r="I2099" s="20"/>
      <c r="J2099" s="10"/>
      <c r="K2099" s="10"/>
      <c r="L2099" s="10"/>
      <c r="M2099" s="10"/>
      <c r="N2099" s="10"/>
      <c r="O2099" s="21"/>
    </row>
    <row r="2100" spans="1:15" x14ac:dyDescent="0.35">
      <c r="A2100" s="15">
        <f t="shared" si="32"/>
        <v>2098</v>
      </c>
      <c r="B2100" s="16"/>
      <c r="C2100" s="19"/>
      <c r="D2100" s="10"/>
      <c r="E2100" s="10"/>
      <c r="F2100" s="47"/>
      <c r="G2100" s="10"/>
      <c r="H2100" s="20"/>
      <c r="I2100" s="20"/>
      <c r="J2100" s="10"/>
      <c r="K2100" s="10"/>
      <c r="L2100" s="10"/>
      <c r="M2100" s="10"/>
      <c r="N2100" s="10"/>
      <c r="O2100" s="21"/>
    </row>
    <row r="2101" spans="1:15" x14ac:dyDescent="0.35">
      <c r="A2101" s="15">
        <f t="shared" si="32"/>
        <v>2099</v>
      </c>
      <c r="B2101" s="16"/>
      <c r="C2101" s="19"/>
      <c r="D2101" s="10"/>
      <c r="E2101" s="10"/>
      <c r="F2101" s="47"/>
      <c r="G2101" s="10"/>
      <c r="H2101" s="20"/>
      <c r="I2101" s="20"/>
      <c r="J2101" s="10"/>
      <c r="K2101" s="10"/>
      <c r="L2101" s="10"/>
      <c r="M2101" s="10"/>
      <c r="N2101" s="10"/>
      <c r="O2101" s="21"/>
    </row>
    <row r="2102" spans="1:15" x14ac:dyDescent="0.35">
      <c r="A2102" s="15">
        <f t="shared" si="32"/>
        <v>2100</v>
      </c>
      <c r="B2102" s="16"/>
      <c r="C2102" s="19"/>
      <c r="D2102" s="10"/>
      <c r="E2102" s="10"/>
      <c r="F2102" s="47"/>
      <c r="G2102" s="10"/>
      <c r="H2102" s="20"/>
      <c r="I2102" s="20"/>
      <c r="J2102" s="10"/>
      <c r="K2102" s="10"/>
      <c r="L2102" s="10"/>
      <c r="M2102" s="10"/>
      <c r="N2102" s="10"/>
      <c r="O2102" s="21"/>
    </row>
    <row r="2103" spans="1:15" x14ac:dyDescent="0.35">
      <c r="A2103" s="15">
        <f t="shared" si="32"/>
        <v>2101</v>
      </c>
      <c r="B2103" s="16"/>
      <c r="C2103" s="19"/>
      <c r="D2103" s="10"/>
      <c r="E2103" s="10"/>
      <c r="F2103" s="47"/>
      <c r="G2103" s="10"/>
      <c r="H2103" s="20"/>
      <c r="I2103" s="20"/>
      <c r="J2103" s="10"/>
      <c r="K2103" s="10"/>
      <c r="L2103" s="10"/>
      <c r="M2103" s="10"/>
      <c r="N2103" s="10"/>
      <c r="O2103" s="21"/>
    </row>
    <row r="2104" spans="1:15" x14ac:dyDescent="0.35">
      <c r="A2104" s="15">
        <f t="shared" si="32"/>
        <v>2102</v>
      </c>
      <c r="B2104" s="16"/>
      <c r="C2104" s="19"/>
      <c r="D2104" s="10"/>
      <c r="E2104" s="10"/>
      <c r="F2104" s="47"/>
      <c r="G2104" s="10"/>
      <c r="H2104" s="20"/>
      <c r="I2104" s="20"/>
      <c r="J2104" s="10"/>
      <c r="K2104" s="10"/>
      <c r="L2104" s="10"/>
      <c r="M2104" s="10"/>
      <c r="N2104" s="10"/>
      <c r="O2104" s="21"/>
    </row>
    <row r="2105" spans="1:15" x14ac:dyDescent="0.35">
      <c r="A2105" s="15">
        <f t="shared" si="32"/>
        <v>2103</v>
      </c>
      <c r="B2105" s="16"/>
      <c r="C2105" s="19"/>
      <c r="D2105" s="10"/>
      <c r="E2105" s="10"/>
      <c r="F2105" s="47"/>
      <c r="G2105" s="10"/>
      <c r="H2105" s="20"/>
      <c r="I2105" s="20"/>
      <c r="J2105" s="10"/>
      <c r="K2105" s="10"/>
      <c r="L2105" s="10"/>
      <c r="M2105" s="10"/>
      <c r="N2105" s="10"/>
      <c r="O2105" s="21"/>
    </row>
    <row r="2106" spans="1:15" x14ac:dyDescent="0.35">
      <c r="A2106" s="15">
        <f t="shared" si="32"/>
        <v>2104</v>
      </c>
      <c r="B2106" s="16"/>
      <c r="C2106" s="19"/>
      <c r="D2106" s="10"/>
      <c r="E2106" s="10"/>
      <c r="F2106" s="47"/>
      <c r="G2106" s="10"/>
      <c r="H2106" s="20"/>
      <c r="I2106" s="20"/>
      <c r="J2106" s="10"/>
      <c r="K2106" s="10"/>
      <c r="L2106" s="10"/>
      <c r="M2106" s="10"/>
      <c r="N2106" s="10"/>
      <c r="O2106" s="21"/>
    </row>
    <row r="2107" spans="1:15" x14ac:dyDescent="0.35">
      <c r="A2107" s="15">
        <f t="shared" si="32"/>
        <v>2105</v>
      </c>
      <c r="B2107" s="16"/>
      <c r="C2107" s="19"/>
      <c r="D2107" s="10"/>
      <c r="E2107" s="10"/>
      <c r="F2107" s="47"/>
      <c r="G2107" s="10"/>
      <c r="H2107" s="20"/>
      <c r="I2107" s="20"/>
      <c r="J2107" s="10"/>
      <c r="K2107" s="10"/>
      <c r="L2107" s="10"/>
      <c r="M2107" s="10"/>
      <c r="N2107" s="10"/>
      <c r="O2107" s="21"/>
    </row>
    <row r="2108" spans="1:15" x14ac:dyDescent="0.35">
      <c r="A2108" s="15">
        <f t="shared" si="32"/>
        <v>2106</v>
      </c>
      <c r="B2108" s="16"/>
      <c r="C2108" s="19"/>
      <c r="D2108" s="10"/>
      <c r="E2108" s="10"/>
      <c r="F2108" s="47"/>
      <c r="G2108" s="10"/>
      <c r="H2108" s="20"/>
      <c r="I2108" s="20"/>
      <c r="J2108" s="10"/>
      <c r="K2108" s="10"/>
      <c r="L2108" s="10"/>
      <c r="M2108" s="10"/>
      <c r="N2108" s="10"/>
      <c r="O2108" s="21"/>
    </row>
    <row r="2109" spans="1:15" x14ac:dyDescent="0.35">
      <c r="A2109" s="15">
        <f t="shared" si="32"/>
        <v>2107</v>
      </c>
      <c r="B2109" s="16"/>
      <c r="C2109" s="19"/>
      <c r="D2109" s="10"/>
      <c r="E2109" s="10"/>
      <c r="F2109" s="47"/>
      <c r="G2109" s="10"/>
      <c r="H2109" s="20"/>
      <c r="I2109" s="20"/>
      <c r="J2109" s="10"/>
      <c r="K2109" s="10"/>
      <c r="L2109" s="10"/>
      <c r="M2109" s="10"/>
      <c r="N2109" s="10"/>
      <c r="O2109" s="21"/>
    </row>
    <row r="2110" spans="1:15" x14ac:dyDescent="0.35">
      <c r="A2110" s="15">
        <f t="shared" si="32"/>
        <v>2108</v>
      </c>
      <c r="B2110" s="16"/>
      <c r="C2110" s="19"/>
      <c r="D2110" s="10"/>
      <c r="E2110" s="10"/>
      <c r="F2110" s="47"/>
      <c r="G2110" s="10"/>
      <c r="H2110" s="20"/>
      <c r="I2110" s="20"/>
      <c r="J2110" s="10"/>
      <c r="K2110" s="10"/>
      <c r="L2110" s="10"/>
      <c r="M2110" s="10"/>
      <c r="N2110" s="10"/>
      <c r="O2110" s="21"/>
    </row>
    <row r="2111" spans="1:15" x14ac:dyDescent="0.35">
      <c r="A2111" s="15">
        <f t="shared" si="32"/>
        <v>2109</v>
      </c>
      <c r="B2111" s="16"/>
      <c r="C2111" s="19"/>
      <c r="D2111" s="10"/>
      <c r="E2111" s="10"/>
      <c r="F2111" s="47"/>
      <c r="G2111" s="10"/>
      <c r="H2111" s="20"/>
      <c r="I2111" s="20"/>
      <c r="J2111" s="10"/>
      <c r="K2111" s="10"/>
      <c r="L2111" s="10"/>
      <c r="M2111" s="10"/>
      <c r="N2111" s="10"/>
      <c r="O2111" s="21"/>
    </row>
    <row r="2112" spans="1:15" x14ac:dyDescent="0.35">
      <c r="A2112" s="15">
        <f t="shared" si="32"/>
        <v>2110</v>
      </c>
      <c r="B2112" s="16"/>
      <c r="C2112" s="19"/>
      <c r="D2112" s="10"/>
      <c r="E2112" s="10"/>
      <c r="F2112" s="47"/>
      <c r="G2112" s="10"/>
      <c r="H2112" s="20"/>
      <c r="I2112" s="20"/>
      <c r="J2112" s="10"/>
      <c r="K2112" s="10"/>
      <c r="L2112" s="10"/>
      <c r="M2112" s="10"/>
      <c r="N2112" s="10"/>
      <c r="O2112" s="21"/>
    </row>
    <row r="2113" spans="1:15" x14ac:dyDescent="0.35">
      <c r="A2113" s="15">
        <f t="shared" si="32"/>
        <v>2111</v>
      </c>
      <c r="B2113" s="16"/>
      <c r="C2113" s="19"/>
      <c r="D2113" s="10"/>
      <c r="E2113" s="10"/>
      <c r="F2113" s="47"/>
      <c r="G2113" s="10"/>
      <c r="H2113" s="20"/>
      <c r="I2113" s="20"/>
      <c r="J2113" s="10"/>
      <c r="K2113" s="10"/>
      <c r="L2113" s="10"/>
      <c r="M2113" s="10"/>
      <c r="N2113" s="10"/>
      <c r="O2113" s="21"/>
    </row>
    <row r="2114" spans="1:15" x14ac:dyDescent="0.35">
      <c r="A2114" s="15">
        <f t="shared" si="32"/>
        <v>2112</v>
      </c>
      <c r="B2114" s="16"/>
      <c r="C2114" s="19"/>
      <c r="D2114" s="10"/>
      <c r="E2114" s="10"/>
      <c r="F2114" s="47"/>
      <c r="G2114" s="10"/>
      <c r="H2114" s="20"/>
      <c r="I2114" s="20"/>
      <c r="J2114" s="10"/>
      <c r="K2114" s="10"/>
      <c r="L2114" s="10"/>
      <c r="M2114" s="10"/>
      <c r="N2114" s="10"/>
      <c r="O2114" s="21"/>
    </row>
    <row r="2115" spans="1:15" x14ac:dyDescent="0.35">
      <c r="A2115" s="15">
        <f t="shared" si="32"/>
        <v>2113</v>
      </c>
      <c r="B2115" s="16"/>
      <c r="C2115" s="19"/>
      <c r="D2115" s="10"/>
      <c r="E2115" s="10"/>
      <c r="F2115" s="47"/>
      <c r="G2115" s="10"/>
      <c r="H2115" s="20"/>
      <c r="I2115" s="20"/>
      <c r="J2115" s="10"/>
      <c r="K2115" s="10"/>
      <c r="L2115" s="10"/>
      <c r="M2115" s="10"/>
      <c r="N2115" s="10"/>
      <c r="O2115" s="21"/>
    </row>
    <row r="2116" spans="1:15" x14ac:dyDescent="0.35">
      <c r="A2116" s="15">
        <f t="shared" si="32"/>
        <v>2114</v>
      </c>
      <c r="B2116" s="16"/>
      <c r="C2116" s="19"/>
      <c r="D2116" s="10"/>
      <c r="E2116" s="10"/>
      <c r="F2116" s="47"/>
      <c r="G2116" s="10"/>
      <c r="H2116" s="20"/>
      <c r="I2116" s="20"/>
      <c r="J2116" s="10"/>
      <c r="K2116" s="10"/>
      <c r="L2116" s="10"/>
      <c r="M2116" s="10"/>
      <c r="N2116" s="10"/>
      <c r="O2116" s="21"/>
    </row>
    <row r="2117" spans="1:15" x14ac:dyDescent="0.35">
      <c r="A2117" s="15">
        <f t="shared" si="32"/>
        <v>2115</v>
      </c>
      <c r="B2117" s="16"/>
      <c r="C2117" s="19"/>
      <c r="D2117" s="10"/>
      <c r="E2117" s="10"/>
      <c r="F2117" s="47"/>
      <c r="G2117" s="10"/>
      <c r="H2117" s="20"/>
      <c r="I2117" s="20"/>
      <c r="J2117" s="10"/>
      <c r="K2117" s="10"/>
      <c r="L2117" s="10"/>
      <c r="M2117" s="10"/>
      <c r="N2117" s="10"/>
      <c r="O2117" s="21"/>
    </row>
    <row r="2118" spans="1:15" x14ac:dyDescent="0.35">
      <c r="A2118" s="15">
        <f t="shared" si="32"/>
        <v>2116</v>
      </c>
      <c r="B2118" s="16"/>
      <c r="C2118" s="19"/>
      <c r="D2118" s="10"/>
      <c r="E2118" s="10"/>
      <c r="F2118" s="47"/>
      <c r="G2118" s="10"/>
      <c r="H2118" s="20"/>
      <c r="I2118" s="20"/>
      <c r="J2118" s="10"/>
      <c r="K2118" s="10"/>
      <c r="L2118" s="10"/>
      <c r="M2118" s="10"/>
      <c r="N2118" s="10"/>
      <c r="O2118" s="21"/>
    </row>
    <row r="2119" spans="1:15" x14ac:dyDescent="0.35">
      <c r="A2119" s="15">
        <f t="shared" si="32"/>
        <v>2117</v>
      </c>
      <c r="B2119" s="16"/>
      <c r="C2119" s="19"/>
      <c r="D2119" s="10"/>
      <c r="E2119" s="10"/>
      <c r="F2119" s="47"/>
      <c r="G2119" s="10"/>
      <c r="H2119" s="20"/>
      <c r="I2119" s="20"/>
      <c r="J2119" s="10"/>
      <c r="K2119" s="10"/>
      <c r="L2119" s="10"/>
      <c r="M2119" s="10"/>
      <c r="N2119" s="10"/>
      <c r="O2119" s="21"/>
    </row>
    <row r="2120" spans="1:15" x14ac:dyDescent="0.35">
      <c r="A2120" s="15">
        <f t="shared" si="32"/>
        <v>2118</v>
      </c>
      <c r="B2120" s="16"/>
      <c r="C2120" s="19"/>
      <c r="D2120" s="10"/>
      <c r="E2120" s="10"/>
      <c r="F2120" s="47"/>
      <c r="G2120" s="10"/>
      <c r="H2120" s="20"/>
      <c r="I2120" s="20"/>
      <c r="J2120" s="10"/>
      <c r="K2120" s="10"/>
      <c r="L2120" s="10"/>
      <c r="M2120" s="10"/>
      <c r="N2120" s="10"/>
      <c r="O2120" s="21"/>
    </row>
    <row r="2121" spans="1:15" x14ac:dyDescent="0.35">
      <c r="A2121" s="15">
        <f t="shared" si="32"/>
        <v>2119</v>
      </c>
      <c r="B2121" s="16"/>
      <c r="C2121" s="19"/>
      <c r="D2121" s="10"/>
      <c r="E2121" s="10"/>
      <c r="F2121" s="47"/>
      <c r="G2121" s="10"/>
      <c r="H2121" s="20"/>
      <c r="I2121" s="20"/>
      <c r="J2121" s="10"/>
      <c r="K2121" s="10"/>
      <c r="L2121" s="10"/>
      <c r="M2121" s="10"/>
      <c r="N2121" s="10"/>
      <c r="O2121" s="21"/>
    </row>
    <row r="2122" spans="1:15" x14ac:dyDescent="0.35">
      <c r="A2122" s="15">
        <f t="shared" si="32"/>
        <v>2120</v>
      </c>
      <c r="B2122" s="16"/>
      <c r="C2122" s="19"/>
      <c r="D2122" s="10"/>
      <c r="E2122" s="10"/>
      <c r="F2122" s="47"/>
      <c r="G2122" s="10"/>
      <c r="H2122" s="20"/>
      <c r="I2122" s="20"/>
      <c r="J2122" s="10"/>
      <c r="K2122" s="10"/>
      <c r="L2122" s="10"/>
      <c r="M2122" s="10"/>
      <c r="N2122" s="10"/>
      <c r="O2122" s="21"/>
    </row>
    <row r="2123" spans="1:15" x14ac:dyDescent="0.35">
      <c r="A2123" s="15">
        <f t="shared" ref="A2123:A2186" si="33">+A2122+1</f>
        <v>2121</v>
      </c>
      <c r="B2123" s="16"/>
      <c r="C2123" s="19"/>
      <c r="D2123" s="10"/>
      <c r="E2123" s="10"/>
      <c r="F2123" s="47"/>
      <c r="G2123" s="10"/>
      <c r="H2123" s="20"/>
      <c r="I2123" s="20"/>
      <c r="J2123" s="10"/>
      <c r="K2123" s="10"/>
      <c r="L2123" s="10"/>
      <c r="M2123" s="10"/>
      <c r="N2123" s="10"/>
      <c r="O2123" s="21"/>
    </row>
    <row r="2124" spans="1:15" x14ac:dyDescent="0.35">
      <c r="A2124" s="15">
        <f t="shared" si="33"/>
        <v>2122</v>
      </c>
      <c r="B2124" s="16"/>
      <c r="C2124" s="19"/>
      <c r="D2124" s="10"/>
      <c r="E2124" s="10"/>
      <c r="F2124" s="47"/>
      <c r="G2124" s="10"/>
      <c r="H2124" s="20"/>
      <c r="I2124" s="20"/>
      <c r="J2124" s="10"/>
      <c r="K2124" s="10"/>
      <c r="L2124" s="10"/>
      <c r="M2124" s="10"/>
      <c r="N2124" s="10"/>
      <c r="O2124" s="21"/>
    </row>
    <row r="2125" spans="1:15" x14ac:dyDescent="0.35">
      <c r="A2125" s="15">
        <f t="shared" si="33"/>
        <v>2123</v>
      </c>
      <c r="B2125" s="16"/>
      <c r="C2125" s="19"/>
      <c r="D2125" s="10"/>
      <c r="E2125" s="10"/>
      <c r="F2125" s="47"/>
      <c r="G2125" s="10"/>
      <c r="H2125" s="20"/>
      <c r="I2125" s="20"/>
      <c r="J2125" s="10"/>
      <c r="K2125" s="10"/>
      <c r="L2125" s="10"/>
      <c r="M2125" s="10"/>
      <c r="N2125" s="10"/>
      <c r="O2125" s="21"/>
    </row>
    <row r="2126" spans="1:15" x14ac:dyDescent="0.35">
      <c r="A2126" s="15">
        <f t="shared" si="33"/>
        <v>2124</v>
      </c>
      <c r="B2126" s="16"/>
      <c r="C2126" s="19"/>
      <c r="D2126" s="10"/>
      <c r="E2126" s="10"/>
      <c r="F2126" s="47"/>
      <c r="G2126" s="10"/>
      <c r="H2126" s="20"/>
      <c r="I2126" s="20"/>
      <c r="J2126" s="10"/>
      <c r="K2126" s="10"/>
      <c r="L2126" s="10"/>
      <c r="M2126" s="10"/>
      <c r="N2126" s="10"/>
      <c r="O2126" s="21"/>
    </row>
    <row r="2127" spans="1:15" x14ac:dyDescent="0.35">
      <c r="A2127" s="15">
        <f t="shared" si="33"/>
        <v>2125</v>
      </c>
      <c r="B2127" s="16"/>
      <c r="C2127" s="19"/>
      <c r="D2127" s="10"/>
      <c r="E2127" s="10"/>
      <c r="F2127" s="47"/>
      <c r="G2127" s="10"/>
      <c r="H2127" s="20"/>
      <c r="I2127" s="20"/>
      <c r="J2127" s="10"/>
      <c r="K2127" s="10"/>
      <c r="L2127" s="10"/>
      <c r="M2127" s="10"/>
      <c r="N2127" s="10"/>
      <c r="O2127" s="21"/>
    </row>
    <row r="2128" spans="1:15" x14ac:dyDescent="0.35">
      <c r="A2128" s="15">
        <f t="shared" si="33"/>
        <v>2126</v>
      </c>
      <c r="B2128" s="16"/>
      <c r="C2128" s="19"/>
      <c r="D2128" s="10"/>
      <c r="E2128" s="10"/>
      <c r="F2128" s="47"/>
      <c r="G2128" s="10"/>
      <c r="H2128" s="20"/>
      <c r="I2128" s="20"/>
      <c r="J2128" s="10"/>
      <c r="K2128" s="10"/>
      <c r="L2128" s="10"/>
      <c r="M2128" s="10"/>
      <c r="N2128" s="10"/>
      <c r="O2128" s="21"/>
    </row>
    <row r="2129" spans="1:15" x14ac:dyDescent="0.35">
      <c r="A2129" s="15">
        <f t="shared" si="33"/>
        <v>2127</v>
      </c>
      <c r="B2129" s="16"/>
      <c r="C2129" s="19"/>
      <c r="D2129" s="10"/>
      <c r="E2129" s="10"/>
      <c r="F2129" s="47"/>
      <c r="G2129" s="10"/>
      <c r="H2129" s="20"/>
      <c r="I2129" s="20"/>
      <c r="J2129" s="10"/>
      <c r="K2129" s="10"/>
      <c r="L2129" s="10"/>
      <c r="M2129" s="10"/>
      <c r="N2129" s="10"/>
      <c r="O2129" s="21"/>
    </row>
    <row r="2130" spans="1:15" x14ac:dyDescent="0.35">
      <c r="A2130" s="15">
        <f t="shared" si="33"/>
        <v>2128</v>
      </c>
      <c r="B2130" s="16"/>
      <c r="C2130" s="19"/>
      <c r="D2130" s="10"/>
      <c r="E2130" s="10"/>
      <c r="F2130" s="47"/>
      <c r="G2130" s="10"/>
      <c r="H2130" s="20"/>
      <c r="I2130" s="20"/>
      <c r="J2130" s="10"/>
      <c r="K2130" s="10"/>
      <c r="L2130" s="10"/>
      <c r="M2130" s="10"/>
      <c r="N2130" s="10"/>
      <c r="O2130" s="21"/>
    </row>
    <row r="2131" spans="1:15" x14ac:dyDescent="0.35">
      <c r="A2131" s="15">
        <f t="shared" si="33"/>
        <v>2129</v>
      </c>
      <c r="B2131" s="16"/>
      <c r="C2131" s="19"/>
      <c r="D2131" s="10"/>
      <c r="E2131" s="10"/>
      <c r="F2131" s="47"/>
      <c r="G2131" s="10"/>
      <c r="H2131" s="20"/>
      <c r="I2131" s="20"/>
      <c r="J2131" s="10"/>
      <c r="K2131" s="10"/>
      <c r="L2131" s="10"/>
      <c r="M2131" s="10"/>
      <c r="N2131" s="10"/>
      <c r="O2131" s="21"/>
    </row>
    <row r="2132" spans="1:15" x14ac:dyDescent="0.35">
      <c r="A2132" s="15">
        <f t="shared" si="33"/>
        <v>2130</v>
      </c>
      <c r="B2132" s="16"/>
      <c r="C2132" s="19"/>
      <c r="D2132" s="10"/>
      <c r="E2132" s="10"/>
      <c r="F2132" s="47"/>
      <c r="G2132" s="10"/>
      <c r="H2132" s="20"/>
      <c r="I2132" s="20"/>
      <c r="J2132" s="10"/>
      <c r="K2132" s="10"/>
      <c r="L2132" s="10"/>
      <c r="M2132" s="10"/>
      <c r="N2132" s="10"/>
      <c r="O2132" s="21"/>
    </row>
    <row r="2133" spans="1:15" x14ac:dyDescent="0.35">
      <c r="A2133" s="15">
        <f t="shared" si="33"/>
        <v>2131</v>
      </c>
      <c r="B2133" s="16"/>
      <c r="C2133" s="19"/>
      <c r="D2133" s="10"/>
      <c r="E2133" s="10"/>
      <c r="F2133" s="47"/>
      <c r="G2133" s="10"/>
      <c r="H2133" s="20"/>
      <c r="I2133" s="20"/>
      <c r="J2133" s="10"/>
      <c r="K2133" s="10"/>
      <c r="L2133" s="10"/>
      <c r="M2133" s="10"/>
      <c r="N2133" s="10"/>
      <c r="O2133" s="21"/>
    </row>
    <row r="2134" spans="1:15" x14ac:dyDescent="0.35">
      <c r="A2134" s="15">
        <f t="shared" si="33"/>
        <v>2132</v>
      </c>
      <c r="B2134" s="16"/>
      <c r="C2134" s="19"/>
      <c r="D2134" s="10"/>
      <c r="E2134" s="10"/>
      <c r="F2134" s="47"/>
      <c r="G2134" s="10"/>
      <c r="H2134" s="20"/>
      <c r="I2134" s="20"/>
      <c r="J2134" s="10"/>
      <c r="K2134" s="10"/>
      <c r="L2134" s="10"/>
      <c r="M2134" s="10"/>
      <c r="N2134" s="10"/>
      <c r="O2134" s="21"/>
    </row>
    <row r="2135" spans="1:15" x14ac:dyDescent="0.35">
      <c r="A2135" s="15">
        <f t="shared" si="33"/>
        <v>2133</v>
      </c>
      <c r="B2135" s="16"/>
      <c r="C2135" s="19"/>
      <c r="D2135" s="10"/>
      <c r="E2135" s="10"/>
      <c r="F2135" s="47"/>
      <c r="G2135" s="10"/>
      <c r="H2135" s="20"/>
      <c r="I2135" s="20"/>
      <c r="J2135" s="10"/>
      <c r="K2135" s="10"/>
      <c r="L2135" s="10"/>
      <c r="M2135" s="10"/>
      <c r="N2135" s="10"/>
      <c r="O2135" s="21"/>
    </row>
    <row r="2136" spans="1:15" x14ac:dyDescent="0.35">
      <c r="A2136" s="15">
        <f t="shared" si="33"/>
        <v>2134</v>
      </c>
      <c r="B2136" s="16"/>
      <c r="C2136" s="19"/>
      <c r="D2136" s="10"/>
      <c r="E2136" s="10"/>
      <c r="F2136" s="47"/>
      <c r="G2136" s="10"/>
      <c r="H2136" s="20"/>
      <c r="I2136" s="20"/>
      <c r="J2136" s="10"/>
      <c r="K2136" s="10"/>
      <c r="L2136" s="10"/>
      <c r="M2136" s="10"/>
      <c r="N2136" s="10"/>
      <c r="O2136" s="21"/>
    </row>
    <row r="2137" spans="1:15" x14ac:dyDescent="0.35">
      <c r="A2137" s="15">
        <f t="shared" si="33"/>
        <v>2135</v>
      </c>
      <c r="B2137" s="16"/>
      <c r="C2137" s="19"/>
      <c r="D2137" s="10"/>
      <c r="E2137" s="10"/>
      <c r="F2137" s="47"/>
      <c r="G2137" s="10"/>
      <c r="H2137" s="20"/>
      <c r="I2137" s="20"/>
      <c r="J2137" s="10"/>
      <c r="K2137" s="10"/>
      <c r="L2137" s="10"/>
      <c r="M2137" s="10"/>
      <c r="N2137" s="10"/>
      <c r="O2137" s="21"/>
    </row>
    <row r="2138" spans="1:15" x14ac:dyDescent="0.35">
      <c r="A2138" s="15">
        <f t="shared" si="33"/>
        <v>2136</v>
      </c>
      <c r="B2138" s="16"/>
      <c r="C2138" s="19"/>
      <c r="D2138" s="10"/>
      <c r="E2138" s="10"/>
      <c r="F2138" s="47"/>
      <c r="G2138" s="10"/>
      <c r="H2138" s="20"/>
      <c r="I2138" s="20"/>
      <c r="J2138" s="10"/>
      <c r="K2138" s="10"/>
      <c r="L2138" s="10"/>
      <c r="M2138" s="10"/>
      <c r="N2138" s="10"/>
      <c r="O2138" s="21"/>
    </row>
    <row r="2139" spans="1:15" x14ac:dyDescent="0.35">
      <c r="A2139" s="15">
        <f t="shared" si="33"/>
        <v>2137</v>
      </c>
      <c r="B2139" s="16"/>
      <c r="C2139" s="19"/>
      <c r="D2139" s="10"/>
      <c r="E2139" s="10"/>
      <c r="F2139" s="47"/>
      <c r="G2139" s="10"/>
      <c r="H2139" s="20"/>
      <c r="I2139" s="20"/>
      <c r="J2139" s="10"/>
      <c r="K2139" s="10"/>
      <c r="L2139" s="10"/>
      <c r="M2139" s="10"/>
      <c r="N2139" s="10"/>
      <c r="O2139" s="21"/>
    </row>
    <row r="2140" spans="1:15" x14ac:dyDescent="0.35">
      <c r="A2140" s="15">
        <f t="shared" si="33"/>
        <v>2138</v>
      </c>
      <c r="B2140" s="16"/>
      <c r="C2140" s="19"/>
      <c r="D2140" s="10"/>
      <c r="E2140" s="10"/>
      <c r="F2140" s="47"/>
      <c r="G2140" s="10"/>
      <c r="H2140" s="20"/>
      <c r="I2140" s="20"/>
      <c r="J2140" s="10"/>
      <c r="K2140" s="10"/>
      <c r="L2140" s="10"/>
      <c r="M2140" s="10"/>
      <c r="N2140" s="10"/>
      <c r="O2140" s="21"/>
    </row>
    <row r="2141" spans="1:15" x14ac:dyDescent="0.35">
      <c r="A2141" s="15">
        <f t="shared" si="33"/>
        <v>2139</v>
      </c>
      <c r="B2141" s="16"/>
      <c r="C2141" s="19"/>
      <c r="D2141" s="10"/>
      <c r="E2141" s="10"/>
      <c r="F2141" s="47"/>
      <c r="G2141" s="10"/>
      <c r="H2141" s="20"/>
      <c r="I2141" s="20"/>
      <c r="J2141" s="10"/>
      <c r="K2141" s="10"/>
      <c r="L2141" s="10"/>
      <c r="M2141" s="10"/>
      <c r="N2141" s="10"/>
      <c r="O2141" s="21"/>
    </row>
    <row r="2142" spans="1:15" x14ac:dyDescent="0.35">
      <c r="A2142" s="15">
        <f t="shared" si="33"/>
        <v>2140</v>
      </c>
      <c r="B2142" s="16"/>
      <c r="C2142" s="19"/>
      <c r="D2142" s="10"/>
      <c r="E2142" s="10"/>
      <c r="F2142" s="47"/>
      <c r="G2142" s="10"/>
      <c r="H2142" s="20"/>
      <c r="I2142" s="20"/>
      <c r="J2142" s="10"/>
      <c r="K2142" s="10"/>
      <c r="L2142" s="10"/>
      <c r="M2142" s="10"/>
      <c r="N2142" s="10"/>
      <c r="O2142" s="21"/>
    </row>
    <row r="2143" spans="1:15" x14ac:dyDescent="0.35">
      <c r="A2143" s="15">
        <f t="shared" si="33"/>
        <v>2141</v>
      </c>
      <c r="B2143" s="16"/>
      <c r="C2143" s="19"/>
      <c r="D2143" s="10"/>
      <c r="E2143" s="10"/>
      <c r="F2143" s="47"/>
      <c r="G2143" s="10"/>
      <c r="H2143" s="20"/>
      <c r="I2143" s="20"/>
      <c r="J2143" s="10"/>
      <c r="K2143" s="10"/>
      <c r="L2143" s="10"/>
      <c r="M2143" s="10"/>
      <c r="N2143" s="10"/>
      <c r="O2143" s="21"/>
    </row>
    <row r="2144" spans="1:15" x14ac:dyDescent="0.35">
      <c r="A2144" s="15">
        <f t="shared" si="33"/>
        <v>2142</v>
      </c>
      <c r="B2144" s="16"/>
      <c r="C2144" s="19"/>
      <c r="D2144" s="10"/>
      <c r="E2144" s="10"/>
      <c r="F2144" s="47"/>
      <c r="G2144" s="10"/>
      <c r="H2144" s="20"/>
      <c r="I2144" s="20"/>
      <c r="J2144" s="10"/>
      <c r="K2144" s="10"/>
      <c r="L2144" s="10"/>
      <c r="M2144" s="10"/>
      <c r="N2144" s="10"/>
      <c r="O2144" s="21"/>
    </row>
    <row r="2145" spans="1:15" x14ac:dyDescent="0.35">
      <c r="A2145" s="15">
        <f t="shared" si="33"/>
        <v>2143</v>
      </c>
      <c r="B2145" s="16"/>
      <c r="C2145" s="19"/>
      <c r="D2145" s="10"/>
      <c r="E2145" s="10"/>
      <c r="F2145" s="47"/>
      <c r="G2145" s="10"/>
      <c r="H2145" s="20"/>
      <c r="I2145" s="20"/>
      <c r="J2145" s="10"/>
      <c r="K2145" s="10"/>
      <c r="L2145" s="10"/>
      <c r="M2145" s="10"/>
      <c r="N2145" s="10"/>
      <c r="O2145" s="21"/>
    </row>
    <row r="2146" spans="1:15" x14ac:dyDescent="0.35">
      <c r="A2146" s="15">
        <f t="shared" si="33"/>
        <v>2144</v>
      </c>
      <c r="B2146" s="16"/>
      <c r="C2146" s="19"/>
      <c r="D2146" s="10"/>
      <c r="E2146" s="10"/>
      <c r="F2146" s="47"/>
      <c r="G2146" s="10"/>
      <c r="H2146" s="20"/>
      <c r="I2146" s="20"/>
      <c r="J2146" s="10"/>
      <c r="K2146" s="10"/>
      <c r="L2146" s="10"/>
      <c r="M2146" s="10"/>
      <c r="N2146" s="10"/>
      <c r="O2146" s="21"/>
    </row>
    <row r="2147" spans="1:15" x14ac:dyDescent="0.35">
      <c r="A2147" s="15">
        <f t="shared" si="33"/>
        <v>2145</v>
      </c>
      <c r="B2147" s="16"/>
      <c r="C2147" s="19"/>
      <c r="D2147" s="10"/>
      <c r="E2147" s="10"/>
      <c r="F2147" s="47"/>
      <c r="G2147" s="10"/>
      <c r="H2147" s="20"/>
      <c r="I2147" s="20"/>
      <c r="J2147" s="10"/>
      <c r="K2147" s="10"/>
      <c r="L2147" s="10"/>
      <c r="M2147" s="10"/>
      <c r="N2147" s="10"/>
      <c r="O2147" s="21"/>
    </row>
    <row r="2148" spans="1:15" x14ac:dyDescent="0.35">
      <c r="A2148" s="15">
        <f t="shared" si="33"/>
        <v>2146</v>
      </c>
      <c r="B2148" s="16"/>
      <c r="C2148" s="19"/>
      <c r="D2148" s="10"/>
      <c r="E2148" s="10"/>
      <c r="F2148" s="47"/>
      <c r="G2148" s="10"/>
      <c r="H2148" s="20"/>
      <c r="I2148" s="20"/>
      <c r="J2148" s="10"/>
      <c r="K2148" s="10"/>
      <c r="L2148" s="10"/>
      <c r="M2148" s="10"/>
      <c r="N2148" s="10"/>
      <c r="O2148" s="21"/>
    </row>
    <row r="2149" spans="1:15" x14ac:dyDescent="0.35">
      <c r="A2149" s="15">
        <f t="shared" si="33"/>
        <v>2147</v>
      </c>
      <c r="B2149" s="16"/>
      <c r="C2149" s="19"/>
      <c r="D2149" s="10"/>
      <c r="E2149" s="10"/>
      <c r="F2149" s="47"/>
      <c r="G2149" s="10"/>
      <c r="H2149" s="20"/>
      <c r="I2149" s="20"/>
      <c r="J2149" s="10"/>
      <c r="K2149" s="10"/>
      <c r="L2149" s="10"/>
      <c r="M2149" s="10"/>
      <c r="N2149" s="10"/>
      <c r="O2149" s="21"/>
    </row>
    <row r="2150" spans="1:15" x14ac:dyDescent="0.35">
      <c r="A2150" s="15">
        <f t="shared" si="33"/>
        <v>2148</v>
      </c>
      <c r="B2150" s="16"/>
      <c r="C2150" s="19"/>
      <c r="D2150" s="10"/>
      <c r="E2150" s="10"/>
      <c r="F2150" s="47"/>
      <c r="G2150" s="10"/>
      <c r="H2150" s="20"/>
      <c r="I2150" s="20"/>
      <c r="J2150" s="10"/>
      <c r="K2150" s="10"/>
      <c r="L2150" s="10"/>
      <c r="M2150" s="10"/>
      <c r="N2150" s="10"/>
      <c r="O2150" s="21"/>
    </row>
    <row r="2151" spans="1:15" x14ac:dyDescent="0.35">
      <c r="A2151" s="15">
        <f t="shared" si="33"/>
        <v>2149</v>
      </c>
      <c r="B2151" s="16"/>
      <c r="C2151" s="19"/>
      <c r="D2151" s="10"/>
      <c r="E2151" s="10"/>
      <c r="F2151" s="47"/>
      <c r="G2151" s="10"/>
      <c r="H2151" s="20"/>
      <c r="I2151" s="20"/>
      <c r="J2151" s="10"/>
      <c r="K2151" s="10"/>
      <c r="L2151" s="10"/>
      <c r="M2151" s="10"/>
      <c r="N2151" s="10"/>
      <c r="O2151" s="21"/>
    </row>
    <row r="2152" spans="1:15" x14ac:dyDescent="0.35">
      <c r="A2152" s="15">
        <f t="shared" si="33"/>
        <v>2150</v>
      </c>
      <c r="B2152" s="16"/>
      <c r="C2152" s="19"/>
      <c r="D2152" s="10"/>
      <c r="E2152" s="10"/>
      <c r="F2152" s="47"/>
      <c r="G2152" s="10"/>
      <c r="H2152" s="20"/>
      <c r="I2152" s="20"/>
      <c r="J2152" s="10"/>
      <c r="K2152" s="10"/>
      <c r="L2152" s="10"/>
      <c r="M2152" s="10"/>
      <c r="N2152" s="10"/>
      <c r="O2152" s="21"/>
    </row>
    <row r="2153" spans="1:15" x14ac:dyDescent="0.35">
      <c r="A2153" s="15">
        <f t="shared" si="33"/>
        <v>2151</v>
      </c>
      <c r="B2153" s="16"/>
      <c r="C2153" s="19"/>
      <c r="D2153" s="10"/>
      <c r="E2153" s="10"/>
      <c r="F2153" s="47"/>
      <c r="G2153" s="10"/>
      <c r="H2153" s="20"/>
      <c r="I2153" s="20"/>
      <c r="J2153" s="10"/>
      <c r="K2153" s="10"/>
      <c r="L2153" s="10"/>
      <c r="M2153" s="10"/>
      <c r="N2153" s="10"/>
      <c r="O2153" s="21"/>
    </row>
    <row r="2154" spans="1:15" x14ac:dyDescent="0.35">
      <c r="A2154" s="15">
        <f t="shared" si="33"/>
        <v>2152</v>
      </c>
      <c r="B2154" s="16"/>
      <c r="C2154" s="19"/>
      <c r="D2154" s="10"/>
      <c r="E2154" s="10"/>
      <c r="F2154" s="47"/>
      <c r="G2154" s="10"/>
      <c r="H2154" s="20"/>
      <c r="I2154" s="20"/>
      <c r="J2154" s="10"/>
      <c r="K2154" s="10"/>
      <c r="L2154" s="10"/>
      <c r="M2154" s="10"/>
      <c r="N2154" s="10"/>
      <c r="O2154" s="21"/>
    </row>
    <row r="2155" spans="1:15" x14ac:dyDescent="0.35">
      <c r="A2155" s="15">
        <f t="shared" si="33"/>
        <v>2153</v>
      </c>
      <c r="B2155" s="16"/>
      <c r="C2155" s="19"/>
      <c r="D2155" s="10"/>
      <c r="E2155" s="10"/>
      <c r="F2155" s="47"/>
      <c r="G2155" s="10"/>
      <c r="H2155" s="20"/>
      <c r="I2155" s="20"/>
      <c r="J2155" s="10"/>
      <c r="K2155" s="10"/>
      <c r="L2155" s="10"/>
      <c r="M2155" s="10"/>
      <c r="N2155" s="10"/>
      <c r="O2155" s="21"/>
    </row>
    <row r="2156" spans="1:15" x14ac:dyDescent="0.35">
      <c r="A2156" s="15">
        <f t="shared" si="33"/>
        <v>2154</v>
      </c>
      <c r="B2156" s="16"/>
      <c r="C2156" s="19"/>
      <c r="D2156" s="10"/>
      <c r="E2156" s="10"/>
      <c r="F2156" s="47"/>
      <c r="G2156" s="10"/>
      <c r="H2156" s="20"/>
      <c r="I2156" s="20"/>
      <c r="J2156" s="10"/>
      <c r="K2156" s="10"/>
      <c r="L2156" s="10"/>
      <c r="M2156" s="10"/>
      <c r="N2156" s="10"/>
      <c r="O2156" s="21"/>
    </row>
    <row r="2157" spans="1:15" x14ac:dyDescent="0.35">
      <c r="A2157" s="15">
        <f t="shared" si="33"/>
        <v>2155</v>
      </c>
      <c r="B2157" s="16"/>
      <c r="C2157" s="19"/>
      <c r="D2157" s="10"/>
      <c r="E2157" s="10"/>
      <c r="F2157" s="47"/>
      <c r="G2157" s="10"/>
      <c r="H2157" s="20"/>
      <c r="I2157" s="20"/>
      <c r="J2157" s="10"/>
      <c r="K2157" s="10"/>
      <c r="L2157" s="10"/>
      <c r="M2157" s="10"/>
      <c r="N2157" s="10"/>
      <c r="O2157" s="21"/>
    </row>
    <row r="2158" spans="1:15" x14ac:dyDescent="0.35">
      <c r="A2158" s="15">
        <f t="shared" si="33"/>
        <v>2156</v>
      </c>
      <c r="B2158" s="16"/>
      <c r="C2158" s="19"/>
      <c r="D2158" s="10"/>
      <c r="E2158" s="10"/>
      <c r="F2158" s="47"/>
      <c r="G2158" s="10"/>
      <c r="H2158" s="20"/>
      <c r="I2158" s="20"/>
      <c r="J2158" s="10"/>
      <c r="K2158" s="10"/>
      <c r="L2158" s="10"/>
      <c r="M2158" s="10"/>
      <c r="N2158" s="10"/>
      <c r="O2158" s="21"/>
    </row>
    <row r="2159" spans="1:15" x14ac:dyDescent="0.35">
      <c r="A2159" s="15">
        <f t="shared" si="33"/>
        <v>2157</v>
      </c>
      <c r="B2159" s="16"/>
      <c r="C2159" s="19"/>
      <c r="D2159" s="10"/>
      <c r="E2159" s="10"/>
      <c r="F2159" s="47"/>
      <c r="G2159" s="10"/>
      <c r="H2159" s="20"/>
      <c r="I2159" s="20"/>
      <c r="J2159" s="10"/>
      <c r="K2159" s="10"/>
      <c r="L2159" s="10"/>
      <c r="M2159" s="10"/>
      <c r="N2159" s="10"/>
      <c r="O2159" s="21"/>
    </row>
    <row r="2160" spans="1:15" x14ac:dyDescent="0.35">
      <c r="A2160" s="15">
        <f t="shared" si="33"/>
        <v>2158</v>
      </c>
      <c r="B2160" s="16"/>
      <c r="C2160" s="19"/>
      <c r="D2160" s="10"/>
      <c r="E2160" s="10"/>
      <c r="F2160" s="47"/>
      <c r="G2160" s="10"/>
      <c r="H2160" s="20"/>
      <c r="I2160" s="20"/>
      <c r="J2160" s="10"/>
      <c r="K2160" s="10"/>
      <c r="L2160" s="10"/>
      <c r="M2160" s="10"/>
      <c r="N2160" s="10"/>
      <c r="O2160" s="21"/>
    </row>
    <row r="2161" spans="1:15" x14ac:dyDescent="0.35">
      <c r="A2161" s="15">
        <f t="shared" si="33"/>
        <v>2159</v>
      </c>
      <c r="B2161" s="16"/>
      <c r="C2161" s="19"/>
      <c r="D2161" s="10"/>
      <c r="E2161" s="10"/>
      <c r="F2161" s="47"/>
      <c r="G2161" s="10"/>
      <c r="H2161" s="20"/>
      <c r="I2161" s="20"/>
      <c r="J2161" s="10"/>
      <c r="K2161" s="10"/>
      <c r="L2161" s="10"/>
      <c r="M2161" s="10"/>
      <c r="N2161" s="10"/>
      <c r="O2161" s="21"/>
    </row>
    <row r="2162" spans="1:15" x14ac:dyDescent="0.35">
      <c r="A2162" s="15">
        <f t="shared" si="33"/>
        <v>2160</v>
      </c>
      <c r="B2162" s="16"/>
      <c r="C2162" s="19"/>
      <c r="D2162" s="10"/>
      <c r="E2162" s="10"/>
      <c r="F2162" s="47"/>
      <c r="G2162" s="10"/>
      <c r="H2162" s="20"/>
      <c r="I2162" s="20"/>
      <c r="J2162" s="10"/>
      <c r="K2162" s="10"/>
      <c r="L2162" s="10"/>
      <c r="M2162" s="10"/>
      <c r="N2162" s="10"/>
      <c r="O2162" s="21"/>
    </row>
    <row r="2163" spans="1:15" x14ac:dyDescent="0.35">
      <c r="A2163" s="15">
        <f t="shared" si="33"/>
        <v>2161</v>
      </c>
      <c r="B2163" s="16"/>
      <c r="C2163" s="19"/>
      <c r="D2163" s="10"/>
      <c r="E2163" s="10"/>
      <c r="F2163" s="47"/>
      <c r="G2163" s="10"/>
      <c r="H2163" s="20"/>
      <c r="I2163" s="20"/>
      <c r="J2163" s="10"/>
      <c r="K2163" s="10"/>
      <c r="L2163" s="10"/>
      <c r="M2163" s="10"/>
      <c r="N2163" s="10"/>
      <c r="O2163" s="21"/>
    </row>
    <row r="2164" spans="1:15" x14ac:dyDescent="0.35">
      <c r="A2164" s="15">
        <f t="shared" si="33"/>
        <v>2162</v>
      </c>
      <c r="B2164" s="16"/>
      <c r="C2164" s="19"/>
      <c r="D2164" s="10"/>
      <c r="E2164" s="10"/>
      <c r="F2164" s="47"/>
      <c r="G2164" s="10"/>
      <c r="H2164" s="20"/>
      <c r="I2164" s="20"/>
      <c r="J2164" s="10"/>
      <c r="K2164" s="10"/>
      <c r="L2164" s="10"/>
      <c r="M2164" s="10"/>
      <c r="N2164" s="10"/>
      <c r="O2164" s="21"/>
    </row>
    <row r="2165" spans="1:15" x14ac:dyDescent="0.35">
      <c r="A2165" s="15">
        <f t="shared" si="33"/>
        <v>2163</v>
      </c>
      <c r="B2165" s="16"/>
      <c r="C2165" s="19"/>
      <c r="D2165" s="10"/>
      <c r="E2165" s="10"/>
      <c r="F2165" s="47"/>
      <c r="G2165" s="10"/>
      <c r="H2165" s="20"/>
      <c r="I2165" s="20"/>
      <c r="J2165" s="10"/>
      <c r="K2165" s="10"/>
      <c r="L2165" s="10"/>
      <c r="M2165" s="10"/>
      <c r="N2165" s="10"/>
      <c r="O2165" s="21"/>
    </row>
    <row r="2166" spans="1:15" x14ac:dyDescent="0.35">
      <c r="A2166" s="15">
        <f t="shared" si="33"/>
        <v>2164</v>
      </c>
      <c r="B2166" s="16"/>
      <c r="C2166" s="19"/>
      <c r="D2166" s="10"/>
      <c r="E2166" s="10"/>
      <c r="F2166" s="47"/>
      <c r="G2166" s="10"/>
      <c r="H2166" s="20"/>
      <c r="I2166" s="20"/>
      <c r="J2166" s="10"/>
      <c r="K2166" s="10"/>
      <c r="L2166" s="10"/>
      <c r="M2166" s="10"/>
      <c r="N2166" s="10"/>
      <c r="O2166" s="21"/>
    </row>
    <row r="2167" spans="1:15" x14ac:dyDescent="0.35">
      <c r="A2167" s="15">
        <f t="shared" si="33"/>
        <v>2165</v>
      </c>
      <c r="B2167" s="16"/>
      <c r="C2167" s="19"/>
      <c r="D2167" s="10"/>
      <c r="E2167" s="10"/>
      <c r="F2167" s="47"/>
      <c r="G2167" s="10"/>
      <c r="H2167" s="20"/>
      <c r="I2167" s="20"/>
      <c r="J2167" s="10"/>
      <c r="K2167" s="10"/>
      <c r="L2167" s="10"/>
      <c r="M2167" s="10"/>
      <c r="N2167" s="10"/>
      <c r="O2167" s="21"/>
    </row>
    <row r="2168" spans="1:15" x14ac:dyDescent="0.35">
      <c r="A2168" s="15">
        <f t="shared" si="33"/>
        <v>2166</v>
      </c>
      <c r="B2168" s="16"/>
      <c r="C2168" s="19"/>
      <c r="D2168" s="10"/>
      <c r="E2168" s="10"/>
      <c r="F2168" s="47"/>
      <c r="G2168" s="10"/>
      <c r="H2168" s="20"/>
      <c r="I2168" s="20"/>
      <c r="J2168" s="10"/>
      <c r="K2168" s="10"/>
      <c r="L2168" s="10"/>
      <c r="M2168" s="10"/>
      <c r="N2168" s="10"/>
      <c r="O2168" s="21"/>
    </row>
    <row r="2169" spans="1:15" x14ac:dyDescent="0.35">
      <c r="A2169" s="15">
        <f t="shared" si="33"/>
        <v>2167</v>
      </c>
      <c r="B2169" s="16"/>
      <c r="C2169" s="19"/>
      <c r="D2169" s="10"/>
      <c r="E2169" s="10"/>
      <c r="F2169" s="47"/>
      <c r="G2169" s="10"/>
      <c r="H2169" s="20"/>
      <c r="I2169" s="20"/>
      <c r="J2169" s="10"/>
      <c r="K2169" s="10"/>
      <c r="L2169" s="10"/>
      <c r="M2169" s="10"/>
      <c r="N2169" s="10"/>
      <c r="O2169" s="21"/>
    </row>
    <row r="2170" spans="1:15" x14ac:dyDescent="0.35">
      <c r="A2170" s="15">
        <f t="shared" si="33"/>
        <v>2168</v>
      </c>
      <c r="B2170" s="16"/>
      <c r="C2170" s="19"/>
      <c r="D2170" s="10"/>
      <c r="E2170" s="10"/>
      <c r="F2170" s="47"/>
      <c r="G2170" s="10"/>
      <c r="H2170" s="20"/>
      <c r="I2170" s="20"/>
      <c r="J2170" s="10"/>
      <c r="K2170" s="10"/>
      <c r="L2170" s="10"/>
      <c r="M2170" s="10"/>
      <c r="N2170" s="10"/>
      <c r="O2170" s="21"/>
    </row>
    <row r="2171" spans="1:15" x14ac:dyDescent="0.35">
      <c r="A2171" s="15">
        <f t="shared" si="33"/>
        <v>2169</v>
      </c>
      <c r="B2171" s="16"/>
      <c r="C2171" s="19"/>
      <c r="D2171" s="10"/>
      <c r="E2171" s="10"/>
      <c r="F2171" s="47"/>
      <c r="G2171" s="10"/>
      <c r="H2171" s="20"/>
      <c r="I2171" s="20"/>
      <c r="J2171" s="10"/>
      <c r="K2171" s="10"/>
      <c r="L2171" s="10"/>
      <c r="M2171" s="10"/>
      <c r="N2171" s="10"/>
      <c r="O2171" s="21"/>
    </row>
    <row r="2172" spans="1:15" x14ac:dyDescent="0.35">
      <c r="A2172" s="15">
        <f t="shared" si="33"/>
        <v>2170</v>
      </c>
      <c r="B2172" s="16"/>
      <c r="C2172" s="19"/>
      <c r="D2172" s="10"/>
      <c r="E2172" s="10"/>
      <c r="F2172" s="47"/>
      <c r="G2172" s="10"/>
      <c r="H2172" s="20"/>
      <c r="I2172" s="20"/>
      <c r="J2172" s="10"/>
      <c r="K2172" s="10"/>
      <c r="L2172" s="10"/>
      <c r="M2172" s="10"/>
      <c r="N2172" s="10"/>
      <c r="O2172" s="21"/>
    </row>
    <row r="2173" spans="1:15" x14ac:dyDescent="0.35">
      <c r="A2173" s="15">
        <f t="shared" si="33"/>
        <v>2171</v>
      </c>
      <c r="B2173" s="16"/>
      <c r="C2173" s="19"/>
      <c r="D2173" s="10"/>
      <c r="E2173" s="10"/>
      <c r="F2173" s="47"/>
      <c r="G2173" s="10"/>
      <c r="H2173" s="20"/>
      <c r="I2173" s="20"/>
      <c r="J2173" s="10"/>
      <c r="K2173" s="10"/>
      <c r="L2173" s="10"/>
      <c r="M2173" s="10"/>
      <c r="N2173" s="10"/>
      <c r="O2173" s="21"/>
    </row>
    <row r="2174" spans="1:15" x14ac:dyDescent="0.35">
      <c r="A2174" s="15">
        <f t="shared" si="33"/>
        <v>2172</v>
      </c>
      <c r="B2174" s="16"/>
      <c r="C2174" s="19"/>
      <c r="D2174" s="10"/>
      <c r="E2174" s="10"/>
      <c r="F2174" s="47"/>
      <c r="G2174" s="10"/>
      <c r="H2174" s="20"/>
      <c r="I2174" s="20"/>
      <c r="J2174" s="10"/>
      <c r="K2174" s="10"/>
      <c r="L2174" s="10"/>
      <c r="M2174" s="10"/>
      <c r="N2174" s="10"/>
      <c r="O2174" s="21"/>
    </row>
    <row r="2175" spans="1:15" x14ac:dyDescent="0.35">
      <c r="A2175" s="15">
        <f t="shared" si="33"/>
        <v>2173</v>
      </c>
      <c r="B2175" s="16"/>
      <c r="C2175" s="19"/>
      <c r="D2175" s="10"/>
      <c r="E2175" s="10"/>
      <c r="F2175" s="47"/>
      <c r="G2175" s="10"/>
      <c r="H2175" s="20"/>
      <c r="I2175" s="20"/>
      <c r="J2175" s="10"/>
      <c r="K2175" s="10"/>
      <c r="L2175" s="10"/>
      <c r="M2175" s="10"/>
      <c r="N2175" s="10"/>
      <c r="O2175" s="21"/>
    </row>
    <row r="2176" spans="1:15" x14ac:dyDescent="0.35">
      <c r="A2176" s="15">
        <f t="shared" si="33"/>
        <v>2174</v>
      </c>
      <c r="B2176" s="16"/>
      <c r="C2176" s="19"/>
      <c r="D2176" s="10"/>
      <c r="E2176" s="10"/>
      <c r="F2176" s="47"/>
      <c r="G2176" s="10"/>
      <c r="H2176" s="20"/>
      <c r="I2176" s="20"/>
      <c r="J2176" s="10"/>
      <c r="K2176" s="10"/>
      <c r="L2176" s="10"/>
      <c r="M2176" s="10"/>
      <c r="N2176" s="10"/>
      <c r="O2176" s="21"/>
    </row>
    <row r="2177" spans="1:15" x14ac:dyDescent="0.35">
      <c r="A2177" s="15">
        <f t="shared" si="33"/>
        <v>2175</v>
      </c>
      <c r="B2177" s="16"/>
      <c r="C2177" s="19"/>
      <c r="D2177" s="10"/>
      <c r="E2177" s="10"/>
      <c r="F2177" s="47"/>
      <c r="G2177" s="10"/>
      <c r="H2177" s="20"/>
      <c r="I2177" s="20"/>
      <c r="J2177" s="10"/>
      <c r="K2177" s="10"/>
      <c r="L2177" s="10"/>
      <c r="M2177" s="10"/>
      <c r="N2177" s="10"/>
      <c r="O2177" s="21"/>
    </row>
    <row r="2178" spans="1:15" x14ac:dyDescent="0.35">
      <c r="A2178" s="15">
        <f t="shared" si="33"/>
        <v>2176</v>
      </c>
      <c r="B2178" s="16"/>
      <c r="C2178" s="19"/>
      <c r="D2178" s="10"/>
      <c r="E2178" s="10"/>
      <c r="F2178" s="47"/>
      <c r="G2178" s="10"/>
      <c r="H2178" s="20"/>
      <c r="I2178" s="20"/>
      <c r="J2178" s="10"/>
      <c r="K2178" s="10"/>
      <c r="L2178" s="10"/>
      <c r="M2178" s="10"/>
      <c r="N2178" s="10"/>
      <c r="O2178" s="21"/>
    </row>
    <row r="2179" spans="1:15" x14ac:dyDescent="0.35">
      <c r="A2179" s="15">
        <f t="shared" si="33"/>
        <v>2177</v>
      </c>
      <c r="B2179" s="16"/>
      <c r="C2179" s="19"/>
      <c r="D2179" s="10"/>
      <c r="E2179" s="10"/>
      <c r="F2179" s="47"/>
      <c r="G2179" s="10"/>
      <c r="H2179" s="20"/>
      <c r="I2179" s="20"/>
      <c r="J2179" s="10"/>
      <c r="K2179" s="10"/>
      <c r="L2179" s="10"/>
      <c r="M2179" s="10"/>
      <c r="N2179" s="10"/>
      <c r="O2179" s="21"/>
    </row>
    <row r="2180" spans="1:15" x14ac:dyDescent="0.35">
      <c r="A2180" s="15">
        <f t="shared" si="33"/>
        <v>2178</v>
      </c>
      <c r="B2180" s="16"/>
      <c r="C2180" s="19"/>
      <c r="D2180" s="10"/>
      <c r="E2180" s="10"/>
      <c r="F2180" s="47"/>
      <c r="G2180" s="10"/>
      <c r="H2180" s="20"/>
      <c r="I2180" s="20"/>
      <c r="J2180" s="10"/>
      <c r="K2180" s="10"/>
      <c r="L2180" s="10"/>
      <c r="M2180" s="10"/>
      <c r="N2180" s="10"/>
      <c r="O2180" s="21"/>
    </row>
    <row r="2181" spans="1:15" x14ac:dyDescent="0.35">
      <c r="A2181" s="15">
        <f t="shared" si="33"/>
        <v>2179</v>
      </c>
      <c r="B2181" s="16"/>
      <c r="C2181" s="19"/>
      <c r="D2181" s="10"/>
      <c r="E2181" s="10"/>
      <c r="F2181" s="47"/>
      <c r="G2181" s="10"/>
      <c r="H2181" s="20"/>
      <c r="I2181" s="20"/>
      <c r="J2181" s="10"/>
      <c r="K2181" s="10"/>
      <c r="L2181" s="10"/>
      <c r="M2181" s="10"/>
      <c r="N2181" s="10"/>
      <c r="O2181" s="21"/>
    </row>
    <row r="2182" spans="1:15" x14ac:dyDescent="0.35">
      <c r="A2182" s="15">
        <f t="shared" si="33"/>
        <v>2180</v>
      </c>
      <c r="B2182" s="16"/>
      <c r="C2182" s="19"/>
      <c r="D2182" s="10"/>
      <c r="E2182" s="10"/>
      <c r="F2182" s="47"/>
      <c r="G2182" s="10"/>
      <c r="H2182" s="20"/>
      <c r="I2182" s="20"/>
      <c r="J2182" s="10"/>
      <c r="K2182" s="10"/>
      <c r="L2182" s="10"/>
      <c r="M2182" s="10"/>
      <c r="N2182" s="10"/>
      <c r="O2182" s="21"/>
    </row>
    <row r="2183" spans="1:15" x14ac:dyDescent="0.35">
      <c r="A2183" s="15">
        <f t="shared" si="33"/>
        <v>2181</v>
      </c>
      <c r="B2183" s="16"/>
      <c r="C2183" s="19"/>
      <c r="D2183" s="10"/>
      <c r="E2183" s="10"/>
      <c r="F2183" s="47"/>
      <c r="G2183" s="10"/>
      <c r="H2183" s="20"/>
      <c r="I2183" s="20"/>
      <c r="J2183" s="10"/>
      <c r="K2183" s="10"/>
      <c r="L2183" s="10"/>
      <c r="M2183" s="10"/>
      <c r="N2183" s="10"/>
      <c r="O2183" s="21"/>
    </row>
    <row r="2184" spans="1:15" x14ac:dyDescent="0.35">
      <c r="A2184" s="15">
        <f t="shared" si="33"/>
        <v>2182</v>
      </c>
      <c r="B2184" s="16"/>
      <c r="C2184" s="19"/>
      <c r="D2184" s="10"/>
      <c r="E2184" s="10"/>
      <c r="F2184" s="47"/>
      <c r="G2184" s="10"/>
      <c r="H2184" s="20"/>
      <c r="I2184" s="20"/>
      <c r="J2184" s="10"/>
      <c r="K2184" s="10"/>
      <c r="L2184" s="10"/>
      <c r="M2184" s="10"/>
      <c r="N2184" s="10"/>
      <c r="O2184" s="21"/>
    </row>
    <row r="2185" spans="1:15" x14ac:dyDescent="0.35">
      <c r="A2185" s="15">
        <f t="shared" si="33"/>
        <v>2183</v>
      </c>
      <c r="B2185" s="16"/>
      <c r="C2185" s="19"/>
      <c r="D2185" s="10"/>
      <c r="E2185" s="10"/>
      <c r="F2185" s="47"/>
      <c r="G2185" s="10"/>
      <c r="H2185" s="20"/>
      <c r="I2185" s="20"/>
      <c r="J2185" s="10"/>
      <c r="K2185" s="10"/>
      <c r="L2185" s="10"/>
      <c r="M2185" s="10"/>
      <c r="N2185" s="10"/>
      <c r="O2185" s="21"/>
    </row>
    <row r="2186" spans="1:15" x14ac:dyDescent="0.35">
      <c r="A2186" s="15">
        <f t="shared" si="33"/>
        <v>2184</v>
      </c>
      <c r="B2186" s="16"/>
      <c r="C2186" s="19"/>
      <c r="D2186" s="10"/>
      <c r="E2186" s="10"/>
      <c r="F2186" s="47"/>
      <c r="G2186" s="10"/>
      <c r="H2186" s="20"/>
      <c r="I2186" s="20"/>
      <c r="J2186" s="10"/>
      <c r="K2186" s="10"/>
      <c r="L2186" s="10"/>
      <c r="M2186" s="10"/>
      <c r="N2186" s="10"/>
      <c r="O2186" s="21"/>
    </row>
    <row r="2187" spans="1:15" x14ac:dyDescent="0.35">
      <c r="A2187" s="15">
        <f t="shared" ref="A2187:A2250" si="34">+A2186+1</f>
        <v>2185</v>
      </c>
      <c r="B2187" s="16"/>
      <c r="C2187" s="19"/>
      <c r="D2187" s="10"/>
      <c r="E2187" s="10"/>
      <c r="F2187" s="47"/>
      <c r="G2187" s="10"/>
      <c r="H2187" s="20"/>
      <c r="I2187" s="20"/>
      <c r="J2187" s="10"/>
      <c r="K2187" s="10"/>
      <c r="L2187" s="10"/>
      <c r="M2187" s="10"/>
      <c r="N2187" s="10"/>
      <c r="O2187" s="21"/>
    </row>
    <row r="2188" spans="1:15" x14ac:dyDescent="0.35">
      <c r="A2188" s="15">
        <f t="shared" si="34"/>
        <v>2186</v>
      </c>
      <c r="B2188" s="16"/>
      <c r="C2188" s="19"/>
      <c r="D2188" s="10"/>
      <c r="E2188" s="10"/>
      <c r="F2188" s="47"/>
      <c r="G2188" s="10"/>
      <c r="H2188" s="20"/>
      <c r="I2188" s="20"/>
      <c r="J2188" s="10"/>
      <c r="K2188" s="10"/>
      <c r="L2188" s="10"/>
      <c r="M2188" s="10"/>
      <c r="N2188" s="10"/>
      <c r="O2188" s="21"/>
    </row>
    <row r="2189" spans="1:15" x14ac:dyDescent="0.35">
      <c r="A2189" s="15">
        <f t="shared" si="34"/>
        <v>2187</v>
      </c>
      <c r="B2189" s="16"/>
      <c r="C2189" s="19"/>
      <c r="D2189" s="10"/>
      <c r="E2189" s="10"/>
      <c r="F2189" s="47"/>
      <c r="G2189" s="10"/>
      <c r="H2189" s="20"/>
      <c r="I2189" s="20"/>
      <c r="J2189" s="10"/>
      <c r="K2189" s="10"/>
      <c r="L2189" s="10"/>
      <c r="M2189" s="10"/>
      <c r="N2189" s="10"/>
      <c r="O2189" s="21"/>
    </row>
    <row r="2190" spans="1:15" x14ac:dyDescent="0.35">
      <c r="A2190" s="15">
        <f t="shared" si="34"/>
        <v>2188</v>
      </c>
      <c r="B2190" s="16"/>
      <c r="C2190" s="19"/>
      <c r="D2190" s="10"/>
      <c r="E2190" s="10"/>
      <c r="F2190" s="47"/>
      <c r="G2190" s="10"/>
      <c r="H2190" s="20"/>
      <c r="I2190" s="20"/>
      <c r="J2190" s="10"/>
      <c r="K2190" s="10"/>
      <c r="L2190" s="10"/>
      <c r="M2190" s="10"/>
      <c r="N2190" s="10"/>
      <c r="O2190" s="21"/>
    </row>
    <row r="2191" spans="1:15" x14ac:dyDescent="0.35">
      <c r="A2191" s="15">
        <f t="shared" si="34"/>
        <v>2189</v>
      </c>
      <c r="B2191" s="16"/>
      <c r="C2191" s="19"/>
      <c r="D2191" s="10"/>
      <c r="E2191" s="10"/>
      <c r="F2191" s="47"/>
      <c r="G2191" s="10"/>
      <c r="H2191" s="20"/>
      <c r="I2191" s="20"/>
      <c r="J2191" s="10"/>
      <c r="K2191" s="10"/>
      <c r="L2191" s="10"/>
      <c r="M2191" s="10"/>
      <c r="N2191" s="10"/>
      <c r="O2191" s="21"/>
    </row>
    <row r="2192" spans="1:15" x14ac:dyDescent="0.35">
      <c r="A2192" s="15">
        <f t="shared" si="34"/>
        <v>2190</v>
      </c>
      <c r="B2192" s="16"/>
      <c r="C2192" s="19"/>
      <c r="D2192" s="10"/>
      <c r="E2192" s="10"/>
      <c r="F2192" s="47"/>
      <c r="G2192" s="10"/>
      <c r="H2192" s="20"/>
      <c r="I2192" s="20"/>
      <c r="J2192" s="10"/>
      <c r="K2192" s="10"/>
      <c r="L2192" s="10"/>
      <c r="M2192" s="10"/>
      <c r="N2192" s="10"/>
      <c r="O2192" s="21"/>
    </row>
    <row r="2193" spans="1:15" x14ac:dyDescent="0.35">
      <c r="A2193" s="15">
        <f t="shared" si="34"/>
        <v>2191</v>
      </c>
      <c r="B2193" s="16"/>
      <c r="C2193" s="19"/>
      <c r="D2193" s="10"/>
      <c r="E2193" s="10"/>
      <c r="F2193" s="47"/>
      <c r="G2193" s="10"/>
      <c r="H2193" s="20"/>
      <c r="I2193" s="20"/>
      <c r="J2193" s="10"/>
      <c r="K2193" s="10"/>
      <c r="L2193" s="10"/>
      <c r="M2193" s="10"/>
      <c r="N2193" s="10"/>
      <c r="O2193" s="21"/>
    </row>
    <row r="2194" spans="1:15" x14ac:dyDescent="0.35">
      <c r="A2194" s="15">
        <f t="shared" si="34"/>
        <v>2192</v>
      </c>
      <c r="B2194" s="16"/>
      <c r="C2194" s="19"/>
      <c r="D2194" s="10"/>
      <c r="E2194" s="10"/>
      <c r="F2194" s="47"/>
      <c r="G2194" s="10"/>
      <c r="H2194" s="20"/>
      <c r="I2194" s="20"/>
      <c r="J2194" s="10"/>
      <c r="K2194" s="10"/>
      <c r="L2194" s="10"/>
      <c r="M2194" s="10"/>
      <c r="N2194" s="10"/>
      <c r="O2194" s="21"/>
    </row>
    <row r="2195" spans="1:15" x14ac:dyDescent="0.35">
      <c r="A2195" s="15">
        <f t="shared" si="34"/>
        <v>2193</v>
      </c>
      <c r="B2195" s="16"/>
      <c r="C2195" s="19"/>
      <c r="D2195" s="10"/>
      <c r="E2195" s="10"/>
      <c r="F2195" s="47"/>
      <c r="G2195" s="10"/>
      <c r="H2195" s="20"/>
      <c r="I2195" s="20"/>
      <c r="J2195" s="10"/>
      <c r="K2195" s="10"/>
      <c r="L2195" s="10"/>
      <c r="M2195" s="10"/>
      <c r="N2195" s="10"/>
      <c r="O2195" s="21"/>
    </row>
    <row r="2196" spans="1:15" x14ac:dyDescent="0.35">
      <c r="A2196" s="15">
        <f t="shared" si="34"/>
        <v>2194</v>
      </c>
      <c r="B2196" s="16"/>
      <c r="C2196" s="19"/>
      <c r="D2196" s="10"/>
      <c r="E2196" s="10"/>
      <c r="F2196" s="47"/>
      <c r="G2196" s="10"/>
      <c r="H2196" s="20"/>
      <c r="I2196" s="20"/>
      <c r="J2196" s="10"/>
      <c r="K2196" s="10"/>
      <c r="L2196" s="10"/>
      <c r="M2196" s="10"/>
      <c r="N2196" s="10"/>
      <c r="O2196" s="21"/>
    </row>
    <row r="2197" spans="1:15" x14ac:dyDescent="0.35">
      <c r="A2197" s="15">
        <f t="shared" si="34"/>
        <v>2195</v>
      </c>
      <c r="B2197" s="16"/>
      <c r="C2197" s="19"/>
      <c r="D2197" s="10"/>
      <c r="E2197" s="10"/>
      <c r="F2197" s="47"/>
      <c r="G2197" s="10"/>
      <c r="H2197" s="20"/>
      <c r="I2197" s="20"/>
      <c r="J2197" s="10"/>
      <c r="K2197" s="10"/>
      <c r="L2197" s="10"/>
      <c r="M2197" s="10"/>
      <c r="N2197" s="10"/>
      <c r="O2197" s="21"/>
    </row>
    <row r="2198" spans="1:15" x14ac:dyDescent="0.35">
      <c r="A2198" s="15">
        <f t="shared" si="34"/>
        <v>2196</v>
      </c>
      <c r="B2198" s="16"/>
      <c r="C2198" s="19"/>
      <c r="D2198" s="10"/>
      <c r="E2198" s="10"/>
      <c r="F2198" s="47"/>
      <c r="G2198" s="10"/>
      <c r="H2198" s="20"/>
      <c r="I2198" s="20"/>
      <c r="J2198" s="10"/>
      <c r="K2198" s="10"/>
      <c r="L2198" s="10"/>
      <c r="M2198" s="10"/>
      <c r="N2198" s="10"/>
      <c r="O2198" s="21"/>
    </row>
    <row r="2199" spans="1:15" x14ac:dyDescent="0.35">
      <c r="A2199" s="15">
        <f t="shared" si="34"/>
        <v>2197</v>
      </c>
      <c r="B2199" s="16"/>
      <c r="C2199" s="19"/>
      <c r="D2199" s="10"/>
      <c r="E2199" s="10"/>
      <c r="F2199" s="47"/>
      <c r="G2199" s="10"/>
      <c r="H2199" s="20"/>
      <c r="I2199" s="20"/>
      <c r="J2199" s="10"/>
      <c r="K2199" s="10"/>
      <c r="L2199" s="10"/>
      <c r="M2199" s="10"/>
      <c r="N2199" s="10"/>
      <c r="O2199" s="21"/>
    </row>
    <row r="2200" spans="1:15" x14ac:dyDescent="0.35">
      <c r="A2200" s="15">
        <f t="shared" si="34"/>
        <v>2198</v>
      </c>
      <c r="B2200" s="16"/>
      <c r="C2200" s="19"/>
      <c r="D2200" s="10"/>
      <c r="E2200" s="10"/>
      <c r="F2200" s="47"/>
      <c r="G2200" s="10"/>
      <c r="H2200" s="20"/>
      <c r="I2200" s="20"/>
      <c r="J2200" s="10"/>
      <c r="K2200" s="10"/>
      <c r="L2200" s="10"/>
      <c r="M2200" s="10"/>
      <c r="N2200" s="10"/>
      <c r="O2200" s="21"/>
    </row>
    <row r="2201" spans="1:15" x14ac:dyDescent="0.35">
      <c r="A2201" s="15">
        <f t="shared" si="34"/>
        <v>2199</v>
      </c>
      <c r="B2201" s="16"/>
      <c r="C2201" s="19"/>
      <c r="D2201" s="10"/>
      <c r="E2201" s="10"/>
      <c r="F2201" s="47"/>
      <c r="G2201" s="10"/>
      <c r="H2201" s="20"/>
      <c r="I2201" s="20"/>
      <c r="J2201" s="10"/>
      <c r="K2201" s="10"/>
      <c r="L2201" s="10"/>
      <c r="M2201" s="10"/>
      <c r="N2201" s="10"/>
      <c r="O2201" s="21"/>
    </row>
    <row r="2202" spans="1:15" x14ac:dyDescent="0.35">
      <c r="A2202" s="15">
        <f t="shared" si="34"/>
        <v>2200</v>
      </c>
      <c r="B2202" s="16"/>
      <c r="C2202" s="19"/>
      <c r="D2202" s="10"/>
      <c r="E2202" s="10"/>
      <c r="F2202" s="47"/>
      <c r="G2202" s="10"/>
      <c r="H2202" s="20"/>
      <c r="I2202" s="20"/>
      <c r="J2202" s="10"/>
      <c r="K2202" s="10"/>
      <c r="L2202" s="10"/>
      <c r="M2202" s="10"/>
      <c r="N2202" s="10"/>
      <c r="O2202" s="21"/>
    </row>
    <row r="2203" spans="1:15" x14ac:dyDescent="0.35">
      <c r="A2203" s="15">
        <f t="shared" si="34"/>
        <v>2201</v>
      </c>
      <c r="B2203" s="16"/>
      <c r="C2203" s="19"/>
      <c r="D2203" s="10"/>
      <c r="E2203" s="10"/>
      <c r="F2203" s="47"/>
      <c r="G2203" s="10"/>
      <c r="H2203" s="20"/>
      <c r="I2203" s="20"/>
      <c r="J2203" s="10"/>
      <c r="K2203" s="10"/>
      <c r="L2203" s="10"/>
      <c r="M2203" s="10"/>
      <c r="N2203" s="10"/>
      <c r="O2203" s="21"/>
    </row>
    <row r="2204" spans="1:15" x14ac:dyDescent="0.35">
      <c r="A2204" s="15">
        <f t="shared" si="34"/>
        <v>2202</v>
      </c>
      <c r="B2204" s="16"/>
      <c r="C2204" s="19"/>
      <c r="D2204" s="10"/>
      <c r="E2204" s="10"/>
      <c r="F2204" s="47"/>
      <c r="G2204" s="10"/>
      <c r="H2204" s="20"/>
      <c r="I2204" s="20"/>
      <c r="J2204" s="10"/>
      <c r="K2204" s="10"/>
      <c r="L2204" s="10"/>
      <c r="M2204" s="10"/>
      <c r="N2204" s="10"/>
      <c r="O2204" s="21"/>
    </row>
    <row r="2205" spans="1:15" x14ac:dyDescent="0.35">
      <c r="A2205" s="15">
        <f t="shared" si="34"/>
        <v>2203</v>
      </c>
      <c r="B2205" s="16"/>
      <c r="C2205" s="19"/>
      <c r="D2205" s="10"/>
      <c r="E2205" s="10"/>
      <c r="F2205" s="47"/>
      <c r="G2205" s="10"/>
      <c r="H2205" s="20"/>
      <c r="I2205" s="20"/>
      <c r="J2205" s="10"/>
      <c r="K2205" s="10"/>
      <c r="L2205" s="10"/>
      <c r="M2205" s="10"/>
      <c r="N2205" s="10"/>
      <c r="O2205" s="21"/>
    </row>
    <row r="2206" spans="1:15" x14ac:dyDescent="0.35">
      <c r="A2206" s="15">
        <f t="shared" si="34"/>
        <v>2204</v>
      </c>
      <c r="B2206" s="16"/>
      <c r="C2206" s="19"/>
      <c r="D2206" s="10"/>
      <c r="E2206" s="10"/>
      <c r="F2206" s="47"/>
      <c r="G2206" s="10"/>
      <c r="H2206" s="20"/>
      <c r="I2206" s="20"/>
      <c r="J2206" s="10"/>
      <c r="K2206" s="10"/>
      <c r="L2206" s="10"/>
      <c r="M2206" s="10"/>
      <c r="N2206" s="10"/>
      <c r="O2206" s="21"/>
    </row>
    <row r="2207" spans="1:15" x14ac:dyDescent="0.35">
      <c r="A2207" s="15">
        <f t="shared" si="34"/>
        <v>2205</v>
      </c>
      <c r="B2207" s="16"/>
      <c r="C2207" s="19"/>
      <c r="D2207" s="10"/>
      <c r="E2207" s="10"/>
      <c r="F2207" s="47"/>
      <c r="G2207" s="10"/>
      <c r="H2207" s="20"/>
      <c r="I2207" s="20"/>
      <c r="J2207" s="10"/>
      <c r="K2207" s="10"/>
      <c r="L2207" s="10"/>
      <c r="M2207" s="10"/>
      <c r="N2207" s="10"/>
      <c r="O2207" s="21"/>
    </row>
    <row r="2208" spans="1:15" x14ac:dyDescent="0.35">
      <c r="A2208" s="15">
        <f t="shared" si="34"/>
        <v>2206</v>
      </c>
      <c r="B2208" s="16"/>
      <c r="C2208" s="19"/>
      <c r="D2208" s="10"/>
      <c r="E2208" s="10"/>
      <c r="F2208" s="47"/>
      <c r="G2208" s="10"/>
      <c r="H2208" s="20"/>
      <c r="I2208" s="20"/>
      <c r="J2208" s="10"/>
      <c r="K2208" s="10"/>
      <c r="L2208" s="10"/>
      <c r="M2208" s="10"/>
      <c r="N2208" s="10"/>
      <c r="O2208" s="21"/>
    </row>
    <row r="2209" spans="1:15" x14ac:dyDescent="0.35">
      <c r="A2209" s="15">
        <f t="shared" si="34"/>
        <v>2207</v>
      </c>
      <c r="B2209" s="16"/>
      <c r="C2209" s="19"/>
      <c r="D2209" s="10"/>
      <c r="E2209" s="10"/>
      <c r="F2209" s="47"/>
      <c r="G2209" s="10"/>
      <c r="H2209" s="20"/>
      <c r="I2209" s="20"/>
      <c r="J2209" s="10"/>
      <c r="K2209" s="10"/>
      <c r="L2209" s="10"/>
      <c r="M2209" s="10"/>
      <c r="N2209" s="10"/>
      <c r="O2209" s="21"/>
    </row>
    <row r="2210" spans="1:15" x14ac:dyDescent="0.35">
      <c r="A2210" s="15">
        <f t="shared" si="34"/>
        <v>2208</v>
      </c>
      <c r="B2210" s="16"/>
      <c r="C2210" s="19"/>
      <c r="D2210" s="10"/>
      <c r="E2210" s="10"/>
      <c r="F2210" s="47"/>
      <c r="G2210" s="10"/>
      <c r="H2210" s="20"/>
      <c r="I2210" s="20"/>
      <c r="J2210" s="10"/>
      <c r="K2210" s="10"/>
      <c r="L2210" s="10"/>
      <c r="M2210" s="10"/>
      <c r="N2210" s="10"/>
      <c r="O2210" s="21"/>
    </row>
    <row r="2211" spans="1:15" x14ac:dyDescent="0.35">
      <c r="A2211" s="15">
        <f t="shared" si="34"/>
        <v>2209</v>
      </c>
      <c r="B2211" s="16"/>
      <c r="C2211" s="19"/>
      <c r="D2211" s="10"/>
      <c r="E2211" s="10"/>
      <c r="F2211" s="47"/>
      <c r="G2211" s="10"/>
      <c r="H2211" s="20"/>
      <c r="I2211" s="20"/>
      <c r="J2211" s="10"/>
      <c r="K2211" s="10"/>
      <c r="L2211" s="10"/>
      <c r="M2211" s="10"/>
      <c r="N2211" s="10"/>
      <c r="O2211" s="21"/>
    </row>
    <row r="2212" spans="1:15" x14ac:dyDescent="0.35">
      <c r="A2212" s="15">
        <f t="shared" si="34"/>
        <v>2210</v>
      </c>
      <c r="B2212" s="16"/>
      <c r="C2212" s="19"/>
      <c r="D2212" s="10"/>
      <c r="E2212" s="10"/>
      <c r="F2212" s="47"/>
      <c r="G2212" s="10"/>
      <c r="H2212" s="20"/>
      <c r="I2212" s="20"/>
      <c r="J2212" s="10"/>
      <c r="K2212" s="10"/>
      <c r="L2212" s="10"/>
      <c r="M2212" s="10"/>
      <c r="N2212" s="10"/>
      <c r="O2212" s="21"/>
    </row>
    <row r="2213" spans="1:15" x14ac:dyDescent="0.35">
      <c r="A2213" s="15">
        <f t="shared" si="34"/>
        <v>2211</v>
      </c>
      <c r="B2213" s="16"/>
      <c r="C2213" s="19"/>
      <c r="D2213" s="10"/>
      <c r="E2213" s="10"/>
      <c r="F2213" s="47"/>
      <c r="G2213" s="10"/>
      <c r="H2213" s="20"/>
      <c r="I2213" s="20"/>
      <c r="J2213" s="10"/>
      <c r="K2213" s="10"/>
      <c r="L2213" s="10"/>
      <c r="M2213" s="10"/>
      <c r="N2213" s="10"/>
      <c r="O2213" s="21"/>
    </row>
    <row r="2214" spans="1:15" x14ac:dyDescent="0.35">
      <c r="A2214" s="15">
        <f t="shared" si="34"/>
        <v>2212</v>
      </c>
      <c r="B2214" s="16"/>
      <c r="C2214" s="19"/>
      <c r="D2214" s="10"/>
      <c r="E2214" s="10"/>
      <c r="F2214" s="47"/>
      <c r="G2214" s="10"/>
      <c r="H2214" s="20"/>
      <c r="I2214" s="20"/>
      <c r="J2214" s="10"/>
      <c r="K2214" s="10"/>
      <c r="L2214" s="10"/>
      <c r="M2214" s="10"/>
      <c r="N2214" s="10"/>
      <c r="O2214" s="21"/>
    </row>
    <row r="2215" spans="1:15" x14ac:dyDescent="0.35">
      <c r="A2215" s="15">
        <f t="shared" si="34"/>
        <v>2213</v>
      </c>
      <c r="B2215" s="16"/>
      <c r="C2215" s="19"/>
      <c r="D2215" s="10"/>
      <c r="E2215" s="10"/>
      <c r="F2215" s="47"/>
      <c r="G2215" s="10"/>
      <c r="H2215" s="20"/>
      <c r="I2215" s="20"/>
      <c r="J2215" s="10"/>
      <c r="K2215" s="10"/>
      <c r="L2215" s="10"/>
      <c r="M2215" s="10"/>
      <c r="N2215" s="10"/>
      <c r="O2215" s="21"/>
    </row>
    <row r="2216" spans="1:15" x14ac:dyDescent="0.35">
      <c r="A2216" s="15">
        <f t="shared" si="34"/>
        <v>2214</v>
      </c>
      <c r="B2216" s="16"/>
      <c r="C2216" s="19"/>
      <c r="D2216" s="10"/>
      <c r="E2216" s="10"/>
      <c r="F2216" s="47"/>
      <c r="G2216" s="10"/>
      <c r="H2216" s="20"/>
      <c r="I2216" s="20"/>
      <c r="J2216" s="10"/>
      <c r="K2216" s="10"/>
      <c r="L2216" s="10"/>
      <c r="M2216" s="10"/>
      <c r="N2216" s="10"/>
      <c r="O2216" s="21"/>
    </row>
    <row r="2217" spans="1:15" x14ac:dyDescent="0.35">
      <c r="A2217" s="15">
        <f t="shared" si="34"/>
        <v>2215</v>
      </c>
      <c r="B2217" s="16"/>
      <c r="C2217" s="19"/>
      <c r="D2217" s="10"/>
      <c r="E2217" s="10"/>
      <c r="F2217" s="47"/>
      <c r="G2217" s="10"/>
      <c r="H2217" s="20"/>
      <c r="I2217" s="20"/>
      <c r="J2217" s="10"/>
      <c r="K2217" s="10"/>
      <c r="L2217" s="10"/>
      <c r="M2217" s="10"/>
      <c r="N2217" s="10"/>
      <c r="O2217" s="21"/>
    </row>
    <row r="2218" spans="1:15" x14ac:dyDescent="0.35">
      <c r="A2218" s="15">
        <f t="shared" si="34"/>
        <v>2216</v>
      </c>
      <c r="B2218" s="16"/>
      <c r="C2218" s="19"/>
      <c r="D2218" s="10"/>
      <c r="E2218" s="10"/>
      <c r="F2218" s="47"/>
      <c r="G2218" s="10"/>
      <c r="H2218" s="20"/>
      <c r="I2218" s="20"/>
      <c r="J2218" s="10"/>
      <c r="K2218" s="10"/>
      <c r="L2218" s="10"/>
      <c r="M2218" s="10"/>
      <c r="N2218" s="10"/>
      <c r="O2218" s="21"/>
    </row>
    <row r="2219" spans="1:15" x14ac:dyDescent="0.35">
      <c r="A2219" s="15">
        <f t="shared" si="34"/>
        <v>2217</v>
      </c>
      <c r="B2219" s="16"/>
      <c r="C2219" s="19"/>
      <c r="D2219" s="10"/>
      <c r="E2219" s="10"/>
      <c r="F2219" s="47"/>
      <c r="G2219" s="10"/>
      <c r="H2219" s="20"/>
      <c r="I2219" s="20"/>
      <c r="J2219" s="10"/>
      <c r="K2219" s="10"/>
      <c r="L2219" s="10"/>
      <c r="M2219" s="10"/>
      <c r="N2219" s="10"/>
      <c r="O2219" s="21"/>
    </row>
    <row r="2220" spans="1:15" x14ac:dyDescent="0.35">
      <c r="A2220" s="15">
        <f t="shared" si="34"/>
        <v>2218</v>
      </c>
      <c r="B2220" s="16"/>
      <c r="C2220" s="19"/>
      <c r="D2220" s="10"/>
      <c r="E2220" s="10"/>
      <c r="F2220" s="47"/>
      <c r="G2220" s="10"/>
      <c r="H2220" s="20"/>
      <c r="I2220" s="20"/>
      <c r="J2220" s="10"/>
      <c r="K2220" s="10"/>
      <c r="L2220" s="10"/>
      <c r="M2220" s="10"/>
      <c r="N2220" s="10"/>
      <c r="O2220" s="21"/>
    </row>
    <row r="2221" spans="1:15" x14ac:dyDescent="0.35">
      <c r="A2221" s="15">
        <f t="shared" si="34"/>
        <v>2219</v>
      </c>
      <c r="B2221" s="16"/>
      <c r="C2221" s="19"/>
      <c r="D2221" s="10"/>
      <c r="E2221" s="10"/>
      <c r="F2221" s="47"/>
      <c r="G2221" s="10"/>
      <c r="H2221" s="20"/>
      <c r="I2221" s="20"/>
      <c r="J2221" s="10"/>
      <c r="K2221" s="10"/>
      <c r="L2221" s="10"/>
      <c r="M2221" s="10"/>
      <c r="N2221" s="10"/>
      <c r="O2221" s="21"/>
    </row>
    <row r="2222" spans="1:15" x14ac:dyDescent="0.35">
      <c r="A2222" s="15">
        <f t="shared" si="34"/>
        <v>2220</v>
      </c>
      <c r="B2222" s="16"/>
      <c r="C2222" s="19"/>
      <c r="D2222" s="10"/>
      <c r="E2222" s="10"/>
      <c r="F2222" s="47"/>
      <c r="G2222" s="10"/>
      <c r="H2222" s="20"/>
      <c r="I2222" s="20"/>
      <c r="J2222" s="10"/>
      <c r="K2222" s="10"/>
      <c r="L2222" s="10"/>
      <c r="M2222" s="10"/>
      <c r="N2222" s="10"/>
      <c r="O2222" s="21"/>
    </row>
    <row r="2223" spans="1:15" x14ac:dyDescent="0.35">
      <c r="A2223" s="15">
        <f t="shared" si="34"/>
        <v>2221</v>
      </c>
      <c r="B2223" s="16"/>
      <c r="C2223" s="19"/>
      <c r="D2223" s="10"/>
      <c r="E2223" s="10"/>
      <c r="F2223" s="47"/>
      <c r="G2223" s="10"/>
      <c r="H2223" s="20"/>
      <c r="I2223" s="20"/>
      <c r="J2223" s="10"/>
      <c r="K2223" s="10"/>
      <c r="L2223" s="10"/>
      <c r="M2223" s="10"/>
      <c r="N2223" s="10"/>
      <c r="O2223" s="21"/>
    </row>
    <row r="2224" spans="1:15" x14ac:dyDescent="0.35">
      <c r="A2224" s="15">
        <f t="shared" si="34"/>
        <v>2222</v>
      </c>
      <c r="B2224" s="16"/>
      <c r="C2224" s="19"/>
      <c r="D2224" s="10"/>
      <c r="E2224" s="10"/>
      <c r="F2224" s="47"/>
      <c r="G2224" s="10"/>
      <c r="H2224" s="20"/>
      <c r="I2224" s="20"/>
      <c r="J2224" s="10"/>
      <c r="K2224" s="10"/>
      <c r="L2224" s="10"/>
      <c r="M2224" s="10"/>
      <c r="N2224" s="10"/>
      <c r="O2224" s="21"/>
    </row>
    <row r="2225" spans="1:15" x14ac:dyDescent="0.35">
      <c r="A2225" s="15">
        <f t="shared" si="34"/>
        <v>2223</v>
      </c>
      <c r="B2225" s="16"/>
      <c r="C2225" s="19"/>
      <c r="D2225" s="10"/>
      <c r="E2225" s="10"/>
      <c r="F2225" s="47"/>
      <c r="G2225" s="10"/>
      <c r="H2225" s="20"/>
      <c r="I2225" s="20"/>
      <c r="J2225" s="10"/>
      <c r="K2225" s="10"/>
      <c r="L2225" s="10"/>
      <c r="M2225" s="10"/>
      <c r="N2225" s="10"/>
      <c r="O2225" s="21"/>
    </row>
    <row r="2226" spans="1:15" x14ac:dyDescent="0.35">
      <c r="A2226" s="15">
        <f t="shared" si="34"/>
        <v>2224</v>
      </c>
      <c r="B2226" s="16"/>
      <c r="C2226" s="19"/>
      <c r="D2226" s="10"/>
      <c r="E2226" s="10"/>
      <c r="F2226" s="47"/>
      <c r="G2226" s="10"/>
      <c r="H2226" s="20"/>
      <c r="I2226" s="20"/>
      <c r="J2226" s="10"/>
      <c r="K2226" s="10"/>
      <c r="L2226" s="10"/>
      <c r="M2226" s="10"/>
      <c r="N2226" s="10"/>
      <c r="O2226" s="21"/>
    </row>
    <row r="2227" spans="1:15" x14ac:dyDescent="0.35">
      <c r="A2227" s="15">
        <f t="shared" si="34"/>
        <v>2225</v>
      </c>
      <c r="B2227" s="16"/>
      <c r="C2227" s="19"/>
      <c r="D2227" s="10"/>
      <c r="E2227" s="10"/>
      <c r="F2227" s="47"/>
      <c r="G2227" s="10"/>
      <c r="H2227" s="20"/>
      <c r="I2227" s="20"/>
      <c r="J2227" s="10"/>
      <c r="K2227" s="10"/>
      <c r="L2227" s="10"/>
      <c r="M2227" s="10"/>
      <c r="N2227" s="10"/>
      <c r="O2227" s="21"/>
    </row>
    <row r="2228" spans="1:15" x14ac:dyDescent="0.35">
      <c r="A2228" s="15">
        <f t="shared" si="34"/>
        <v>2226</v>
      </c>
      <c r="B2228" s="16"/>
      <c r="C2228" s="19"/>
      <c r="D2228" s="10"/>
      <c r="E2228" s="10"/>
      <c r="F2228" s="47"/>
      <c r="G2228" s="10"/>
      <c r="H2228" s="20"/>
      <c r="I2228" s="20"/>
      <c r="J2228" s="10"/>
      <c r="K2228" s="10"/>
      <c r="L2228" s="10"/>
      <c r="M2228" s="10"/>
      <c r="N2228" s="10"/>
      <c r="O2228" s="21"/>
    </row>
    <row r="2229" spans="1:15" x14ac:dyDescent="0.35">
      <c r="A2229" s="15">
        <f t="shared" si="34"/>
        <v>2227</v>
      </c>
      <c r="B2229" s="16"/>
      <c r="C2229" s="19"/>
      <c r="D2229" s="10"/>
      <c r="E2229" s="10"/>
      <c r="F2229" s="47"/>
      <c r="G2229" s="10"/>
      <c r="H2229" s="20"/>
      <c r="I2229" s="20"/>
      <c r="J2229" s="10"/>
      <c r="K2229" s="10"/>
      <c r="L2229" s="10"/>
      <c r="M2229" s="10"/>
      <c r="N2229" s="10"/>
      <c r="O2229" s="21"/>
    </row>
    <row r="2230" spans="1:15" x14ac:dyDescent="0.35">
      <c r="A2230" s="15">
        <f t="shared" si="34"/>
        <v>2228</v>
      </c>
      <c r="B2230" s="16"/>
      <c r="C2230" s="19"/>
      <c r="D2230" s="10"/>
      <c r="E2230" s="10"/>
      <c r="F2230" s="47"/>
      <c r="G2230" s="10"/>
      <c r="H2230" s="20"/>
      <c r="I2230" s="20"/>
      <c r="J2230" s="10"/>
      <c r="K2230" s="10"/>
      <c r="L2230" s="10"/>
      <c r="M2230" s="10"/>
      <c r="N2230" s="10"/>
      <c r="O2230" s="21"/>
    </row>
    <row r="2231" spans="1:15" x14ac:dyDescent="0.35">
      <c r="A2231" s="15">
        <f t="shared" si="34"/>
        <v>2229</v>
      </c>
      <c r="B2231" s="16"/>
      <c r="C2231" s="19"/>
      <c r="D2231" s="10"/>
      <c r="E2231" s="10"/>
      <c r="F2231" s="47"/>
      <c r="G2231" s="10"/>
      <c r="H2231" s="20"/>
      <c r="I2231" s="20"/>
      <c r="J2231" s="10"/>
      <c r="K2231" s="10"/>
      <c r="L2231" s="10"/>
      <c r="M2231" s="10"/>
      <c r="N2231" s="10"/>
      <c r="O2231" s="21"/>
    </row>
    <row r="2232" spans="1:15" x14ac:dyDescent="0.35">
      <c r="A2232" s="15">
        <f t="shared" si="34"/>
        <v>2230</v>
      </c>
      <c r="B2232" s="16"/>
      <c r="C2232" s="19"/>
      <c r="D2232" s="10"/>
      <c r="E2232" s="10"/>
      <c r="F2232" s="47"/>
      <c r="G2232" s="10"/>
      <c r="H2232" s="20"/>
      <c r="I2232" s="20"/>
      <c r="J2232" s="10"/>
      <c r="K2232" s="10"/>
      <c r="L2232" s="10"/>
      <c r="M2232" s="10"/>
      <c r="N2232" s="10"/>
      <c r="O2232" s="21"/>
    </row>
    <row r="2233" spans="1:15" x14ac:dyDescent="0.35">
      <c r="A2233" s="15">
        <f t="shared" si="34"/>
        <v>2231</v>
      </c>
      <c r="B2233" s="16"/>
      <c r="C2233" s="19"/>
      <c r="D2233" s="10"/>
      <c r="E2233" s="10"/>
      <c r="F2233" s="47"/>
      <c r="G2233" s="10"/>
      <c r="H2233" s="20"/>
      <c r="I2233" s="20"/>
      <c r="J2233" s="10"/>
      <c r="K2233" s="10"/>
      <c r="L2233" s="10"/>
      <c r="M2233" s="10"/>
      <c r="N2233" s="10"/>
      <c r="O2233" s="21"/>
    </row>
    <row r="2234" spans="1:15" x14ac:dyDescent="0.35">
      <c r="A2234" s="15">
        <f t="shared" si="34"/>
        <v>2232</v>
      </c>
      <c r="B2234" s="16"/>
      <c r="C2234" s="19"/>
      <c r="D2234" s="10"/>
      <c r="E2234" s="10"/>
      <c r="F2234" s="47"/>
      <c r="G2234" s="10"/>
      <c r="H2234" s="20"/>
      <c r="I2234" s="20"/>
      <c r="J2234" s="10"/>
      <c r="K2234" s="10"/>
      <c r="L2234" s="10"/>
      <c r="M2234" s="10"/>
      <c r="N2234" s="10"/>
      <c r="O2234" s="21"/>
    </row>
    <row r="2235" spans="1:15" x14ac:dyDescent="0.35">
      <c r="A2235" s="15">
        <f t="shared" si="34"/>
        <v>2233</v>
      </c>
      <c r="B2235" s="16"/>
      <c r="C2235" s="19"/>
      <c r="D2235" s="10"/>
      <c r="E2235" s="10"/>
      <c r="F2235" s="47"/>
      <c r="G2235" s="10"/>
      <c r="H2235" s="20"/>
      <c r="I2235" s="20"/>
      <c r="J2235" s="10"/>
      <c r="K2235" s="10"/>
      <c r="L2235" s="10"/>
      <c r="M2235" s="10"/>
      <c r="N2235" s="10"/>
      <c r="O2235" s="21"/>
    </row>
    <row r="2236" spans="1:15" x14ac:dyDescent="0.35">
      <c r="A2236" s="15">
        <f t="shared" si="34"/>
        <v>2234</v>
      </c>
      <c r="B2236" s="16"/>
      <c r="C2236" s="19"/>
      <c r="D2236" s="10"/>
      <c r="E2236" s="10"/>
      <c r="F2236" s="47"/>
      <c r="G2236" s="10"/>
      <c r="H2236" s="20"/>
      <c r="I2236" s="20"/>
      <c r="J2236" s="10"/>
      <c r="K2236" s="10"/>
      <c r="L2236" s="10"/>
      <c r="M2236" s="10"/>
      <c r="N2236" s="10"/>
      <c r="O2236" s="21"/>
    </row>
    <row r="2237" spans="1:15" x14ac:dyDescent="0.35">
      <c r="A2237" s="15">
        <f t="shared" si="34"/>
        <v>2235</v>
      </c>
      <c r="B2237" s="16"/>
      <c r="C2237" s="19"/>
      <c r="D2237" s="10"/>
      <c r="E2237" s="10"/>
      <c r="F2237" s="47"/>
      <c r="G2237" s="10"/>
      <c r="H2237" s="20"/>
      <c r="I2237" s="20"/>
      <c r="J2237" s="10"/>
      <c r="K2237" s="10"/>
      <c r="L2237" s="10"/>
      <c r="M2237" s="10"/>
      <c r="N2237" s="10"/>
      <c r="O2237" s="21"/>
    </row>
    <row r="2238" spans="1:15" x14ac:dyDescent="0.35">
      <c r="A2238" s="15">
        <f t="shared" si="34"/>
        <v>2236</v>
      </c>
      <c r="B2238" s="16"/>
      <c r="C2238" s="19"/>
      <c r="D2238" s="10"/>
      <c r="E2238" s="10"/>
      <c r="F2238" s="47"/>
      <c r="G2238" s="10"/>
      <c r="H2238" s="20"/>
      <c r="I2238" s="20"/>
      <c r="J2238" s="10"/>
      <c r="K2238" s="10"/>
      <c r="L2238" s="10"/>
      <c r="M2238" s="10"/>
      <c r="N2238" s="10"/>
      <c r="O2238" s="21"/>
    </row>
    <row r="2239" spans="1:15" x14ac:dyDescent="0.35">
      <c r="A2239" s="15">
        <f t="shared" si="34"/>
        <v>2237</v>
      </c>
      <c r="B2239" s="16"/>
      <c r="C2239" s="19"/>
      <c r="D2239" s="10"/>
      <c r="E2239" s="10"/>
      <c r="F2239" s="47"/>
      <c r="G2239" s="10"/>
      <c r="H2239" s="20"/>
      <c r="I2239" s="20"/>
      <c r="J2239" s="10"/>
      <c r="K2239" s="10"/>
      <c r="L2239" s="10"/>
      <c r="M2239" s="10"/>
      <c r="N2239" s="10"/>
      <c r="O2239" s="21"/>
    </row>
    <row r="2240" spans="1:15" x14ac:dyDescent="0.35">
      <c r="A2240" s="15">
        <f t="shared" si="34"/>
        <v>2238</v>
      </c>
      <c r="B2240" s="16"/>
      <c r="C2240" s="19"/>
      <c r="D2240" s="10"/>
      <c r="E2240" s="10"/>
      <c r="F2240" s="47"/>
      <c r="G2240" s="10"/>
      <c r="H2240" s="20"/>
      <c r="I2240" s="20"/>
      <c r="J2240" s="10"/>
      <c r="K2240" s="10"/>
      <c r="L2240" s="10"/>
      <c r="M2240" s="10"/>
      <c r="N2240" s="10"/>
      <c r="O2240" s="21"/>
    </row>
    <row r="2241" spans="1:15" x14ac:dyDescent="0.35">
      <c r="A2241" s="15">
        <f t="shared" si="34"/>
        <v>2239</v>
      </c>
      <c r="B2241" s="16"/>
      <c r="C2241" s="19"/>
      <c r="D2241" s="10"/>
      <c r="E2241" s="10"/>
      <c r="F2241" s="47"/>
      <c r="G2241" s="10"/>
      <c r="H2241" s="20"/>
      <c r="I2241" s="20"/>
      <c r="J2241" s="10"/>
      <c r="K2241" s="10"/>
      <c r="L2241" s="10"/>
      <c r="M2241" s="10"/>
      <c r="N2241" s="10"/>
      <c r="O2241" s="21"/>
    </row>
    <row r="2242" spans="1:15" x14ac:dyDescent="0.35">
      <c r="A2242" s="15">
        <f t="shared" si="34"/>
        <v>2240</v>
      </c>
      <c r="B2242" s="16"/>
      <c r="C2242" s="19"/>
      <c r="D2242" s="10"/>
      <c r="E2242" s="10"/>
      <c r="F2242" s="47"/>
      <c r="G2242" s="10"/>
      <c r="H2242" s="20"/>
      <c r="I2242" s="20"/>
      <c r="J2242" s="10"/>
      <c r="K2242" s="10"/>
      <c r="L2242" s="10"/>
      <c r="M2242" s="10"/>
      <c r="N2242" s="10"/>
      <c r="O2242" s="21"/>
    </row>
    <row r="2243" spans="1:15" x14ac:dyDescent="0.35">
      <c r="A2243" s="15">
        <f t="shared" si="34"/>
        <v>2241</v>
      </c>
      <c r="B2243" s="16"/>
      <c r="C2243" s="19"/>
      <c r="D2243" s="10"/>
      <c r="E2243" s="10"/>
      <c r="F2243" s="47"/>
      <c r="G2243" s="10"/>
      <c r="H2243" s="20"/>
      <c r="I2243" s="20"/>
      <c r="J2243" s="10"/>
      <c r="K2243" s="10"/>
      <c r="L2243" s="10"/>
      <c r="M2243" s="10"/>
      <c r="N2243" s="10"/>
      <c r="O2243" s="21"/>
    </row>
    <row r="2244" spans="1:15" x14ac:dyDescent="0.35">
      <c r="A2244" s="15">
        <f t="shared" si="34"/>
        <v>2242</v>
      </c>
      <c r="B2244" s="16"/>
      <c r="C2244" s="19"/>
      <c r="D2244" s="10"/>
      <c r="E2244" s="10"/>
      <c r="F2244" s="47"/>
      <c r="G2244" s="10"/>
      <c r="H2244" s="20"/>
      <c r="I2244" s="20"/>
      <c r="J2244" s="10"/>
      <c r="K2244" s="10"/>
      <c r="L2244" s="10"/>
      <c r="M2244" s="10"/>
      <c r="N2244" s="10"/>
      <c r="O2244" s="21"/>
    </row>
    <row r="2245" spans="1:15" x14ac:dyDescent="0.35">
      <c r="A2245" s="15">
        <f t="shared" si="34"/>
        <v>2243</v>
      </c>
      <c r="B2245" s="16"/>
      <c r="C2245" s="19"/>
      <c r="D2245" s="10"/>
      <c r="E2245" s="10"/>
      <c r="F2245" s="47"/>
      <c r="G2245" s="10"/>
      <c r="H2245" s="20"/>
      <c r="I2245" s="20"/>
      <c r="J2245" s="10"/>
      <c r="K2245" s="10"/>
      <c r="L2245" s="10"/>
      <c r="M2245" s="10"/>
      <c r="N2245" s="10"/>
      <c r="O2245" s="21"/>
    </row>
    <row r="2246" spans="1:15" x14ac:dyDescent="0.35">
      <c r="A2246" s="15">
        <f t="shared" si="34"/>
        <v>2244</v>
      </c>
      <c r="B2246" s="16"/>
      <c r="C2246" s="19"/>
      <c r="D2246" s="10"/>
      <c r="E2246" s="10"/>
      <c r="F2246" s="47"/>
      <c r="G2246" s="10"/>
      <c r="H2246" s="20"/>
      <c r="I2246" s="20"/>
      <c r="J2246" s="10"/>
      <c r="K2246" s="10"/>
      <c r="L2246" s="10"/>
      <c r="M2246" s="10"/>
      <c r="N2246" s="10"/>
      <c r="O2246" s="21"/>
    </row>
    <row r="2247" spans="1:15" x14ac:dyDescent="0.35">
      <c r="A2247" s="15">
        <f t="shared" si="34"/>
        <v>2245</v>
      </c>
      <c r="B2247" s="16"/>
      <c r="C2247" s="19"/>
      <c r="D2247" s="10"/>
      <c r="E2247" s="10"/>
      <c r="F2247" s="47"/>
      <c r="G2247" s="10"/>
      <c r="H2247" s="20"/>
      <c r="I2247" s="20"/>
      <c r="J2247" s="10"/>
      <c r="K2247" s="10"/>
      <c r="L2247" s="10"/>
      <c r="M2247" s="10"/>
      <c r="N2247" s="10"/>
      <c r="O2247" s="21"/>
    </row>
    <row r="2248" spans="1:15" x14ac:dyDescent="0.35">
      <c r="A2248" s="15">
        <f t="shared" si="34"/>
        <v>2246</v>
      </c>
      <c r="B2248" s="16"/>
      <c r="C2248" s="19"/>
      <c r="D2248" s="10"/>
      <c r="E2248" s="10"/>
      <c r="F2248" s="47"/>
      <c r="G2248" s="10"/>
      <c r="H2248" s="20"/>
      <c r="I2248" s="20"/>
      <c r="J2248" s="10"/>
      <c r="K2248" s="10"/>
      <c r="L2248" s="10"/>
      <c r="M2248" s="10"/>
      <c r="N2248" s="10"/>
      <c r="O2248" s="21"/>
    </row>
    <row r="2249" spans="1:15" x14ac:dyDescent="0.35">
      <c r="A2249" s="15">
        <f t="shared" si="34"/>
        <v>2247</v>
      </c>
      <c r="B2249" s="16"/>
      <c r="C2249" s="19"/>
      <c r="D2249" s="10"/>
      <c r="E2249" s="10"/>
      <c r="F2249" s="47"/>
      <c r="G2249" s="10"/>
      <c r="H2249" s="20"/>
      <c r="I2249" s="20"/>
      <c r="J2249" s="10"/>
      <c r="K2249" s="10"/>
      <c r="L2249" s="10"/>
      <c r="M2249" s="10"/>
      <c r="N2249" s="10"/>
      <c r="O2249" s="21"/>
    </row>
    <row r="2250" spans="1:15" x14ac:dyDescent="0.35">
      <c r="A2250" s="15">
        <f t="shared" si="34"/>
        <v>2248</v>
      </c>
      <c r="B2250" s="16"/>
      <c r="C2250" s="19"/>
      <c r="D2250" s="10"/>
      <c r="E2250" s="10"/>
      <c r="F2250" s="47"/>
      <c r="G2250" s="10"/>
      <c r="H2250" s="20"/>
      <c r="I2250" s="20"/>
      <c r="J2250" s="10"/>
      <c r="K2250" s="10"/>
      <c r="L2250" s="10"/>
      <c r="M2250" s="10"/>
      <c r="N2250" s="10"/>
      <c r="O2250" s="21"/>
    </row>
    <row r="2251" spans="1:15" x14ac:dyDescent="0.35">
      <c r="A2251" s="15">
        <f t="shared" ref="A2251:A2314" si="35">+A2250+1</f>
        <v>2249</v>
      </c>
      <c r="B2251" s="16"/>
      <c r="C2251" s="19"/>
      <c r="D2251" s="10"/>
      <c r="E2251" s="10"/>
      <c r="F2251" s="47"/>
      <c r="G2251" s="10"/>
      <c r="H2251" s="20"/>
      <c r="I2251" s="20"/>
      <c r="J2251" s="10"/>
      <c r="K2251" s="10"/>
      <c r="L2251" s="10"/>
      <c r="M2251" s="10"/>
      <c r="N2251" s="10"/>
      <c r="O2251" s="21"/>
    </row>
    <row r="2252" spans="1:15" x14ac:dyDescent="0.35">
      <c r="A2252" s="15">
        <f t="shared" si="35"/>
        <v>2250</v>
      </c>
      <c r="B2252" s="16"/>
      <c r="C2252" s="19"/>
      <c r="D2252" s="10"/>
      <c r="E2252" s="10"/>
      <c r="F2252" s="47"/>
      <c r="G2252" s="10"/>
      <c r="H2252" s="20"/>
      <c r="I2252" s="20"/>
      <c r="J2252" s="10"/>
      <c r="K2252" s="10"/>
      <c r="L2252" s="10"/>
      <c r="M2252" s="10"/>
      <c r="N2252" s="10"/>
      <c r="O2252" s="21"/>
    </row>
    <row r="2253" spans="1:15" x14ac:dyDescent="0.35">
      <c r="A2253" s="15">
        <f t="shared" si="35"/>
        <v>2251</v>
      </c>
      <c r="B2253" s="16"/>
      <c r="C2253" s="19"/>
      <c r="D2253" s="10"/>
      <c r="E2253" s="10"/>
      <c r="F2253" s="47"/>
      <c r="G2253" s="10"/>
      <c r="H2253" s="20"/>
      <c r="I2253" s="20"/>
      <c r="J2253" s="10"/>
      <c r="K2253" s="10"/>
      <c r="L2253" s="10"/>
      <c r="M2253" s="10"/>
      <c r="N2253" s="10"/>
      <c r="O2253" s="21"/>
    </row>
    <row r="2254" spans="1:15" x14ac:dyDescent="0.35">
      <c r="A2254" s="15">
        <f t="shared" si="35"/>
        <v>2252</v>
      </c>
      <c r="B2254" s="16"/>
      <c r="C2254" s="19"/>
      <c r="D2254" s="10"/>
      <c r="E2254" s="10"/>
      <c r="F2254" s="47"/>
      <c r="G2254" s="10"/>
      <c r="H2254" s="20"/>
      <c r="I2254" s="20"/>
      <c r="J2254" s="10"/>
      <c r="K2254" s="10"/>
      <c r="L2254" s="10"/>
      <c r="M2254" s="10"/>
      <c r="N2254" s="10"/>
      <c r="O2254" s="21"/>
    </row>
    <row r="2255" spans="1:15" x14ac:dyDescent="0.35">
      <c r="A2255" s="15">
        <f t="shared" si="35"/>
        <v>2253</v>
      </c>
      <c r="B2255" s="16"/>
      <c r="C2255" s="19"/>
      <c r="D2255" s="10"/>
      <c r="E2255" s="10"/>
      <c r="F2255" s="47"/>
      <c r="G2255" s="10"/>
      <c r="H2255" s="20"/>
      <c r="I2255" s="20"/>
      <c r="J2255" s="10"/>
      <c r="K2255" s="10"/>
      <c r="L2255" s="10"/>
      <c r="M2255" s="10"/>
      <c r="N2255" s="10"/>
      <c r="O2255" s="21"/>
    </row>
    <row r="2256" spans="1:15" x14ac:dyDescent="0.35">
      <c r="A2256" s="15">
        <f t="shared" si="35"/>
        <v>2254</v>
      </c>
      <c r="B2256" s="16"/>
      <c r="C2256" s="19"/>
      <c r="D2256" s="10"/>
      <c r="E2256" s="10"/>
      <c r="F2256" s="47"/>
      <c r="G2256" s="10"/>
      <c r="H2256" s="20"/>
      <c r="I2256" s="20"/>
      <c r="J2256" s="10"/>
      <c r="K2256" s="10"/>
      <c r="L2256" s="10"/>
      <c r="M2256" s="10"/>
      <c r="N2256" s="10"/>
      <c r="O2256" s="21"/>
    </row>
    <row r="2257" spans="1:15" x14ac:dyDescent="0.35">
      <c r="A2257" s="15">
        <f t="shared" si="35"/>
        <v>2255</v>
      </c>
      <c r="B2257" s="16"/>
      <c r="C2257" s="19"/>
      <c r="D2257" s="10"/>
      <c r="E2257" s="10"/>
      <c r="F2257" s="47"/>
      <c r="G2257" s="10"/>
      <c r="H2257" s="20"/>
      <c r="I2257" s="20"/>
      <c r="J2257" s="10"/>
      <c r="K2257" s="10"/>
      <c r="L2257" s="10"/>
      <c r="M2257" s="10"/>
      <c r="N2257" s="10"/>
      <c r="O2257" s="21"/>
    </row>
    <row r="2258" spans="1:15" x14ac:dyDescent="0.35">
      <c r="A2258" s="15">
        <f t="shared" si="35"/>
        <v>2256</v>
      </c>
      <c r="B2258" s="16"/>
      <c r="C2258" s="19"/>
      <c r="D2258" s="10"/>
      <c r="E2258" s="10"/>
      <c r="F2258" s="47"/>
      <c r="G2258" s="10"/>
      <c r="H2258" s="20"/>
      <c r="I2258" s="20"/>
      <c r="J2258" s="10"/>
      <c r="K2258" s="10"/>
      <c r="L2258" s="10"/>
      <c r="M2258" s="10"/>
      <c r="N2258" s="10"/>
      <c r="O2258" s="21"/>
    </row>
    <row r="2259" spans="1:15" x14ac:dyDescent="0.35">
      <c r="A2259" s="15">
        <f t="shared" si="35"/>
        <v>2257</v>
      </c>
      <c r="B2259" s="16"/>
      <c r="C2259" s="19"/>
      <c r="D2259" s="10"/>
      <c r="E2259" s="10"/>
      <c r="F2259" s="47"/>
      <c r="G2259" s="10"/>
      <c r="H2259" s="20"/>
      <c r="I2259" s="20"/>
      <c r="J2259" s="10"/>
      <c r="K2259" s="10"/>
      <c r="L2259" s="10"/>
      <c r="M2259" s="10"/>
      <c r="N2259" s="10"/>
      <c r="O2259" s="21"/>
    </row>
    <row r="2260" spans="1:15" x14ac:dyDescent="0.35">
      <c r="A2260" s="15">
        <f t="shared" si="35"/>
        <v>2258</v>
      </c>
      <c r="B2260" s="16"/>
      <c r="C2260" s="19"/>
      <c r="D2260" s="10"/>
      <c r="E2260" s="10"/>
      <c r="F2260" s="47"/>
      <c r="G2260" s="10"/>
      <c r="H2260" s="20"/>
      <c r="I2260" s="20"/>
      <c r="J2260" s="10"/>
      <c r="K2260" s="10"/>
      <c r="L2260" s="10"/>
      <c r="M2260" s="10"/>
      <c r="N2260" s="10"/>
      <c r="O2260" s="21"/>
    </row>
    <row r="2261" spans="1:15" x14ac:dyDescent="0.35">
      <c r="A2261" s="15">
        <f t="shared" si="35"/>
        <v>2259</v>
      </c>
      <c r="B2261" s="16"/>
      <c r="C2261" s="19"/>
      <c r="D2261" s="10"/>
      <c r="E2261" s="10"/>
      <c r="F2261" s="47"/>
      <c r="G2261" s="10"/>
      <c r="H2261" s="20"/>
      <c r="I2261" s="20"/>
      <c r="J2261" s="10"/>
      <c r="K2261" s="10"/>
      <c r="L2261" s="10"/>
      <c r="M2261" s="10"/>
      <c r="N2261" s="10"/>
      <c r="O2261" s="21"/>
    </row>
    <row r="2262" spans="1:15" x14ac:dyDescent="0.35">
      <c r="A2262" s="15">
        <f t="shared" si="35"/>
        <v>2260</v>
      </c>
      <c r="B2262" s="16"/>
      <c r="C2262" s="19"/>
      <c r="D2262" s="10"/>
      <c r="E2262" s="10"/>
      <c r="F2262" s="47"/>
      <c r="G2262" s="10"/>
      <c r="H2262" s="20"/>
      <c r="I2262" s="20"/>
      <c r="J2262" s="10"/>
      <c r="K2262" s="10"/>
      <c r="L2262" s="10"/>
      <c r="M2262" s="10"/>
      <c r="N2262" s="10"/>
      <c r="O2262" s="21"/>
    </row>
    <row r="2263" spans="1:15" x14ac:dyDescent="0.35">
      <c r="A2263" s="15">
        <f t="shared" si="35"/>
        <v>2261</v>
      </c>
      <c r="B2263" s="16"/>
      <c r="C2263" s="19"/>
      <c r="D2263" s="10"/>
      <c r="E2263" s="10"/>
      <c r="F2263" s="47"/>
      <c r="G2263" s="10"/>
      <c r="H2263" s="20"/>
      <c r="I2263" s="20"/>
      <c r="J2263" s="10"/>
      <c r="K2263" s="10"/>
      <c r="L2263" s="10"/>
      <c r="M2263" s="10"/>
      <c r="N2263" s="10"/>
      <c r="O2263" s="21"/>
    </row>
    <row r="2264" spans="1:15" x14ac:dyDescent="0.35">
      <c r="A2264" s="15">
        <f t="shared" si="35"/>
        <v>2262</v>
      </c>
      <c r="B2264" s="16"/>
      <c r="C2264" s="19"/>
      <c r="D2264" s="10"/>
      <c r="E2264" s="10"/>
      <c r="F2264" s="47"/>
      <c r="G2264" s="10"/>
      <c r="H2264" s="20"/>
      <c r="I2264" s="20"/>
      <c r="J2264" s="10"/>
      <c r="K2264" s="10"/>
      <c r="L2264" s="10"/>
      <c r="M2264" s="10"/>
      <c r="N2264" s="10"/>
      <c r="O2264" s="21"/>
    </row>
    <row r="2265" spans="1:15" x14ac:dyDescent="0.35">
      <c r="A2265" s="15">
        <f t="shared" si="35"/>
        <v>2263</v>
      </c>
      <c r="B2265" s="16"/>
      <c r="C2265" s="19"/>
      <c r="D2265" s="10"/>
      <c r="E2265" s="10"/>
      <c r="F2265" s="47"/>
      <c r="G2265" s="10"/>
      <c r="H2265" s="20"/>
      <c r="I2265" s="20"/>
      <c r="J2265" s="10"/>
      <c r="K2265" s="10"/>
      <c r="L2265" s="10"/>
      <c r="M2265" s="10"/>
      <c r="N2265" s="10"/>
      <c r="O2265" s="21"/>
    </row>
    <row r="2266" spans="1:15" x14ac:dyDescent="0.35">
      <c r="A2266" s="15">
        <f t="shared" si="35"/>
        <v>2264</v>
      </c>
      <c r="B2266" s="16"/>
      <c r="C2266" s="19"/>
      <c r="D2266" s="10"/>
      <c r="E2266" s="10"/>
      <c r="F2266" s="47"/>
      <c r="G2266" s="10"/>
      <c r="H2266" s="20"/>
      <c r="I2266" s="20"/>
      <c r="J2266" s="10"/>
      <c r="K2266" s="10"/>
      <c r="L2266" s="10"/>
      <c r="M2266" s="10"/>
      <c r="N2266" s="10"/>
      <c r="O2266" s="21"/>
    </row>
    <row r="2267" spans="1:15" x14ac:dyDescent="0.35">
      <c r="A2267" s="15">
        <f t="shared" si="35"/>
        <v>2265</v>
      </c>
      <c r="B2267" s="16"/>
      <c r="C2267" s="19"/>
      <c r="D2267" s="10"/>
      <c r="E2267" s="10"/>
      <c r="F2267" s="47"/>
      <c r="G2267" s="10"/>
      <c r="H2267" s="20"/>
      <c r="I2267" s="20"/>
      <c r="J2267" s="10"/>
      <c r="K2267" s="10"/>
      <c r="L2267" s="10"/>
      <c r="M2267" s="10"/>
      <c r="N2267" s="10"/>
      <c r="O2267" s="21"/>
    </row>
    <row r="2268" spans="1:15" x14ac:dyDescent="0.35">
      <c r="A2268" s="15">
        <f t="shared" si="35"/>
        <v>2266</v>
      </c>
      <c r="B2268" s="16"/>
      <c r="C2268" s="19"/>
      <c r="D2268" s="10"/>
      <c r="E2268" s="10"/>
      <c r="F2268" s="47"/>
      <c r="G2268" s="10"/>
      <c r="H2268" s="20"/>
      <c r="I2268" s="20"/>
      <c r="J2268" s="10"/>
      <c r="K2268" s="10"/>
      <c r="L2268" s="10"/>
      <c r="M2268" s="10"/>
      <c r="N2268" s="10"/>
      <c r="O2268" s="21"/>
    </row>
    <row r="2269" spans="1:15" x14ac:dyDescent="0.35">
      <c r="A2269" s="15">
        <f t="shared" si="35"/>
        <v>2267</v>
      </c>
      <c r="B2269" s="16"/>
      <c r="C2269" s="19"/>
      <c r="D2269" s="10"/>
      <c r="E2269" s="10"/>
      <c r="F2269" s="47"/>
      <c r="G2269" s="10"/>
      <c r="H2269" s="20"/>
      <c r="I2269" s="20"/>
      <c r="J2269" s="10"/>
      <c r="K2269" s="10"/>
      <c r="L2269" s="10"/>
      <c r="M2269" s="10"/>
      <c r="N2269" s="10"/>
      <c r="O2269" s="21"/>
    </row>
    <row r="2270" spans="1:15" x14ac:dyDescent="0.35">
      <c r="A2270" s="15">
        <f t="shared" si="35"/>
        <v>2268</v>
      </c>
      <c r="B2270" s="16"/>
      <c r="C2270" s="19"/>
      <c r="D2270" s="10"/>
      <c r="E2270" s="10"/>
      <c r="F2270" s="47"/>
      <c r="G2270" s="10"/>
      <c r="H2270" s="20"/>
      <c r="I2270" s="20"/>
      <c r="J2270" s="10"/>
      <c r="K2270" s="10"/>
      <c r="L2270" s="10"/>
      <c r="M2270" s="10"/>
      <c r="N2270" s="10"/>
      <c r="O2270" s="21"/>
    </row>
    <row r="2271" spans="1:15" x14ac:dyDescent="0.35">
      <c r="A2271" s="15">
        <f t="shared" si="35"/>
        <v>2269</v>
      </c>
      <c r="B2271" s="16"/>
      <c r="C2271" s="19"/>
      <c r="D2271" s="10"/>
      <c r="E2271" s="10"/>
      <c r="F2271" s="47"/>
      <c r="G2271" s="10"/>
      <c r="H2271" s="20"/>
      <c r="I2271" s="20"/>
      <c r="J2271" s="10"/>
      <c r="K2271" s="10"/>
      <c r="L2271" s="10"/>
      <c r="M2271" s="10"/>
      <c r="N2271" s="10"/>
      <c r="O2271" s="21"/>
    </row>
    <row r="2272" spans="1:15" x14ac:dyDescent="0.35">
      <c r="A2272" s="15">
        <f t="shared" si="35"/>
        <v>2270</v>
      </c>
      <c r="B2272" s="16"/>
      <c r="C2272" s="19"/>
      <c r="D2272" s="10"/>
      <c r="E2272" s="10"/>
      <c r="F2272" s="47"/>
      <c r="G2272" s="10"/>
      <c r="H2272" s="20"/>
      <c r="I2272" s="20"/>
      <c r="J2272" s="10"/>
      <c r="K2272" s="10"/>
      <c r="L2272" s="10"/>
      <c r="M2272" s="10"/>
      <c r="N2272" s="10"/>
      <c r="O2272" s="21"/>
    </row>
    <row r="2273" spans="1:15" x14ac:dyDescent="0.35">
      <c r="A2273" s="15">
        <f t="shared" si="35"/>
        <v>2271</v>
      </c>
      <c r="B2273" s="16"/>
      <c r="C2273" s="19"/>
      <c r="D2273" s="10"/>
      <c r="E2273" s="10"/>
      <c r="F2273" s="47"/>
      <c r="G2273" s="10"/>
      <c r="H2273" s="20"/>
      <c r="I2273" s="20"/>
      <c r="J2273" s="10"/>
      <c r="K2273" s="10"/>
      <c r="L2273" s="10"/>
      <c r="M2273" s="10"/>
      <c r="N2273" s="10"/>
      <c r="O2273" s="21"/>
    </row>
    <row r="2274" spans="1:15" x14ac:dyDescent="0.35">
      <c r="A2274" s="15">
        <f t="shared" si="35"/>
        <v>2272</v>
      </c>
      <c r="B2274" s="16"/>
      <c r="C2274" s="19"/>
      <c r="D2274" s="10"/>
      <c r="E2274" s="10"/>
      <c r="F2274" s="47"/>
      <c r="G2274" s="10"/>
      <c r="H2274" s="20"/>
      <c r="I2274" s="20"/>
      <c r="J2274" s="10"/>
      <c r="K2274" s="10"/>
      <c r="L2274" s="10"/>
      <c r="M2274" s="10"/>
      <c r="N2274" s="10"/>
      <c r="O2274" s="21"/>
    </row>
    <row r="2275" spans="1:15" x14ac:dyDescent="0.35">
      <c r="A2275" s="15">
        <f t="shared" si="35"/>
        <v>2273</v>
      </c>
      <c r="B2275" s="16"/>
      <c r="C2275" s="19"/>
      <c r="D2275" s="10"/>
      <c r="E2275" s="10"/>
      <c r="F2275" s="47"/>
      <c r="G2275" s="10"/>
      <c r="H2275" s="20"/>
      <c r="I2275" s="20"/>
      <c r="J2275" s="10"/>
      <c r="K2275" s="10"/>
      <c r="L2275" s="10"/>
      <c r="M2275" s="10"/>
      <c r="N2275" s="10"/>
      <c r="O2275" s="21"/>
    </row>
    <row r="2276" spans="1:15" x14ac:dyDescent="0.35">
      <c r="A2276" s="15">
        <f t="shared" si="35"/>
        <v>2274</v>
      </c>
      <c r="B2276" s="16"/>
      <c r="C2276" s="19"/>
      <c r="D2276" s="10"/>
      <c r="E2276" s="10"/>
      <c r="F2276" s="47"/>
      <c r="G2276" s="10"/>
      <c r="H2276" s="20"/>
      <c r="I2276" s="20"/>
      <c r="J2276" s="10"/>
      <c r="K2276" s="10"/>
      <c r="L2276" s="10"/>
      <c r="M2276" s="10"/>
      <c r="N2276" s="10"/>
      <c r="O2276" s="21"/>
    </row>
    <row r="2277" spans="1:15" x14ac:dyDescent="0.35">
      <c r="A2277" s="15">
        <f t="shared" si="35"/>
        <v>2275</v>
      </c>
      <c r="B2277" s="16"/>
      <c r="C2277" s="19"/>
      <c r="D2277" s="10"/>
      <c r="E2277" s="10"/>
      <c r="F2277" s="47"/>
      <c r="G2277" s="10"/>
      <c r="H2277" s="20"/>
      <c r="I2277" s="20"/>
      <c r="J2277" s="10"/>
      <c r="K2277" s="10"/>
      <c r="L2277" s="10"/>
      <c r="M2277" s="10"/>
      <c r="N2277" s="10"/>
      <c r="O2277" s="21"/>
    </row>
    <row r="2278" spans="1:15" x14ac:dyDescent="0.35">
      <c r="A2278" s="15">
        <f t="shared" si="35"/>
        <v>2276</v>
      </c>
      <c r="B2278" s="16"/>
      <c r="C2278" s="19"/>
      <c r="D2278" s="10"/>
      <c r="E2278" s="10"/>
      <c r="F2278" s="47"/>
      <c r="G2278" s="10"/>
      <c r="H2278" s="20"/>
      <c r="I2278" s="20"/>
      <c r="J2278" s="10"/>
      <c r="K2278" s="10"/>
      <c r="L2278" s="10"/>
      <c r="M2278" s="10"/>
      <c r="N2278" s="10"/>
      <c r="O2278" s="21"/>
    </row>
    <row r="2279" spans="1:15" x14ac:dyDescent="0.35">
      <c r="A2279" s="15">
        <f t="shared" si="35"/>
        <v>2277</v>
      </c>
      <c r="B2279" s="16"/>
      <c r="C2279" s="19"/>
      <c r="D2279" s="10"/>
      <c r="E2279" s="10"/>
      <c r="F2279" s="47"/>
      <c r="G2279" s="10"/>
      <c r="H2279" s="20"/>
      <c r="I2279" s="20"/>
      <c r="J2279" s="10"/>
      <c r="K2279" s="10"/>
      <c r="L2279" s="10"/>
      <c r="M2279" s="10"/>
      <c r="N2279" s="10"/>
      <c r="O2279" s="21"/>
    </row>
    <row r="2280" spans="1:15" x14ac:dyDescent="0.35">
      <c r="A2280" s="15">
        <f t="shared" si="35"/>
        <v>2278</v>
      </c>
      <c r="B2280" s="16"/>
      <c r="C2280" s="19"/>
      <c r="D2280" s="10"/>
      <c r="E2280" s="10"/>
      <c r="F2280" s="47"/>
      <c r="G2280" s="10"/>
      <c r="H2280" s="20"/>
      <c r="I2280" s="20"/>
      <c r="J2280" s="10"/>
      <c r="K2280" s="10"/>
      <c r="L2280" s="10"/>
      <c r="M2280" s="10"/>
      <c r="N2280" s="10"/>
      <c r="O2280" s="21"/>
    </row>
    <row r="2281" spans="1:15" x14ac:dyDescent="0.35">
      <c r="A2281" s="15">
        <f t="shared" si="35"/>
        <v>2279</v>
      </c>
      <c r="B2281" s="16"/>
      <c r="C2281" s="19"/>
      <c r="D2281" s="10"/>
      <c r="E2281" s="10"/>
      <c r="F2281" s="47"/>
      <c r="G2281" s="10"/>
      <c r="H2281" s="20"/>
      <c r="I2281" s="20"/>
      <c r="J2281" s="10"/>
      <c r="K2281" s="10"/>
      <c r="L2281" s="10"/>
      <c r="M2281" s="10"/>
      <c r="N2281" s="10"/>
      <c r="O2281" s="21"/>
    </row>
    <row r="2282" spans="1:15" x14ac:dyDescent="0.35">
      <c r="A2282" s="15">
        <f t="shared" si="35"/>
        <v>2280</v>
      </c>
      <c r="B2282" s="16"/>
      <c r="C2282" s="19"/>
      <c r="D2282" s="10"/>
      <c r="E2282" s="10"/>
      <c r="F2282" s="47"/>
      <c r="G2282" s="10"/>
      <c r="H2282" s="20"/>
      <c r="I2282" s="20"/>
      <c r="J2282" s="10"/>
      <c r="K2282" s="10"/>
      <c r="L2282" s="10"/>
      <c r="M2282" s="10"/>
      <c r="N2282" s="10"/>
      <c r="O2282" s="21"/>
    </row>
    <row r="2283" spans="1:15" x14ac:dyDescent="0.35">
      <c r="A2283" s="15">
        <f t="shared" si="35"/>
        <v>2281</v>
      </c>
      <c r="B2283" s="16"/>
      <c r="C2283" s="19"/>
      <c r="D2283" s="10"/>
      <c r="E2283" s="10"/>
      <c r="F2283" s="47"/>
      <c r="G2283" s="10"/>
      <c r="H2283" s="20"/>
      <c r="I2283" s="20"/>
      <c r="J2283" s="10"/>
      <c r="K2283" s="10"/>
      <c r="L2283" s="10"/>
      <c r="M2283" s="10"/>
      <c r="N2283" s="10"/>
      <c r="O2283" s="21"/>
    </row>
    <row r="2284" spans="1:15" x14ac:dyDescent="0.35">
      <c r="A2284" s="15">
        <f t="shared" si="35"/>
        <v>2282</v>
      </c>
      <c r="B2284" s="16"/>
      <c r="C2284" s="19"/>
      <c r="D2284" s="10"/>
      <c r="E2284" s="10"/>
      <c r="F2284" s="47"/>
      <c r="G2284" s="10"/>
      <c r="H2284" s="20"/>
      <c r="I2284" s="20"/>
      <c r="J2284" s="10"/>
      <c r="K2284" s="10"/>
      <c r="L2284" s="10"/>
      <c r="M2284" s="10"/>
      <c r="N2284" s="10"/>
      <c r="O2284" s="21"/>
    </row>
    <row r="2285" spans="1:15" x14ac:dyDescent="0.35">
      <c r="A2285" s="15">
        <f t="shared" si="35"/>
        <v>2283</v>
      </c>
      <c r="B2285" s="16"/>
      <c r="C2285" s="19"/>
      <c r="D2285" s="10"/>
      <c r="E2285" s="10"/>
      <c r="F2285" s="47"/>
      <c r="G2285" s="10"/>
      <c r="H2285" s="20"/>
      <c r="I2285" s="20"/>
      <c r="J2285" s="10"/>
      <c r="K2285" s="10"/>
      <c r="L2285" s="10"/>
      <c r="M2285" s="10"/>
      <c r="N2285" s="10"/>
      <c r="O2285" s="21"/>
    </row>
    <row r="2286" spans="1:15" x14ac:dyDescent="0.35">
      <c r="A2286" s="15">
        <f t="shared" si="35"/>
        <v>2284</v>
      </c>
      <c r="B2286" s="16"/>
      <c r="C2286" s="19"/>
      <c r="D2286" s="10"/>
      <c r="E2286" s="10"/>
      <c r="F2286" s="47"/>
      <c r="G2286" s="10"/>
      <c r="H2286" s="20"/>
      <c r="I2286" s="20"/>
      <c r="J2286" s="10"/>
      <c r="K2286" s="10"/>
      <c r="L2286" s="10"/>
      <c r="M2286" s="10"/>
      <c r="N2286" s="10"/>
      <c r="O2286" s="21"/>
    </row>
    <row r="2287" spans="1:15" x14ac:dyDescent="0.35">
      <c r="A2287" s="15">
        <f t="shared" si="35"/>
        <v>2285</v>
      </c>
      <c r="B2287" s="16"/>
      <c r="C2287" s="19"/>
      <c r="D2287" s="10"/>
      <c r="E2287" s="10"/>
      <c r="F2287" s="47"/>
      <c r="G2287" s="10"/>
      <c r="H2287" s="20"/>
      <c r="I2287" s="20"/>
      <c r="J2287" s="10"/>
      <c r="K2287" s="10"/>
      <c r="L2287" s="10"/>
      <c r="M2287" s="10"/>
      <c r="N2287" s="10"/>
      <c r="O2287" s="21"/>
    </row>
    <row r="2288" spans="1:15" x14ac:dyDescent="0.35">
      <c r="A2288" s="15">
        <f t="shared" si="35"/>
        <v>2286</v>
      </c>
      <c r="B2288" s="16"/>
      <c r="C2288" s="19"/>
      <c r="D2288" s="10"/>
      <c r="E2288" s="10"/>
      <c r="F2288" s="47"/>
      <c r="G2288" s="10"/>
      <c r="H2288" s="20"/>
      <c r="I2288" s="20"/>
      <c r="J2288" s="10"/>
      <c r="K2288" s="10"/>
      <c r="L2288" s="10"/>
      <c r="M2288" s="10"/>
      <c r="N2288" s="10"/>
      <c r="O2288" s="21"/>
    </row>
    <row r="2289" spans="1:15" x14ac:dyDescent="0.35">
      <c r="A2289" s="15">
        <f t="shared" si="35"/>
        <v>2287</v>
      </c>
      <c r="B2289" s="16"/>
      <c r="C2289" s="19"/>
      <c r="D2289" s="10"/>
      <c r="E2289" s="10"/>
      <c r="F2289" s="47"/>
      <c r="G2289" s="10"/>
      <c r="H2289" s="20"/>
      <c r="I2289" s="20"/>
      <c r="J2289" s="10"/>
      <c r="K2289" s="10"/>
      <c r="L2289" s="10"/>
      <c r="M2289" s="10"/>
      <c r="N2289" s="10"/>
      <c r="O2289" s="21"/>
    </row>
    <row r="2290" spans="1:15" x14ac:dyDescent="0.35">
      <c r="A2290" s="15">
        <f t="shared" si="35"/>
        <v>2288</v>
      </c>
      <c r="B2290" s="16"/>
      <c r="C2290" s="19"/>
      <c r="D2290" s="10"/>
      <c r="E2290" s="10"/>
      <c r="F2290" s="47"/>
      <c r="G2290" s="10"/>
      <c r="H2290" s="20"/>
      <c r="I2290" s="20"/>
      <c r="J2290" s="10"/>
      <c r="K2290" s="10"/>
      <c r="L2290" s="10"/>
      <c r="M2290" s="10"/>
      <c r="N2290" s="10"/>
      <c r="O2290" s="21"/>
    </row>
    <row r="2291" spans="1:15" x14ac:dyDescent="0.35">
      <c r="A2291" s="15">
        <f t="shared" si="35"/>
        <v>2289</v>
      </c>
      <c r="B2291" s="16"/>
      <c r="C2291" s="19"/>
      <c r="D2291" s="10"/>
      <c r="E2291" s="10"/>
      <c r="F2291" s="47"/>
      <c r="G2291" s="10"/>
      <c r="H2291" s="20"/>
      <c r="I2291" s="20"/>
      <c r="J2291" s="10"/>
      <c r="K2291" s="10"/>
      <c r="L2291" s="10"/>
      <c r="M2291" s="10"/>
      <c r="N2291" s="10"/>
      <c r="O2291" s="21"/>
    </row>
    <row r="2292" spans="1:15" x14ac:dyDescent="0.35">
      <c r="A2292" s="15">
        <f t="shared" si="35"/>
        <v>2290</v>
      </c>
      <c r="B2292" s="16"/>
      <c r="C2292" s="19"/>
      <c r="D2292" s="10"/>
      <c r="E2292" s="10"/>
      <c r="F2292" s="47"/>
      <c r="G2292" s="10"/>
      <c r="H2292" s="20"/>
      <c r="I2292" s="20"/>
      <c r="J2292" s="10"/>
      <c r="K2292" s="10"/>
      <c r="L2292" s="10"/>
      <c r="M2292" s="10"/>
      <c r="N2292" s="10"/>
      <c r="O2292" s="21"/>
    </row>
    <row r="2293" spans="1:15" x14ac:dyDescent="0.35">
      <c r="A2293" s="15">
        <f t="shared" si="35"/>
        <v>2291</v>
      </c>
      <c r="B2293" s="16"/>
      <c r="C2293" s="19"/>
      <c r="D2293" s="10"/>
      <c r="E2293" s="10"/>
      <c r="F2293" s="47"/>
      <c r="G2293" s="10"/>
      <c r="H2293" s="20"/>
      <c r="I2293" s="20"/>
      <c r="J2293" s="10"/>
      <c r="K2293" s="10"/>
      <c r="L2293" s="10"/>
      <c r="M2293" s="10"/>
      <c r="N2293" s="10"/>
      <c r="O2293" s="21"/>
    </row>
    <row r="2294" spans="1:15" x14ac:dyDescent="0.35">
      <c r="A2294" s="15">
        <f t="shared" si="35"/>
        <v>2292</v>
      </c>
      <c r="B2294" s="16"/>
      <c r="C2294" s="19"/>
      <c r="D2294" s="10"/>
      <c r="E2294" s="10"/>
      <c r="F2294" s="47"/>
      <c r="G2294" s="10"/>
      <c r="H2294" s="20"/>
      <c r="I2294" s="20"/>
      <c r="J2294" s="10"/>
      <c r="K2294" s="10"/>
      <c r="L2294" s="10"/>
      <c r="M2294" s="10"/>
      <c r="N2294" s="10"/>
      <c r="O2294" s="21"/>
    </row>
    <row r="2295" spans="1:15" x14ac:dyDescent="0.35">
      <c r="A2295" s="15">
        <f t="shared" si="35"/>
        <v>2293</v>
      </c>
      <c r="B2295" s="16"/>
      <c r="C2295" s="19"/>
      <c r="D2295" s="10"/>
      <c r="E2295" s="10"/>
      <c r="F2295" s="47"/>
      <c r="G2295" s="10"/>
      <c r="H2295" s="20"/>
      <c r="I2295" s="20"/>
      <c r="J2295" s="10"/>
      <c r="K2295" s="10"/>
      <c r="L2295" s="10"/>
      <c r="M2295" s="10"/>
      <c r="N2295" s="10"/>
      <c r="O2295" s="21"/>
    </row>
    <row r="2296" spans="1:15" x14ac:dyDescent="0.35">
      <c r="A2296" s="15">
        <f t="shared" si="35"/>
        <v>2294</v>
      </c>
      <c r="B2296" s="16"/>
      <c r="C2296" s="19"/>
      <c r="D2296" s="10"/>
      <c r="E2296" s="10"/>
      <c r="F2296" s="47"/>
      <c r="G2296" s="10"/>
      <c r="H2296" s="20"/>
      <c r="I2296" s="20"/>
      <c r="J2296" s="10"/>
      <c r="K2296" s="10"/>
      <c r="L2296" s="10"/>
      <c r="M2296" s="10"/>
      <c r="N2296" s="10"/>
      <c r="O2296" s="21"/>
    </row>
    <row r="2297" spans="1:15" x14ac:dyDescent="0.35">
      <c r="A2297" s="15">
        <f t="shared" si="35"/>
        <v>2295</v>
      </c>
      <c r="B2297" s="16"/>
      <c r="C2297" s="19"/>
      <c r="D2297" s="10"/>
      <c r="E2297" s="10"/>
      <c r="F2297" s="47"/>
      <c r="G2297" s="10"/>
      <c r="H2297" s="20"/>
      <c r="I2297" s="20"/>
      <c r="J2297" s="10"/>
      <c r="K2297" s="10"/>
      <c r="L2297" s="10"/>
      <c r="M2297" s="10"/>
      <c r="N2297" s="10"/>
      <c r="O2297" s="21"/>
    </row>
    <row r="2298" spans="1:15" x14ac:dyDescent="0.35">
      <c r="A2298" s="15">
        <f t="shared" si="35"/>
        <v>2296</v>
      </c>
      <c r="B2298" s="16"/>
      <c r="C2298" s="19"/>
      <c r="D2298" s="10"/>
      <c r="E2298" s="10"/>
      <c r="F2298" s="47"/>
      <c r="G2298" s="10"/>
      <c r="H2298" s="20"/>
      <c r="I2298" s="20"/>
      <c r="J2298" s="10"/>
      <c r="K2298" s="10"/>
      <c r="L2298" s="10"/>
      <c r="M2298" s="10"/>
      <c r="N2298" s="10"/>
      <c r="O2298" s="21"/>
    </row>
    <row r="2299" spans="1:15" x14ac:dyDescent="0.35">
      <c r="A2299" s="15">
        <f t="shared" si="35"/>
        <v>2297</v>
      </c>
      <c r="B2299" s="16"/>
      <c r="C2299" s="19"/>
      <c r="D2299" s="10"/>
      <c r="E2299" s="10"/>
      <c r="F2299" s="47"/>
      <c r="G2299" s="10"/>
      <c r="H2299" s="20"/>
      <c r="I2299" s="20"/>
      <c r="J2299" s="10"/>
      <c r="K2299" s="10"/>
      <c r="L2299" s="10"/>
      <c r="M2299" s="10"/>
      <c r="N2299" s="10"/>
      <c r="O2299" s="21"/>
    </row>
    <row r="2300" spans="1:15" x14ac:dyDescent="0.35">
      <c r="A2300" s="15">
        <f t="shared" si="35"/>
        <v>2298</v>
      </c>
      <c r="B2300" s="16"/>
      <c r="C2300" s="19"/>
      <c r="D2300" s="10"/>
      <c r="E2300" s="10"/>
      <c r="F2300" s="47"/>
      <c r="G2300" s="10"/>
      <c r="H2300" s="20"/>
      <c r="I2300" s="20"/>
      <c r="J2300" s="10"/>
      <c r="K2300" s="10"/>
      <c r="L2300" s="10"/>
      <c r="M2300" s="10"/>
      <c r="N2300" s="10"/>
      <c r="O2300" s="21"/>
    </row>
    <row r="2301" spans="1:15" x14ac:dyDescent="0.35">
      <c r="A2301" s="15">
        <f t="shared" si="35"/>
        <v>2299</v>
      </c>
      <c r="B2301" s="16"/>
      <c r="C2301" s="19"/>
      <c r="D2301" s="10"/>
      <c r="E2301" s="10"/>
      <c r="F2301" s="47"/>
      <c r="G2301" s="10"/>
      <c r="H2301" s="20"/>
      <c r="I2301" s="20"/>
      <c r="J2301" s="10"/>
      <c r="K2301" s="10"/>
      <c r="L2301" s="10"/>
      <c r="M2301" s="10"/>
      <c r="N2301" s="10"/>
      <c r="O2301" s="21"/>
    </row>
    <row r="2302" spans="1:15" x14ac:dyDescent="0.35">
      <c r="A2302" s="15">
        <f t="shared" si="35"/>
        <v>2300</v>
      </c>
      <c r="B2302" s="16"/>
      <c r="C2302" s="19"/>
      <c r="D2302" s="10"/>
      <c r="E2302" s="10"/>
      <c r="F2302" s="47"/>
      <c r="G2302" s="10"/>
      <c r="H2302" s="20"/>
      <c r="I2302" s="20"/>
      <c r="J2302" s="10"/>
      <c r="K2302" s="10"/>
      <c r="L2302" s="10"/>
      <c r="M2302" s="10"/>
      <c r="N2302" s="10"/>
      <c r="O2302" s="21"/>
    </row>
    <row r="2303" spans="1:15" x14ac:dyDescent="0.35">
      <c r="A2303" s="15">
        <f t="shared" si="35"/>
        <v>2301</v>
      </c>
      <c r="B2303" s="16"/>
      <c r="C2303" s="19"/>
      <c r="D2303" s="10"/>
      <c r="E2303" s="10"/>
      <c r="F2303" s="47"/>
      <c r="G2303" s="10"/>
      <c r="H2303" s="20"/>
      <c r="I2303" s="20"/>
      <c r="J2303" s="10"/>
      <c r="K2303" s="10"/>
      <c r="L2303" s="10"/>
      <c r="M2303" s="10"/>
      <c r="N2303" s="10"/>
      <c r="O2303" s="21"/>
    </row>
    <row r="2304" spans="1:15" x14ac:dyDescent="0.35">
      <c r="A2304" s="15">
        <f t="shared" si="35"/>
        <v>2302</v>
      </c>
      <c r="B2304" s="16"/>
      <c r="C2304" s="19"/>
      <c r="D2304" s="10"/>
      <c r="E2304" s="10"/>
      <c r="F2304" s="47"/>
      <c r="G2304" s="10"/>
      <c r="H2304" s="20"/>
      <c r="I2304" s="20"/>
      <c r="J2304" s="10"/>
      <c r="K2304" s="10"/>
      <c r="L2304" s="10"/>
      <c r="M2304" s="10"/>
      <c r="N2304" s="10"/>
      <c r="O2304" s="21"/>
    </row>
    <row r="2305" spans="1:15" x14ac:dyDescent="0.35">
      <c r="A2305" s="15">
        <f t="shared" si="35"/>
        <v>2303</v>
      </c>
      <c r="B2305" s="16"/>
      <c r="C2305" s="19"/>
      <c r="D2305" s="10"/>
      <c r="E2305" s="10"/>
      <c r="F2305" s="47"/>
      <c r="G2305" s="10"/>
      <c r="H2305" s="20"/>
      <c r="I2305" s="20"/>
      <c r="J2305" s="10"/>
      <c r="K2305" s="10"/>
      <c r="L2305" s="10"/>
      <c r="M2305" s="10"/>
      <c r="N2305" s="10"/>
      <c r="O2305" s="21"/>
    </row>
    <row r="2306" spans="1:15" x14ac:dyDescent="0.35">
      <c r="A2306" s="15">
        <f t="shared" si="35"/>
        <v>2304</v>
      </c>
      <c r="B2306" s="16"/>
      <c r="C2306" s="19"/>
      <c r="D2306" s="10"/>
      <c r="E2306" s="10"/>
      <c r="F2306" s="47"/>
      <c r="G2306" s="10"/>
      <c r="H2306" s="20"/>
      <c r="I2306" s="20"/>
      <c r="J2306" s="10"/>
      <c r="K2306" s="10"/>
      <c r="L2306" s="10"/>
      <c r="M2306" s="10"/>
      <c r="N2306" s="10"/>
      <c r="O2306" s="21"/>
    </row>
    <row r="2307" spans="1:15" x14ac:dyDescent="0.35">
      <c r="A2307" s="15">
        <f t="shared" si="35"/>
        <v>2305</v>
      </c>
      <c r="B2307" s="16"/>
      <c r="C2307" s="19"/>
      <c r="D2307" s="10"/>
      <c r="E2307" s="10"/>
      <c r="F2307" s="47"/>
      <c r="G2307" s="10"/>
      <c r="H2307" s="20"/>
      <c r="I2307" s="20"/>
      <c r="J2307" s="10"/>
      <c r="K2307" s="10"/>
      <c r="L2307" s="10"/>
      <c r="M2307" s="10"/>
      <c r="N2307" s="10"/>
      <c r="O2307" s="21"/>
    </row>
    <row r="2308" spans="1:15" x14ac:dyDescent="0.35">
      <c r="A2308" s="15">
        <f t="shared" si="35"/>
        <v>2306</v>
      </c>
      <c r="B2308" s="16"/>
      <c r="C2308" s="19"/>
      <c r="D2308" s="10"/>
      <c r="E2308" s="10"/>
      <c r="F2308" s="47"/>
      <c r="G2308" s="10"/>
      <c r="H2308" s="20"/>
      <c r="I2308" s="20"/>
      <c r="J2308" s="10"/>
      <c r="K2308" s="10"/>
      <c r="L2308" s="10"/>
      <c r="M2308" s="10"/>
      <c r="N2308" s="10"/>
      <c r="O2308" s="21"/>
    </row>
    <row r="2309" spans="1:15" x14ac:dyDescent="0.35">
      <c r="A2309" s="15">
        <f t="shared" si="35"/>
        <v>2307</v>
      </c>
      <c r="B2309" s="16"/>
      <c r="C2309" s="19"/>
      <c r="D2309" s="10"/>
      <c r="E2309" s="10"/>
      <c r="F2309" s="47"/>
      <c r="G2309" s="10"/>
      <c r="H2309" s="20"/>
      <c r="I2309" s="20"/>
      <c r="J2309" s="10"/>
      <c r="K2309" s="10"/>
      <c r="L2309" s="10"/>
      <c r="M2309" s="10"/>
      <c r="N2309" s="10"/>
      <c r="O2309" s="21"/>
    </row>
    <row r="2310" spans="1:15" x14ac:dyDescent="0.35">
      <c r="A2310" s="15">
        <f t="shared" si="35"/>
        <v>2308</v>
      </c>
      <c r="B2310" s="16"/>
      <c r="C2310" s="19"/>
      <c r="D2310" s="10"/>
      <c r="E2310" s="10"/>
      <c r="F2310" s="47"/>
      <c r="G2310" s="10"/>
      <c r="H2310" s="20"/>
      <c r="I2310" s="20"/>
      <c r="J2310" s="10"/>
      <c r="K2310" s="10"/>
      <c r="L2310" s="10"/>
      <c r="M2310" s="10"/>
      <c r="N2310" s="10"/>
      <c r="O2310" s="21"/>
    </row>
    <row r="2311" spans="1:15" x14ac:dyDescent="0.35">
      <c r="A2311" s="15">
        <f t="shared" si="35"/>
        <v>2309</v>
      </c>
      <c r="B2311" s="16"/>
      <c r="C2311" s="19"/>
      <c r="D2311" s="10"/>
      <c r="E2311" s="10"/>
      <c r="F2311" s="47"/>
      <c r="G2311" s="10"/>
      <c r="H2311" s="20"/>
      <c r="I2311" s="20"/>
      <c r="J2311" s="10"/>
      <c r="K2311" s="10"/>
      <c r="L2311" s="10"/>
      <c r="M2311" s="10"/>
      <c r="N2311" s="10"/>
      <c r="O2311" s="21"/>
    </row>
    <row r="2312" spans="1:15" x14ac:dyDescent="0.35">
      <c r="A2312" s="15">
        <f t="shared" si="35"/>
        <v>2310</v>
      </c>
      <c r="B2312" s="16"/>
      <c r="C2312" s="19"/>
      <c r="D2312" s="10"/>
      <c r="E2312" s="10"/>
      <c r="F2312" s="47"/>
      <c r="G2312" s="10"/>
      <c r="H2312" s="20"/>
      <c r="I2312" s="20"/>
      <c r="J2312" s="10"/>
      <c r="K2312" s="10"/>
      <c r="L2312" s="10"/>
      <c r="M2312" s="10"/>
      <c r="N2312" s="10"/>
      <c r="O2312" s="21"/>
    </row>
    <row r="2313" spans="1:15" x14ac:dyDescent="0.35">
      <c r="A2313" s="15">
        <f t="shared" si="35"/>
        <v>2311</v>
      </c>
      <c r="B2313" s="16"/>
      <c r="C2313" s="19"/>
      <c r="D2313" s="10"/>
      <c r="E2313" s="10"/>
      <c r="F2313" s="47"/>
      <c r="G2313" s="10"/>
      <c r="H2313" s="20"/>
      <c r="I2313" s="20"/>
      <c r="J2313" s="10"/>
      <c r="K2313" s="10"/>
      <c r="L2313" s="10"/>
      <c r="M2313" s="10"/>
      <c r="N2313" s="10"/>
      <c r="O2313" s="21"/>
    </row>
    <row r="2314" spans="1:15" x14ac:dyDescent="0.35">
      <c r="A2314" s="15">
        <f t="shared" si="35"/>
        <v>2312</v>
      </c>
      <c r="B2314" s="16"/>
      <c r="C2314" s="19"/>
      <c r="D2314" s="10"/>
      <c r="E2314" s="10"/>
      <c r="F2314" s="47"/>
      <c r="G2314" s="10"/>
      <c r="H2314" s="20"/>
      <c r="I2314" s="20"/>
      <c r="J2314" s="10"/>
      <c r="K2314" s="10"/>
      <c r="L2314" s="10"/>
      <c r="M2314" s="10"/>
      <c r="N2314" s="10"/>
      <c r="O2314" s="21"/>
    </row>
    <row r="2315" spans="1:15" x14ac:dyDescent="0.35">
      <c r="A2315" s="15">
        <f t="shared" ref="A2315:A2378" si="36">+A2314+1</f>
        <v>2313</v>
      </c>
      <c r="B2315" s="16"/>
      <c r="C2315" s="19"/>
      <c r="D2315" s="10"/>
      <c r="E2315" s="10"/>
      <c r="F2315" s="47"/>
      <c r="G2315" s="10"/>
      <c r="H2315" s="20"/>
      <c r="I2315" s="20"/>
      <c r="J2315" s="10"/>
      <c r="K2315" s="10"/>
      <c r="L2315" s="10"/>
      <c r="M2315" s="10"/>
      <c r="N2315" s="10"/>
      <c r="O2315" s="21"/>
    </row>
    <row r="2316" spans="1:15" x14ac:dyDescent="0.35">
      <c r="A2316" s="15">
        <f t="shared" si="36"/>
        <v>2314</v>
      </c>
      <c r="B2316" s="16"/>
      <c r="C2316" s="19"/>
      <c r="D2316" s="10"/>
      <c r="E2316" s="10"/>
      <c r="F2316" s="47"/>
      <c r="G2316" s="10"/>
      <c r="H2316" s="20"/>
      <c r="I2316" s="20"/>
      <c r="J2316" s="10"/>
      <c r="K2316" s="10"/>
      <c r="L2316" s="10"/>
      <c r="M2316" s="10"/>
      <c r="N2316" s="10"/>
      <c r="O2316" s="21"/>
    </row>
    <row r="2317" spans="1:15" x14ac:dyDescent="0.35">
      <c r="A2317" s="15">
        <f t="shared" si="36"/>
        <v>2315</v>
      </c>
      <c r="B2317" s="16"/>
      <c r="C2317" s="19"/>
      <c r="D2317" s="10"/>
      <c r="E2317" s="10"/>
      <c r="F2317" s="47"/>
      <c r="G2317" s="10"/>
      <c r="H2317" s="20"/>
      <c r="I2317" s="20"/>
      <c r="J2317" s="10"/>
      <c r="K2317" s="10"/>
      <c r="L2317" s="10"/>
      <c r="M2317" s="10"/>
      <c r="N2317" s="10"/>
      <c r="O2317" s="21"/>
    </row>
    <row r="2318" spans="1:15" x14ac:dyDescent="0.35">
      <c r="A2318" s="15">
        <f t="shared" si="36"/>
        <v>2316</v>
      </c>
      <c r="B2318" s="16"/>
      <c r="C2318" s="19"/>
      <c r="D2318" s="10"/>
      <c r="E2318" s="10"/>
      <c r="F2318" s="47"/>
      <c r="G2318" s="10"/>
      <c r="H2318" s="20"/>
      <c r="I2318" s="20"/>
      <c r="J2318" s="10"/>
      <c r="K2318" s="10"/>
      <c r="L2318" s="10"/>
      <c r="M2318" s="10"/>
      <c r="N2318" s="10"/>
      <c r="O2318" s="21"/>
    </row>
    <row r="2319" spans="1:15" x14ac:dyDescent="0.35">
      <c r="A2319" s="15">
        <f t="shared" si="36"/>
        <v>2317</v>
      </c>
      <c r="B2319" s="16"/>
      <c r="C2319" s="19"/>
      <c r="D2319" s="10"/>
      <c r="E2319" s="10"/>
      <c r="F2319" s="47"/>
      <c r="G2319" s="10"/>
      <c r="H2319" s="20"/>
      <c r="I2319" s="20"/>
      <c r="J2319" s="10"/>
      <c r="K2319" s="10"/>
      <c r="L2319" s="10"/>
      <c r="M2319" s="10"/>
      <c r="N2319" s="10"/>
      <c r="O2319" s="21"/>
    </row>
    <row r="2320" spans="1:15" x14ac:dyDescent="0.35">
      <c r="A2320" s="15">
        <f t="shared" si="36"/>
        <v>2318</v>
      </c>
      <c r="B2320" s="16"/>
      <c r="C2320" s="19"/>
      <c r="D2320" s="10"/>
      <c r="E2320" s="10"/>
      <c r="F2320" s="47"/>
      <c r="G2320" s="10"/>
      <c r="H2320" s="20"/>
      <c r="I2320" s="20"/>
      <c r="J2320" s="10"/>
      <c r="K2320" s="10"/>
      <c r="L2320" s="10"/>
      <c r="M2320" s="10"/>
      <c r="N2320" s="10"/>
      <c r="O2320" s="21"/>
    </row>
    <row r="2321" spans="1:15" x14ac:dyDescent="0.35">
      <c r="A2321" s="15">
        <f t="shared" si="36"/>
        <v>2319</v>
      </c>
      <c r="B2321" s="16"/>
      <c r="C2321" s="19"/>
      <c r="D2321" s="10"/>
      <c r="E2321" s="10"/>
      <c r="F2321" s="47"/>
      <c r="G2321" s="10"/>
      <c r="H2321" s="20"/>
      <c r="I2321" s="20"/>
      <c r="J2321" s="10"/>
      <c r="K2321" s="10"/>
      <c r="L2321" s="10"/>
      <c r="M2321" s="10"/>
      <c r="N2321" s="10"/>
      <c r="O2321" s="21"/>
    </row>
    <row r="2322" spans="1:15" x14ac:dyDescent="0.35">
      <c r="A2322" s="15">
        <f t="shared" si="36"/>
        <v>2320</v>
      </c>
      <c r="B2322" s="16"/>
      <c r="C2322" s="19"/>
      <c r="D2322" s="10"/>
      <c r="E2322" s="10"/>
      <c r="F2322" s="47"/>
      <c r="G2322" s="10"/>
      <c r="H2322" s="20"/>
      <c r="I2322" s="20"/>
      <c r="J2322" s="10"/>
      <c r="K2322" s="10"/>
      <c r="L2322" s="10"/>
      <c r="M2322" s="10"/>
      <c r="N2322" s="10"/>
      <c r="O2322" s="21"/>
    </row>
    <row r="2323" spans="1:15" x14ac:dyDescent="0.35">
      <c r="A2323" s="15">
        <f t="shared" si="36"/>
        <v>2321</v>
      </c>
      <c r="B2323" s="16"/>
      <c r="C2323" s="19"/>
      <c r="D2323" s="10"/>
      <c r="E2323" s="10"/>
      <c r="F2323" s="47"/>
      <c r="G2323" s="10"/>
      <c r="H2323" s="20"/>
      <c r="I2323" s="20"/>
      <c r="J2323" s="10"/>
      <c r="K2323" s="10"/>
      <c r="L2323" s="10"/>
      <c r="M2323" s="10"/>
      <c r="N2323" s="10"/>
      <c r="O2323" s="21"/>
    </row>
    <row r="2324" spans="1:15" x14ac:dyDescent="0.35">
      <c r="A2324" s="15">
        <f t="shared" si="36"/>
        <v>2322</v>
      </c>
      <c r="B2324" s="16"/>
      <c r="C2324" s="19"/>
      <c r="D2324" s="10"/>
      <c r="E2324" s="10"/>
      <c r="F2324" s="47"/>
      <c r="G2324" s="10"/>
      <c r="H2324" s="20"/>
      <c r="I2324" s="20"/>
      <c r="J2324" s="10"/>
      <c r="K2324" s="10"/>
      <c r="L2324" s="10"/>
      <c r="M2324" s="10"/>
      <c r="N2324" s="10"/>
      <c r="O2324" s="21"/>
    </row>
    <row r="2325" spans="1:15" x14ac:dyDescent="0.35">
      <c r="A2325" s="15">
        <f t="shared" si="36"/>
        <v>2323</v>
      </c>
      <c r="B2325" s="16"/>
      <c r="C2325" s="19"/>
      <c r="D2325" s="10"/>
      <c r="E2325" s="10"/>
      <c r="F2325" s="47"/>
      <c r="G2325" s="10"/>
      <c r="H2325" s="20"/>
      <c r="I2325" s="20"/>
      <c r="J2325" s="10"/>
      <c r="K2325" s="10"/>
      <c r="L2325" s="10"/>
      <c r="M2325" s="10"/>
      <c r="N2325" s="10"/>
      <c r="O2325" s="21"/>
    </row>
    <row r="2326" spans="1:15" x14ac:dyDescent="0.35">
      <c r="A2326" s="15">
        <f t="shared" si="36"/>
        <v>2324</v>
      </c>
      <c r="B2326" s="16"/>
      <c r="C2326" s="19"/>
      <c r="D2326" s="10"/>
      <c r="E2326" s="10"/>
      <c r="F2326" s="47"/>
      <c r="G2326" s="10"/>
      <c r="H2326" s="20"/>
      <c r="I2326" s="20"/>
      <c r="J2326" s="10"/>
      <c r="K2326" s="10"/>
      <c r="L2326" s="10"/>
      <c r="M2326" s="10"/>
      <c r="N2326" s="10"/>
      <c r="O2326" s="21"/>
    </row>
    <row r="2327" spans="1:15" x14ac:dyDescent="0.35">
      <c r="A2327" s="15">
        <f t="shared" si="36"/>
        <v>2325</v>
      </c>
      <c r="B2327" s="16"/>
      <c r="C2327" s="19"/>
      <c r="D2327" s="10"/>
      <c r="E2327" s="10"/>
      <c r="F2327" s="47"/>
      <c r="G2327" s="10"/>
      <c r="H2327" s="20"/>
      <c r="I2327" s="20"/>
      <c r="J2327" s="10"/>
      <c r="K2327" s="10"/>
      <c r="L2327" s="10"/>
      <c r="M2327" s="10"/>
      <c r="N2327" s="10"/>
      <c r="O2327" s="21"/>
    </row>
    <row r="2328" spans="1:15" x14ac:dyDescent="0.35">
      <c r="A2328" s="15">
        <f t="shared" si="36"/>
        <v>2326</v>
      </c>
      <c r="B2328" s="16"/>
      <c r="C2328" s="19"/>
      <c r="D2328" s="10"/>
      <c r="E2328" s="10"/>
      <c r="F2328" s="47"/>
      <c r="G2328" s="10"/>
      <c r="H2328" s="20"/>
      <c r="I2328" s="20"/>
      <c r="J2328" s="10"/>
      <c r="K2328" s="10"/>
      <c r="L2328" s="10"/>
      <c r="M2328" s="10"/>
      <c r="N2328" s="10"/>
      <c r="O2328" s="21"/>
    </row>
    <row r="2329" spans="1:15" x14ac:dyDescent="0.35">
      <c r="A2329" s="15">
        <f t="shared" si="36"/>
        <v>2327</v>
      </c>
      <c r="B2329" s="16"/>
      <c r="C2329" s="19"/>
      <c r="D2329" s="10"/>
      <c r="E2329" s="10"/>
      <c r="F2329" s="47"/>
      <c r="G2329" s="10"/>
      <c r="H2329" s="20"/>
      <c r="I2329" s="20"/>
      <c r="J2329" s="10"/>
      <c r="K2329" s="10"/>
      <c r="L2329" s="10"/>
      <c r="M2329" s="10"/>
      <c r="N2329" s="10"/>
      <c r="O2329" s="21"/>
    </row>
    <row r="2330" spans="1:15" x14ac:dyDescent="0.35">
      <c r="A2330" s="15">
        <f t="shared" si="36"/>
        <v>2328</v>
      </c>
      <c r="B2330" s="16"/>
      <c r="C2330" s="19"/>
      <c r="D2330" s="10"/>
      <c r="E2330" s="10"/>
      <c r="F2330" s="47"/>
      <c r="G2330" s="10"/>
      <c r="H2330" s="20"/>
      <c r="I2330" s="20"/>
      <c r="J2330" s="10"/>
      <c r="K2330" s="10"/>
      <c r="L2330" s="10"/>
      <c r="M2330" s="10"/>
      <c r="N2330" s="10"/>
      <c r="O2330" s="21"/>
    </row>
    <row r="2331" spans="1:15" x14ac:dyDescent="0.35">
      <c r="A2331" s="15">
        <f t="shared" si="36"/>
        <v>2329</v>
      </c>
      <c r="B2331" s="16"/>
      <c r="C2331" s="19"/>
      <c r="D2331" s="10"/>
      <c r="E2331" s="10"/>
      <c r="F2331" s="47"/>
      <c r="G2331" s="10"/>
      <c r="H2331" s="20"/>
      <c r="I2331" s="20"/>
      <c r="J2331" s="10"/>
      <c r="K2331" s="10"/>
      <c r="L2331" s="10"/>
      <c r="M2331" s="10"/>
      <c r="N2331" s="10"/>
      <c r="O2331" s="21"/>
    </row>
    <row r="2332" spans="1:15" x14ac:dyDescent="0.35">
      <c r="A2332" s="15">
        <f t="shared" si="36"/>
        <v>2330</v>
      </c>
      <c r="B2332" s="16"/>
      <c r="C2332" s="19"/>
      <c r="D2332" s="10"/>
      <c r="E2332" s="10"/>
      <c r="F2332" s="47"/>
      <c r="G2332" s="10"/>
      <c r="H2332" s="20"/>
      <c r="I2332" s="20"/>
      <c r="J2332" s="10"/>
      <c r="K2332" s="10"/>
      <c r="L2332" s="10"/>
      <c r="M2332" s="10"/>
      <c r="N2332" s="10"/>
      <c r="O2332" s="21"/>
    </row>
    <row r="2333" spans="1:15" x14ac:dyDescent="0.35">
      <c r="A2333" s="15">
        <f t="shared" si="36"/>
        <v>2331</v>
      </c>
      <c r="B2333" s="16"/>
      <c r="C2333" s="19"/>
      <c r="D2333" s="10"/>
      <c r="E2333" s="10"/>
      <c r="F2333" s="47"/>
      <c r="G2333" s="10"/>
      <c r="H2333" s="20"/>
      <c r="I2333" s="20"/>
      <c r="J2333" s="10"/>
      <c r="K2333" s="10"/>
      <c r="L2333" s="10"/>
      <c r="M2333" s="10"/>
      <c r="N2333" s="10"/>
      <c r="O2333" s="21"/>
    </row>
    <row r="2334" spans="1:15" x14ac:dyDescent="0.35">
      <c r="A2334" s="15">
        <f t="shared" si="36"/>
        <v>2332</v>
      </c>
      <c r="B2334" s="16"/>
      <c r="C2334" s="19"/>
      <c r="D2334" s="10"/>
      <c r="E2334" s="10"/>
      <c r="F2334" s="47"/>
      <c r="G2334" s="10"/>
      <c r="H2334" s="20"/>
      <c r="I2334" s="20"/>
      <c r="J2334" s="10"/>
      <c r="K2334" s="10"/>
      <c r="L2334" s="10"/>
      <c r="M2334" s="10"/>
      <c r="N2334" s="10"/>
      <c r="O2334" s="21"/>
    </row>
    <row r="2335" spans="1:15" x14ac:dyDescent="0.35">
      <c r="A2335" s="15">
        <f t="shared" si="36"/>
        <v>2333</v>
      </c>
      <c r="B2335" s="16"/>
      <c r="C2335" s="19"/>
      <c r="D2335" s="10"/>
      <c r="E2335" s="10"/>
      <c r="F2335" s="47"/>
      <c r="G2335" s="10"/>
      <c r="H2335" s="20"/>
      <c r="I2335" s="20"/>
      <c r="J2335" s="10"/>
      <c r="K2335" s="10"/>
      <c r="L2335" s="10"/>
      <c r="M2335" s="10"/>
      <c r="N2335" s="10"/>
      <c r="O2335" s="21"/>
    </row>
    <row r="2336" spans="1:15" x14ac:dyDescent="0.35">
      <c r="A2336" s="15">
        <f t="shared" si="36"/>
        <v>2334</v>
      </c>
      <c r="B2336" s="16"/>
      <c r="C2336" s="19"/>
      <c r="D2336" s="10"/>
      <c r="E2336" s="10"/>
      <c r="F2336" s="47"/>
      <c r="G2336" s="10"/>
      <c r="H2336" s="20"/>
      <c r="I2336" s="20"/>
      <c r="J2336" s="10"/>
      <c r="K2336" s="10"/>
      <c r="L2336" s="10"/>
      <c r="M2336" s="10"/>
      <c r="N2336" s="10"/>
      <c r="O2336" s="21"/>
    </row>
    <row r="2337" spans="1:15" x14ac:dyDescent="0.35">
      <c r="A2337" s="15">
        <f t="shared" si="36"/>
        <v>2335</v>
      </c>
      <c r="B2337" s="16"/>
      <c r="C2337" s="19"/>
      <c r="D2337" s="10"/>
      <c r="E2337" s="10"/>
      <c r="F2337" s="47"/>
      <c r="G2337" s="10"/>
      <c r="H2337" s="20"/>
      <c r="I2337" s="20"/>
      <c r="J2337" s="10"/>
      <c r="K2337" s="10"/>
      <c r="L2337" s="10"/>
      <c r="M2337" s="10"/>
      <c r="N2337" s="10"/>
      <c r="O2337" s="21"/>
    </row>
    <row r="2338" spans="1:15" x14ac:dyDescent="0.35">
      <c r="A2338" s="15">
        <f t="shared" si="36"/>
        <v>2336</v>
      </c>
      <c r="B2338" s="16"/>
      <c r="C2338" s="19"/>
      <c r="D2338" s="10"/>
      <c r="E2338" s="10"/>
      <c r="F2338" s="47"/>
      <c r="G2338" s="10"/>
      <c r="H2338" s="20"/>
      <c r="I2338" s="20"/>
      <c r="J2338" s="10"/>
      <c r="K2338" s="10"/>
      <c r="L2338" s="10"/>
      <c r="M2338" s="10"/>
      <c r="N2338" s="10"/>
      <c r="O2338" s="21"/>
    </row>
    <row r="2339" spans="1:15" x14ac:dyDescent="0.35">
      <c r="A2339" s="15">
        <f t="shared" si="36"/>
        <v>2337</v>
      </c>
      <c r="B2339" s="16"/>
      <c r="C2339" s="19"/>
      <c r="D2339" s="10"/>
      <c r="E2339" s="10"/>
      <c r="F2339" s="47"/>
      <c r="G2339" s="10"/>
      <c r="H2339" s="20"/>
      <c r="I2339" s="20"/>
      <c r="J2339" s="10"/>
      <c r="K2339" s="10"/>
      <c r="L2339" s="10"/>
      <c r="M2339" s="10"/>
      <c r="N2339" s="10"/>
      <c r="O2339" s="21"/>
    </row>
    <row r="2340" spans="1:15" x14ac:dyDescent="0.35">
      <c r="A2340" s="15">
        <f t="shared" si="36"/>
        <v>2338</v>
      </c>
      <c r="B2340" s="16"/>
      <c r="C2340" s="19"/>
      <c r="D2340" s="10"/>
      <c r="E2340" s="10"/>
      <c r="F2340" s="47"/>
      <c r="G2340" s="10"/>
      <c r="H2340" s="20"/>
      <c r="I2340" s="20"/>
      <c r="J2340" s="10"/>
      <c r="K2340" s="10"/>
      <c r="L2340" s="10"/>
      <c r="M2340" s="10"/>
      <c r="N2340" s="10"/>
      <c r="O2340" s="21"/>
    </row>
    <row r="2341" spans="1:15" x14ac:dyDescent="0.35">
      <c r="A2341" s="15">
        <f t="shared" si="36"/>
        <v>2339</v>
      </c>
      <c r="B2341" s="16"/>
      <c r="C2341" s="19"/>
      <c r="D2341" s="10"/>
      <c r="E2341" s="10"/>
      <c r="F2341" s="47"/>
      <c r="G2341" s="10"/>
      <c r="H2341" s="20"/>
      <c r="I2341" s="20"/>
      <c r="J2341" s="10"/>
      <c r="K2341" s="10"/>
      <c r="L2341" s="10"/>
      <c r="M2341" s="10"/>
      <c r="N2341" s="10"/>
      <c r="O2341" s="21"/>
    </row>
    <row r="2342" spans="1:15" x14ac:dyDescent="0.35">
      <c r="A2342" s="15">
        <f t="shared" si="36"/>
        <v>2340</v>
      </c>
      <c r="B2342" s="16"/>
      <c r="C2342" s="19"/>
      <c r="D2342" s="10"/>
      <c r="E2342" s="10"/>
      <c r="F2342" s="47"/>
      <c r="G2342" s="10"/>
      <c r="H2342" s="20"/>
      <c r="I2342" s="20"/>
      <c r="J2342" s="10"/>
      <c r="K2342" s="10"/>
      <c r="L2342" s="10"/>
      <c r="M2342" s="10"/>
      <c r="N2342" s="10"/>
      <c r="O2342" s="21"/>
    </row>
    <row r="2343" spans="1:15" x14ac:dyDescent="0.35">
      <c r="A2343" s="15">
        <f t="shared" si="36"/>
        <v>2341</v>
      </c>
      <c r="B2343" s="16"/>
      <c r="C2343" s="19"/>
      <c r="D2343" s="10"/>
      <c r="E2343" s="10"/>
      <c r="F2343" s="47"/>
      <c r="G2343" s="10"/>
      <c r="H2343" s="20"/>
      <c r="I2343" s="20"/>
      <c r="J2343" s="10"/>
      <c r="K2343" s="10"/>
      <c r="L2343" s="10"/>
      <c r="M2343" s="10"/>
      <c r="N2343" s="10"/>
      <c r="O2343" s="21"/>
    </row>
    <row r="2344" spans="1:15" x14ac:dyDescent="0.35">
      <c r="A2344" s="15">
        <f t="shared" si="36"/>
        <v>2342</v>
      </c>
      <c r="B2344" s="16"/>
      <c r="C2344" s="19"/>
      <c r="D2344" s="10"/>
      <c r="E2344" s="10"/>
      <c r="F2344" s="47"/>
      <c r="G2344" s="10"/>
      <c r="H2344" s="20"/>
      <c r="I2344" s="20"/>
      <c r="J2344" s="10"/>
      <c r="K2344" s="10"/>
      <c r="L2344" s="10"/>
      <c r="M2344" s="10"/>
      <c r="N2344" s="10"/>
      <c r="O2344" s="21"/>
    </row>
    <row r="2345" spans="1:15" x14ac:dyDescent="0.35">
      <c r="A2345" s="15">
        <f t="shared" si="36"/>
        <v>2343</v>
      </c>
      <c r="B2345" s="16"/>
      <c r="C2345" s="19"/>
      <c r="D2345" s="10"/>
      <c r="E2345" s="10"/>
      <c r="F2345" s="47"/>
      <c r="G2345" s="10"/>
      <c r="H2345" s="20"/>
      <c r="I2345" s="20"/>
      <c r="J2345" s="10"/>
      <c r="K2345" s="10"/>
      <c r="L2345" s="10"/>
      <c r="M2345" s="10"/>
      <c r="N2345" s="10"/>
      <c r="O2345" s="21"/>
    </row>
    <row r="2346" spans="1:15" x14ac:dyDescent="0.35">
      <c r="A2346" s="15">
        <f t="shared" si="36"/>
        <v>2344</v>
      </c>
      <c r="B2346" s="16"/>
      <c r="C2346" s="19"/>
      <c r="D2346" s="10"/>
      <c r="E2346" s="10"/>
      <c r="F2346" s="47"/>
      <c r="G2346" s="10"/>
      <c r="H2346" s="20"/>
      <c r="I2346" s="20"/>
      <c r="J2346" s="10"/>
      <c r="K2346" s="10"/>
      <c r="L2346" s="10"/>
      <c r="M2346" s="10"/>
      <c r="N2346" s="10"/>
      <c r="O2346" s="21"/>
    </row>
    <row r="2347" spans="1:15" x14ac:dyDescent="0.35">
      <c r="A2347" s="15">
        <f t="shared" si="36"/>
        <v>2345</v>
      </c>
      <c r="B2347" s="16"/>
      <c r="C2347" s="19"/>
      <c r="D2347" s="10"/>
      <c r="E2347" s="10"/>
      <c r="F2347" s="47"/>
      <c r="G2347" s="10"/>
      <c r="H2347" s="20"/>
      <c r="I2347" s="20"/>
      <c r="J2347" s="10"/>
      <c r="K2347" s="10"/>
      <c r="L2347" s="10"/>
      <c r="M2347" s="10"/>
      <c r="N2347" s="10"/>
      <c r="O2347" s="21"/>
    </row>
    <row r="2348" spans="1:15" x14ac:dyDescent="0.35">
      <c r="A2348" s="15">
        <f t="shared" si="36"/>
        <v>2346</v>
      </c>
      <c r="B2348" s="16"/>
      <c r="C2348" s="19"/>
      <c r="D2348" s="10"/>
      <c r="E2348" s="10"/>
      <c r="F2348" s="47"/>
      <c r="G2348" s="10"/>
      <c r="H2348" s="20"/>
      <c r="I2348" s="20"/>
      <c r="J2348" s="10"/>
      <c r="K2348" s="10"/>
      <c r="L2348" s="10"/>
      <c r="M2348" s="10"/>
      <c r="N2348" s="10"/>
      <c r="O2348" s="21"/>
    </row>
    <row r="2349" spans="1:15" x14ac:dyDescent="0.35">
      <c r="A2349" s="15">
        <f t="shared" si="36"/>
        <v>2347</v>
      </c>
      <c r="B2349" s="16"/>
      <c r="C2349" s="19"/>
      <c r="D2349" s="10"/>
      <c r="E2349" s="10"/>
      <c r="F2349" s="47"/>
      <c r="G2349" s="10"/>
      <c r="H2349" s="20"/>
      <c r="I2349" s="20"/>
      <c r="J2349" s="10"/>
      <c r="K2349" s="10"/>
      <c r="L2349" s="10"/>
      <c r="M2349" s="10"/>
      <c r="N2349" s="10"/>
      <c r="O2349" s="21"/>
    </row>
    <row r="2350" spans="1:15" x14ac:dyDescent="0.35">
      <c r="A2350" s="15">
        <f t="shared" si="36"/>
        <v>2348</v>
      </c>
      <c r="B2350" s="16"/>
      <c r="C2350" s="19"/>
      <c r="D2350" s="10"/>
      <c r="E2350" s="10"/>
      <c r="F2350" s="47"/>
      <c r="G2350" s="10"/>
      <c r="H2350" s="20"/>
      <c r="I2350" s="20"/>
      <c r="J2350" s="10"/>
      <c r="K2350" s="10"/>
      <c r="L2350" s="10"/>
      <c r="M2350" s="10"/>
      <c r="N2350" s="10"/>
      <c r="O2350" s="21"/>
    </row>
    <row r="2351" spans="1:15" x14ac:dyDescent="0.35">
      <c r="A2351" s="15">
        <f t="shared" si="36"/>
        <v>2349</v>
      </c>
      <c r="B2351" s="16"/>
      <c r="C2351" s="19"/>
      <c r="D2351" s="10"/>
      <c r="E2351" s="10"/>
      <c r="F2351" s="47"/>
      <c r="G2351" s="10"/>
      <c r="H2351" s="20"/>
      <c r="I2351" s="20"/>
      <c r="J2351" s="10"/>
      <c r="K2351" s="10"/>
      <c r="L2351" s="10"/>
      <c r="M2351" s="10"/>
      <c r="N2351" s="10"/>
      <c r="O2351" s="21"/>
    </row>
    <row r="2352" spans="1:15" x14ac:dyDescent="0.35">
      <c r="A2352" s="15">
        <f t="shared" si="36"/>
        <v>2350</v>
      </c>
      <c r="B2352" s="16"/>
      <c r="C2352" s="19"/>
      <c r="D2352" s="10"/>
      <c r="E2352" s="10"/>
      <c r="F2352" s="47"/>
      <c r="G2352" s="10"/>
      <c r="H2352" s="20"/>
      <c r="I2352" s="20"/>
      <c r="J2352" s="10"/>
      <c r="K2352" s="10"/>
      <c r="L2352" s="10"/>
      <c r="M2352" s="10"/>
      <c r="N2352" s="10"/>
      <c r="O2352" s="21"/>
    </row>
    <row r="2353" spans="1:15" x14ac:dyDescent="0.35">
      <c r="A2353" s="15">
        <f t="shared" si="36"/>
        <v>2351</v>
      </c>
      <c r="B2353" s="16"/>
      <c r="C2353" s="19"/>
      <c r="D2353" s="10"/>
      <c r="E2353" s="10"/>
      <c r="F2353" s="47"/>
      <c r="G2353" s="10"/>
      <c r="H2353" s="20"/>
      <c r="I2353" s="20"/>
      <c r="J2353" s="10"/>
      <c r="K2353" s="10"/>
      <c r="L2353" s="10"/>
      <c r="M2353" s="10"/>
      <c r="N2353" s="10"/>
      <c r="O2353" s="21"/>
    </row>
    <row r="2354" spans="1:15" x14ac:dyDescent="0.35">
      <c r="A2354" s="15">
        <f t="shared" si="36"/>
        <v>2352</v>
      </c>
      <c r="B2354" s="16"/>
      <c r="C2354" s="19"/>
      <c r="D2354" s="10"/>
      <c r="E2354" s="10"/>
      <c r="F2354" s="47"/>
      <c r="G2354" s="10"/>
      <c r="H2354" s="20"/>
      <c r="I2354" s="20"/>
      <c r="J2354" s="10"/>
      <c r="K2354" s="10"/>
      <c r="L2354" s="10"/>
      <c r="M2354" s="10"/>
      <c r="N2354" s="10"/>
      <c r="O2354" s="21"/>
    </row>
    <row r="2355" spans="1:15" x14ac:dyDescent="0.35">
      <c r="A2355" s="15">
        <f t="shared" si="36"/>
        <v>2353</v>
      </c>
      <c r="B2355" s="16"/>
      <c r="C2355" s="19"/>
      <c r="D2355" s="10"/>
      <c r="E2355" s="10"/>
      <c r="F2355" s="47"/>
      <c r="G2355" s="10"/>
      <c r="H2355" s="20"/>
      <c r="I2355" s="20"/>
      <c r="J2355" s="10"/>
      <c r="K2355" s="10"/>
      <c r="L2355" s="10"/>
      <c r="M2355" s="10"/>
      <c r="N2355" s="10"/>
      <c r="O2355" s="21"/>
    </row>
    <row r="2356" spans="1:15" x14ac:dyDescent="0.35">
      <c r="A2356" s="15">
        <f t="shared" si="36"/>
        <v>2354</v>
      </c>
      <c r="B2356" s="16"/>
      <c r="C2356" s="19"/>
      <c r="D2356" s="10"/>
      <c r="E2356" s="10"/>
      <c r="F2356" s="47"/>
      <c r="G2356" s="10"/>
      <c r="H2356" s="20"/>
      <c r="I2356" s="20"/>
      <c r="J2356" s="10"/>
      <c r="K2356" s="10"/>
      <c r="L2356" s="10"/>
      <c r="M2356" s="10"/>
      <c r="N2356" s="10"/>
      <c r="O2356" s="21"/>
    </row>
    <row r="2357" spans="1:15" x14ac:dyDescent="0.35">
      <c r="A2357" s="15">
        <f t="shared" si="36"/>
        <v>2355</v>
      </c>
      <c r="B2357" s="16"/>
      <c r="C2357" s="19"/>
      <c r="D2357" s="10"/>
      <c r="E2357" s="10"/>
      <c r="F2357" s="47"/>
      <c r="G2357" s="10"/>
      <c r="H2357" s="20"/>
      <c r="I2357" s="20"/>
      <c r="J2357" s="10"/>
      <c r="K2357" s="10"/>
      <c r="L2357" s="10"/>
      <c r="M2357" s="10"/>
      <c r="N2357" s="10"/>
      <c r="O2357" s="21"/>
    </row>
    <row r="2358" spans="1:15" x14ac:dyDescent="0.35">
      <c r="A2358" s="15">
        <f t="shared" si="36"/>
        <v>2356</v>
      </c>
      <c r="B2358" s="16"/>
      <c r="C2358" s="19"/>
      <c r="D2358" s="10"/>
      <c r="E2358" s="10"/>
      <c r="F2358" s="47"/>
      <c r="G2358" s="10"/>
      <c r="H2358" s="20"/>
      <c r="I2358" s="20"/>
      <c r="J2358" s="10"/>
      <c r="K2358" s="10"/>
      <c r="L2358" s="10"/>
      <c r="M2358" s="10"/>
      <c r="N2358" s="10"/>
      <c r="O2358" s="21"/>
    </row>
    <row r="2359" spans="1:15" x14ac:dyDescent="0.35">
      <c r="A2359" s="15">
        <f t="shared" si="36"/>
        <v>2357</v>
      </c>
      <c r="B2359" s="16"/>
      <c r="C2359" s="19"/>
      <c r="D2359" s="10"/>
      <c r="E2359" s="10"/>
      <c r="F2359" s="47"/>
      <c r="G2359" s="10"/>
      <c r="H2359" s="20"/>
      <c r="I2359" s="20"/>
      <c r="J2359" s="10"/>
      <c r="K2359" s="10"/>
      <c r="L2359" s="10"/>
      <c r="M2359" s="10"/>
      <c r="N2359" s="10"/>
      <c r="O2359" s="21"/>
    </row>
    <row r="2360" spans="1:15" x14ac:dyDescent="0.35">
      <c r="A2360" s="15">
        <f t="shared" si="36"/>
        <v>2358</v>
      </c>
      <c r="B2360" s="16"/>
      <c r="C2360" s="19"/>
      <c r="D2360" s="10"/>
      <c r="E2360" s="10"/>
      <c r="F2360" s="47"/>
      <c r="G2360" s="10"/>
      <c r="H2360" s="20"/>
      <c r="I2360" s="20"/>
      <c r="J2360" s="10"/>
      <c r="K2360" s="10"/>
      <c r="L2360" s="10"/>
      <c r="M2360" s="10"/>
      <c r="N2360" s="10"/>
      <c r="O2360" s="21"/>
    </row>
    <row r="2361" spans="1:15" x14ac:dyDescent="0.35">
      <c r="A2361" s="15">
        <f t="shared" si="36"/>
        <v>2359</v>
      </c>
      <c r="B2361" s="16"/>
      <c r="C2361" s="19"/>
      <c r="D2361" s="10"/>
      <c r="E2361" s="10"/>
      <c r="F2361" s="47"/>
      <c r="G2361" s="10"/>
      <c r="H2361" s="20"/>
      <c r="I2361" s="20"/>
      <c r="J2361" s="10"/>
      <c r="K2361" s="10"/>
      <c r="L2361" s="10"/>
      <c r="M2361" s="10"/>
      <c r="N2361" s="10"/>
      <c r="O2361" s="21"/>
    </row>
    <row r="2362" spans="1:15" x14ac:dyDescent="0.35">
      <c r="A2362" s="15">
        <f t="shared" si="36"/>
        <v>2360</v>
      </c>
      <c r="B2362" s="16"/>
      <c r="C2362" s="19"/>
      <c r="D2362" s="10"/>
      <c r="E2362" s="10"/>
      <c r="F2362" s="47"/>
      <c r="G2362" s="10"/>
      <c r="H2362" s="20"/>
      <c r="I2362" s="20"/>
      <c r="J2362" s="10"/>
      <c r="K2362" s="10"/>
      <c r="L2362" s="10"/>
      <c r="M2362" s="10"/>
      <c r="N2362" s="10"/>
      <c r="O2362" s="21"/>
    </row>
    <row r="2363" spans="1:15" x14ac:dyDescent="0.35">
      <c r="A2363" s="15">
        <f t="shared" si="36"/>
        <v>2361</v>
      </c>
      <c r="B2363" s="16"/>
      <c r="C2363" s="19"/>
      <c r="D2363" s="10"/>
      <c r="E2363" s="10"/>
      <c r="F2363" s="47"/>
      <c r="G2363" s="10"/>
      <c r="H2363" s="20"/>
      <c r="I2363" s="20"/>
      <c r="J2363" s="10"/>
      <c r="K2363" s="10"/>
      <c r="L2363" s="10"/>
      <c r="M2363" s="10"/>
      <c r="N2363" s="10"/>
      <c r="O2363" s="21"/>
    </row>
    <row r="2364" spans="1:15" x14ac:dyDescent="0.35">
      <c r="A2364" s="15">
        <f t="shared" si="36"/>
        <v>2362</v>
      </c>
      <c r="B2364" s="16"/>
      <c r="C2364" s="19"/>
      <c r="D2364" s="10"/>
      <c r="E2364" s="10"/>
      <c r="F2364" s="47"/>
      <c r="G2364" s="10"/>
      <c r="H2364" s="20"/>
      <c r="I2364" s="20"/>
      <c r="J2364" s="10"/>
      <c r="K2364" s="10"/>
      <c r="L2364" s="10"/>
      <c r="M2364" s="10"/>
      <c r="N2364" s="10"/>
      <c r="O2364" s="21"/>
    </row>
    <row r="2365" spans="1:15" x14ac:dyDescent="0.35">
      <c r="A2365" s="15">
        <f t="shared" si="36"/>
        <v>2363</v>
      </c>
      <c r="B2365" s="16"/>
      <c r="C2365" s="19"/>
      <c r="D2365" s="10"/>
      <c r="E2365" s="10"/>
      <c r="F2365" s="47"/>
      <c r="G2365" s="10"/>
      <c r="H2365" s="20"/>
      <c r="I2365" s="20"/>
      <c r="J2365" s="10"/>
      <c r="K2365" s="10"/>
      <c r="L2365" s="10"/>
      <c r="M2365" s="10"/>
      <c r="N2365" s="10"/>
      <c r="O2365" s="21"/>
    </row>
    <row r="2366" spans="1:15" x14ac:dyDescent="0.35">
      <c r="A2366" s="15">
        <f t="shared" si="36"/>
        <v>2364</v>
      </c>
      <c r="B2366" s="16"/>
      <c r="C2366" s="19"/>
      <c r="D2366" s="10"/>
      <c r="E2366" s="10"/>
      <c r="F2366" s="47"/>
      <c r="G2366" s="10"/>
      <c r="H2366" s="20"/>
      <c r="I2366" s="20"/>
      <c r="J2366" s="10"/>
      <c r="K2366" s="10"/>
      <c r="L2366" s="10"/>
      <c r="M2366" s="10"/>
      <c r="N2366" s="10"/>
      <c r="O2366" s="21"/>
    </row>
    <row r="2367" spans="1:15" x14ac:dyDescent="0.35">
      <c r="A2367" s="15">
        <f t="shared" si="36"/>
        <v>2365</v>
      </c>
      <c r="B2367" s="16"/>
      <c r="C2367" s="19"/>
      <c r="D2367" s="10"/>
      <c r="E2367" s="10"/>
      <c r="F2367" s="47"/>
      <c r="G2367" s="10"/>
      <c r="H2367" s="20"/>
      <c r="I2367" s="20"/>
      <c r="J2367" s="10"/>
      <c r="K2367" s="10"/>
      <c r="L2367" s="10"/>
      <c r="M2367" s="10"/>
      <c r="N2367" s="10"/>
      <c r="O2367" s="21"/>
    </row>
    <row r="2368" spans="1:15" x14ac:dyDescent="0.35">
      <c r="A2368" s="15">
        <f t="shared" si="36"/>
        <v>2366</v>
      </c>
      <c r="B2368" s="16"/>
      <c r="C2368" s="19"/>
      <c r="D2368" s="10"/>
      <c r="E2368" s="10"/>
      <c r="F2368" s="47"/>
      <c r="G2368" s="10"/>
      <c r="H2368" s="20"/>
      <c r="I2368" s="20"/>
      <c r="J2368" s="10"/>
      <c r="K2368" s="10"/>
      <c r="L2368" s="10"/>
      <c r="M2368" s="10"/>
      <c r="N2368" s="10"/>
      <c r="O2368" s="21"/>
    </row>
    <row r="2369" spans="1:15" x14ac:dyDescent="0.35">
      <c r="A2369" s="15">
        <f t="shared" si="36"/>
        <v>2367</v>
      </c>
      <c r="B2369" s="16"/>
      <c r="C2369" s="19"/>
      <c r="D2369" s="10"/>
      <c r="E2369" s="10"/>
      <c r="F2369" s="47"/>
      <c r="G2369" s="10"/>
      <c r="H2369" s="20"/>
      <c r="I2369" s="20"/>
      <c r="J2369" s="10"/>
      <c r="K2369" s="10"/>
      <c r="L2369" s="10"/>
      <c r="M2369" s="10"/>
      <c r="N2369" s="10"/>
      <c r="O2369" s="21"/>
    </row>
    <row r="2370" spans="1:15" x14ac:dyDescent="0.35">
      <c r="A2370" s="15">
        <f t="shared" si="36"/>
        <v>2368</v>
      </c>
      <c r="B2370" s="16"/>
      <c r="C2370" s="19"/>
      <c r="D2370" s="10"/>
      <c r="E2370" s="10"/>
      <c r="F2370" s="47"/>
      <c r="G2370" s="10"/>
      <c r="H2370" s="20"/>
      <c r="I2370" s="20"/>
      <c r="J2370" s="10"/>
      <c r="K2370" s="10"/>
      <c r="L2370" s="10"/>
      <c r="M2370" s="10"/>
      <c r="N2370" s="10"/>
      <c r="O2370" s="21"/>
    </row>
    <row r="2371" spans="1:15" x14ac:dyDescent="0.35">
      <c r="A2371" s="15">
        <f t="shared" si="36"/>
        <v>2369</v>
      </c>
      <c r="B2371" s="16"/>
      <c r="C2371" s="19"/>
      <c r="D2371" s="10"/>
      <c r="E2371" s="10"/>
      <c r="F2371" s="47"/>
      <c r="G2371" s="10"/>
      <c r="H2371" s="20"/>
      <c r="I2371" s="20"/>
      <c r="J2371" s="10"/>
      <c r="K2371" s="10"/>
      <c r="L2371" s="10"/>
      <c r="M2371" s="10"/>
      <c r="N2371" s="10"/>
      <c r="O2371" s="21"/>
    </row>
    <row r="2372" spans="1:15" x14ac:dyDescent="0.35">
      <c r="A2372" s="15">
        <f t="shared" si="36"/>
        <v>2370</v>
      </c>
      <c r="B2372" s="16"/>
      <c r="C2372" s="19"/>
      <c r="D2372" s="10"/>
      <c r="E2372" s="10"/>
      <c r="F2372" s="47"/>
      <c r="G2372" s="10"/>
      <c r="H2372" s="20"/>
      <c r="I2372" s="20"/>
      <c r="J2372" s="10"/>
      <c r="K2372" s="10"/>
      <c r="L2372" s="10"/>
      <c r="M2372" s="10"/>
      <c r="N2372" s="10"/>
      <c r="O2372" s="21"/>
    </row>
    <row r="2373" spans="1:15" x14ac:dyDescent="0.35">
      <c r="A2373" s="15">
        <f t="shared" si="36"/>
        <v>2371</v>
      </c>
      <c r="B2373" s="16"/>
      <c r="C2373" s="19"/>
      <c r="D2373" s="10"/>
      <c r="E2373" s="10"/>
      <c r="F2373" s="47"/>
      <c r="G2373" s="10"/>
      <c r="H2373" s="20"/>
      <c r="I2373" s="20"/>
      <c r="J2373" s="10"/>
      <c r="K2373" s="10"/>
      <c r="L2373" s="10"/>
      <c r="M2373" s="10"/>
      <c r="N2373" s="10"/>
      <c r="O2373" s="21"/>
    </row>
    <row r="2374" spans="1:15" x14ac:dyDescent="0.35">
      <c r="A2374" s="15">
        <f t="shared" si="36"/>
        <v>2372</v>
      </c>
      <c r="B2374" s="16"/>
      <c r="C2374" s="19"/>
      <c r="D2374" s="10"/>
      <c r="E2374" s="10"/>
      <c r="F2374" s="47"/>
      <c r="G2374" s="10"/>
      <c r="H2374" s="20"/>
      <c r="I2374" s="20"/>
      <c r="J2374" s="10"/>
      <c r="K2374" s="10"/>
      <c r="L2374" s="10"/>
      <c r="M2374" s="10"/>
      <c r="N2374" s="10"/>
      <c r="O2374" s="21"/>
    </row>
    <row r="2375" spans="1:15" x14ac:dyDescent="0.35">
      <c r="A2375" s="15">
        <f t="shared" si="36"/>
        <v>2373</v>
      </c>
      <c r="B2375" s="16"/>
      <c r="C2375" s="19"/>
      <c r="D2375" s="10"/>
      <c r="E2375" s="10"/>
      <c r="F2375" s="47"/>
      <c r="G2375" s="10"/>
      <c r="H2375" s="20"/>
      <c r="I2375" s="20"/>
      <c r="J2375" s="10"/>
      <c r="K2375" s="10"/>
      <c r="L2375" s="10"/>
      <c r="M2375" s="10"/>
      <c r="N2375" s="10"/>
      <c r="O2375" s="21"/>
    </row>
    <row r="2376" spans="1:15" x14ac:dyDescent="0.35">
      <c r="A2376" s="15">
        <f t="shared" si="36"/>
        <v>2374</v>
      </c>
      <c r="B2376" s="16"/>
      <c r="C2376" s="19"/>
      <c r="D2376" s="10"/>
      <c r="E2376" s="10"/>
      <c r="F2376" s="47"/>
      <c r="G2376" s="10"/>
      <c r="H2376" s="20"/>
      <c r="I2376" s="20"/>
      <c r="J2376" s="10"/>
      <c r="K2376" s="10"/>
      <c r="L2376" s="10"/>
      <c r="M2376" s="10"/>
      <c r="N2376" s="10"/>
      <c r="O2376" s="21"/>
    </row>
    <row r="2377" spans="1:15" x14ac:dyDescent="0.35">
      <c r="A2377" s="15">
        <f t="shared" si="36"/>
        <v>2375</v>
      </c>
      <c r="B2377" s="16"/>
      <c r="C2377" s="19"/>
      <c r="D2377" s="10"/>
      <c r="E2377" s="10"/>
      <c r="F2377" s="47"/>
      <c r="G2377" s="10"/>
      <c r="H2377" s="20"/>
      <c r="I2377" s="20"/>
      <c r="J2377" s="10"/>
      <c r="K2377" s="10"/>
      <c r="L2377" s="10"/>
      <c r="M2377" s="10"/>
      <c r="N2377" s="10"/>
      <c r="O2377" s="21"/>
    </row>
    <row r="2378" spans="1:15" x14ac:dyDescent="0.35">
      <c r="A2378" s="15">
        <f t="shared" si="36"/>
        <v>2376</v>
      </c>
      <c r="B2378" s="16"/>
      <c r="C2378" s="19"/>
      <c r="D2378" s="10"/>
      <c r="E2378" s="10"/>
      <c r="F2378" s="47"/>
      <c r="G2378" s="10"/>
      <c r="H2378" s="20"/>
      <c r="I2378" s="20"/>
      <c r="J2378" s="10"/>
      <c r="K2378" s="10"/>
      <c r="L2378" s="10"/>
      <c r="M2378" s="10"/>
      <c r="N2378" s="10"/>
      <c r="O2378" s="21"/>
    </row>
    <row r="2379" spans="1:15" x14ac:dyDescent="0.35">
      <c r="A2379" s="15">
        <f t="shared" ref="A2379:A2442" si="37">+A2378+1</f>
        <v>2377</v>
      </c>
      <c r="B2379" s="16"/>
      <c r="C2379" s="19"/>
      <c r="D2379" s="10"/>
      <c r="E2379" s="10"/>
      <c r="F2379" s="47"/>
      <c r="G2379" s="10"/>
      <c r="H2379" s="20"/>
      <c r="I2379" s="20"/>
      <c r="J2379" s="10"/>
      <c r="K2379" s="10"/>
      <c r="L2379" s="10"/>
      <c r="M2379" s="10"/>
      <c r="N2379" s="10"/>
      <c r="O2379" s="21"/>
    </row>
    <row r="2380" spans="1:15" x14ac:dyDescent="0.35">
      <c r="A2380" s="15">
        <f t="shared" si="37"/>
        <v>2378</v>
      </c>
      <c r="B2380" s="16"/>
      <c r="C2380" s="19"/>
      <c r="D2380" s="10"/>
      <c r="E2380" s="10"/>
      <c r="F2380" s="47"/>
      <c r="G2380" s="10"/>
      <c r="H2380" s="20"/>
      <c r="I2380" s="20"/>
      <c r="J2380" s="10"/>
      <c r="K2380" s="10"/>
      <c r="L2380" s="10"/>
      <c r="M2380" s="10"/>
      <c r="N2380" s="10"/>
      <c r="O2380" s="21"/>
    </row>
    <row r="2381" spans="1:15" x14ac:dyDescent="0.35">
      <c r="A2381" s="15">
        <f t="shared" si="37"/>
        <v>2379</v>
      </c>
      <c r="B2381" s="16"/>
      <c r="C2381" s="19"/>
      <c r="D2381" s="10"/>
      <c r="E2381" s="10"/>
      <c r="F2381" s="47"/>
      <c r="G2381" s="10"/>
      <c r="H2381" s="20"/>
      <c r="I2381" s="20"/>
      <c r="J2381" s="10"/>
      <c r="K2381" s="10"/>
      <c r="L2381" s="10"/>
      <c r="M2381" s="10"/>
      <c r="N2381" s="10"/>
      <c r="O2381" s="21"/>
    </row>
    <row r="2382" spans="1:15" x14ac:dyDescent="0.35">
      <c r="A2382" s="15">
        <f t="shared" si="37"/>
        <v>2380</v>
      </c>
      <c r="B2382" s="16"/>
      <c r="C2382" s="19"/>
      <c r="D2382" s="10"/>
      <c r="E2382" s="10"/>
      <c r="F2382" s="47"/>
      <c r="G2382" s="10"/>
      <c r="H2382" s="20"/>
      <c r="I2382" s="20"/>
      <c r="J2382" s="10"/>
      <c r="K2382" s="10"/>
      <c r="L2382" s="10"/>
      <c r="M2382" s="10"/>
      <c r="N2382" s="10"/>
      <c r="O2382" s="21"/>
    </row>
    <row r="2383" spans="1:15" x14ac:dyDescent="0.35">
      <c r="A2383" s="15">
        <f t="shared" si="37"/>
        <v>2381</v>
      </c>
      <c r="B2383" s="16"/>
      <c r="C2383" s="19"/>
      <c r="D2383" s="10"/>
      <c r="E2383" s="10"/>
      <c r="F2383" s="47"/>
      <c r="G2383" s="10"/>
      <c r="H2383" s="20"/>
      <c r="I2383" s="20"/>
      <c r="J2383" s="10"/>
      <c r="K2383" s="10"/>
      <c r="L2383" s="10"/>
      <c r="M2383" s="10"/>
      <c r="N2383" s="10"/>
      <c r="O2383" s="21"/>
    </row>
    <row r="2384" spans="1:15" x14ac:dyDescent="0.35">
      <c r="A2384" s="15">
        <f t="shared" si="37"/>
        <v>2382</v>
      </c>
      <c r="B2384" s="16"/>
      <c r="C2384" s="19"/>
      <c r="D2384" s="10"/>
      <c r="E2384" s="10"/>
      <c r="F2384" s="47"/>
      <c r="G2384" s="10"/>
      <c r="H2384" s="20"/>
      <c r="I2384" s="20"/>
      <c r="J2384" s="10"/>
      <c r="K2384" s="10"/>
      <c r="L2384" s="10"/>
      <c r="M2384" s="10"/>
      <c r="N2384" s="10"/>
      <c r="O2384" s="21"/>
    </row>
    <row r="2385" spans="1:15" x14ac:dyDescent="0.35">
      <c r="A2385" s="15">
        <f t="shared" si="37"/>
        <v>2383</v>
      </c>
      <c r="B2385" s="16"/>
      <c r="C2385" s="19"/>
      <c r="D2385" s="10"/>
      <c r="E2385" s="10"/>
      <c r="F2385" s="47"/>
      <c r="G2385" s="10"/>
      <c r="H2385" s="20"/>
      <c r="I2385" s="20"/>
      <c r="J2385" s="10"/>
      <c r="K2385" s="10"/>
      <c r="L2385" s="10"/>
      <c r="M2385" s="10"/>
      <c r="N2385" s="10"/>
      <c r="O2385" s="21"/>
    </row>
    <row r="2386" spans="1:15" x14ac:dyDescent="0.35">
      <c r="A2386" s="15">
        <f t="shared" si="37"/>
        <v>2384</v>
      </c>
      <c r="B2386" s="16"/>
      <c r="C2386" s="19"/>
      <c r="D2386" s="10"/>
      <c r="E2386" s="10"/>
      <c r="F2386" s="47"/>
      <c r="G2386" s="10"/>
      <c r="H2386" s="20"/>
      <c r="I2386" s="20"/>
      <c r="J2386" s="10"/>
      <c r="K2386" s="10"/>
      <c r="L2386" s="10"/>
      <c r="M2386" s="10"/>
      <c r="N2386" s="10"/>
      <c r="O2386" s="21"/>
    </row>
    <row r="2387" spans="1:15" x14ac:dyDescent="0.35">
      <c r="A2387" s="15">
        <f t="shared" si="37"/>
        <v>2385</v>
      </c>
      <c r="B2387" s="16"/>
      <c r="C2387" s="19"/>
      <c r="D2387" s="10"/>
      <c r="E2387" s="10"/>
      <c r="F2387" s="47"/>
      <c r="G2387" s="10"/>
      <c r="H2387" s="20"/>
      <c r="I2387" s="20"/>
      <c r="J2387" s="10"/>
      <c r="K2387" s="10"/>
      <c r="L2387" s="10"/>
      <c r="M2387" s="10"/>
      <c r="N2387" s="10"/>
      <c r="O2387" s="21"/>
    </row>
    <row r="2388" spans="1:15" x14ac:dyDescent="0.35">
      <c r="A2388" s="15">
        <f t="shared" si="37"/>
        <v>2386</v>
      </c>
      <c r="B2388" s="16"/>
      <c r="C2388" s="19"/>
      <c r="D2388" s="10"/>
      <c r="E2388" s="10"/>
      <c r="F2388" s="47"/>
      <c r="G2388" s="10"/>
      <c r="H2388" s="20"/>
      <c r="I2388" s="20"/>
      <c r="J2388" s="10"/>
      <c r="K2388" s="10"/>
      <c r="L2388" s="10"/>
      <c r="M2388" s="10"/>
      <c r="N2388" s="10"/>
      <c r="O2388" s="21"/>
    </row>
    <row r="2389" spans="1:15" x14ac:dyDescent="0.35">
      <c r="A2389" s="15">
        <f t="shared" si="37"/>
        <v>2387</v>
      </c>
      <c r="B2389" s="16"/>
      <c r="C2389" s="19"/>
      <c r="D2389" s="10"/>
      <c r="E2389" s="10"/>
      <c r="F2389" s="47"/>
      <c r="G2389" s="10"/>
      <c r="H2389" s="20"/>
      <c r="I2389" s="20"/>
      <c r="J2389" s="10"/>
      <c r="K2389" s="10"/>
      <c r="L2389" s="10"/>
      <c r="M2389" s="10"/>
      <c r="N2389" s="10"/>
      <c r="O2389" s="21"/>
    </row>
    <row r="2390" spans="1:15" x14ac:dyDescent="0.35">
      <c r="A2390" s="15">
        <f t="shared" si="37"/>
        <v>2388</v>
      </c>
      <c r="B2390" s="16"/>
      <c r="C2390" s="19"/>
      <c r="D2390" s="10"/>
      <c r="E2390" s="10"/>
      <c r="F2390" s="47"/>
      <c r="G2390" s="10"/>
      <c r="H2390" s="20"/>
      <c r="I2390" s="20"/>
      <c r="J2390" s="10"/>
      <c r="K2390" s="10"/>
      <c r="L2390" s="10"/>
      <c r="M2390" s="10"/>
      <c r="N2390" s="10"/>
      <c r="O2390" s="21"/>
    </row>
    <row r="2391" spans="1:15" x14ac:dyDescent="0.35">
      <c r="A2391" s="15">
        <f t="shared" si="37"/>
        <v>2389</v>
      </c>
      <c r="B2391" s="16"/>
      <c r="C2391" s="19"/>
      <c r="D2391" s="10"/>
      <c r="E2391" s="10"/>
      <c r="F2391" s="47"/>
      <c r="G2391" s="10"/>
      <c r="H2391" s="20"/>
      <c r="I2391" s="20"/>
      <c r="J2391" s="10"/>
      <c r="K2391" s="10"/>
      <c r="L2391" s="10"/>
      <c r="M2391" s="10"/>
      <c r="N2391" s="10"/>
      <c r="O2391" s="21"/>
    </row>
    <row r="2392" spans="1:15" x14ac:dyDescent="0.35">
      <c r="A2392" s="15">
        <f t="shared" si="37"/>
        <v>2390</v>
      </c>
      <c r="B2392" s="16"/>
      <c r="C2392" s="19"/>
      <c r="D2392" s="10"/>
      <c r="E2392" s="10"/>
      <c r="F2392" s="47"/>
      <c r="G2392" s="10"/>
      <c r="H2392" s="20"/>
      <c r="I2392" s="20"/>
      <c r="J2392" s="10"/>
      <c r="K2392" s="10"/>
      <c r="L2392" s="10"/>
      <c r="M2392" s="10"/>
      <c r="N2392" s="10"/>
      <c r="O2392" s="21"/>
    </row>
    <row r="2393" spans="1:15" x14ac:dyDescent="0.35">
      <c r="A2393" s="15">
        <f t="shared" si="37"/>
        <v>2391</v>
      </c>
      <c r="B2393" s="16"/>
      <c r="C2393" s="19"/>
      <c r="D2393" s="10"/>
      <c r="E2393" s="10"/>
      <c r="F2393" s="47"/>
      <c r="G2393" s="10"/>
      <c r="H2393" s="20"/>
      <c r="I2393" s="20"/>
      <c r="J2393" s="10"/>
      <c r="K2393" s="10"/>
      <c r="L2393" s="10"/>
      <c r="M2393" s="10"/>
      <c r="N2393" s="10"/>
      <c r="O2393" s="21"/>
    </row>
    <row r="2394" spans="1:15" x14ac:dyDescent="0.35">
      <c r="A2394" s="15">
        <f t="shared" si="37"/>
        <v>2392</v>
      </c>
      <c r="B2394" s="16"/>
      <c r="C2394" s="19"/>
      <c r="D2394" s="10"/>
      <c r="E2394" s="10"/>
      <c r="F2394" s="47"/>
      <c r="G2394" s="10"/>
      <c r="H2394" s="20"/>
      <c r="I2394" s="20"/>
      <c r="J2394" s="10"/>
      <c r="K2394" s="10"/>
      <c r="L2394" s="10"/>
      <c r="M2394" s="10"/>
      <c r="N2394" s="10"/>
      <c r="O2394" s="21"/>
    </row>
    <row r="2395" spans="1:15" x14ac:dyDescent="0.35">
      <c r="A2395" s="15">
        <f t="shared" si="37"/>
        <v>2393</v>
      </c>
      <c r="B2395" s="16"/>
      <c r="C2395" s="19"/>
      <c r="D2395" s="10"/>
      <c r="E2395" s="10"/>
      <c r="F2395" s="47"/>
      <c r="G2395" s="10"/>
      <c r="H2395" s="20"/>
      <c r="I2395" s="20"/>
      <c r="J2395" s="10"/>
      <c r="K2395" s="10"/>
      <c r="L2395" s="10"/>
      <c r="M2395" s="10"/>
      <c r="N2395" s="10"/>
      <c r="O2395" s="21"/>
    </row>
    <row r="2396" spans="1:15" x14ac:dyDescent="0.35">
      <c r="A2396" s="15">
        <f t="shared" si="37"/>
        <v>2394</v>
      </c>
      <c r="B2396" s="16"/>
      <c r="C2396" s="19"/>
      <c r="D2396" s="10"/>
      <c r="E2396" s="10"/>
      <c r="F2396" s="47"/>
      <c r="G2396" s="10"/>
      <c r="H2396" s="20"/>
      <c r="I2396" s="20"/>
      <c r="J2396" s="10"/>
      <c r="K2396" s="10"/>
      <c r="L2396" s="10"/>
      <c r="M2396" s="10"/>
      <c r="N2396" s="10"/>
      <c r="O2396" s="21"/>
    </row>
    <row r="2397" spans="1:15" x14ac:dyDescent="0.35">
      <c r="A2397" s="15">
        <f t="shared" si="37"/>
        <v>2395</v>
      </c>
      <c r="B2397" s="16"/>
      <c r="C2397" s="19"/>
      <c r="D2397" s="10"/>
      <c r="E2397" s="10"/>
      <c r="F2397" s="47"/>
      <c r="G2397" s="10"/>
      <c r="H2397" s="20"/>
      <c r="I2397" s="20"/>
      <c r="J2397" s="10"/>
      <c r="K2397" s="10"/>
      <c r="L2397" s="10"/>
      <c r="M2397" s="10"/>
      <c r="N2397" s="10"/>
      <c r="O2397" s="21"/>
    </row>
    <row r="2398" spans="1:15" x14ac:dyDescent="0.35">
      <c r="A2398" s="15">
        <f t="shared" si="37"/>
        <v>2396</v>
      </c>
      <c r="B2398" s="16"/>
      <c r="C2398" s="19"/>
      <c r="D2398" s="10"/>
      <c r="E2398" s="10"/>
      <c r="F2398" s="47"/>
      <c r="G2398" s="10"/>
      <c r="H2398" s="20"/>
      <c r="I2398" s="20"/>
      <c r="J2398" s="10"/>
      <c r="K2398" s="10"/>
      <c r="L2398" s="10"/>
      <c r="M2398" s="10"/>
      <c r="N2398" s="10"/>
      <c r="O2398" s="21"/>
    </row>
    <row r="2399" spans="1:15" x14ac:dyDescent="0.35">
      <c r="A2399" s="15">
        <f t="shared" si="37"/>
        <v>2397</v>
      </c>
      <c r="B2399" s="16"/>
      <c r="C2399" s="19"/>
      <c r="D2399" s="10"/>
      <c r="E2399" s="10"/>
      <c r="F2399" s="47"/>
      <c r="G2399" s="10"/>
      <c r="H2399" s="20"/>
      <c r="I2399" s="20"/>
      <c r="J2399" s="10"/>
      <c r="K2399" s="10"/>
      <c r="L2399" s="10"/>
      <c r="M2399" s="10"/>
      <c r="N2399" s="10"/>
      <c r="O2399" s="21"/>
    </row>
    <row r="2400" spans="1:15" x14ac:dyDescent="0.35">
      <c r="A2400" s="15">
        <f t="shared" si="37"/>
        <v>2398</v>
      </c>
      <c r="B2400" s="16"/>
      <c r="C2400" s="19"/>
      <c r="D2400" s="10"/>
      <c r="E2400" s="10"/>
      <c r="F2400" s="47"/>
      <c r="G2400" s="10"/>
      <c r="H2400" s="20"/>
      <c r="I2400" s="20"/>
      <c r="J2400" s="10"/>
      <c r="K2400" s="10"/>
      <c r="L2400" s="10"/>
      <c r="M2400" s="10"/>
      <c r="N2400" s="10"/>
      <c r="O2400" s="21"/>
    </row>
    <row r="2401" spans="1:15" x14ac:dyDescent="0.35">
      <c r="A2401" s="15">
        <f t="shared" si="37"/>
        <v>2399</v>
      </c>
      <c r="B2401" s="16"/>
      <c r="C2401" s="19"/>
      <c r="D2401" s="10"/>
      <c r="E2401" s="10"/>
      <c r="F2401" s="47"/>
      <c r="G2401" s="10"/>
      <c r="H2401" s="20"/>
      <c r="I2401" s="20"/>
      <c r="J2401" s="10"/>
      <c r="K2401" s="10"/>
      <c r="L2401" s="10"/>
      <c r="M2401" s="10"/>
      <c r="N2401" s="10"/>
      <c r="O2401" s="21"/>
    </row>
    <row r="2402" spans="1:15" x14ac:dyDescent="0.35">
      <c r="A2402" s="15">
        <f t="shared" si="37"/>
        <v>2400</v>
      </c>
      <c r="B2402" s="16"/>
      <c r="C2402" s="19"/>
      <c r="D2402" s="10"/>
      <c r="E2402" s="10"/>
      <c r="F2402" s="47"/>
      <c r="G2402" s="10"/>
      <c r="H2402" s="20"/>
      <c r="I2402" s="20"/>
      <c r="J2402" s="10"/>
      <c r="K2402" s="10"/>
      <c r="L2402" s="10"/>
      <c r="M2402" s="10"/>
      <c r="N2402" s="10"/>
      <c r="O2402" s="21"/>
    </row>
    <row r="2403" spans="1:15" x14ac:dyDescent="0.35">
      <c r="A2403" s="15">
        <f t="shared" si="37"/>
        <v>2401</v>
      </c>
      <c r="B2403" s="16"/>
      <c r="C2403" s="19"/>
      <c r="D2403" s="10"/>
      <c r="E2403" s="10"/>
      <c r="F2403" s="47"/>
      <c r="G2403" s="10"/>
      <c r="H2403" s="20"/>
      <c r="I2403" s="20"/>
      <c r="J2403" s="10"/>
      <c r="K2403" s="10"/>
      <c r="L2403" s="10"/>
      <c r="M2403" s="10"/>
      <c r="N2403" s="10"/>
      <c r="O2403" s="21"/>
    </row>
    <row r="2404" spans="1:15" x14ac:dyDescent="0.35">
      <c r="A2404" s="15">
        <f t="shared" si="37"/>
        <v>2402</v>
      </c>
      <c r="B2404" s="16"/>
      <c r="C2404" s="19"/>
      <c r="D2404" s="10"/>
      <c r="E2404" s="10"/>
      <c r="F2404" s="47"/>
      <c r="G2404" s="10"/>
      <c r="H2404" s="20"/>
      <c r="I2404" s="20"/>
      <c r="J2404" s="10"/>
      <c r="K2404" s="10"/>
      <c r="L2404" s="10"/>
      <c r="M2404" s="10"/>
      <c r="N2404" s="10"/>
      <c r="O2404" s="21"/>
    </row>
    <row r="2405" spans="1:15" x14ac:dyDescent="0.35">
      <c r="A2405" s="15">
        <f t="shared" si="37"/>
        <v>2403</v>
      </c>
      <c r="B2405" s="16"/>
      <c r="C2405" s="19"/>
      <c r="D2405" s="10"/>
      <c r="E2405" s="10"/>
      <c r="F2405" s="47"/>
      <c r="G2405" s="10"/>
      <c r="H2405" s="20"/>
      <c r="I2405" s="20"/>
      <c r="J2405" s="10"/>
      <c r="K2405" s="10"/>
      <c r="L2405" s="10"/>
      <c r="M2405" s="10"/>
      <c r="N2405" s="10"/>
      <c r="O2405" s="21"/>
    </row>
    <row r="2406" spans="1:15" x14ac:dyDescent="0.35">
      <c r="A2406" s="15">
        <f t="shared" si="37"/>
        <v>2404</v>
      </c>
      <c r="B2406" s="16"/>
      <c r="C2406" s="19"/>
      <c r="D2406" s="10"/>
      <c r="E2406" s="10"/>
      <c r="F2406" s="47"/>
      <c r="G2406" s="10"/>
      <c r="H2406" s="20"/>
      <c r="I2406" s="20"/>
      <c r="J2406" s="10"/>
      <c r="K2406" s="10"/>
      <c r="L2406" s="10"/>
      <c r="M2406" s="10"/>
      <c r="N2406" s="10"/>
      <c r="O2406" s="21"/>
    </row>
    <row r="2407" spans="1:15" x14ac:dyDescent="0.35">
      <c r="A2407" s="15">
        <f t="shared" si="37"/>
        <v>2405</v>
      </c>
      <c r="B2407" s="16"/>
      <c r="C2407" s="19"/>
      <c r="D2407" s="10"/>
      <c r="E2407" s="10"/>
      <c r="F2407" s="47"/>
      <c r="G2407" s="10"/>
      <c r="H2407" s="20"/>
      <c r="I2407" s="20"/>
      <c r="J2407" s="10"/>
      <c r="K2407" s="10"/>
      <c r="L2407" s="10"/>
      <c r="M2407" s="10"/>
      <c r="N2407" s="10"/>
      <c r="O2407" s="21"/>
    </row>
    <row r="2408" spans="1:15" x14ac:dyDescent="0.35">
      <c r="A2408" s="15">
        <f t="shared" si="37"/>
        <v>2406</v>
      </c>
      <c r="B2408" s="16"/>
      <c r="C2408" s="19"/>
      <c r="D2408" s="10"/>
      <c r="E2408" s="10"/>
      <c r="F2408" s="47"/>
      <c r="G2408" s="10"/>
      <c r="H2408" s="20"/>
      <c r="I2408" s="20"/>
      <c r="J2408" s="10"/>
      <c r="K2408" s="10"/>
      <c r="L2408" s="10"/>
      <c r="M2408" s="10"/>
      <c r="N2408" s="10"/>
      <c r="O2408" s="21"/>
    </row>
    <row r="2409" spans="1:15" x14ac:dyDescent="0.35">
      <c r="A2409" s="15">
        <f t="shared" si="37"/>
        <v>2407</v>
      </c>
      <c r="B2409" s="16"/>
      <c r="C2409" s="19"/>
      <c r="D2409" s="10"/>
      <c r="E2409" s="10"/>
      <c r="F2409" s="47"/>
      <c r="G2409" s="10"/>
      <c r="H2409" s="20"/>
      <c r="I2409" s="20"/>
      <c r="J2409" s="10"/>
      <c r="K2409" s="10"/>
      <c r="L2409" s="10"/>
      <c r="M2409" s="10"/>
      <c r="N2409" s="10"/>
      <c r="O2409" s="21"/>
    </row>
    <row r="2410" spans="1:15" x14ac:dyDescent="0.35">
      <c r="A2410" s="15">
        <f t="shared" si="37"/>
        <v>2408</v>
      </c>
      <c r="B2410" s="16"/>
      <c r="C2410" s="19"/>
      <c r="D2410" s="10"/>
      <c r="E2410" s="10"/>
      <c r="F2410" s="47"/>
      <c r="G2410" s="10"/>
      <c r="H2410" s="20"/>
      <c r="I2410" s="20"/>
      <c r="J2410" s="10"/>
      <c r="K2410" s="10"/>
      <c r="L2410" s="10"/>
      <c r="M2410" s="10"/>
      <c r="N2410" s="10"/>
      <c r="O2410" s="21"/>
    </row>
    <row r="2411" spans="1:15" x14ac:dyDescent="0.35">
      <c r="A2411" s="15">
        <f t="shared" si="37"/>
        <v>2409</v>
      </c>
      <c r="B2411" s="16"/>
      <c r="C2411" s="19"/>
      <c r="D2411" s="10"/>
      <c r="E2411" s="10"/>
      <c r="F2411" s="47"/>
      <c r="G2411" s="10"/>
      <c r="H2411" s="20"/>
      <c r="I2411" s="20"/>
      <c r="J2411" s="10"/>
      <c r="K2411" s="10"/>
      <c r="L2411" s="10"/>
      <c r="M2411" s="10"/>
      <c r="N2411" s="10"/>
      <c r="O2411" s="21"/>
    </row>
    <row r="2412" spans="1:15" x14ac:dyDescent="0.35">
      <c r="A2412" s="15">
        <f t="shared" si="37"/>
        <v>2410</v>
      </c>
      <c r="B2412" s="16"/>
      <c r="C2412" s="19"/>
      <c r="D2412" s="10"/>
      <c r="E2412" s="10"/>
      <c r="F2412" s="47"/>
      <c r="G2412" s="10"/>
      <c r="H2412" s="20"/>
      <c r="I2412" s="20"/>
      <c r="J2412" s="10"/>
      <c r="K2412" s="10"/>
      <c r="L2412" s="10"/>
      <c r="M2412" s="10"/>
      <c r="N2412" s="10"/>
      <c r="O2412" s="21"/>
    </row>
    <row r="2413" spans="1:15" x14ac:dyDescent="0.35">
      <c r="A2413" s="15">
        <f t="shared" si="37"/>
        <v>2411</v>
      </c>
      <c r="B2413" s="16"/>
      <c r="C2413" s="19"/>
      <c r="D2413" s="10"/>
      <c r="E2413" s="10"/>
      <c r="F2413" s="47"/>
      <c r="G2413" s="10"/>
      <c r="H2413" s="20"/>
      <c r="I2413" s="20"/>
      <c r="J2413" s="10"/>
      <c r="K2413" s="10"/>
      <c r="L2413" s="10"/>
      <c r="M2413" s="10"/>
      <c r="N2413" s="10"/>
      <c r="O2413" s="21"/>
    </row>
    <row r="2414" spans="1:15" x14ac:dyDescent="0.35">
      <c r="A2414" s="15">
        <f t="shared" si="37"/>
        <v>2412</v>
      </c>
      <c r="B2414" s="16"/>
      <c r="C2414" s="19"/>
      <c r="D2414" s="10"/>
      <c r="E2414" s="10"/>
      <c r="F2414" s="47"/>
      <c r="G2414" s="10"/>
      <c r="H2414" s="20"/>
      <c r="I2414" s="20"/>
      <c r="J2414" s="10"/>
      <c r="K2414" s="10"/>
      <c r="L2414" s="10"/>
      <c r="M2414" s="10"/>
      <c r="N2414" s="10"/>
      <c r="O2414" s="21"/>
    </row>
    <row r="2415" spans="1:15" x14ac:dyDescent="0.35">
      <c r="A2415" s="15">
        <f t="shared" si="37"/>
        <v>2413</v>
      </c>
      <c r="B2415" s="16"/>
      <c r="C2415" s="19"/>
      <c r="D2415" s="10"/>
      <c r="E2415" s="10"/>
      <c r="F2415" s="47"/>
      <c r="G2415" s="10"/>
      <c r="H2415" s="20"/>
      <c r="I2415" s="20"/>
      <c r="J2415" s="10"/>
      <c r="K2415" s="10"/>
      <c r="L2415" s="10"/>
      <c r="M2415" s="10"/>
      <c r="N2415" s="10"/>
      <c r="O2415" s="21"/>
    </row>
    <row r="2416" spans="1:15" x14ac:dyDescent="0.35">
      <c r="A2416" s="15">
        <f t="shared" si="37"/>
        <v>2414</v>
      </c>
      <c r="B2416" s="16"/>
      <c r="C2416" s="19"/>
      <c r="D2416" s="10"/>
      <c r="E2416" s="10"/>
      <c r="F2416" s="47"/>
      <c r="G2416" s="10"/>
      <c r="H2416" s="20"/>
      <c r="I2416" s="20"/>
      <c r="J2416" s="10"/>
      <c r="K2416" s="10"/>
      <c r="L2416" s="10"/>
      <c r="M2416" s="10"/>
      <c r="N2416" s="10"/>
      <c r="O2416" s="21"/>
    </row>
    <row r="2417" spans="1:15" x14ac:dyDescent="0.35">
      <c r="A2417" s="15">
        <f t="shared" si="37"/>
        <v>2415</v>
      </c>
      <c r="B2417" s="16"/>
      <c r="C2417" s="19"/>
      <c r="D2417" s="10"/>
      <c r="E2417" s="10"/>
      <c r="F2417" s="47"/>
      <c r="G2417" s="10"/>
      <c r="H2417" s="20"/>
      <c r="I2417" s="20"/>
      <c r="J2417" s="10"/>
      <c r="K2417" s="10"/>
      <c r="L2417" s="10"/>
      <c r="M2417" s="10"/>
      <c r="N2417" s="10"/>
      <c r="O2417" s="21"/>
    </row>
    <row r="2418" spans="1:15" x14ac:dyDescent="0.35">
      <c r="A2418" s="15">
        <f t="shared" si="37"/>
        <v>2416</v>
      </c>
      <c r="B2418" s="16"/>
      <c r="C2418" s="19"/>
      <c r="D2418" s="10"/>
      <c r="E2418" s="10"/>
      <c r="F2418" s="47"/>
      <c r="G2418" s="10"/>
      <c r="H2418" s="20"/>
      <c r="I2418" s="20"/>
      <c r="J2418" s="10"/>
      <c r="K2418" s="10"/>
      <c r="L2418" s="10"/>
      <c r="M2418" s="10"/>
      <c r="N2418" s="10"/>
      <c r="O2418" s="21"/>
    </row>
    <row r="2419" spans="1:15" x14ac:dyDescent="0.35">
      <c r="A2419" s="15">
        <f t="shared" si="37"/>
        <v>2417</v>
      </c>
      <c r="B2419" s="16"/>
      <c r="C2419" s="19"/>
      <c r="D2419" s="10"/>
      <c r="E2419" s="10"/>
      <c r="F2419" s="47"/>
      <c r="G2419" s="10"/>
      <c r="H2419" s="20"/>
      <c r="I2419" s="20"/>
      <c r="J2419" s="10"/>
      <c r="K2419" s="10"/>
      <c r="L2419" s="10"/>
      <c r="M2419" s="10"/>
      <c r="N2419" s="10"/>
      <c r="O2419" s="21"/>
    </row>
    <row r="2420" spans="1:15" x14ac:dyDescent="0.35">
      <c r="A2420" s="15">
        <f t="shared" si="37"/>
        <v>2418</v>
      </c>
      <c r="B2420" s="16"/>
      <c r="C2420" s="19"/>
      <c r="D2420" s="10"/>
      <c r="E2420" s="10"/>
      <c r="F2420" s="47"/>
      <c r="G2420" s="10"/>
      <c r="H2420" s="20"/>
      <c r="I2420" s="20"/>
      <c r="J2420" s="10"/>
      <c r="K2420" s="10"/>
      <c r="L2420" s="10"/>
      <c r="M2420" s="10"/>
      <c r="N2420" s="10"/>
      <c r="O2420" s="21"/>
    </row>
    <row r="2421" spans="1:15" x14ac:dyDescent="0.35">
      <c r="A2421" s="15">
        <f t="shared" si="37"/>
        <v>2419</v>
      </c>
      <c r="B2421" s="16"/>
      <c r="C2421" s="19"/>
      <c r="D2421" s="10"/>
      <c r="E2421" s="10"/>
      <c r="F2421" s="47"/>
      <c r="G2421" s="10"/>
      <c r="H2421" s="20"/>
      <c r="I2421" s="20"/>
      <c r="J2421" s="10"/>
      <c r="K2421" s="10"/>
      <c r="L2421" s="10"/>
      <c r="M2421" s="10"/>
      <c r="N2421" s="10"/>
      <c r="O2421" s="21"/>
    </row>
    <row r="2422" spans="1:15" x14ac:dyDescent="0.35">
      <c r="A2422" s="15">
        <f t="shared" si="37"/>
        <v>2420</v>
      </c>
      <c r="B2422" s="16"/>
      <c r="C2422" s="19"/>
      <c r="D2422" s="10"/>
      <c r="E2422" s="10"/>
      <c r="F2422" s="47"/>
      <c r="G2422" s="10"/>
      <c r="H2422" s="20"/>
      <c r="I2422" s="20"/>
      <c r="J2422" s="10"/>
      <c r="K2422" s="10"/>
      <c r="L2422" s="10"/>
      <c r="M2422" s="10"/>
      <c r="N2422" s="10"/>
      <c r="O2422" s="21"/>
    </row>
    <row r="2423" spans="1:15" x14ac:dyDescent="0.35">
      <c r="A2423" s="15">
        <f t="shared" si="37"/>
        <v>2421</v>
      </c>
      <c r="B2423" s="16"/>
      <c r="C2423" s="19"/>
      <c r="D2423" s="10"/>
      <c r="E2423" s="10"/>
      <c r="F2423" s="47"/>
      <c r="G2423" s="10"/>
      <c r="H2423" s="20"/>
      <c r="I2423" s="20"/>
      <c r="J2423" s="10"/>
      <c r="K2423" s="10"/>
      <c r="L2423" s="10"/>
      <c r="M2423" s="10"/>
      <c r="N2423" s="10"/>
      <c r="O2423" s="21"/>
    </row>
    <row r="2424" spans="1:15" x14ac:dyDescent="0.35">
      <c r="A2424" s="15">
        <f t="shared" si="37"/>
        <v>2422</v>
      </c>
      <c r="B2424" s="16"/>
      <c r="C2424" s="19"/>
      <c r="D2424" s="10"/>
      <c r="E2424" s="10"/>
      <c r="F2424" s="47"/>
      <c r="G2424" s="10"/>
      <c r="H2424" s="20"/>
      <c r="I2424" s="20"/>
      <c r="J2424" s="10"/>
      <c r="K2424" s="10"/>
      <c r="L2424" s="10"/>
      <c r="M2424" s="10"/>
      <c r="N2424" s="10"/>
      <c r="O2424" s="21"/>
    </row>
    <row r="2425" spans="1:15" x14ac:dyDescent="0.35">
      <c r="A2425" s="15">
        <f t="shared" si="37"/>
        <v>2423</v>
      </c>
      <c r="B2425" s="16"/>
      <c r="C2425" s="19"/>
      <c r="D2425" s="10"/>
      <c r="E2425" s="10"/>
      <c r="F2425" s="47"/>
      <c r="G2425" s="10"/>
      <c r="H2425" s="20"/>
      <c r="I2425" s="20"/>
      <c r="J2425" s="10"/>
      <c r="K2425" s="10"/>
      <c r="L2425" s="10"/>
      <c r="M2425" s="10"/>
      <c r="N2425" s="10"/>
      <c r="O2425" s="21"/>
    </row>
    <row r="2426" spans="1:15" x14ac:dyDescent="0.35">
      <c r="A2426" s="15">
        <f t="shared" si="37"/>
        <v>2424</v>
      </c>
      <c r="B2426" s="16"/>
      <c r="C2426" s="19"/>
      <c r="D2426" s="10"/>
      <c r="E2426" s="10"/>
      <c r="F2426" s="47"/>
      <c r="G2426" s="10"/>
      <c r="H2426" s="20"/>
      <c r="I2426" s="20"/>
      <c r="J2426" s="10"/>
      <c r="K2426" s="10"/>
      <c r="L2426" s="10"/>
      <c r="M2426" s="10"/>
      <c r="N2426" s="10"/>
      <c r="O2426" s="21"/>
    </row>
    <row r="2427" spans="1:15" x14ac:dyDescent="0.35">
      <c r="A2427" s="15">
        <f t="shared" si="37"/>
        <v>2425</v>
      </c>
      <c r="B2427" s="16"/>
      <c r="C2427" s="19"/>
      <c r="D2427" s="10"/>
      <c r="E2427" s="10"/>
      <c r="F2427" s="47"/>
      <c r="G2427" s="10"/>
      <c r="H2427" s="20"/>
      <c r="I2427" s="20"/>
      <c r="J2427" s="10"/>
      <c r="K2427" s="10"/>
      <c r="L2427" s="10"/>
      <c r="M2427" s="10"/>
      <c r="N2427" s="10"/>
      <c r="O2427" s="21"/>
    </row>
    <row r="2428" spans="1:15" x14ac:dyDescent="0.35">
      <c r="A2428" s="15">
        <f t="shared" si="37"/>
        <v>2426</v>
      </c>
      <c r="B2428" s="16"/>
      <c r="C2428" s="19"/>
      <c r="D2428" s="10"/>
      <c r="E2428" s="10"/>
      <c r="F2428" s="47"/>
      <c r="G2428" s="10"/>
      <c r="H2428" s="20"/>
      <c r="I2428" s="20"/>
      <c r="J2428" s="10"/>
      <c r="K2428" s="10"/>
      <c r="L2428" s="10"/>
      <c r="M2428" s="10"/>
      <c r="N2428" s="10"/>
      <c r="O2428" s="21"/>
    </row>
    <row r="2429" spans="1:15" x14ac:dyDescent="0.35">
      <c r="A2429" s="15">
        <f t="shared" si="37"/>
        <v>2427</v>
      </c>
      <c r="B2429" s="16"/>
      <c r="C2429" s="19"/>
      <c r="D2429" s="10"/>
      <c r="E2429" s="10"/>
      <c r="F2429" s="47"/>
      <c r="G2429" s="10"/>
      <c r="H2429" s="20"/>
      <c r="I2429" s="20"/>
      <c r="J2429" s="10"/>
      <c r="K2429" s="10"/>
      <c r="L2429" s="10"/>
      <c r="M2429" s="10"/>
      <c r="N2429" s="10"/>
      <c r="O2429" s="21"/>
    </row>
    <row r="2430" spans="1:15" x14ac:dyDescent="0.35">
      <c r="A2430" s="15">
        <f t="shared" si="37"/>
        <v>2428</v>
      </c>
      <c r="B2430" s="16"/>
      <c r="C2430" s="19"/>
      <c r="D2430" s="10"/>
      <c r="E2430" s="10"/>
      <c r="F2430" s="47"/>
      <c r="G2430" s="10"/>
      <c r="H2430" s="20"/>
      <c r="I2430" s="20"/>
      <c r="J2430" s="10"/>
      <c r="K2430" s="10"/>
      <c r="L2430" s="10"/>
      <c r="M2430" s="10"/>
      <c r="N2430" s="10"/>
      <c r="O2430" s="21"/>
    </row>
    <row r="2431" spans="1:15" x14ac:dyDescent="0.35">
      <c r="A2431" s="15">
        <f t="shared" si="37"/>
        <v>2429</v>
      </c>
      <c r="B2431" s="16"/>
      <c r="C2431" s="19"/>
      <c r="D2431" s="10"/>
      <c r="E2431" s="10"/>
      <c r="F2431" s="47"/>
      <c r="G2431" s="10"/>
      <c r="H2431" s="20"/>
      <c r="I2431" s="20"/>
      <c r="J2431" s="10"/>
      <c r="K2431" s="10"/>
      <c r="L2431" s="10"/>
      <c r="M2431" s="10"/>
      <c r="N2431" s="10"/>
      <c r="O2431" s="21"/>
    </row>
    <row r="2432" spans="1:15" x14ac:dyDescent="0.35">
      <c r="A2432" s="15">
        <f t="shared" si="37"/>
        <v>2430</v>
      </c>
      <c r="B2432" s="16"/>
      <c r="C2432" s="19"/>
      <c r="D2432" s="10"/>
      <c r="E2432" s="10"/>
      <c r="F2432" s="47"/>
      <c r="G2432" s="10"/>
      <c r="H2432" s="20"/>
      <c r="I2432" s="20"/>
      <c r="J2432" s="10"/>
      <c r="K2432" s="10"/>
      <c r="L2432" s="10"/>
      <c r="M2432" s="10"/>
      <c r="N2432" s="10"/>
      <c r="O2432" s="21"/>
    </row>
    <row r="2433" spans="1:15" x14ac:dyDescent="0.35">
      <c r="A2433" s="15">
        <f t="shared" si="37"/>
        <v>2431</v>
      </c>
      <c r="B2433" s="16"/>
      <c r="C2433" s="19"/>
      <c r="D2433" s="10"/>
      <c r="E2433" s="10"/>
      <c r="F2433" s="47"/>
      <c r="G2433" s="10"/>
      <c r="H2433" s="20"/>
      <c r="I2433" s="20"/>
      <c r="J2433" s="10"/>
      <c r="K2433" s="10"/>
      <c r="L2433" s="10"/>
      <c r="M2433" s="10"/>
      <c r="N2433" s="10"/>
      <c r="O2433" s="21"/>
    </row>
    <row r="2434" spans="1:15" x14ac:dyDescent="0.35">
      <c r="A2434" s="15">
        <f t="shared" si="37"/>
        <v>2432</v>
      </c>
      <c r="B2434" s="16"/>
      <c r="C2434" s="19"/>
      <c r="D2434" s="10"/>
      <c r="E2434" s="10"/>
      <c r="F2434" s="47"/>
      <c r="G2434" s="10"/>
      <c r="H2434" s="20"/>
      <c r="I2434" s="20"/>
      <c r="J2434" s="10"/>
      <c r="K2434" s="10"/>
      <c r="L2434" s="10"/>
      <c r="M2434" s="10"/>
      <c r="N2434" s="10"/>
      <c r="O2434" s="21"/>
    </row>
    <row r="2435" spans="1:15" x14ac:dyDescent="0.35">
      <c r="A2435" s="15">
        <f t="shared" si="37"/>
        <v>2433</v>
      </c>
      <c r="B2435" s="16"/>
      <c r="C2435" s="19"/>
      <c r="D2435" s="10"/>
      <c r="E2435" s="10"/>
      <c r="F2435" s="47"/>
      <c r="G2435" s="10"/>
      <c r="H2435" s="20"/>
      <c r="I2435" s="20"/>
      <c r="J2435" s="10"/>
      <c r="K2435" s="10"/>
      <c r="L2435" s="10"/>
      <c r="M2435" s="10"/>
      <c r="N2435" s="10"/>
      <c r="O2435" s="21"/>
    </row>
    <row r="2436" spans="1:15" x14ac:dyDescent="0.35">
      <c r="A2436" s="15">
        <f t="shared" si="37"/>
        <v>2434</v>
      </c>
      <c r="B2436" s="16"/>
      <c r="C2436" s="19"/>
      <c r="D2436" s="10"/>
      <c r="E2436" s="10"/>
      <c r="F2436" s="47"/>
      <c r="G2436" s="10"/>
      <c r="H2436" s="20"/>
      <c r="I2436" s="20"/>
      <c r="J2436" s="10"/>
      <c r="K2436" s="10"/>
      <c r="L2436" s="10"/>
      <c r="M2436" s="10"/>
      <c r="N2436" s="10"/>
      <c r="O2436" s="21"/>
    </row>
    <row r="2437" spans="1:15" x14ac:dyDescent="0.35">
      <c r="A2437" s="15">
        <f t="shared" si="37"/>
        <v>2435</v>
      </c>
      <c r="B2437" s="16"/>
      <c r="C2437" s="19"/>
      <c r="D2437" s="10"/>
      <c r="E2437" s="10"/>
      <c r="F2437" s="47"/>
      <c r="G2437" s="10"/>
      <c r="H2437" s="20"/>
      <c r="I2437" s="20"/>
      <c r="J2437" s="10"/>
      <c r="K2437" s="10"/>
      <c r="L2437" s="10"/>
      <c r="M2437" s="10"/>
      <c r="N2437" s="10"/>
      <c r="O2437" s="21"/>
    </row>
    <row r="2438" spans="1:15" x14ac:dyDescent="0.35">
      <c r="A2438" s="15">
        <f t="shared" si="37"/>
        <v>2436</v>
      </c>
      <c r="B2438" s="16"/>
      <c r="C2438" s="19"/>
      <c r="D2438" s="10"/>
      <c r="E2438" s="10"/>
      <c r="F2438" s="47"/>
      <c r="G2438" s="10"/>
      <c r="H2438" s="20"/>
      <c r="I2438" s="20"/>
      <c r="J2438" s="10"/>
      <c r="K2438" s="10"/>
      <c r="L2438" s="10"/>
      <c r="M2438" s="10"/>
      <c r="N2438" s="10"/>
      <c r="O2438" s="21"/>
    </row>
    <row r="2439" spans="1:15" x14ac:dyDescent="0.35">
      <c r="A2439" s="15">
        <f t="shared" si="37"/>
        <v>2437</v>
      </c>
      <c r="B2439" s="16"/>
      <c r="C2439" s="19"/>
      <c r="D2439" s="10"/>
      <c r="E2439" s="10"/>
      <c r="F2439" s="47"/>
      <c r="G2439" s="10"/>
      <c r="H2439" s="20"/>
      <c r="I2439" s="20"/>
      <c r="J2439" s="10"/>
      <c r="K2439" s="10"/>
      <c r="L2439" s="10"/>
      <c r="M2439" s="10"/>
      <c r="N2439" s="10"/>
      <c r="O2439" s="21"/>
    </row>
    <row r="2440" spans="1:15" x14ac:dyDescent="0.35">
      <c r="A2440" s="15">
        <f t="shared" si="37"/>
        <v>2438</v>
      </c>
      <c r="B2440" s="16"/>
      <c r="C2440" s="19"/>
      <c r="D2440" s="10"/>
      <c r="E2440" s="10"/>
      <c r="F2440" s="47"/>
      <c r="G2440" s="10"/>
      <c r="H2440" s="20"/>
      <c r="I2440" s="20"/>
      <c r="J2440" s="10"/>
      <c r="K2440" s="10"/>
      <c r="L2440" s="10"/>
      <c r="M2440" s="10"/>
      <c r="N2440" s="10"/>
      <c r="O2440" s="21"/>
    </row>
    <row r="2441" spans="1:15" x14ac:dyDescent="0.35">
      <c r="A2441" s="15">
        <f t="shared" si="37"/>
        <v>2439</v>
      </c>
      <c r="B2441" s="16"/>
      <c r="C2441" s="19"/>
      <c r="D2441" s="10"/>
      <c r="E2441" s="10"/>
      <c r="F2441" s="47"/>
      <c r="G2441" s="10"/>
      <c r="H2441" s="20"/>
      <c r="I2441" s="20"/>
      <c r="J2441" s="10"/>
      <c r="K2441" s="10"/>
      <c r="L2441" s="10"/>
      <c r="M2441" s="10"/>
      <c r="N2441" s="10"/>
      <c r="O2441" s="21"/>
    </row>
    <row r="2442" spans="1:15" x14ac:dyDescent="0.35">
      <c r="A2442" s="15">
        <f t="shared" si="37"/>
        <v>2440</v>
      </c>
      <c r="B2442" s="16"/>
      <c r="C2442" s="19"/>
      <c r="D2442" s="10"/>
      <c r="E2442" s="10"/>
      <c r="F2442" s="47"/>
      <c r="G2442" s="10"/>
      <c r="H2442" s="20"/>
      <c r="I2442" s="20"/>
      <c r="J2442" s="10"/>
      <c r="K2442" s="10"/>
      <c r="L2442" s="10"/>
      <c r="M2442" s="10"/>
      <c r="N2442" s="10"/>
      <c r="O2442" s="21"/>
    </row>
    <row r="2443" spans="1:15" x14ac:dyDescent="0.35">
      <c r="A2443" s="15">
        <f t="shared" ref="A2443:A2506" si="38">+A2442+1</f>
        <v>2441</v>
      </c>
      <c r="B2443" s="16"/>
      <c r="C2443" s="19"/>
      <c r="D2443" s="10"/>
      <c r="E2443" s="10"/>
      <c r="F2443" s="47"/>
      <c r="G2443" s="10"/>
      <c r="H2443" s="20"/>
      <c r="I2443" s="20"/>
      <c r="J2443" s="10"/>
      <c r="K2443" s="10"/>
      <c r="L2443" s="10"/>
      <c r="M2443" s="10"/>
      <c r="N2443" s="10"/>
      <c r="O2443" s="21"/>
    </row>
    <row r="2444" spans="1:15" x14ac:dyDescent="0.35">
      <c r="A2444" s="15">
        <f t="shared" si="38"/>
        <v>2442</v>
      </c>
      <c r="B2444" s="16"/>
      <c r="C2444" s="19"/>
      <c r="D2444" s="10"/>
      <c r="E2444" s="10"/>
      <c r="F2444" s="47"/>
      <c r="G2444" s="10"/>
      <c r="H2444" s="20"/>
      <c r="I2444" s="20"/>
      <c r="J2444" s="10"/>
      <c r="K2444" s="10"/>
      <c r="L2444" s="10"/>
      <c r="M2444" s="10"/>
      <c r="N2444" s="10"/>
      <c r="O2444" s="21"/>
    </row>
    <row r="2445" spans="1:15" x14ac:dyDescent="0.35">
      <c r="A2445" s="15">
        <f t="shared" si="38"/>
        <v>2443</v>
      </c>
      <c r="B2445" s="16"/>
      <c r="C2445" s="19"/>
      <c r="D2445" s="10"/>
      <c r="E2445" s="10"/>
      <c r="F2445" s="47"/>
      <c r="G2445" s="10"/>
      <c r="H2445" s="20"/>
      <c r="I2445" s="20"/>
      <c r="J2445" s="10"/>
      <c r="K2445" s="10"/>
      <c r="L2445" s="10"/>
      <c r="M2445" s="10"/>
      <c r="N2445" s="10"/>
      <c r="O2445" s="21"/>
    </row>
    <row r="2446" spans="1:15" x14ac:dyDescent="0.35">
      <c r="A2446" s="15">
        <f t="shared" si="38"/>
        <v>2444</v>
      </c>
      <c r="B2446" s="16"/>
      <c r="C2446" s="19"/>
      <c r="D2446" s="10"/>
      <c r="E2446" s="10"/>
      <c r="F2446" s="47"/>
      <c r="G2446" s="10"/>
      <c r="H2446" s="20"/>
      <c r="I2446" s="20"/>
      <c r="J2446" s="10"/>
      <c r="K2446" s="10"/>
      <c r="L2446" s="10"/>
      <c r="M2446" s="10"/>
      <c r="N2446" s="10"/>
      <c r="O2446" s="21"/>
    </row>
    <row r="2447" spans="1:15" x14ac:dyDescent="0.35">
      <c r="A2447" s="15">
        <f t="shared" si="38"/>
        <v>2445</v>
      </c>
      <c r="B2447" s="16"/>
      <c r="C2447" s="19"/>
      <c r="D2447" s="10"/>
      <c r="E2447" s="10"/>
      <c r="F2447" s="47"/>
      <c r="G2447" s="10"/>
      <c r="H2447" s="20"/>
      <c r="I2447" s="20"/>
      <c r="J2447" s="10"/>
      <c r="K2447" s="10"/>
      <c r="L2447" s="10"/>
      <c r="M2447" s="10"/>
      <c r="N2447" s="10"/>
      <c r="O2447" s="21"/>
    </row>
    <row r="2448" spans="1:15" x14ac:dyDescent="0.35">
      <c r="A2448" s="15">
        <f t="shared" si="38"/>
        <v>2446</v>
      </c>
      <c r="B2448" s="16"/>
      <c r="C2448" s="19"/>
      <c r="D2448" s="10"/>
      <c r="E2448" s="10"/>
      <c r="F2448" s="47"/>
      <c r="G2448" s="10"/>
      <c r="H2448" s="20"/>
      <c r="I2448" s="20"/>
      <c r="J2448" s="10"/>
      <c r="K2448" s="10"/>
      <c r="L2448" s="10"/>
      <c r="M2448" s="10"/>
      <c r="N2448" s="10"/>
      <c r="O2448" s="21"/>
    </row>
    <row r="2449" spans="1:15" x14ac:dyDescent="0.35">
      <c r="A2449" s="15">
        <f t="shared" si="38"/>
        <v>2447</v>
      </c>
      <c r="B2449" s="16"/>
      <c r="C2449" s="19"/>
      <c r="D2449" s="10"/>
      <c r="E2449" s="10"/>
      <c r="F2449" s="47"/>
      <c r="G2449" s="10"/>
      <c r="H2449" s="20"/>
      <c r="I2449" s="20"/>
      <c r="J2449" s="10"/>
      <c r="K2449" s="10"/>
      <c r="L2449" s="10"/>
      <c r="M2449" s="10"/>
      <c r="N2449" s="10"/>
      <c r="O2449" s="21"/>
    </row>
    <row r="2450" spans="1:15" x14ac:dyDescent="0.35">
      <c r="A2450" s="15">
        <f t="shared" si="38"/>
        <v>2448</v>
      </c>
      <c r="B2450" s="16"/>
      <c r="C2450" s="19"/>
      <c r="D2450" s="10"/>
      <c r="E2450" s="10"/>
      <c r="F2450" s="47"/>
      <c r="G2450" s="10"/>
      <c r="H2450" s="20"/>
      <c r="I2450" s="20"/>
      <c r="J2450" s="10"/>
      <c r="K2450" s="10"/>
      <c r="L2450" s="10"/>
      <c r="M2450" s="10"/>
      <c r="N2450" s="10"/>
      <c r="O2450" s="21"/>
    </row>
    <row r="2451" spans="1:15" x14ac:dyDescent="0.35">
      <c r="A2451" s="15">
        <f t="shared" si="38"/>
        <v>2449</v>
      </c>
      <c r="B2451" s="16"/>
      <c r="C2451" s="19"/>
      <c r="D2451" s="10"/>
      <c r="E2451" s="10"/>
      <c r="F2451" s="47"/>
      <c r="G2451" s="10"/>
      <c r="H2451" s="20"/>
      <c r="I2451" s="20"/>
      <c r="J2451" s="10"/>
      <c r="K2451" s="10"/>
      <c r="L2451" s="10"/>
      <c r="M2451" s="10"/>
      <c r="N2451" s="10"/>
      <c r="O2451" s="21"/>
    </row>
    <row r="2452" spans="1:15" x14ac:dyDescent="0.35">
      <c r="A2452" s="15">
        <f t="shared" si="38"/>
        <v>2450</v>
      </c>
      <c r="B2452" s="16"/>
      <c r="C2452" s="19"/>
      <c r="D2452" s="10"/>
      <c r="E2452" s="10"/>
      <c r="F2452" s="47"/>
      <c r="G2452" s="10"/>
      <c r="H2452" s="20"/>
      <c r="I2452" s="20"/>
      <c r="J2452" s="10"/>
      <c r="K2452" s="10"/>
      <c r="L2452" s="10"/>
      <c r="M2452" s="10"/>
      <c r="N2452" s="10"/>
      <c r="O2452" s="21"/>
    </row>
    <row r="2453" spans="1:15" x14ac:dyDescent="0.35">
      <c r="A2453" s="15">
        <f t="shared" si="38"/>
        <v>2451</v>
      </c>
      <c r="B2453" s="16"/>
      <c r="C2453" s="19"/>
      <c r="D2453" s="10"/>
      <c r="E2453" s="10"/>
      <c r="F2453" s="47"/>
      <c r="G2453" s="10"/>
      <c r="H2453" s="20"/>
      <c r="I2453" s="20"/>
      <c r="J2453" s="10"/>
      <c r="K2453" s="10"/>
      <c r="L2453" s="10"/>
      <c r="M2453" s="10"/>
      <c r="N2453" s="10"/>
      <c r="O2453" s="21"/>
    </row>
    <row r="2454" spans="1:15" x14ac:dyDescent="0.35">
      <c r="A2454" s="15">
        <f t="shared" si="38"/>
        <v>2452</v>
      </c>
      <c r="B2454" s="16"/>
      <c r="C2454" s="19"/>
      <c r="D2454" s="10"/>
      <c r="E2454" s="10"/>
      <c r="F2454" s="47"/>
      <c r="G2454" s="10"/>
      <c r="H2454" s="20"/>
      <c r="I2454" s="20"/>
      <c r="J2454" s="10"/>
      <c r="K2454" s="10"/>
      <c r="L2454" s="10"/>
      <c r="M2454" s="10"/>
      <c r="N2454" s="10"/>
      <c r="O2454" s="21"/>
    </row>
    <row r="2455" spans="1:15" x14ac:dyDescent="0.35">
      <c r="A2455" s="15">
        <f t="shared" si="38"/>
        <v>2453</v>
      </c>
      <c r="B2455" s="16"/>
      <c r="C2455" s="19"/>
      <c r="D2455" s="10"/>
      <c r="E2455" s="10"/>
      <c r="F2455" s="47"/>
      <c r="G2455" s="10"/>
      <c r="H2455" s="20"/>
      <c r="I2455" s="20"/>
      <c r="J2455" s="10"/>
      <c r="K2455" s="10"/>
      <c r="L2455" s="10"/>
      <c r="M2455" s="10"/>
      <c r="N2455" s="10"/>
      <c r="O2455" s="21"/>
    </row>
    <row r="2456" spans="1:15" x14ac:dyDescent="0.35">
      <c r="A2456" s="15">
        <f t="shared" si="38"/>
        <v>2454</v>
      </c>
      <c r="B2456" s="16"/>
      <c r="C2456" s="19"/>
      <c r="D2456" s="10"/>
      <c r="E2456" s="10"/>
      <c r="F2456" s="47"/>
      <c r="G2456" s="10"/>
      <c r="H2456" s="20"/>
      <c r="I2456" s="20"/>
      <c r="J2456" s="10"/>
      <c r="K2456" s="10"/>
      <c r="L2456" s="10"/>
      <c r="M2456" s="10"/>
      <c r="N2456" s="10"/>
      <c r="O2456" s="21"/>
    </row>
    <row r="2457" spans="1:15" x14ac:dyDescent="0.35">
      <c r="A2457" s="15">
        <f t="shared" si="38"/>
        <v>2455</v>
      </c>
      <c r="B2457" s="16"/>
      <c r="C2457" s="19"/>
      <c r="D2457" s="10"/>
      <c r="E2457" s="10"/>
      <c r="F2457" s="47"/>
      <c r="G2457" s="10"/>
      <c r="H2457" s="20"/>
      <c r="I2457" s="20"/>
      <c r="J2457" s="10"/>
      <c r="K2457" s="10"/>
      <c r="L2457" s="10"/>
      <c r="M2457" s="10"/>
      <c r="N2457" s="10"/>
      <c r="O2457" s="21"/>
    </row>
    <row r="2458" spans="1:15" x14ac:dyDescent="0.35">
      <c r="A2458" s="15">
        <f t="shared" si="38"/>
        <v>2456</v>
      </c>
      <c r="B2458" s="16"/>
      <c r="C2458" s="19"/>
      <c r="D2458" s="10"/>
      <c r="E2458" s="10"/>
      <c r="F2458" s="47"/>
      <c r="G2458" s="10"/>
      <c r="H2458" s="20"/>
      <c r="I2458" s="20"/>
      <c r="J2458" s="10"/>
      <c r="K2458" s="10"/>
      <c r="L2458" s="10"/>
      <c r="M2458" s="10"/>
      <c r="N2458" s="10"/>
      <c r="O2458" s="21"/>
    </row>
    <row r="2459" spans="1:15" x14ac:dyDescent="0.35">
      <c r="A2459" s="15">
        <f t="shared" si="38"/>
        <v>2457</v>
      </c>
      <c r="B2459" s="16"/>
      <c r="C2459" s="19"/>
      <c r="D2459" s="10"/>
      <c r="E2459" s="10"/>
      <c r="F2459" s="47"/>
      <c r="G2459" s="10"/>
      <c r="H2459" s="20"/>
      <c r="I2459" s="20"/>
      <c r="J2459" s="10"/>
      <c r="K2459" s="10"/>
      <c r="L2459" s="10"/>
      <c r="M2459" s="10"/>
      <c r="N2459" s="10"/>
      <c r="O2459" s="21"/>
    </row>
    <row r="2460" spans="1:15" x14ac:dyDescent="0.35">
      <c r="A2460" s="15">
        <f t="shared" si="38"/>
        <v>2458</v>
      </c>
      <c r="B2460" s="16"/>
      <c r="C2460" s="19"/>
      <c r="D2460" s="10"/>
      <c r="E2460" s="10"/>
      <c r="F2460" s="47"/>
      <c r="G2460" s="10"/>
      <c r="H2460" s="20"/>
      <c r="I2460" s="20"/>
      <c r="J2460" s="10"/>
      <c r="K2460" s="10"/>
      <c r="L2460" s="10"/>
      <c r="M2460" s="10"/>
      <c r="N2460" s="10"/>
      <c r="O2460" s="21"/>
    </row>
    <row r="2461" spans="1:15" x14ac:dyDescent="0.35">
      <c r="A2461" s="15">
        <f t="shared" si="38"/>
        <v>2459</v>
      </c>
      <c r="B2461" s="16"/>
      <c r="C2461" s="19"/>
      <c r="D2461" s="10"/>
      <c r="E2461" s="10"/>
      <c r="F2461" s="47"/>
      <c r="G2461" s="10"/>
      <c r="H2461" s="20"/>
      <c r="I2461" s="20"/>
      <c r="J2461" s="10"/>
      <c r="K2461" s="10"/>
      <c r="L2461" s="10"/>
      <c r="M2461" s="10"/>
      <c r="N2461" s="10"/>
      <c r="O2461" s="21"/>
    </row>
    <row r="2462" spans="1:15" x14ac:dyDescent="0.35">
      <c r="A2462" s="15">
        <f t="shared" si="38"/>
        <v>2460</v>
      </c>
      <c r="B2462" s="16"/>
      <c r="C2462" s="19"/>
      <c r="D2462" s="10"/>
      <c r="E2462" s="10"/>
      <c r="F2462" s="47"/>
      <c r="G2462" s="10"/>
      <c r="H2462" s="20"/>
      <c r="I2462" s="20"/>
      <c r="J2462" s="10"/>
      <c r="K2462" s="10"/>
      <c r="L2462" s="10"/>
      <c r="M2462" s="10"/>
      <c r="N2462" s="10"/>
      <c r="O2462" s="21"/>
    </row>
    <row r="2463" spans="1:15" x14ac:dyDescent="0.35">
      <c r="A2463" s="15">
        <f t="shared" si="38"/>
        <v>2461</v>
      </c>
      <c r="B2463" s="16"/>
      <c r="C2463" s="19"/>
      <c r="D2463" s="10"/>
      <c r="E2463" s="10"/>
      <c r="F2463" s="47"/>
      <c r="G2463" s="10"/>
      <c r="H2463" s="20"/>
      <c r="I2463" s="20"/>
      <c r="J2463" s="10"/>
      <c r="K2463" s="10"/>
      <c r="L2463" s="10"/>
      <c r="M2463" s="10"/>
      <c r="N2463" s="10"/>
      <c r="O2463" s="21"/>
    </row>
    <row r="2464" spans="1:15" x14ac:dyDescent="0.35">
      <c r="A2464" s="15">
        <f t="shared" si="38"/>
        <v>2462</v>
      </c>
      <c r="B2464" s="16"/>
      <c r="C2464" s="19"/>
      <c r="D2464" s="10"/>
      <c r="E2464" s="10"/>
      <c r="F2464" s="47"/>
      <c r="G2464" s="10"/>
      <c r="H2464" s="20"/>
      <c r="I2464" s="20"/>
      <c r="J2464" s="10"/>
      <c r="K2464" s="10"/>
      <c r="L2464" s="10"/>
      <c r="M2464" s="10"/>
      <c r="N2464" s="10"/>
      <c r="O2464" s="21"/>
    </row>
    <row r="2465" spans="1:15" x14ac:dyDescent="0.35">
      <c r="A2465" s="15">
        <f t="shared" si="38"/>
        <v>2463</v>
      </c>
      <c r="B2465" s="16"/>
      <c r="C2465" s="19"/>
      <c r="D2465" s="10"/>
      <c r="E2465" s="10"/>
      <c r="F2465" s="47"/>
      <c r="G2465" s="10"/>
      <c r="H2465" s="20"/>
      <c r="I2465" s="20"/>
      <c r="J2465" s="10"/>
      <c r="K2465" s="10"/>
      <c r="L2465" s="10"/>
      <c r="M2465" s="10"/>
      <c r="N2465" s="10"/>
      <c r="O2465" s="21"/>
    </row>
    <row r="2466" spans="1:15" x14ac:dyDescent="0.35">
      <c r="A2466" s="15">
        <f t="shared" si="38"/>
        <v>2464</v>
      </c>
      <c r="B2466" s="16"/>
      <c r="C2466" s="19"/>
      <c r="D2466" s="10"/>
      <c r="E2466" s="10"/>
      <c r="F2466" s="47"/>
      <c r="G2466" s="10"/>
      <c r="H2466" s="20"/>
      <c r="I2466" s="20"/>
      <c r="J2466" s="10"/>
      <c r="K2466" s="10"/>
      <c r="L2466" s="10"/>
      <c r="M2466" s="10"/>
      <c r="N2466" s="10"/>
      <c r="O2466" s="21"/>
    </row>
    <row r="2467" spans="1:15" x14ac:dyDescent="0.35">
      <c r="A2467" s="15">
        <f t="shared" si="38"/>
        <v>2465</v>
      </c>
      <c r="B2467" s="16"/>
      <c r="C2467" s="19"/>
      <c r="D2467" s="10"/>
      <c r="E2467" s="10"/>
      <c r="F2467" s="47"/>
      <c r="G2467" s="10"/>
      <c r="H2467" s="20"/>
      <c r="I2467" s="20"/>
      <c r="J2467" s="10"/>
      <c r="K2467" s="10"/>
      <c r="L2467" s="10"/>
      <c r="M2467" s="10"/>
      <c r="N2467" s="10"/>
      <c r="O2467" s="21"/>
    </row>
    <row r="2468" spans="1:15" x14ac:dyDescent="0.35">
      <c r="A2468" s="15">
        <f t="shared" si="38"/>
        <v>2466</v>
      </c>
      <c r="B2468" s="16"/>
      <c r="C2468" s="19"/>
      <c r="D2468" s="10"/>
      <c r="E2468" s="10"/>
      <c r="F2468" s="47"/>
      <c r="G2468" s="10"/>
      <c r="H2468" s="20"/>
      <c r="I2468" s="20"/>
      <c r="J2468" s="10"/>
      <c r="K2468" s="10"/>
      <c r="L2468" s="10"/>
      <c r="M2468" s="10"/>
      <c r="N2468" s="10"/>
      <c r="O2468" s="21"/>
    </row>
    <row r="2469" spans="1:15" x14ac:dyDescent="0.35">
      <c r="A2469" s="15">
        <f t="shared" si="38"/>
        <v>2467</v>
      </c>
      <c r="B2469" s="16"/>
      <c r="C2469" s="19"/>
      <c r="D2469" s="10"/>
      <c r="E2469" s="10"/>
      <c r="F2469" s="47"/>
      <c r="G2469" s="10"/>
      <c r="H2469" s="20"/>
      <c r="I2469" s="20"/>
      <c r="J2469" s="10"/>
      <c r="K2469" s="10"/>
      <c r="L2469" s="10"/>
      <c r="M2469" s="10"/>
      <c r="N2469" s="10"/>
      <c r="O2469" s="21"/>
    </row>
    <row r="2470" spans="1:15" x14ac:dyDescent="0.35">
      <c r="A2470" s="15">
        <f t="shared" si="38"/>
        <v>2468</v>
      </c>
      <c r="B2470" s="16"/>
      <c r="C2470" s="19"/>
      <c r="D2470" s="10"/>
      <c r="E2470" s="10"/>
      <c r="F2470" s="47"/>
      <c r="G2470" s="10"/>
      <c r="H2470" s="20"/>
      <c r="I2470" s="20"/>
      <c r="J2470" s="10"/>
      <c r="K2470" s="10"/>
      <c r="L2470" s="10"/>
      <c r="M2470" s="10"/>
      <c r="N2470" s="10"/>
      <c r="O2470" s="21"/>
    </row>
    <row r="2471" spans="1:15" x14ac:dyDescent="0.35">
      <c r="A2471" s="15">
        <f t="shared" si="38"/>
        <v>2469</v>
      </c>
      <c r="B2471" s="16"/>
      <c r="C2471" s="19"/>
      <c r="D2471" s="10"/>
      <c r="E2471" s="10"/>
      <c r="F2471" s="47"/>
      <c r="G2471" s="10"/>
      <c r="H2471" s="20"/>
      <c r="I2471" s="20"/>
      <c r="J2471" s="10"/>
      <c r="K2471" s="10"/>
      <c r="L2471" s="10"/>
      <c r="M2471" s="10"/>
      <c r="N2471" s="10"/>
      <c r="O2471" s="21"/>
    </row>
    <row r="2472" spans="1:15" x14ac:dyDescent="0.35">
      <c r="A2472" s="15">
        <f t="shared" si="38"/>
        <v>2470</v>
      </c>
      <c r="B2472" s="16"/>
      <c r="C2472" s="19"/>
      <c r="D2472" s="10"/>
      <c r="E2472" s="10"/>
      <c r="F2472" s="47"/>
      <c r="G2472" s="10"/>
      <c r="H2472" s="20"/>
      <c r="I2472" s="20"/>
      <c r="J2472" s="10"/>
      <c r="K2472" s="10"/>
      <c r="L2472" s="10"/>
      <c r="M2472" s="10"/>
      <c r="N2472" s="10"/>
      <c r="O2472" s="21"/>
    </row>
    <row r="2473" spans="1:15" x14ac:dyDescent="0.35">
      <c r="A2473" s="15">
        <f t="shared" si="38"/>
        <v>2471</v>
      </c>
      <c r="B2473" s="16"/>
      <c r="C2473" s="19"/>
      <c r="D2473" s="10"/>
      <c r="E2473" s="10"/>
      <c r="F2473" s="47"/>
      <c r="G2473" s="10"/>
      <c r="H2473" s="20"/>
      <c r="I2473" s="20"/>
      <c r="J2473" s="10"/>
      <c r="K2473" s="10"/>
      <c r="L2473" s="10"/>
      <c r="M2473" s="10"/>
      <c r="N2473" s="10"/>
      <c r="O2473" s="21"/>
    </row>
    <row r="2474" spans="1:15" x14ac:dyDescent="0.35">
      <c r="A2474" s="15">
        <f t="shared" si="38"/>
        <v>2472</v>
      </c>
      <c r="B2474" s="16"/>
      <c r="C2474" s="19"/>
      <c r="D2474" s="10"/>
      <c r="E2474" s="10"/>
      <c r="F2474" s="47"/>
      <c r="G2474" s="10"/>
      <c r="H2474" s="20"/>
      <c r="I2474" s="20"/>
      <c r="J2474" s="10"/>
      <c r="K2474" s="10"/>
      <c r="L2474" s="10"/>
      <c r="M2474" s="10"/>
      <c r="N2474" s="10"/>
      <c r="O2474" s="21"/>
    </row>
    <row r="2475" spans="1:15" x14ac:dyDescent="0.35">
      <c r="A2475" s="15">
        <f t="shared" si="38"/>
        <v>2473</v>
      </c>
      <c r="B2475" s="16"/>
      <c r="C2475" s="19"/>
      <c r="D2475" s="10"/>
      <c r="E2475" s="10"/>
      <c r="F2475" s="47"/>
      <c r="G2475" s="10"/>
      <c r="H2475" s="20"/>
      <c r="I2475" s="20"/>
      <c r="J2475" s="10"/>
      <c r="K2475" s="10"/>
      <c r="L2475" s="10"/>
      <c r="M2475" s="10"/>
      <c r="N2475" s="10"/>
      <c r="O2475" s="21"/>
    </row>
    <row r="2476" spans="1:15" x14ac:dyDescent="0.35">
      <c r="A2476" s="15">
        <f t="shared" si="38"/>
        <v>2474</v>
      </c>
      <c r="B2476" s="16"/>
      <c r="C2476" s="19"/>
      <c r="D2476" s="10"/>
      <c r="E2476" s="10"/>
      <c r="F2476" s="47"/>
      <c r="G2476" s="10"/>
      <c r="H2476" s="20"/>
      <c r="I2476" s="20"/>
      <c r="J2476" s="10"/>
      <c r="K2476" s="10"/>
      <c r="L2476" s="10"/>
      <c r="M2476" s="10"/>
      <c r="N2476" s="10"/>
      <c r="O2476" s="21"/>
    </row>
    <row r="2477" spans="1:15" x14ac:dyDescent="0.35">
      <c r="A2477" s="15">
        <f t="shared" si="38"/>
        <v>2475</v>
      </c>
      <c r="B2477" s="16"/>
      <c r="C2477" s="19"/>
      <c r="D2477" s="10"/>
      <c r="E2477" s="10"/>
      <c r="F2477" s="47"/>
      <c r="G2477" s="10"/>
      <c r="H2477" s="20"/>
      <c r="I2477" s="20"/>
      <c r="J2477" s="10"/>
      <c r="K2477" s="10"/>
      <c r="L2477" s="10"/>
      <c r="M2477" s="10"/>
      <c r="N2477" s="10"/>
      <c r="O2477" s="21"/>
    </row>
    <row r="2478" spans="1:15" x14ac:dyDescent="0.35">
      <c r="A2478" s="15">
        <f t="shared" si="38"/>
        <v>2476</v>
      </c>
      <c r="B2478" s="16"/>
      <c r="C2478" s="19"/>
      <c r="D2478" s="10"/>
      <c r="E2478" s="10"/>
      <c r="F2478" s="47"/>
      <c r="G2478" s="10"/>
      <c r="H2478" s="20"/>
      <c r="I2478" s="20"/>
      <c r="J2478" s="10"/>
      <c r="K2478" s="10"/>
      <c r="L2478" s="10"/>
      <c r="M2478" s="10"/>
      <c r="N2478" s="10"/>
      <c r="O2478" s="21"/>
    </row>
    <row r="2479" spans="1:15" x14ac:dyDescent="0.35">
      <c r="A2479" s="15">
        <f t="shared" si="38"/>
        <v>2477</v>
      </c>
      <c r="B2479" s="16"/>
      <c r="C2479" s="19"/>
      <c r="D2479" s="10"/>
      <c r="E2479" s="10"/>
      <c r="F2479" s="47"/>
      <c r="G2479" s="10"/>
      <c r="H2479" s="20"/>
      <c r="I2479" s="20"/>
      <c r="J2479" s="10"/>
      <c r="K2479" s="10"/>
      <c r="L2479" s="10"/>
      <c r="M2479" s="10"/>
      <c r="N2479" s="10"/>
      <c r="O2479" s="21"/>
    </row>
    <row r="2480" spans="1:15" x14ac:dyDescent="0.35">
      <c r="A2480" s="15">
        <f t="shared" si="38"/>
        <v>2478</v>
      </c>
      <c r="B2480" s="16"/>
      <c r="C2480" s="19"/>
      <c r="D2480" s="10"/>
      <c r="E2480" s="10"/>
      <c r="F2480" s="47"/>
      <c r="G2480" s="10"/>
      <c r="H2480" s="20"/>
      <c r="I2480" s="20"/>
      <c r="J2480" s="10"/>
      <c r="K2480" s="10"/>
      <c r="L2480" s="10"/>
      <c r="M2480" s="10"/>
      <c r="N2480" s="10"/>
      <c r="O2480" s="21"/>
    </row>
    <row r="2481" spans="1:15" x14ac:dyDescent="0.35">
      <c r="A2481" s="15">
        <f t="shared" si="38"/>
        <v>2479</v>
      </c>
      <c r="B2481" s="16"/>
      <c r="C2481" s="19"/>
      <c r="D2481" s="10"/>
      <c r="E2481" s="10"/>
      <c r="F2481" s="47"/>
      <c r="G2481" s="10"/>
      <c r="H2481" s="20"/>
      <c r="I2481" s="20"/>
      <c r="J2481" s="10"/>
      <c r="K2481" s="10"/>
      <c r="L2481" s="10"/>
      <c r="M2481" s="10"/>
      <c r="N2481" s="10"/>
      <c r="O2481" s="21"/>
    </row>
    <row r="2482" spans="1:15" x14ac:dyDescent="0.35">
      <c r="A2482" s="15">
        <f t="shared" si="38"/>
        <v>2480</v>
      </c>
      <c r="B2482" s="16"/>
      <c r="C2482" s="19"/>
      <c r="D2482" s="10"/>
      <c r="E2482" s="10"/>
      <c r="F2482" s="47"/>
      <c r="G2482" s="10"/>
      <c r="H2482" s="20"/>
      <c r="I2482" s="20"/>
      <c r="J2482" s="10"/>
      <c r="K2482" s="10"/>
      <c r="L2482" s="10"/>
      <c r="M2482" s="10"/>
      <c r="N2482" s="10"/>
      <c r="O2482" s="21"/>
    </row>
    <row r="2483" spans="1:15" x14ac:dyDescent="0.35">
      <c r="A2483" s="15">
        <f t="shared" si="38"/>
        <v>2481</v>
      </c>
      <c r="B2483" s="16"/>
      <c r="C2483" s="19"/>
      <c r="D2483" s="10"/>
      <c r="E2483" s="10"/>
      <c r="F2483" s="47"/>
      <c r="G2483" s="10"/>
      <c r="H2483" s="20"/>
      <c r="I2483" s="20"/>
      <c r="J2483" s="10"/>
      <c r="K2483" s="10"/>
      <c r="L2483" s="10"/>
      <c r="M2483" s="10"/>
      <c r="N2483" s="10"/>
      <c r="O2483" s="21"/>
    </row>
    <row r="2484" spans="1:15" x14ac:dyDescent="0.35">
      <c r="A2484" s="15">
        <f t="shared" si="38"/>
        <v>2482</v>
      </c>
      <c r="B2484" s="16"/>
      <c r="C2484" s="19"/>
      <c r="D2484" s="10"/>
      <c r="E2484" s="10"/>
      <c r="F2484" s="47"/>
      <c r="G2484" s="10"/>
      <c r="H2484" s="20"/>
      <c r="I2484" s="20"/>
      <c r="J2484" s="10"/>
      <c r="K2484" s="10"/>
      <c r="L2484" s="10"/>
      <c r="M2484" s="10"/>
      <c r="N2484" s="10"/>
      <c r="O2484" s="21"/>
    </row>
    <row r="2485" spans="1:15" x14ac:dyDescent="0.35">
      <c r="A2485" s="15">
        <f t="shared" si="38"/>
        <v>2483</v>
      </c>
      <c r="B2485" s="16"/>
      <c r="C2485" s="19"/>
      <c r="D2485" s="10"/>
      <c r="E2485" s="10"/>
      <c r="F2485" s="47"/>
      <c r="G2485" s="10"/>
      <c r="H2485" s="20"/>
      <c r="I2485" s="20"/>
      <c r="J2485" s="10"/>
      <c r="K2485" s="10"/>
      <c r="L2485" s="10"/>
      <c r="M2485" s="10"/>
      <c r="N2485" s="10"/>
      <c r="O2485" s="21"/>
    </row>
    <row r="2486" spans="1:15" x14ac:dyDescent="0.35">
      <c r="A2486" s="15">
        <f t="shared" si="38"/>
        <v>2484</v>
      </c>
      <c r="B2486" s="16"/>
      <c r="C2486" s="19"/>
      <c r="D2486" s="10"/>
      <c r="E2486" s="10"/>
      <c r="F2486" s="47"/>
      <c r="G2486" s="10"/>
      <c r="H2486" s="20"/>
      <c r="I2486" s="20"/>
      <c r="J2486" s="10"/>
      <c r="K2486" s="10"/>
      <c r="L2486" s="10"/>
      <c r="M2486" s="10"/>
      <c r="N2486" s="10"/>
      <c r="O2486" s="21"/>
    </row>
    <row r="2487" spans="1:15" x14ac:dyDescent="0.35">
      <c r="A2487" s="15">
        <f t="shared" si="38"/>
        <v>2485</v>
      </c>
      <c r="B2487" s="16"/>
      <c r="C2487" s="19"/>
      <c r="D2487" s="10"/>
      <c r="E2487" s="10"/>
      <c r="F2487" s="47"/>
      <c r="G2487" s="10"/>
      <c r="H2487" s="20"/>
      <c r="I2487" s="20"/>
      <c r="J2487" s="10"/>
      <c r="K2487" s="10"/>
      <c r="L2487" s="10"/>
      <c r="M2487" s="10"/>
      <c r="N2487" s="10"/>
      <c r="O2487" s="21"/>
    </row>
    <row r="2488" spans="1:15" x14ac:dyDescent="0.35">
      <c r="A2488" s="15">
        <f t="shared" si="38"/>
        <v>2486</v>
      </c>
      <c r="B2488" s="16"/>
      <c r="C2488" s="19"/>
      <c r="D2488" s="10"/>
      <c r="E2488" s="10"/>
      <c r="F2488" s="47"/>
      <c r="G2488" s="10"/>
      <c r="H2488" s="20"/>
      <c r="I2488" s="20"/>
      <c r="J2488" s="10"/>
      <c r="K2488" s="10"/>
      <c r="L2488" s="10"/>
      <c r="M2488" s="10"/>
      <c r="N2488" s="10"/>
      <c r="O2488" s="21"/>
    </row>
    <row r="2489" spans="1:15" x14ac:dyDescent="0.35">
      <c r="A2489" s="15">
        <f t="shared" si="38"/>
        <v>2487</v>
      </c>
      <c r="B2489" s="16"/>
      <c r="C2489" s="19"/>
      <c r="D2489" s="10"/>
      <c r="E2489" s="10"/>
      <c r="F2489" s="47"/>
      <c r="G2489" s="10"/>
      <c r="H2489" s="20"/>
      <c r="I2489" s="20"/>
      <c r="J2489" s="10"/>
      <c r="K2489" s="10"/>
      <c r="L2489" s="10"/>
      <c r="M2489" s="10"/>
      <c r="N2489" s="10"/>
      <c r="O2489" s="21"/>
    </row>
    <row r="2490" spans="1:15" x14ac:dyDescent="0.35">
      <c r="A2490" s="15">
        <f t="shared" si="38"/>
        <v>2488</v>
      </c>
      <c r="B2490" s="16"/>
      <c r="C2490" s="19"/>
      <c r="D2490" s="10"/>
      <c r="E2490" s="10"/>
      <c r="F2490" s="47"/>
      <c r="G2490" s="10"/>
      <c r="H2490" s="20"/>
      <c r="I2490" s="20"/>
      <c r="J2490" s="10"/>
      <c r="K2490" s="10"/>
      <c r="L2490" s="10"/>
      <c r="M2490" s="10"/>
      <c r="N2490" s="10"/>
      <c r="O2490" s="21"/>
    </row>
    <row r="2491" spans="1:15" x14ac:dyDescent="0.35">
      <c r="A2491" s="15">
        <f t="shared" si="38"/>
        <v>2489</v>
      </c>
      <c r="B2491" s="16"/>
      <c r="C2491" s="19"/>
      <c r="D2491" s="10"/>
      <c r="E2491" s="10"/>
      <c r="F2491" s="47"/>
      <c r="G2491" s="10"/>
      <c r="H2491" s="20"/>
      <c r="I2491" s="20"/>
      <c r="J2491" s="10"/>
      <c r="K2491" s="10"/>
      <c r="L2491" s="10"/>
      <c r="M2491" s="10"/>
      <c r="N2491" s="10"/>
      <c r="O2491" s="21"/>
    </row>
    <row r="2492" spans="1:15" x14ac:dyDescent="0.35">
      <c r="A2492" s="15">
        <f t="shared" si="38"/>
        <v>2490</v>
      </c>
      <c r="B2492" s="16"/>
      <c r="C2492" s="19"/>
      <c r="D2492" s="10"/>
      <c r="E2492" s="10"/>
      <c r="F2492" s="47"/>
      <c r="G2492" s="10"/>
      <c r="H2492" s="20"/>
      <c r="I2492" s="20"/>
      <c r="J2492" s="10"/>
      <c r="K2492" s="10"/>
      <c r="L2492" s="10"/>
      <c r="M2492" s="10"/>
      <c r="N2492" s="10"/>
      <c r="O2492" s="21"/>
    </row>
    <row r="2493" spans="1:15" x14ac:dyDescent="0.35">
      <c r="A2493" s="15">
        <f t="shared" si="38"/>
        <v>2491</v>
      </c>
      <c r="B2493" s="16"/>
      <c r="C2493" s="19"/>
      <c r="D2493" s="10"/>
      <c r="E2493" s="10"/>
      <c r="F2493" s="47"/>
      <c r="G2493" s="10"/>
      <c r="H2493" s="20"/>
      <c r="I2493" s="20"/>
      <c r="J2493" s="10"/>
      <c r="K2493" s="10"/>
      <c r="L2493" s="10"/>
      <c r="M2493" s="10"/>
      <c r="N2493" s="10"/>
      <c r="O2493" s="21"/>
    </row>
    <row r="2494" spans="1:15" x14ac:dyDescent="0.35">
      <c r="A2494" s="15">
        <f t="shared" si="38"/>
        <v>2492</v>
      </c>
      <c r="B2494" s="16"/>
      <c r="C2494" s="19"/>
      <c r="D2494" s="10"/>
      <c r="E2494" s="10"/>
      <c r="F2494" s="47"/>
      <c r="G2494" s="10"/>
      <c r="H2494" s="20"/>
      <c r="I2494" s="20"/>
      <c r="J2494" s="10"/>
      <c r="K2494" s="10"/>
      <c r="L2494" s="10"/>
      <c r="M2494" s="10"/>
      <c r="N2494" s="10"/>
      <c r="O2494" s="21"/>
    </row>
    <row r="2495" spans="1:15" x14ac:dyDescent="0.35">
      <c r="A2495" s="15">
        <f t="shared" si="38"/>
        <v>2493</v>
      </c>
      <c r="B2495" s="16"/>
      <c r="C2495" s="19"/>
      <c r="D2495" s="10"/>
      <c r="E2495" s="10"/>
      <c r="F2495" s="47"/>
      <c r="G2495" s="10"/>
      <c r="H2495" s="20"/>
      <c r="I2495" s="20"/>
      <c r="J2495" s="10"/>
      <c r="K2495" s="10"/>
      <c r="L2495" s="10"/>
      <c r="M2495" s="10"/>
      <c r="N2495" s="10"/>
      <c r="O2495" s="21"/>
    </row>
    <row r="2496" spans="1:15" x14ac:dyDescent="0.35">
      <c r="A2496" s="15">
        <f t="shared" si="38"/>
        <v>2494</v>
      </c>
      <c r="B2496" s="16"/>
      <c r="C2496" s="19"/>
      <c r="D2496" s="10"/>
      <c r="E2496" s="10"/>
      <c r="F2496" s="47"/>
      <c r="G2496" s="10"/>
      <c r="H2496" s="20"/>
      <c r="I2496" s="20"/>
      <c r="J2496" s="10"/>
      <c r="K2496" s="10"/>
      <c r="L2496" s="10"/>
      <c r="M2496" s="10"/>
      <c r="N2496" s="10"/>
      <c r="O2496" s="21"/>
    </row>
    <row r="2497" spans="1:15" x14ac:dyDescent="0.35">
      <c r="A2497" s="15">
        <f t="shared" si="38"/>
        <v>2495</v>
      </c>
      <c r="B2497" s="16"/>
      <c r="C2497" s="19"/>
      <c r="D2497" s="10"/>
      <c r="E2497" s="10"/>
      <c r="F2497" s="47"/>
      <c r="G2497" s="10"/>
      <c r="H2497" s="20"/>
      <c r="I2497" s="20"/>
      <c r="J2497" s="10"/>
      <c r="K2497" s="10"/>
      <c r="L2497" s="10"/>
      <c r="M2497" s="10"/>
      <c r="N2497" s="10"/>
      <c r="O2497" s="21"/>
    </row>
    <row r="2498" spans="1:15" x14ac:dyDescent="0.35">
      <c r="A2498" s="15">
        <f t="shared" si="38"/>
        <v>2496</v>
      </c>
      <c r="B2498" s="16"/>
      <c r="C2498" s="19"/>
      <c r="D2498" s="10"/>
      <c r="E2498" s="10"/>
      <c r="F2498" s="47"/>
      <c r="G2498" s="10"/>
      <c r="H2498" s="20"/>
      <c r="I2498" s="20"/>
      <c r="J2498" s="10"/>
      <c r="K2498" s="10"/>
      <c r="L2498" s="10"/>
      <c r="M2498" s="10"/>
      <c r="N2498" s="10"/>
      <c r="O2498" s="21"/>
    </row>
    <row r="2499" spans="1:15" x14ac:dyDescent="0.35">
      <c r="A2499" s="15">
        <f t="shared" si="38"/>
        <v>2497</v>
      </c>
      <c r="B2499" s="16"/>
      <c r="C2499" s="19"/>
      <c r="D2499" s="10"/>
      <c r="E2499" s="10"/>
      <c r="F2499" s="47"/>
      <c r="G2499" s="10"/>
      <c r="H2499" s="20"/>
      <c r="I2499" s="20"/>
      <c r="J2499" s="10"/>
      <c r="K2499" s="10"/>
      <c r="L2499" s="10"/>
      <c r="M2499" s="10"/>
      <c r="N2499" s="10"/>
      <c r="O2499" s="21"/>
    </row>
    <row r="2500" spans="1:15" x14ac:dyDescent="0.35">
      <c r="A2500" s="15">
        <f t="shared" si="38"/>
        <v>2498</v>
      </c>
      <c r="B2500" s="16"/>
      <c r="C2500" s="19"/>
      <c r="D2500" s="10"/>
      <c r="E2500" s="10"/>
      <c r="F2500" s="47"/>
      <c r="G2500" s="10"/>
      <c r="H2500" s="20"/>
      <c r="I2500" s="20"/>
      <c r="J2500" s="10"/>
      <c r="K2500" s="10"/>
      <c r="L2500" s="10"/>
      <c r="M2500" s="10"/>
      <c r="N2500" s="10"/>
      <c r="O2500" s="21"/>
    </row>
    <row r="2501" spans="1:15" x14ac:dyDescent="0.35">
      <c r="A2501" s="15">
        <f t="shared" si="38"/>
        <v>2499</v>
      </c>
      <c r="B2501" s="16"/>
      <c r="C2501" s="19"/>
      <c r="D2501" s="10"/>
      <c r="E2501" s="10"/>
      <c r="F2501" s="47"/>
      <c r="G2501" s="10"/>
      <c r="H2501" s="20"/>
      <c r="I2501" s="20"/>
      <c r="J2501" s="10"/>
      <c r="K2501" s="10"/>
      <c r="L2501" s="10"/>
      <c r="M2501" s="10"/>
      <c r="N2501" s="10"/>
      <c r="O2501" s="21"/>
    </row>
    <row r="2502" spans="1:15" x14ac:dyDescent="0.35">
      <c r="A2502" s="15">
        <f t="shared" si="38"/>
        <v>2500</v>
      </c>
      <c r="B2502" s="16"/>
      <c r="C2502" s="19"/>
      <c r="D2502" s="10"/>
      <c r="E2502" s="10"/>
      <c r="F2502" s="47"/>
      <c r="G2502" s="10"/>
      <c r="H2502" s="20"/>
      <c r="I2502" s="20"/>
      <c r="J2502" s="10"/>
      <c r="K2502" s="10"/>
      <c r="L2502" s="10"/>
      <c r="M2502" s="10"/>
      <c r="N2502" s="10"/>
      <c r="O2502" s="21"/>
    </row>
    <row r="2503" spans="1:15" x14ac:dyDescent="0.35">
      <c r="A2503" s="15">
        <f t="shared" si="38"/>
        <v>2501</v>
      </c>
      <c r="B2503" s="16"/>
      <c r="C2503" s="19"/>
      <c r="D2503" s="10"/>
      <c r="E2503" s="10"/>
      <c r="F2503" s="47"/>
      <c r="G2503" s="10"/>
      <c r="H2503" s="20"/>
      <c r="I2503" s="20"/>
      <c r="J2503" s="10"/>
      <c r="K2503" s="10"/>
      <c r="L2503" s="10"/>
      <c r="M2503" s="10"/>
      <c r="N2503" s="10"/>
      <c r="O2503" s="21"/>
    </row>
    <row r="2504" spans="1:15" x14ac:dyDescent="0.35">
      <c r="A2504" s="15">
        <f t="shared" si="38"/>
        <v>2502</v>
      </c>
      <c r="B2504" s="16"/>
      <c r="C2504" s="19"/>
      <c r="D2504" s="10"/>
      <c r="E2504" s="10"/>
      <c r="F2504" s="47"/>
      <c r="G2504" s="10"/>
      <c r="H2504" s="20"/>
      <c r="I2504" s="20"/>
      <c r="J2504" s="10"/>
      <c r="K2504" s="10"/>
      <c r="L2504" s="10"/>
      <c r="M2504" s="10"/>
      <c r="N2504" s="10"/>
      <c r="O2504" s="21"/>
    </row>
    <row r="2505" spans="1:15" x14ac:dyDescent="0.35">
      <c r="A2505" s="15">
        <f t="shared" si="38"/>
        <v>2503</v>
      </c>
      <c r="B2505" s="16"/>
      <c r="C2505" s="19"/>
      <c r="D2505" s="10"/>
      <c r="E2505" s="10"/>
      <c r="F2505" s="47"/>
      <c r="G2505" s="10"/>
      <c r="H2505" s="20"/>
      <c r="I2505" s="20"/>
      <c r="J2505" s="10"/>
      <c r="K2505" s="10"/>
      <c r="L2505" s="10"/>
      <c r="M2505" s="10"/>
      <c r="N2505" s="10"/>
      <c r="O2505" s="21"/>
    </row>
    <row r="2506" spans="1:15" x14ac:dyDescent="0.35">
      <c r="A2506" s="15">
        <f t="shared" si="38"/>
        <v>2504</v>
      </c>
      <c r="B2506" s="16"/>
      <c r="C2506" s="19"/>
      <c r="D2506" s="10"/>
      <c r="E2506" s="10"/>
      <c r="F2506" s="47"/>
      <c r="G2506" s="10"/>
      <c r="H2506" s="20"/>
      <c r="I2506" s="20"/>
      <c r="J2506" s="10"/>
      <c r="K2506" s="10"/>
      <c r="L2506" s="10"/>
      <c r="M2506" s="10"/>
      <c r="N2506" s="10"/>
      <c r="O2506" s="21"/>
    </row>
    <row r="2507" spans="1:15" x14ac:dyDescent="0.35">
      <c r="A2507" s="15">
        <f t="shared" ref="A2507:A2570" si="39">+A2506+1</f>
        <v>2505</v>
      </c>
      <c r="B2507" s="16"/>
      <c r="C2507" s="19"/>
      <c r="D2507" s="10"/>
      <c r="E2507" s="10"/>
      <c r="F2507" s="47"/>
      <c r="G2507" s="10"/>
      <c r="H2507" s="20"/>
      <c r="I2507" s="20"/>
      <c r="J2507" s="10"/>
      <c r="K2507" s="10"/>
      <c r="L2507" s="10"/>
      <c r="M2507" s="10"/>
      <c r="N2507" s="10"/>
      <c r="O2507" s="21"/>
    </row>
    <row r="2508" spans="1:15" x14ac:dyDescent="0.35">
      <c r="A2508" s="15">
        <f t="shared" si="39"/>
        <v>2506</v>
      </c>
      <c r="B2508" s="16"/>
      <c r="C2508" s="19"/>
      <c r="D2508" s="10"/>
      <c r="E2508" s="10"/>
      <c r="F2508" s="47"/>
      <c r="G2508" s="10"/>
      <c r="H2508" s="20"/>
      <c r="I2508" s="20"/>
      <c r="J2508" s="10"/>
      <c r="K2508" s="10"/>
      <c r="L2508" s="10"/>
      <c r="M2508" s="10"/>
      <c r="N2508" s="10"/>
      <c r="O2508" s="21"/>
    </row>
    <row r="2509" spans="1:15" x14ac:dyDescent="0.35">
      <c r="A2509" s="15">
        <f t="shared" si="39"/>
        <v>2507</v>
      </c>
      <c r="B2509" s="16"/>
      <c r="C2509" s="19"/>
      <c r="D2509" s="10"/>
      <c r="E2509" s="10"/>
      <c r="F2509" s="47"/>
      <c r="G2509" s="10"/>
      <c r="H2509" s="20"/>
      <c r="I2509" s="20"/>
      <c r="J2509" s="10"/>
      <c r="K2509" s="10"/>
      <c r="L2509" s="10"/>
      <c r="M2509" s="10"/>
      <c r="N2509" s="10"/>
      <c r="O2509" s="21"/>
    </row>
    <row r="2510" spans="1:15" x14ac:dyDescent="0.35">
      <c r="A2510" s="15">
        <f t="shared" si="39"/>
        <v>2508</v>
      </c>
      <c r="B2510" s="16"/>
      <c r="C2510" s="19"/>
      <c r="D2510" s="10"/>
      <c r="E2510" s="10"/>
      <c r="F2510" s="47"/>
      <c r="G2510" s="10"/>
      <c r="H2510" s="20"/>
      <c r="I2510" s="20"/>
      <c r="J2510" s="10"/>
      <c r="K2510" s="10"/>
      <c r="L2510" s="10"/>
      <c r="M2510" s="10"/>
      <c r="N2510" s="10"/>
      <c r="O2510" s="21"/>
    </row>
    <row r="2511" spans="1:15" x14ac:dyDescent="0.35">
      <c r="A2511" s="15">
        <f t="shared" si="39"/>
        <v>2509</v>
      </c>
      <c r="B2511" s="16"/>
      <c r="C2511" s="19"/>
      <c r="D2511" s="10"/>
      <c r="E2511" s="10"/>
      <c r="F2511" s="47"/>
      <c r="G2511" s="10"/>
      <c r="H2511" s="20"/>
      <c r="I2511" s="20"/>
      <c r="J2511" s="10"/>
      <c r="K2511" s="10"/>
      <c r="L2511" s="10"/>
      <c r="M2511" s="10"/>
      <c r="N2511" s="10"/>
      <c r="O2511" s="21"/>
    </row>
    <row r="2512" spans="1:15" x14ac:dyDescent="0.35">
      <c r="A2512" s="15">
        <f t="shared" si="39"/>
        <v>2510</v>
      </c>
      <c r="B2512" s="16"/>
      <c r="C2512" s="19"/>
      <c r="D2512" s="10"/>
      <c r="E2512" s="10"/>
      <c r="F2512" s="47"/>
      <c r="G2512" s="10"/>
      <c r="H2512" s="20"/>
      <c r="I2512" s="20"/>
      <c r="J2512" s="10"/>
      <c r="K2512" s="10"/>
      <c r="L2512" s="10"/>
      <c r="M2512" s="10"/>
      <c r="N2512" s="10"/>
      <c r="O2512" s="21"/>
    </row>
    <row r="2513" spans="1:15" x14ac:dyDescent="0.35">
      <c r="A2513" s="15">
        <f t="shared" si="39"/>
        <v>2511</v>
      </c>
      <c r="B2513" s="16"/>
      <c r="C2513" s="19"/>
      <c r="D2513" s="10"/>
      <c r="E2513" s="10"/>
      <c r="F2513" s="47"/>
      <c r="G2513" s="10"/>
      <c r="H2513" s="20"/>
      <c r="I2513" s="20"/>
      <c r="J2513" s="10"/>
      <c r="K2513" s="10"/>
      <c r="L2513" s="10"/>
      <c r="M2513" s="10"/>
      <c r="N2513" s="10"/>
      <c r="O2513" s="21"/>
    </row>
    <row r="2514" spans="1:15" x14ac:dyDescent="0.35">
      <c r="A2514" s="15">
        <f t="shared" si="39"/>
        <v>2512</v>
      </c>
      <c r="B2514" s="16"/>
      <c r="C2514" s="19"/>
      <c r="D2514" s="10"/>
      <c r="E2514" s="10"/>
      <c r="F2514" s="47"/>
      <c r="G2514" s="10"/>
      <c r="H2514" s="20"/>
      <c r="I2514" s="20"/>
      <c r="J2514" s="10"/>
      <c r="K2514" s="10"/>
      <c r="L2514" s="10"/>
      <c r="M2514" s="10"/>
      <c r="N2514" s="10"/>
      <c r="O2514" s="21"/>
    </row>
    <row r="2515" spans="1:15" x14ac:dyDescent="0.35">
      <c r="A2515" s="15">
        <f t="shared" si="39"/>
        <v>2513</v>
      </c>
      <c r="B2515" s="16"/>
      <c r="C2515" s="19"/>
      <c r="D2515" s="10"/>
      <c r="E2515" s="10"/>
      <c r="F2515" s="47"/>
      <c r="G2515" s="10"/>
      <c r="H2515" s="20"/>
      <c r="I2515" s="20"/>
      <c r="J2515" s="10"/>
      <c r="K2515" s="10"/>
      <c r="L2515" s="10"/>
      <c r="M2515" s="10"/>
      <c r="N2515" s="10"/>
      <c r="O2515" s="21"/>
    </row>
    <row r="2516" spans="1:15" x14ac:dyDescent="0.35">
      <c r="A2516" s="15">
        <f t="shared" si="39"/>
        <v>2514</v>
      </c>
      <c r="B2516" s="16"/>
      <c r="C2516" s="19"/>
      <c r="D2516" s="10"/>
      <c r="E2516" s="10"/>
      <c r="F2516" s="47"/>
      <c r="G2516" s="10"/>
      <c r="H2516" s="20"/>
      <c r="I2516" s="20"/>
      <c r="J2516" s="10"/>
      <c r="K2516" s="10"/>
      <c r="L2516" s="10"/>
      <c r="M2516" s="10"/>
      <c r="N2516" s="10"/>
      <c r="O2516" s="21"/>
    </row>
    <row r="2517" spans="1:15" x14ac:dyDescent="0.35">
      <c r="A2517" s="15">
        <f t="shared" si="39"/>
        <v>2515</v>
      </c>
      <c r="B2517" s="16"/>
      <c r="C2517" s="19"/>
      <c r="D2517" s="10"/>
      <c r="E2517" s="10"/>
      <c r="F2517" s="47"/>
      <c r="G2517" s="10"/>
      <c r="H2517" s="20"/>
      <c r="I2517" s="20"/>
      <c r="J2517" s="10"/>
      <c r="K2517" s="10"/>
      <c r="L2517" s="10"/>
      <c r="M2517" s="10"/>
      <c r="N2517" s="10"/>
      <c r="O2517" s="21"/>
    </row>
    <row r="2518" spans="1:15" x14ac:dyDescent="0.35">
      <c r="A2518" s="15">
        <f t="shared" si="39"/>
        <v>2516</v>
      </c>
      <c r="B2518" s="16"/>
      <c r="C2518" s="19"/>
      <c r="D2518" s="10"/>
      <c r="E2518" s="10"/>
      <c r="F2518" s="47"/>
      <c r="G2518" s="10"/>
      <c r="H2518" s="20"/>
      <c r="I2518" s="20"/>
      <c r="J2518" s="10"/>
      <c r="K2518" s="10"/>
      <c r="L2518" s="10"/>
      <c r="M2518" s="10"/>
      <c r="N2518" s="10"/>
      <c r="O2518" s="21"/>
    </row>
    <row r="2519" spans="1:15" x14ac:dyDescent="0.35">
      <c r="A2519" s="15">
        <f t="shared" si="39"/>
        <v>2517</v>
      </c>
      <c r="B2519" s="16"/>
      <c r="C2519" s="19"/>
      <c r="D2519" s="10"/>
      <c r="E2519" s="10"/>
      <c r="F2519" s="47"/>
      <c r="G2519" s="10"/>
      <c r="H2519" s="20"/>
      <c r="I2519" s="20"/>
      <c r="J2519" s="10"/>
      <c r="K2519" s="10"/>
      <c r="L2519" s="10"/>
      <c r="M2519" s="10"/>
      <c r="N2519" s="10"/>
      <c r="O2519" s="21"/>
    </row>
    <row r="2520" spans="1:15" x14ac:dyDescent="0.35">
      <c r="A2520" s="15">
        <f t="shared" si="39"/>
        <v>2518</v>
      </c>
      <c r="B2520" s="16"/>
      <c r="C2520" s="19"/>
      <c r="D2520" s="10"/>
      <c r="E2520" s="10"/>
      <c r="F2520" s="47"/>
      <c r="G2520" s="10"/>
      <c r="H2520" s="20"/>
      <c r="I2520" s="20"/>
      <c r="J2520" s="10"/>
      <c r="K2520" s="10"/>
      <c r="L2520" s="10"/>
      <c r="M2520" s="10"/>
      <c r="N2520" s="10"/>
      <c r="O2520" s="21"/>
    </row>
    <row r="2521" spans="1:15" x14ac:dyDescent="0.35">
      <c r="A2521" s="15">
        <f t="shared" si="39"/>
        <v>2519</v>
      </c>
      <c r="B2521" s="16"/>
      <c r="C2521" s="19"/>
      <c r="D2521" s="10"/>
      <c r="E2521" s="10"/>
      <c r="F2521" s="47"/>
      <c r="G2521" s="10"/>
      <c r="H2521" s="20"/>
      <c r="I2521" s="20"/>
      <c r="J2521" s="10"/>
      <c r="K2521" s="10"/>
      <c r="L2521" s="10"/>
      <c r="M2521" s="10"/>
      <c r="N2521" s="10"/>
      <c r="O2521" s="21"/>
    </row>
    <row r="2522" spans="1:15" x14ac:dyDescent="0.35">
      <c r="A2522" s="15">
        <f t="shared" si="39"/>
        <v>2520</v>
      </c>
      <c r="B2522" s="16"/>
      <c r="C2522" s="19"/>
      <c r="D2522" s="10"/>
      <c r="E2522" s="10"/>
      <c r="F2522" s="47"/>
      <c r="G2522" s="10"/>
      <c r="H2522" s="20"/>
      <c r="I2522" s="20"/>
      <c r="J2522" s="10"/>
      <c r="K2522" s="10"/>
      <c r="L2522" s="10"/>
      <c r="M2522" s="10"/>
      <c r="N2522" s="10"/>
      <c r="O2522" s="21"/>
    </row>
    <row r="2523" spans="1:15" x14ac:dyDescent="0.35">
      <c r="A2523" s="15">
        <f t="shared" si="39"/>
        <v>2521</v>
      </c>
      <c r="B2523" s="16"/>
      <c r="C2523" s="19"/>
      <c r="D2523" s="10"/>
      <c r="E2523" s="10"/>
      <c r="F2523" s="47"/>
      <c r="G2523" s="10"/>
      <c r="H2523" s="20"/>
      <c r="I2523" s="20"/>
      <c r="J2523" s="10"/>
      <c r="K2523" s="10"/>
      <c r="L2523" s="10"/>
      <c r="M2523" s="10"/>
      <c r="N2523" s="10"/>
      <c r="O2523" s="21"/>
    </row>
    <row r="2524" spans="1:15" x14ac:dyDescent="0.35">
      <c r="A2524" s="15">
        <f t="shared" si="39"/>
        <v>2522</v>
      </c>
      <c r="B2524" s="16"/>
      <c r="C2524" s="19"/>
      <c r="D2524" s="10"/>
      <c r="E2524" s="10"/>
      <c r="F2524" s="47"/>
      <c r="G2524" s="10"/>
      <c r="H2524" s="20"/>
      <c r="I2524" s="20"/>
      <c r="J2524" s="10"/>
      <c r="K2524" s="10"/>
      <c r="L2524" s="10"/>
      <c r="M2524" s="10"/>
      <c r="N2524" s="10"/>
      <c r="O2524" s="21"/>
    </row>
    <row r="2525" spans="1:15" x14ac:dyDescent="0.35">
      <c r="A2525" s="15">
        <f t="shared" si="39"/>
        <v>2523</v>
      </c>
      <c r="B2525" s="16"/>
      <c r="C2525" s="19"/>
      <c r="D2525" s="10"/>
      <c r="E2525" s="10"/>
      <c r="F2525" s="47"/>
      <c r="G2525" s="10"/>
      <c r="H2525" s="20"/>
      <c r="I2525" s="20"/>
      <c r="J2525" s="10"/>
      <c r="K2525" s="10"/>
      <c r="L2525" s="10"/>
      <c r="M2525" s="10"/>
      <c r="N2525" s="10"/>
      <c r="O2525" s="21"/>
    </row>
    <row r="2526" spans="1:15" x14ac:dyDescent="0.35">
      <c r="A2526" s="15">
        <f t="shared" si="39"/>
        <v>2524</v>
      </c>
      <c r="B2526" s="16"/>
      <c r="C2526" s="19"/>
      <c r="D2526" s="10"/>
      <c r="E2526" s="10"/>
      <c r="F2526" s="47"/>
      <c r="G2526" s="10"/>
      <c r="H2526" s="20"/>
      <c r="I2526" s="20"/>
      <c r="J2526" s="10"/>
      <c r="K2526" s="10"/>
      <c r="L2526" s="10"/>
      <c r="M2526" s="10"/>
      <c r="N2526" s="10"/>
      <c r="O2526" s="21"/>
    </row>
    <row r="2527" spans="1:15" x14ac:dyDescent="0.35">
      <c r="A2527" s="15">
        <f t="shared" si="39"/>
        <v>2525</v>
      </c>
      <c r="B2527" s="16"/>
      <c r="C2527" s="19"/>
      <c r="D2527" s="10"/>
      <c r="E2527" s="10"/>
      <c r="F2527" s="47"/>
      <c r="G2527" s="10"/>
      <c r="H2527" s="20"/>
      <c r="I2527" s="20"/>
      <c r="J2527" s="10"/>
      <c r="K2527" s="10"/>
      <c r="L2527" s="10"/>
      <c r="M2527" s="10"/>
      <c r="N2527" s="10"/>
      <c r="O2527" s="21"/>
    </row>
    <row r="2528" spans="1:15" x14ac:dyDescent="0.35">
      <c r="A2528" s="15">
        <f t="shared" si="39"/>
        <v>2526</v>
      </c>
      <c r="B2528" s="16"/>
      <c r="C2528" s="19"/>
      <c r="D2528" s="10"/>
      <c r="E2528" s="10"/>
      <c r="F2528" s="47"/>
      <c r="G2528" s="10"/>
      <c r="H2528" s="20"/>
      <c r="I2528" s="20"/>
      <c r="J2528" s="10"/>
      <c r="K2528" s="10"/>
      <c r="L2528" s="10"/>
      <c r="M2528" s="10"/>
      <c r="N2528" s="10"/>
      <c r="O2528" s="21"/>
    </row>
    <row r="2529" spans="1:15" x14ac:dyDescent="0.35">
      <c r="A2529" s="15">
        <f t="shared" si="39"/>
        <v>2527</v>
      </c>
      <c r="B2529" s="16"/>
      <c r="C2529" s="19"/>
      <c r="D2529" s="10"/>
      <c r="E2529" s="10"/>
      <c r="F2529" s="47"/>
      <c r="G2529" s="10"/>
      <c r="H2529" s="20"/>
      <c r="I2529" s="20"/>
      <c r="J2529" s="10"/>
      <c r="K2529" s="10"/>
      <c r="L2529" s="10"/>
      <c r="M2529" s="10"/>
      <c r="N2529" s="10"/>
      <c r="O2529" s="21"/>
    </row>
    <row r="2530" spans="1:15" x14ac:dyDescent="0.35">
      <c r="A2530" s="15">
        <f t="shared" si="39"/>
        <v>2528</v>
      </c>
      <c r="B2530" s="16"/>
      <c r="C2530" s="19"/>
      <c r="D2530" s="10"/>
      <c r="E2530" s="10"/>
      <c r="F2530" s="47"/>
      <c r="G2530" s="10"/>
      <c r="H2530" s="20"/>
      <c r="I2530" s="20"/>
      <c r="J2530" s="10"/>
      <c r="K2530" s="10"/>
      <c r="L2530" s="10"/>
      <c r="M2530" s="10"/>
      <c r="N2530" s="10"/>
      <c r="O2530" s="21"/>
    </row>
    <row r="2531" spans="1:15" x14ac:dyDescent="0.35">
      <c r="A2531" s="15">
        <f t="shared" si="39"/>
        <v>2529</v>
      </c>
      <c r="B2531" s="16"/>
      <c r="C2531" s="19"/>
      <c r="D2531" s="10"/>
      <c r="E2531" s="10"/>
      <c r="F2531" s="47"/>
      <c r="G2531" s="10"/>
      <c r="H2531" s="20"/>
      <c r="I2531" s="20"/>
      <c r="J2531" s="10"/>
      <c r="K2531" s="10"/>
      <c r="L2531" s="10"/>
      <c r="M2531" s="10"/>
      <c r="N2531" s="10"/>
      <c r="O2531" s="21"/>
    </row>
    <row r="2532" spans="1:15" x14ac:dyDescent="0.35">
      <c r="A2532" s="15">
        <f t="shared" si="39"/>
        <v>2530</v>
      </c>
      <c r="B2532" s="16"/>
      <c r="C2532" s="19"/>
      <c r="D2532" s="10"/>
      <c r="E2532" s="10"/>
      <c r="F2532" s="47"/>
      <c r="G2532" s="10"/>
      <c r="H2532" s="20"/>
      <c r="I2532" s="20"/>
      <c r="J2532" s="10"/>
      <c r="K2532" s="10"/>
      <c r="L2532" s="10"/>
      <c r="M2532" s="10"/>
      <c r="N2532" s="10"/>
      <c r="O2532" s="21"/>
    </row>
    <row r="2533" spans="1:15" x14ac:dyDescent="0.35">
      <c r="A2533" s="15">
        <f t="shared" si="39"/>
        <v>2531</v>
      </c>
      <c r="B2533" s="16"/>
      <c r="C2533" s="19"/>
      <c r="D2533" s="10"/>
      <c r="E2533" s="10"/>
      <c r="F2533" s="47"/>
      <c r="G2533" s="10"/>
      <c r="H2533" s="20"/>
      <c r="I2533" s="20"/>
      <c r="J2533" s="10"/>
      <c r="K2533" s="10"/>
      <c r="L2533" s="10"/>
      <c r="M2533" s="10"/>
      <c r="N2533" s="10"/>
      <c r="O2533" s="21"/>
    </row>
    <row r="2534" spans="1:15" x14ac:dyDescent="0.35">
      <c r="A2534" s="15">
        <f t="shared" si="39"/>
        <v>2532</v>
      </c>
      <c r="B2534" s="16"/>
      <c r="C2534" s="19"/>
      <c r="D2534" s="10"/>
      <c r="E2534" s="10"/>
      <c r="F2534" s="47"/>
      <c r="G2534" s="10"/>
      <c r="H2534" s="20"/>
      <c r="I2534" s="20"/>
      <c r="J2534" s="10"/>
      <c r="K2534" s="10"/>
      <c r="L2534" s="10"/>
      <c r="M2534" s="10"/>
      <c r="N2534" s="10"/>
      <c r="O2534" s="21"/>
    </row>
    <row r="2535" spans="1:15" x14ac:dyDescent="0.35">
      <c r="A2535" s="15">
        <f t="shared" si="39"/>
        <v>2533</v>
      </c>
      <c r="B2535" s="16"/>
      <c r="C2535" s="19"/>
      <c r="D2535" s="10"/>
      <c r="E2535" s="10"/>
      <c r="F2535" s="47"/>
      <c r="G2535" s="10"/>
      <c r="H2535" s="20"/>
      <c r="I2535" s="20"/>
      <c r="J2535" s="10"/>
      <c r="K2535" s="10"/>
      <c r="L2535" s="10"/>
      <c r="M2535" s="10"/>
      <c r="N2535" s="10"/>
      <c r="O2535" s="21"/>
    </row>
    <row r="2536" spans="1:15" x14ac:dyDescent="0.35">
      <c r="A2536" s="15">
        <f t="shared" si="39"/>
        <v>2534</v>
      </c>
      <c r="B2536" s="16"/>
      <c r="C2536" s="19"/>
      <c r="D2536" s="10"/>
      <c r="E2536" s="10"/>
      <c r="F2536" s="47"/>
      <c r="G2536" s="10"/>
      <c r="H2536" s="20"/>
      <c r="I2536" s="20"/>
      <c r="J2536" s="10"/>
      <c r="K2536" s="10"/>
      <c r="L2536" s="10"/>
      <c r="M2536" s="10"/>
      <c r="N2536" s="10"/>
      <c r="O2536" s="21"/>
    </row>
    <row r="2537" spans="1:15" x14ac:dyDescent="0.35">
      <c r="A2537" s="15">
        <f t="shared" si="39"/>
        <v>2535</v>
      </c>
      <c r="B2537" s="16"/>
      <c r="C2537" s="19"/>
      <c r="D2537" s="10"/>
      <c r="E2537" s="10"/>
      <c r="F2537" s="47"/>
      <c r="G2537" s="10"/>
      <c r="H2537" s="20"/>
      <c r="I2537" s="20"/>
      <c r="J2537" s="10"/>
      <c r="K2537" s="10"/>
      <c r="L2537" s="10"/>
      <c r="M2537" s="10"/>
      <c r="N2537" s="10"/>
      <c r="O2537" s="21"/>
    </row>
    <row r="2538" spans="1:15" x14ac:dyDescent="0.35">
      <c r="A2538" s="15">
        <f t="shared" si="39"/>
        <v>2536</v>
      </c>
      <c r="B2538" s="16"/>
      <c r="C2538" s="19"/>
      <c r="D2538" s="10"/>
      <c r="E2538" s="10"/>
      <c r="F2538" s="47"/>
      <c r="G2538" s="10"/>
      <c r="H2538" s="20"/>
      <c r="I2538" s="20"/>
      <c r="J2538" s="10"/>
      <c r="K2538" s="10"/>
      <c r="L2538" s="10"/>
      <c r="M2538" s="10"/>
      <c r="N2538" s="10"/>
      <c r="O2538" s="21"/>
    </row>
    <row r="2539" spans="1:15" x14ac:dyDescent="0.35">
      <c r="A2539" s="15">
        <f t="shared" si="39"/>
        <v>2537</v>
      </c>
      <c r="B2539" s="16"/>
      <c r="C2539" s="19"/>
      <c r="D2539" s="10"/>
      <c r="E2539" s="10"/>
      <c r="F2539" s="47"/>
      <c r="G2539" s="10"/>
      <c r="H2539" s="20"/>
      <c r="I2539" s="20"/>
      <c r="J2539" s="10"/>
      <c r="K2539" s="10"/>
      <c r="L2539" s="10"/>
      <c r="M2539" s="10"/>
      <c r="N2539" s="10"/>
      <c r="O2539" s="21"/>
    </row>
    <row r="2540" spans="1:15" x14ac:dyDescent="0.35">
      <c r="A2540" s="15">
        <f t="shared" si="39"/>
        <v>2538</v>
      </c>
      <c r="B2540" s="16"/>
      <c r="C2540" s="19"/>
      <c r="D2540" s="10"/>
      <c r="E2540" s="10"/>
      <c r="F2540" s="47"/>
      <c r="G2540" s="10"/>
      <c r="H2540" s="20"/>
      <c r="I2540" s="20"/>
      <c r="J2540" s="10"/>
      <c r="K2540" s="10"/>
      <c r="L2540" s="10"/>
      <c r="M2540" s="10"/>
      <c r="N2540" s="10"/>
      <c r="O2540" s="21"/>
    </row>
    <row r="2541" spans="1:15" x14ac:dyDescent="0.35">
      <c r="A2541" s="15">
        <f t="shared" si="39"/>
        <v>2539</v>
      </c>
      <c r="B2541" s="16"/>
      <c r="C2541" s="19"/>
      <c r="D2541" s="10"/>
      <c r="E2541" s="10"/>
      <c r="F2541" s="47"/>
      <c r="G2541" s="10"/>
      <c r="H2541" s="20"/>
      <c r="I2541" s="20"/>
      <c r="J2541" s="10"/>
      <c r="K2541" s="10"/>
      <c r="L2541" s="10"/>
      <c r="M2541" s="10"/>
      <c r="N2541" s="10"/>
      <c r="O2541" s="21"/>
    </row>
    <row r="2542" spans="1:15" x14ac:dyDescent="0.35">
      <c r="A2542" s="15">
        <f t="shared" si="39"/>
        <v>2540</v>
      </c>
      <c r="B2542" s="16"/>
      <c r="C2542" s="19"/>
      <c r="D2542" s="10"/>
      <c r="E2542" s="10"/>
      <c r="F2542" s="47"/>
      <c r="G2542" s="10"/>
      <c r="H2542" s="20"/>
      <c r="I2542" s="20"/>
      <c r="J2542" s="10"/>
      <c r="K2542" s="10"/>
      <c r="L2542" s="10"/>
      <c r="M2542" s="10"/>
      <c r="N2542" s="10"/>
      <c r="O2542" s="21"/>
    </row>
    <row r="2543" spans="1:15" x14ac:dyDescent="0.35">
      <c r="A2543" s="15">
        <f t="shared" si="39"/>
        <v>2541</v>
      </c>
      <c r="B2543" s="16"/>
      <c r="C2543" s="19"/>
      <c r="D2543" s="10"/>
      <c r="E2543" s="10"/>
      <c r="F2543" s="47"/>
      <c r="G2543" s="10"/>
      <c r="H2543" s="20"/>
      <c r="I2543" s="20"/>
      <c r="J2543" s="10"/>
      <c r="K2543" s="10"/>
      <c r="L2543" s="10"/>
      <c r="M2543" s="10"/>
      <c r="N2543" s="10"/>
      <c r="O2543" s="21"/>
    </row>
    <row r="2544" spans="1:15" x14ac:dyDescent="0.35">
      <c r="A2544" s="15">
        <f t="shared" si="39"/>
        <v>2542</v>
      </c>
      <c r="B2544" s="16"/>
      <c r="C2544" s="19"/>
      <c r="D2544" s="10"/>
      <c r="E2544" s="10"/>
      <c r="F2544" s="47"/>
      <c r="G2544" s="10"/>
      <c r="H2544" s="20"/>
      <c r="I2544" s="20"/>
      <c r="J2544" s="10"/>
      <c r="K2544" s="10"/>
      <c r="L2544" s="10"/>
      <c r="M2544" s="10"/>
      <c r="N2544" s="10"/>
      <c r="O2544" s="21"/>
    </row>
    <row r="2545" spans="1:15" x14ac:dyDescent="0.35">
      <c r="A2545" s="15">
        <f t="shared" si="39"/>
        <v>2543</v>
      </c>
      <c r="B2545" s="16"/>
      <c r="C2545" s="19"/>
      <c r="D2545" s="10"/>
      <c r="E2545" s="10"/>
      <c r="F2545" s="47"/>
      <c r="G2545" s="10"/>
      <c r="H2545" s="20"/>
      <c r="I2545" s="20"/>
      <c r="J2545" s="10"/>
      <c r="K2545" s="10"/>
      <c r="L2545" s="10"/>
      <c r="M2545" s="10"/>
      <c r="N2545" s="10"/>
      <c r="O2545" s="21"/>
    </row>
    <row r="2546" spans="1:15" x14ac:dyDescent="0.35">
      <c r="A2546" s="15">
        <f t="shared" si="39"/>
        <v>2544</v>
      </c>
      <c r="B2546" s="16"/>
      <c r="C2546" s="19"/>
      <c r="D2546" s="10"/>
      <c r="E2546" s="10"/>
      <c r="F2546" s="47"/>
      <c r="G2546" s="10"/>
      <c r="H2546" s="20"/>
      <c r="I2546" s="20"/>
      <c r="J2546" s="10"/>
      <c r="K2546" s="10"/>
      <c r="L2546" s="10"/>
      <c r="M2546" s="10"/>
      <c r="N2546" s="10"/>
      <c r="O2546" s="21"/>
    </row>
    <row r="2547" spans="1:15" x14ac:dyDescent="0.35">
      <c r="A2547" s="15">
        <f t="shared" si="39"/>
        <v>2545</v>
      </c>
      <c r="B2547" s="16"/>
      <c r="C2547" s="19"/>
      <c r="D2547" s="10"/>
      <c r="E2547" s="10"/>
      <c r="F2547" s="47"/>
      <c r="G2547" s="10"/>
      <c r="H2547" s="20"/>
      <c r="I2547" s="20"/>
      <c r="J2547" s="10"/>
      <c r="K2547" s="10"/>
      <c r="L2547" s="10"/>
      <c r="M2547" s="10"/>
      <c r="N2547" s="10"/>
      <c r="O2547" s="21"/>
    </row>
    <row r="2548" spans="1:15" x14ac:dyDescent="0.35">
      <c r="A2548" s="15">
        <f t="shared" si="39"/>
        <v>2546</v>
      </c>
      <c r="B2548" s="16"/>
      <c r="C2548" s="19"/>
      <c r="D2548" s="10"/>
      <c r="E2548" s="10"/>
      <c r="F2548" s="47"/>
      <c r="G2548" s="10"/>
      <c r="H2548" s="20"/>
      <c r="I2548" s="20"/>
      <c r="J2548" s="10"/>
      <c r="K2548" s="10"/>
      <c r="L2548" s="10"/>
      <c r="M2548" s="10"/>
      <c r="N2548" s="10"/>
      <c r="O2548" s="21"/>
    </row>
    <row r="2549" spans="1:15" x14ac:dyDescent="0.35">
      <c r="A2549" s="15">
        <f t="shared" si="39"/>
        <v>2547</v>
      </c>
      <c r="B2549" s="16"/>
      <c r="C2549" s="19"/>
      <c r="D2549" s="10"/>
      <c r="E2549" s="10"/>
      <c r="F2549" s="47"/>
      <c r="G2549" s="10"/>
      <c r="H2549" s="20"/>
      <c r="I2549" s="20"/>
      <c r="J2549" s="10"/>
      <c r="K2549" s="10"/>
      <c r="L2549" s="10"/>
      <c r="M2549" s="10"/>
      <c r="N2549" s="10"/>
      <c r="O2549" s="21"/>
    </row>
    <row r="2550" spans="1:15" x14ac:dyDescent="0.35">
      <c r="A2550" s="15">
        <f t="shared" si="39"/>
        <v>2548</v>
      </c>
      <c r="B2550" s="16"/>
      <c r="C2550" s="19"/>
      <c r="D2550" s="10"/>
      <c r="E2550" s="10"/>
      <c r="F2550" s="47"/>
      <c r="G2550" s="10"/>
      <c r="H2550" s="20"/>
      <c r="I2550" s="20"/>
      <c r="J2550" s="10"/>
      <c r="K2550" s="10"/>
      <c r="L2550" s="10"/>
      <c r="M2550" s="10"/>
      <c r="N2550" s="10"/>
      <c r="O2550" s="21"/>
    </row>
    <row r="2551" spans="1:15" x14ac:dyDescent="0.35">
      <c r="A2551" s="15">
        <f t="shared" si="39"/>
        <v>2549</v>
      </c>
      <c r="B2551" s="16"/>
      <c r="C2551" s="19"/>
      <c r="D2551" s="10"/>
      <c r="E2551" s="10"/>
      <c r="F2551" s="47"/>
      <c r="G2551" s="10"/>
      <c r="H2551" s="20"/>
      <c r="I2551" s="20"/>
      <c r="J2551" s="10"/>
      <c r="K2551" s="10"/>
      <c r="L2551" s="10"/>
      <c r="M2551" s="10"/>
      <c r="N2551" s="10"/>
      <c r="O2551" s="21"/>
    </row>
    <row r="2552" spans="1:15" x14ac:dyDescent="0.35">
      <c r="A2552" s="15">
        <f t="shared" si="39"/>
        <v>2550</v>
      </c>
      <c r="B2552" s="16"/>
      <c r="C2552" s="19"/>
      <c r="D2552" s="10"/>
      <c r="E2552" s="10"/>
      <c r="F2552" s="47"/>
      <c r="G2552" s="10"/>
      <c r="H2552" s="20"/>
      <c r="I2552" s="20"/>
      <c r="J2552" s="10"/>
      <c r="K2552" s="10"/>
      <c r="L2552" s="10"/>
      <c r="M2552" s="10"/>
      <c r="N2552" s="10"/>
      <c r="O2552" s="21"/>
    </row>
    <row r="2553" spans="1:15" x14ac:dyDescent="0.35">
      <c r="A2553" s="15">
        <f t="shared" si="39"/>
        <v>2551</v>
      </c>
      <c r="B2553" s="16"/>
      <c r="C2553" s="19"/>
      <c r="D2553" s="10"/>
      <c r="E2553" s="10"/>
      <c r="F2553" s="47"/>
      <c r="G2553" s="10"/>
      <c r="H2553" s="20"/>
      <c r="I2553" s="20"/>
      <c r="J2553" s="10"/>
      <c r="K2553" s="10"/>
      <c r="L2553" s="10"/>
      <c r="M2553" s="10"/>
      <c r="N2553" s="10"/>
      <c r="O2553" s="21"/>
    </row>
    <row r="2554" spans="1:15" x14ac:dyDescent="0.35">
      <c r="A2554" s="15">
        <f t="shared" si="39"/>
        <v>2552</v>
      </c>
      <c r="B2554" s="16"/>
      <c r="C2554" s="19"/>
      <c r="D2554" s="10"/>
      <c r="E2554" s="10"/>
      <c r="F2554" s="47"/>
      <c r="G2554" s="10"/>
      <c r="H2554" s="20"/>
      <c r="I2554" s="20"/>
      <c r="J2554" s="10"/>
      <c r="K2554" s="10"/>
      <c r="L2554" s="10"/>
      <c r="M2554" s="10"/>
      <c r="N2554" s="10"/>
      <c r="O2554" s="21"/>
    </row>
    <row r="2555" spans="1:15" x14ac:dyDescent="0.35">
      <c r="A2555" s="15">
        <f t="shared" si="39"/>
        <v>2553</v>
      </c>
      <c r="B2555" s="16"/>
      <c r="C2555" s="19"/>
      <c r="D2555" s="10"/>
      <c r="E2555" s="10"/>
      <c r="F2555" s="47"/>
      <c r="G2555" s="10"/>
      <c r="H2555" s="20"/>
      <c r="I2555" s="20"/>
      <c r="J2555" s="10"/>
      <c r="K2555" s="10"/>
      <c r="L2555" s="10"/>
      <c r="M2555" s="10"/>
      <c r="N2555" s="10"/>
      <c r="O2555" s="21"/>
    </row>
    <row r="2556" spans="1:15" x14ac:dyDescent="0.35">
      <c r="A2556" s="15">
        <f t="shared" si="39"/>
        <v>2554</v>
      </c>
      <c r="B2556" s="16"/>
      <c r="C2556" s="19"/>
      <c r="D2556" s="10"/>
      <c r="E2556" s="10"/>
      <c r="F2556" s="47"/>
      <c r="G2556" s="10"/>
      <c r="H2556" s="20"/>
      <c r="I2556" s="20"/>
      <c r="J2556" s="10"/>
      <c r="K2556" s="10"/>
      <c r="L2556" s="10"/>
      <c r="M2556" s="10"/>
      <c r="N2556" s="10"/>
      <c r="O2556" s="21"/>
    </row>
    <row r="2557" spans="1:15" x14ac:dyDescent="0.35">
      <c r="A2557" s="15">
        <f t="shared" si="39"/>
        <v>2555</v>
      </c>
      <c r="B2557" s="16"/>
      <c r="C2557" s="19"/>
      <c r="D2557" s="10"/>
      <c r="E2557" s="10"/>
      <c r="F2557" s="47"/>
      <c r="G2557" s="10"/>
      <c r="H2557" s="20"/>
      <c r="I2557" s="20"/>
      <c r="J2557" s="10"/>
      <c r="K2557" s="10"/>
      <c r="L2557" s="10"/>
      <c r="M2557" s="10"/>
      <c r="N2557" s="10"/>
      <c r="O2557" s="21"/>
    </row>
    <row r="2558" spans="1:15" x14ac:dyDescent="0.35">
      <c r="A2558" s="15">
        <f t="shared" si="39"/>
        <v>2556</v>
      </c>
      <c r="B2558" s="16"/>
      <c r="C2558" s="19"/>
      <c r="D2558" s="10"/>
      <c r="E2558" s="10"/>
      <c r="F2558" s="47"/>
      <c r="G2558" s="10"/>
      <c r="H2558" s="20"/>
      <c r="I2558" s="20"/>
      <c r="J2558" s="10"/>
      <c r="K2558" s="10"/>
      <c r="L2558" s="10"/>
      <c r="M2558" s="10"/>
      <c r="N2558" s="10"/>
      <c r="O2558" s="21"/>
    </row>
    <row r="2559" spans="1:15" x14ac:dyDescent="0.35">
      <c r="A2559" s="15">
        <f t="shared" si="39"/>
        <v>2557</v>
      </c>
      <c r="B2559" s="16"/>
      <c r="C2559" s="19"/>
      <c r="D2559" s="10"/>
      <c r="E2559" s="10"/>
      <c r="F2559" s="47"/>
      <c r="G2559" s="10"/>
      <c r="H2559" s="20"/>
      <c r="I2559" s="20"/>
      <c r="J2559" s="10"/>
      <c r="K2559" s="10"/>
      <c r="L2559" s="10"/>
      <c r="M2559" s="10"/>
      <c r="N2559" s="10"/>
      <c r="O2559" s="21"/>
    </row>
    <row r="2560" spans="1:15" x14ac:dyDescent="0.35">
      <c r="A2560" s="15">
        <f t="shared" si="39"/>
        <v>2558</v>
      </c>
      <c r="B2560" s="16"/>
      <c r="C2560" s="19"/>
      <c r="D2560" s="10"/>
      <c r="E2560" s="10"/>
      <c r="F2560" s="47"/>
      <c r="G2560" s="10"/>
      <c r="H2560" s="20"/>
      <c r="I2560" s="20"/>
      <c r="J2560" s="10"/>
      <c r="K2560" s="10"/>
      <c r="L2560" s="10"/>
      <c r="M2560" s="10"/>
      <c r="N2560" s="10"/>
      <c r="O2560" s="21"/>
    </row>
    <row r="2561" spans="1:15" x14ac:dyDescent="0.35">
      <c r="A2561" s="15">
        <f t="shared" si="39"/>
        <v>2559</v>
      </c>
      <c r="B2561" s="16"/>
      <c r="C2561" s="19"/>
      <c r="D2561" s="10"/>
      <c r="E2561" s="10"/>
      <c r="F2561" s="47"/>
      <c r="G2561" s="10"/>
      <c r="H2561" s="20"/>
      <c r="I2561" s="20"/>
      <c r="J2561" s="10"/>
      <c r="K2561" s="10"/>
      <c r="L2561" s="10"/>
      <c r="M2561" s="10"/>
      <c r="N2561" s="10"/>
      <c r="O2561" s="21"/>
    </row>
    <row r="2562" spans="1:15" x14ac:dyDescent="0.35">
      <c r="A2562" s="15">
        <f t="shared" si="39"/>
        <v>2560</v>
      </c>
      <c r="B2562" s="16"/>
      <c r="C2562" s="19"/>
      <c r="D2562" s="10"/>
      <c r="E2562" s="10"/>
      <c r="F2562" s="47"/>
      <c r="G2562" s="10"/>
      <c r="H2562" s="20"/>
      <c r="I2562" s="20"/>
      <c r="J2562" s="10"/>
      <c r="K2562" s="10"/>
      <c r="L2562" s="10"/>
      <c r="M2562" s="10"/>
      <c r="N2562" s="10"/>
      <c r="O2562" s="21"/>
    </row>
    <row r="2563" spans="1:15" x14ac:dyDescent="0.35">
      <c r="A2563" s="15">
        <f t="shared" si="39"/>
        <v>2561</v>
      </c>
      <c r="B2563" s="16"/>
      <c r="C2563" s="19"/>
      <c r="D2563" s="10"/>
      <c r="E2563" s="10"/>
      <c r="F2563" s="47"/>
      <c r="G2563" s="10"/>
      <c r="H2563" s="20"/>
      <c r="I2563" s="20"/>
      <c r="J2563" s="10"/>
      <c r="K2563" s="10"/>
      <c r="L2563" s="10"/>
      <c r="M2563" s="10"/>
      <c r="N2563" s="10"/>
      <c r="O2563" s="21"/>
    </row>
    <row r="2564" spans="1:15" x14ac:dyDescent="0.35">
      <c r="A2564" s="15">
        <f t="shared" si="39"/>
        <v>2562</v>
      </c>
      <c r="B2564" s="16"/>
      <c r="C2564" s="19"/>
      <c r="D2564" s="10"/>
      <c r="E2564" s="10"/>
      <c r="F2564" s="47"/>
      <c r="G2564" s="10"/>
      <c r="H2564" s="20"/>
      <c r="I2564" s="20"/>
      <c r="J2564" s="10"/>
      <c r="K2564" s="10"/>
      <c r="L2564" s="10"/>
      <c r="M2564" s="10"/>
      <c r="N2564" s="10"/>
      <c r="O2564" s="21"/>
    </row>
    <row r="2565" spans="1:15" x14ac:dyDescent="0.35">
      <c r="A2565" s="15">
        <f t="shared" si="39"/>
        <v>2563</v>
      </c>
      <c r="B2565" s="16"/>
      <c r="C2565" s="19"/>
      <c r="D2565" s="10"/>
      <c r="E2565" s="10"/>
      <c r="F2565" s="47"/>
      <c r="G2565" s="10"/>
      <c r="H2565" s="20"/>
      <c r="I2565" s="20"/>
      <c r="J2565" s="10"/>
      <c r="K2565" s="10"/>
      <c r="L2565" s="10"/>
      <c r="M2565" s="10"/>
      <c r="N2565" s="10"/>
      <c r="O2565" s="21"/>
    </row>
    <row r="2566" spans="1:15" x14ac:dyDescent="0.35">
      <c r="A2566" s="15">
        <f t="shared" si="39"/>
        <v>2564</v>
      </c>
      <c r="B2566" s="16"/>
      <c r="C2566" s="19"/>
      <c r="D2566" s="10"/>
      <c r="E2566" s="10"/>
      <c r="F2566" s="47"/>
      <c r="G2566" s="10"/>
      <c r="H2566" s="20"/>
      <c r="I2566" s="20"/>
      <c r="J2566" s="10"/>
      <c r="K2566" s="10"/>
      <c r="L2566" s="10"/>
      <c r="M2566" s="10"/>
      <c r="N2566" s="10"/>
      <c r="O2566" s="21"/>
    </row>
    <row r="2567" spans="1:15" x14ac:dyDescent="0.35">
      <c r="A2567" s="15">
        <f t="shared" si="39"/>
        <v>2565</v>
      </c>
      <c r="B2567" s="16"/>
      <c r="C2567" s="19"/>
      <c r="D2567" s="10"/>
      <c r="E2567" s="10"/>
      <c r="F2567" s="47"/>
      <c r="G2567" s="10"/>
      <c r="H2567" s="20"/>
      <c r="I2567" s="20"/>
      <c r="J2567" s="10"/>
      <c r="K2567" s="10"/>
      <c r="L2567" s="10"/>
      <c r="M2567" s="10"/>
      <c r="N2567" s="10"/>
      <c r="O2567" s="21"/>
    </row>
    <row r="2568" spans="1:15" x14ac:dyDescent="0.35">
      <c r="A2568" s="15">
        <f t="shared" si="39"/>
        <v>2566</v>
      </c>
      <c r="B2568" s="16"/>
      <c r="C2568" s="19"/>
      <c r="D2568" s="10"/>
      <c r="E2568" s="10"/>
      <c r="F2568" s="47"/>
      <c r="G2568" s="10"/>
      <c r="H2568" s="20"/>
      <c r="I2568" s="20"/>
      <c r="J2568" s="10"/>
      <c r="K2568" s="10"/>
      <c r="L2568" s="10"/>
      <c r="M2568" s="10"/>
      <c r="N2568" s="10"/>
      <c r="O2568" s="21"/>
    </row>
    <row r="2569" spans="1:15" x14ac:dyDescent="0.35">
      <c r="A2569" s="15">
        <f t="shared" si="39"/>
        <v>2567</v>
      </c>
      <c r="B2569" s="16"/>
      <c r="C2569" s="19"/>
      <c r="D2569" s="10"/>
      <c r="E2569" s="10"/>
      <c r="F2569" s="47"/>
      <c r="G2569" s="10"/>
      <c r="H2569" s="20"/>
      <c r="I2569" s="20"/>
      <c r="J2569" s="10"/>
      <c r="K2569" s="10"/>
      <c r="L2569" s="10"/>
      <c r="M2569" s="10"/>
      <c r="N2569" s="10"/>
      <c r="O2569" s="21"/>
    </row>
    <row r="2570" spans="1:15" x14ac:dyDescent="0.35">
      <c r="A2570" s="15">
        <f t="shared" si="39"/>
        <v>2568</v>
      </c>
      <c r="B2570" s="16"/>
      <c r="C2570" s="19"/>
      <c r="D2570" s="10"/>
      <c r="E2570" s="10"/>
      <c r="F2570" s="47"/>
      <c r="G2570" s="10"/>
      <c r="H2570" s="20"/>
      <c r="I2570" s="20"/>
      <c r="J2570" s="10"/>
      <c r="K2570" s="10"/>
      <c r="L2570" s="10"/>
      <c r="M2570" s="10"/>
      <c r="N2570" s="10"/>
      <c r="O2570" s="21"/>
    </row>
    <row r="2571" spans="1:15" x14ac:dyDescent="0.35">
      <c r="A2571" s="15">
        <f t="shared" ref="A2571:A2634" si="40">+A2570+1</f>
        <v>2569</v>
      </c>
      <c r="B2571" s="16"/>
      <c r="C2571" s="19"/>
      <c r="D2571" s="10"/>
      <c r="E2571" s="10"/>
      <c r="F2571" s="47"/>
      <c r="G2571" s="10"/>
      <c r="H2571" s="20"/>
      <c r="I2571" s="20"/>
      <c r="J2571" s="10"/>
      <c r="K2571" s="10"/>
      <c r="L2571" s="10"/>
      <c r="M2571" s="10"/>
      <c r="N2571" s="10"/>
      <c r="O2571" s="21"/>
    </row>
    <row r="2572" spans="1:15" x14ac:dyDescent="0.35">
      <c r="A2572" s="15">
        <f t="shared" si="40"/>
        <v>2570</v>
      </c>
      <c r="B2572" s="16"/>
      <c r="C2572" s="19"/>
      <c r="D2572" s="10"/>
      <c r="E2572" s="10"/>
      <c r="F2572" s="47"/>
      <c r="G2572" s="10"/>
      <c r="H2572" s="20"/>
      <c r="I2572" s="20"/>
      <c r="J2572" s="10"/>
      <c r="K2572" s="10"/>
      <c r="L2572" s="10"/>
      <c r="M2572" s="10"/>
      <c r="N2572" s="10"/>
      <c r="O2572" s="21"/>
    </row>
    <row r="2573" spans="1:15" x14ac:dyDescent="0.35">
      <c r="A2573" s="15">
        <f t="shared" si="40"/>
        <v>2571</v>
      </c>
      <c r="B2573" s="16"/>
      <c r="C2573" s="19"/>
      <c r="D2573" s="10"/>
      <c r="E2573" s="10"/>
      <c r="F2573" s="47"/>
      <c r="G2573" s="10"/>
      <c r="H2573" s="20"/>
      <c r="I2573" s="20"/>
      <c r="J2573" s="10"/>
      <c r="K2573" s="10"/>
      <c r="L2573" s="10"/>
      <c r="M2573" s="10"/>
      <c r="N2573" s="10"/>
      <c r="O2573" s="21"/>
    </row>
    <row r="2574" spans="1:15" x14ac:dyDescent="0.35">
      <c r="A2574" s="15">
        <f t="shared" si="40"/>
        <v>2572</v>
      </c>
      <c r="B2574" s="16"/>
      <c r="C2574" s="19"/>
      <c r="D2574" s="10"/>
      <c r="E2574" s="10"/>
      <c r="F2574" s="47"/>
      <c r="G2574" s="10"/>
      <c r="H2574" s="20"/>
      <c r="I2574" s="20"/>
      <c r="J2574" s="10"/>
      <c r="K2574" s="10"/>
      <c r="L2574" s="10"/>
      <c r="M2574" s="10"/>
      <c r="N2574" s="10"/>
      <c r="O2574" s="21"/>
    </row>
    <row r="2575" spans="1:15" x14ac:dyDescent="0.35">
      <c r="A2575" s="15">
        <f t="shared" si="40"/>
        <v>2573</v>
      </c>
      <c r="B2575" s="16"/>
      <c r="C2575" s="19"/>
      <c r="D2575" s="10"/>
      <c r="E2575" s="10"/>
      <c r="F2575" s="47"/>
      <c r="G2575" s="10"/>
      <c r="H2575" s="20"/>
      <c r="I2575" s="20"/>
      <c r="J2575" s="10"/>
      <c r="K2575" s="10"/>
      <c r="L2575" s="10"/>
      <c r="M2575" s="10"/>
      <c r="N2575" s="10"/>
      <c r="O2575" s="21"/>
    </row>
    <row r="2576" spans="1:15" x14ac:dyDescent="0.35">
      <c r="A2576" s="15">
        <f t="shared" si="40"/>
        <v>2574</v>
      </c>
      <c r="B2576" s="16"/>
      <c r="C2576" s="19"/>
      <c r="D2576" s="10"/>
      <c r="E2576" s="10"/>
      <c r="F2576" s="47"/>
      <c r="G2576" s="10"/>
      <c r="H2576" s="20"/>
      <c r="I2576" s="20"/>
      <c r="J2576" s="10"/>
      <c r="K2576" s="10"/>
      <c r="L2576" s="10"/>
      <c r="M2576" s="10"/>
      <c r="N2576" s="10"/>
      <c r="O2576" s="21"/>
    </row>
    <row r="2577" spans="1:15" x14ac:dyDescent="0.35">
      <c r="A2577" s="15">
        <f t="shared" si="40"/>
        <v>2575</v>
      </c>
      <c r="B2577" s="16"/>
      <c r="C2577" s="19"/>
      <c r="D2577" s="10"/>
      <c r="E2577" s="10"/>
      <c r="F2577" s="47"/>
      <c r="G2577" s="10"/>
      <c r="H2577" s="20"/>
      <c r="I2577" s="20"/>
      <c r="J2577" s="10"/>
      <c r="K2577" s="10"/>
      <c r="L2577" s="10"/>
      <c r="M2577" s="10"/>
      <c r="N2577" s="10"/>
      <c r="O2577" s="21"/>
    </row>
    <row r="2578" spans="1:15" x14ac:dyDescent="0.35">
      <c r="A2578" s="15">
        <f t="shared" si="40"/>
        <v>2576</v>
      </c>
      <c r="B2578" s="16"/>
      <c r="C2578" s="19"/>
      <c r="D2578" s="10"/>
      <c r="E2578" s="10"/>
      <c r="F2578" s="47"/>
      <c r="G2578" s="10"/>
      <c r="H2578" s="20"/>
      <c r="I2578" s="20"/>
      <c r="J2578" s="10"/>
      <c r="K2578" s="10"/>
      <c r="L2578" s="10"/>
      <c r="M2578" s="10"/>
      <c r="N2578" s="10"/>
      <c r="O2578" s="21"/>
    </row>
    <row r="2579" spans="1:15" x14ac:dyDescent="0.35">
      <c r="A2579" s="15">
        <f t="shared" si="40"/>
        <v>2577</v>
      </c>
      <c r="B2579" s="16"/>
      <c r="C2579" s="19"/>
      <c r="D2579" s="10"/>
      <c r="E2579" s="10"/>
      <c r="F2579" s="47"/>
      <c r="G2579" s="10"/>
      <c r="H2579" s="20"/>
      <c r="I2579" s="20"/>
      <c r="J2579" s="10"/>
      <c r="K2579" s="10"/>
      <c r="L2579" s="10"/>
      <c r="M2579" s="10"/>
      <c r="N2579" s="10"/>
      <c r="O2579" s="21"/>
    </row>
    <row r="2580" spans="1:15" x14ac:dyDescent="0.35">
      <c r="A2580" s="15">
        <f t="shared" si="40"/>
        <v>2578</v>
      </c>
      <c r="B2580" s="16"/>
      <c r="C2580" s="19"/>
      <c r="D2580" s="10"/>
      <c r="E2580" s="10"/>
      <c r="F2580" s="47"/>
      <c r="G2580" s="10"/>
      <c r="H2580" s="20"/>
      <c r="I2580" s="20"/>
      <c r="J2580" s="10"/>
      <c r="K2580" s="10"/>
      <c r="L2580" s="10"/>
      <c r="M2580" s="10"/>
      <c r="N2580" s="10"/>
      <c r="O2580" s="21"/>
    </row>
    <row r="2581" spans="1:15" x14ac:dyDescent="0.35">
      <c r="A2581" s="15">
        <f t="shared" si="40"/>
        <v>2579</v>
      </c>
      <c r="B2581" s="16"/>
      <c r="C2581" s="19"/>
      <c r="D2581" s="10"/>
      <c r="E2581" s="10"/>
      <c r="F2581" s="47"/>
      <c r="G2581" s="10"/>
      <c r="H2581" s="20"/>
      <c r="I2581" s="20"/>
      <c r="J2581" s="10"/>
      <c r="K2581" s="10"/>
      <c r="L2581" s="10"/>
      <c r="M2581" s="10"/>
      <c r="N2581" s="10"/>
      <c r="O2581" s="21"/>
    </row>
    <row r="2582" spans="1:15" x14ac:dyDescent="0.35">
      <c r="A2582" s="15">
        <f t="shared" si="40"/>
        <v>2580</v>
      </c>
      <c r="B2582" s="16"/>
      <c r="C2582" s="19"/>
      <c r="D2582" s="10"/>
      <c r="E2582" s="10"/>
      <c r="F2582" s="47"/>
      <c r="G2582" s="10"/>
      <c r="H2582" s="20"/>
      <c r="I2582" s="20"/>
      <c r="J2582" s="10"/>
      <c r="K2582" s="10"/>
      <c r="L2582" s="10"/>
      <c r="M2582" s="10"/>
      <c r="N2582" s="10"/>
      <c r="O2582" s="21"/>
    </row>
    <row r="2583" spans="1:15" x14ac:dyDescent="0.35">
      <c r="A2583" s="15">
        <f t="shared" si="40"/>
        <v>2581</v>
      </c>
      <c r="B2583" s="16"/>
      <c r="C2583" s="19"/>
      <c r="D2583" s="10"/>
      <c r="E2583" s="10"/>
      <c r="F2583" s="47"/>
      <c r="G2583" s="10"/>
      <c r="H2583" s="20"/>
      <c r="I2583" s="20"/>
      <c r="J2583" s="10"/>
      <c r="K2583" s="10"/>
      <c r="L2583" s="10"/>
      <c r="M2583" s="10"/>
      <c r="N2583" s="10"/>
      <c r="O2583" s="21"/>
    </row>
    <row r="2584" spans="1:15" x14ac:dyDescent="0.35">
      <c r="A2584" s="15">
        <f t="shared" si="40"/>
        <v>2582</v>
      </c>
      <c r="B2584" s="16"/>
      <c r="C2584" s="19"/>
      <c r="D2584" s="10"/>
      <c r="E2584" s="10"/>
      <c r="F2584" s="47"/>
      <c r="G2584" s="10"/>
      <c r="H2584" s="20"/>
      <c r="I2584" s="20"/>
      <c r="J2584" s="10"/>
      <c r="K2584" s="10"/>
      <c r="L2584" s="10"/>
      <c r="M2584" s="10"/>
      <c r="N2584" s="10"/>
      <c r="O2584" s="21"/>
    </row>
    <row r="2585" spans="1:15" x14ac:dyDescent="0.35">
      <c r="A2585" s="15">
        <f t="shared" si="40"/>
        <v>2583</v>
      </c>
      <c r="B2585" s="16"/>
      <c r="C2585" s="19"/>
      <c r="D2585" s="10"/>
      <c r="E2585" s="10"/>
      <c r="F2585" s="47"/>
      <c r="G2585" s="10"/>
      <c r="H2585" s="20"/>
      <c r="I2585" s="20"/>
      <c r="J2585" s="10"/>
      <c r="K2585" s="10"/>
      <c r="L2585" s="10"/>
      <c r="M2585" s="10"/>
      <c r="N2585" s="10"/>
      <c r="O2585" s="21"/>
    </row>
    <row r="2586" spans="1:15" x14ac:dyDescent="0.35">
      <c r="A2586" s="15">
        <f t="shared" si="40"/>
        <v>2584</v>
      </c>
      <c r="B2586" s="16"/>
      <c r="C2586" s="19"/>
      <c r="D2586" s="10"/>
      <c r="E2586" s="10"/>
      <c r="F2586" s="47"/>
      <c r="G2586" s="10"/>
      <c r="H2586" s="20"/>
      <c r="I2586" s="20"/>
      <c r="J2586" s="10"/>
      <c r="K2586" s="10"/>
      <c r="L2586" s="10"/>
      <c r="M2586" s="10"/>
      <c r="N2586" s="10"/>
      <c r="O2586" s="21"/>
    </row>
    <row r="2587" spans="1:15" x14ac:dyDescent="0.35">
      <c r="A2587" s="15">
        <f t="shared" si="40"/>
        <v>2585</v>
      </c>
      <c r="B2587" s="16"/>
      <c r="C2587" s="19"/>
      <c r="D2587" s="10"/>
      <c r="E2587" s="10"/>
      <c r="F2587" s="47"/>
      <c r="G2587" s="10"/>
      <c r="H2587" s="20"/>
      <c r="I2587" s="20"/>
      <c r="J2587" s="10"/>
      <c r="K2587" s="10"/>
      <c r="L2587" s="10"/>
      <c r="M2587" s="10"/>
      <c r="N2587" s="10"/>
      <c r="O2587" s="21"/>
    </row>
    <row r="2588" spans="1:15" x14ac:dyDescent="0.35">
      <c r="A2588" s="15">
        <f t="shared" si="40"/>
        <v>2586</v>
      </c>
      <c r="B2588" s="16"/>
      <c r="C2588" s="19"/>
      <c r="D2588" s="10"/>
      <c r="E2588" s="10"/>
      <c r="F2588" s="47"/>
      <c r="G2588" s="10"/>
      <c r="H2588" s="20"/>
      <c r="I2588" s="20"/>
      <c r="J2588" s="10"/>
      <c r="K2588" s="10"/>
      <c r="L2588" s="10"/>
      <c r="M2588" s="10"/>
      <c r="N2588" s="10"/>
      <c r="O2588" s="21"/>
    </row>
    <row r="2589" spans="1:15" x14ac:dyDescent="0.35">
      <c r="A2589" s="15">
        <f t="shared" si="40"/>
        <v>2587</v>
      </c>
      <c r="B2589" s="16"/>
      <c r="C2589" s="19"/>
      <c r="D2589" s="10"/>
      <c r="E2589" s="10"/>
      <c r="F2589" s="47"/>
      <c r="G2589" s="10"/>
      <c r="H2589" s="20"/>
      <c r="I2589" s="20"/>
      <c r="J2589" s="10"/>
      <c r="K2589" s="10"/>
      <c r="L2589" s="10"/>
      <c r="M2589" s="10"/>
      <c r="N2589" s="10"/>
      <c r="O2589" s="21"/>
    </row>
    <row r="2590" spans="1:15" x14ac:dyDescent="0.35">
      <c r="A2590" s="15">
        <f t="shared" si="40"/>
        <v>2588</v>
      </c>
      <c r="B2590" s="16"/>
      <c r="C2590" s="19"/>
      <c r="D2590" s="10"/>
      <c r="E2590" s="10"/>
      <c r="F2590" s="47"/>
      <c r="G2590" s="10"/>
      <c r="H2590" s="20"/>
      <c r="I2590" s="20"/>
      <c r="J2590" s="10"/>
      <c r="K2590" s="10"/>
      <c r="L2590" s="10"/>
      <c r="M2590" s="10"/>
      <c r="N2590" s="10"/>
      <c r="O2590" s="21"/>
    </row>
    <row r="2591" spans="1:15" x14ac:dyDescent="0.35">
      <c r="A2591" s="15">
        <f t="shared" si="40"/>
        <v>2589</v>
      </c>
      <c r="B2591" s="16"/>
      <c r="C2591" s="19"/>
      <c r="D2591" s="10"/>
      <c r="E2591" s="10"/>
      <c r="F2591" s="47"/>
      <c r="G2591" s="10"/>
      <c r="H2591" s="20"/>
      <c r="I2591" s="20"/>
      <c r="J2591" s="10"/>
      <c r="K2591" s="10"/>
      <c r="L2591" s="10"/>
      <c r="M2591" s="10"/>
      <c r="N2591" s="10"/>
      <c r="O2591" s="21"/>
    </row>
    <row r="2592" spans="1:15" x14ac:dyDescent="0.35">
      <c r="A2592" s="15">
        <f t="shared" si="40"/>
        <v>2590</v>
      </c>
      <c r="B2592" s="16"/>
      <c r="C2592" s="19"/>
      <c r="D2592" s="10"/>
      <c r="E2592" s="10"/>
      <c r="F2592" s="47"/>
      <c r="G2592" s="10"/>
      <c r="H2592" s="20"/>
      <c r="I2592" s="20"/>
      <c r="J2592" s="10"/>
      <c r="K2592" s="10"/>
      <c r="L2592" s="10"/>
      <c r="M2592" s="10"/>
      <c r="N2592" s="10"/>
      <c r="O2592" s="21"/>
    </row>
    <row r="2593" spans="1:15" x14ac:dyDescent="0.35">
      <c r="A2593" s="15">
        <f t="shared" si="40"/>
        <v>2591</v>
      </c>
      <c r="B2593" s="16"/>
      <c r="C2593" s="19"/>
      <c r="D2593" s="10"/>
      <c r="E2593" s="10"/>
      <c r="F2593" s="47"/>
      <c r="G2593" s="10"/>
      <c r="H2593" s="20"/>
      <c r="I2593" s="20"/>
      <c r="J2593" s="10"/>
      <c r="K2593" s="10"/>
      <c r="L2593" s="10"/>
      <c r="M2593" s="10"/>
      <c r="N2593" s="10"/>
      <c r="O2593" s="21"/>
    </row>
    <row r="2594" spans="1:15" x14ac:dyDescent="0.35">
      <c r="A2594" s="15">
        <f t="shared" si="40"/>
        <v>2592</v>
      </c>
      <c r="B2594" s="16"/>
      <c r="C2594" s="19"/>
      <c r="D2594" s="10"/>
      <c r="E2594" s="10"/>
      <c r="F2594" s="47"/>
      <c r="G2594" s="10"/>
      <c r="H2594" s="20"/>
      <c r="I2594" s="20"/>
      <c r="J2594" s="10"/>
      <c r="K2594" s="10"/>
      <c r="L2594" s="10"/>
      <c r="M2594" s="10"/>
      <c r="N2594" s="10"/>
      <c r="O2594" s="21"/>
    </row>
    <row r="2595" spans="1:15" x14ac:dyDescent="0.35">
      <c r="A2595" s="15">
        <f t="shared" si="40"/>
        <v>2593</v>
      </c>
      <c r="B2595" s="16"/>
      <c r="C2595" s="19"/>
      <c r="D2595" s="10"/>
      <c r="E2595" s="10"/>
      <c r="F2595" s="47"/>
      <c r="G2595" s="10"/>
      <c r="H2595" s="20"/>
      <c r="I2595" s="20"/>
      <c r="J2595" s="10"/>
      <c r="K2595" s="10"/>
      <c r="L2595" s="10"/>
      <c r="M2595" s="10"/>
      <c r="N2595" s="10"/>
      <c r="O2595" s="21"/>
    </row>
    <row r="2596" spans="1:15" x14ac:dyDescent="0.35">
      <c r="A2596" s="15">
        <f t="shared" si="40"/>
        <v>2594</v>
      </c>
      <c r="B2596" s="16"/>
      <c r="C2596" s="19"/>
      <c r="D2596" s="10"/>
      <c r="E2596" s="10"/>
      <c r="F2596" s="47"/>
      <c r="G2596" s="10"/>
      <c r="H2596" s="20"/>
      <c r="I2596" s="20"/>
      <c r="J2596" s="10"/>
      <c r="K2596" s="10"/>
      <c r="L2596" s="10"/>
      <c r="M2596" s="10"/>
      <c r="N2596" s="10"/>
      <c r="O2596" s="21"/>
    </row>
    <row r="2597" spans="1:15" x14ac:dyDescent="0.35">
      <c r="A2597" s="15">
        <f t="shared" si="40"/>
        <v>2595</v>
      </c>
      <c r="B2597" s="16"/>
      <c r="C2597" s="19"/>
      <c r="D2597" s="10"/>
      <c r="E2597" s="10"/>
      <c r="F2597" s="47"/>
      <c r="G2597" s="10"/>
      <c r="H2597" s="20"/>
      <c r="I2597" s="20"/>
      <c r="J2597" s="10"/>
      <c r="K2597" s="10"/>
      <c r="L2597" s="10"/>
      <c r="M2597" s="10"/>
      <c r="N2597" s="10"/>
      <c r="O2597" s="21"/>
    </row>
    <row r="2598" spans="1:15" x14ac:dyDescent="0.35">
      <c r="A2598" s="15">
        <f t="shared" si="40"/>
        <v>2596</v>
      </c>
      <c r="B2598" s="16"/>
      <c r="C2598" s="19"/>
      <c r="D2598" s="10"/>
      <c r="E2598" s="10"/>
      <c r="F2598" s="47"/>
      <c r="G2598" s="10"/>
      <c r="H2598" s="20"/>
      <c r="I2598" s="20"/>
      <c r="J2598" s="10"/>
      <c r="K2598" s="10"/>
      <c r="L2598" s="10"/>
      <c r="M2598" s="10"/>
      <c r="N2598" s="10"/>
      <c r="O2598" s="21"/>
    </row>
    <row r="2599" spans="1:15" x14ac:dyDescent="0.35">
      <c r="A2599" s="15">
        <f t="shared" si="40"/>
        <v>2597</v>
      </c>
      <c r="B2599" s="16"/>
      <c r="C2599" s="19"/>
      <c r="D2599" s="10"/>
      <c r="E2599" s="10"/>
      <c r="F2599" s="47"/>
      <c r="G2599" s="10"/>
      <c r="H2599" s="20"/>
      <c r="I2599" s="20"/>
      <c r="J2599" s="10"/>
      <c r="K2599" s="10"/>
      <c r="L2599" s="10"/>
      <c r="M2599" s="10"/>
      <c r="N2599" s="10"/>
      <c r="O2599" s="21"/>
    </row>
    <row r="2600" spans="1:15" x14ac:dyDescent="0.35">
      <c r="A2600" s="15">
        <f t="shared" si="40"/>
        <v>2598</v>
      </c>
      <c r="B2600" s="16"/>
      <c r="C2600" s="19"/>
      <c r="D2600" s="10"/>
      <c r="E2600" s="10"/>
      <c r="F2600" s="47"/>
      <c r="G2600" s="10"/>
      <c r="H2600" s="20"/>
      <c r="I2600" s="20"/>
      <c r="J2600" s="10"/>
      <c r="K2600" s="10"/>
      <c r="L2600" s="10"/>
      <c r="M2600" s="10"/>
      <c r="N2600" s="10"/>
      <c r="O2600" s="21"/>
    </row>
    <row r="2601" spans="1:15" x14ac:dyDescent="0.35">
      <c r="A2601" s="15">
        <f t="shared" si="40"/>
        <v>2599</v>
      </c>
      <c r="B2601" s="16"/>
      <c r="C2601" s="19"/>
      <c r="D2601" s="10"/>
      <c r="E2601" s="10"/>
      <c r="F2601" s="47"/>
      <c r="G2601" s="10"/>
      <c r="H2601" s="20"/>
      <c r="I2601" s="20"/>
      <c r="J2601" s="10"/>
      <c r="K2601" s="10"/>
      <c r="L2601" s="10"/>
      <c r="M2601" s="10"/>
      <c r="N2601" s="10"/>
      <c r="O2601" s="21"/>
    </row>
    <row r="2602" spans="1:15" x14ac:dyDescent="0.35">
      <c r="A2602" s="15">
        <f t="shared" si="40"/>
        <v>2600</v>
      </c>
      <c r="B2602" s="16"/>
      <c r="C2602" s="19"/>
      <c r="D2602" s="10"/>
      <c r="E2602" s="10"/>
      <c r="F2602" s="47"/>
      <c r="G2602" s="10"/>
      <c r="H2602" s="20"/>
      <c r="I2602" s="20"/>
      <c r="J2602" s="10"/>
      <c r="K2602" s="10"/>
      <c r="L2602" s="10"/>
      <c r="M2602" s="10"/>
      <c r="N2602" s="10"/>
      <c r="O2602" s="21"/>
    </row>
    <row r="2603" spans="1:15" x14ac:dyDescent="0.35">
      <c r="A2603" s="15">
        <f t="shared" si="40"/>
        <v>2601</v>
      </c>
      <c r="B2603" s="16"/>
      <c r="C2603" s="19"/>
      <c r="D2603" s="10"/>
      <c r="E2603" s="10"/>
      <c r="F2603" s="47"/>
      <c r="G2603" s="10"/>
      <c r="H2603" s="20"/>
      <c r="I2603" s="20"/>
      <c r="J2603" s="10"/>
      <c r="K2603" s="10"/>
      <c r="L2603" s="10"/>
      <c r="M2603" s="10"/>
      <c r="N2603" s="10"/>
      <c r="O2603" s="21"/>
    </row>
    <row r="2604" spans="1:15" x14ac:dyDescent="0.35">
      <c r="A2604" s="15">
        <f t="shared" si="40"/>
        <v>2602</v>
      </c>
      <c r="B2604" s="16"/>
      <c r="C2604" s="19"/>
      <c r="D2604" s="10"/>
      <c r="E2604" s="10"/>
      <c r="F2604" s="47"/>
      <c r="G2604" s="10"/>
      <c r="H2604" s="20"/>
      <c r="I2604" s="20"/>
      <c r="J2604" s="10"/>
      <c r="K2604" s="10"/>
      <c r="L2604" s="10"/>
      <c r="M2604" s="10"/>
      <c r="N2604" s="10"/>
      <c r="O2604" s="21"/>
    </row>
    <row r="2605" spans="1:15" x14ac:dyDescent="0.35">
      <c r="A2605" s="15">
        <f t="shared" si="40"/>
        <v>2603</v>
      </c>
      <c r="B2605" s="16"/>
      <c r="C2605" s="19"/>
      <c r="D2605" s="10"/>
      <c r="E2605" s="10"/>
      <c r="F2605" s="47"/>
      <c r="G2605" s="10"/>
      <c r="H2605" s="20"/>
      <c r="I2605" s="20"/>
      <c r="J2605" s="10"/>
      <c r="K2605" s="10"/>
      <c r="L2605" s="10"/>
      <c r="M2605" s="10"/>
      <c r="N2605" s="10"/>
      <c r="O2605" s="21"/>
    </row>
    <row r="2606" spans="1:15" x14ac:dyDescent="0.35">
      <c r="A2606" s="15">
        <f t="shared" si="40"/>
        <v>2604</v>
      </c>
      <c r="B2606" s="16"/>
      <c r="C2606" s="19"/>
      <c r="D2606" s="10"/>
      <c r="E2606" s="10"/>
      <c r="F2606" s="47"/>
      <c r="G2606" s="10"/>
      <c r="H2606" s="20"/>
      <c r="I2606" s="20"/>
      <c r="J2606" s="10"/>
      <c r="K2606" s="10"/>
      <c r="L2606" s="10"/>
      <c r="M2606" s="10"/>
      <c r="N2606" s="10"/>
      <c r="O2606" s="21"/>
    </row>
    <row r="2607" spans="1:15" x14ac:dyDescent="0.35">
      <c r="A2607" s="15">
        <f t="shared" si="40"/>
        <v>2605</v>
      </c>
      <c r="B2607" s="16"/>
      <c r="C2607" s="19"/>
      <c r="D2607" s="10"/>
      <c r="E2607" s="10"/>
      <c r="F2607" s="47"/>
      <c r="G2607" s="10"/>
      <c r="H2607" s="20"/>
      <c r="I2607" s="20"/>
      <c r="J2607" s="10"/>
      <c r="K2607" s="10"/>
      <c r="L2607" s="10"/>
      <c r="M2607" s="10"/>
      <c r="N2607" s="10"/>
      <c r="O2607" s="21"/>
    </row>
    <row r="2608" spans="1:15" x14ac:dyDescent="0.35">
      <c r="A2608" s="15">
        <f t="shared" si="40"/>
        <v>2606</v>
      </c>
      <c r="B2608" s="16"/>
      <c r="C2608" s="19"/>
      <c r="D2608" s="10"/>
      <c r="E2608" s="10"/>
      <c r="F2608" s="47"/>
      <c r="G2608" s="10"/>
      <c r="H2608" s="20"/>
      <c r="I2608" s="20"/>
      <c r="J2608" s="10"/>
      <c r="K2608" s="10"/>
      <c r="L2608" s="10"/>
      <c r="M2608" s="10"/>
      <c r="N2608" s="10"/>
      <c r="O2608" s="21"/>
    </row>
    <row r="2609" spans="1:15" x14ac:dyDescent="0.35">
      <c r="A2609" s="15">
        <f t="shared" si="40"/>
        <v>2607</v>
      </c>
      <c r="B2609" s="16"/>
      <c r="C2609" s="19"/>
      <c r="D2609" s="10"/>
      <c r="E2609" s="10"/>
      <c r="F2609" s="47"/>
      <c r="G2609" s="10"/>
      <c r="H2609" s="20"/>
      <c r="I2609" s="20"/>
      <c r="J2609" s="10"/>
      <c r="K2609" s="10"/>
      <c r="L2609" s="10"/>
      <c r="M2609" s="10"/>
      <c r="N2609" s="10"/>
      <c r="O2609" s="21"/>
    </row>
    <row r="2610" spans="1:15" x14ac:dyDescent="0.35">
      <c r="A2610" s="15">
        <f t="shared" si="40"/>
        <v>2608</v>
      </c>
      <c r="B2610" s="16"/>
      <c r="C2610" s="19"/>
      <c r="D2610" s="10"/>
      <c r="E2610" s="10"/>
      <c r="F2610" s="47"/>
      <c r="G2610" s="10"/>
      <c r="H2610" s="20"/>
      <c r="I2610" s="20"/>
      <c r="J2610" s="10"/>
      <c r="K2610" s="10"/>
      <c r="L2610" s="10"/>
      <c r="M2610" s="10"/>
      <c r="N2610" s="10"/>
      <c r="O2610" s="21"/>
    </row>
    <row r="2611" spans="1:15" x14ac:dyDescent="0.35">
      <c r="A2611" s="15">
        <f t="shared" si="40"/>
        <v>2609</v>
      </c>
      <c r="B2611" s="16"/>
      <c r="C2611" s="19"/>
      <c r="D2611" s="10"/>
      <c r="E2611" s="10"/>
      <c r="F2611" s="47"/>
      <c r="G2611" s="10"/>
      <c r="H2611" s="20"/>
      <c r="I2611" s="20"/>
      <c r="J2611" s="10"/>
      <c r="K2611" s="10"/>
      <c r="L2611" s="10"/>
      <c r="M2611" s="10"/>
      <c r="N2611" s="10"/>
      <c r="O2611" s="21"/>
    </row>
    <row r="2612" spans="1:15" x14ac:dyDescent="0.35">
      <c r="A2612" s="15">
        <f t="shared" si="40"/>
        <v>2610</v>
      </c>
      <c r="B2612" s="16"/>
      <c r="C2612" s="19"/>
      <c r="D2612" s="10"/>
      <c r="E2612" s="10"/>
      <c r="F2612" s="47"/>
      <c r="G2612" s="10"/>
      <c r="H2612" s="20"/>
      <c r="I2612" s="20"/>
      <c r="J2612" s="10"/>
      <c r="K2612" s="10"/>
      <c r="L2612" s="10"/>
      <c r="M2612" s="10"/>
      <c r="N2612" s="10"/>
      <c r="O2612" s="21"/>
    </row>
    <row r="2613" spans="1:15" x14ac:dyDescent="0.35">
      <c r="A2613" s="15">
        <f t="shared" si="40"/>
        <v>2611</v>
      </c>
      <c r="B2613" s="16"/>
      <c r="C2613" s="19"/>
      <c r="D2613" s="10"/>
      <c r="E2613" s="10"/>
      <c r="F2613" s="47"/>
      <c r="G2613" s="10"/>
      <c r="H2613" s="20"/>
      <c r="I2613" s="20"/>
      <c r="J2613" s="10"/>
      <c r="K2613" s="10"/>
      <c r="L2613" s="10"/>
      <c r="M2613" s="10"/>
      <c r="N2613" s="10"/>
      <c r="O2613" s="21"/>
    </row>
    <row r="2614" spans="1:15" x14ac:dyDescent="0.35">
      <c r="A2614" s="15">
        <f t="shared" si="40"/>
        <v>2612</v>
      </c>
      <c r="B2614" s="16"/>
      <c r="C2614" s="19"/>
      <c r="D2614" s="10"/>
      <c r="E2614" s="10"/>
      <c r="F2614" s="47"/>
      <c r="G2614" s="10"/>
      <c r="H2614" s="20"/>
      <c r="I2614" s="20"/>
      <c r="J2614" s="10"/>
      <c r="K2614" s="10"/>
      <c r="L2614" s="10"/>
      <c r="M2614" s="10"/>
      <c r="N2614" s="10"/>
      <c r="O2614" s="21"/>
    </row>
    <row r="2615" spans="1:15" x14ac:dyDescent="0.35">
      <c r="A2615" s="15">
        <f t="shared" si="40"/>
        <v>2613</v>
      </c>
      <c r="B2615" s="16"/>
      <c r="C2615" s="19"/>
      <c r="D2615" s="10"/>
      <c r="E2615" s="10"/>
      <c r="F2615" s="47"/>
      <c r="G2615" s="10"/>
      <c r="H2615" s="20"/>
      <c r="I2615" s="20"/>
      <c r="J2615" s="10"/>
      <c r="K2615" s="10"/>
      <c r="L2615" s="10"/>
      <c r="M2615" s="10"/>
      <c r="N2615" s="10"/>
      <c r="O2615" s="21"/>
    </row>
    <row r="2616" spans="1:15" x14ac:dyDescent="0.35">
      <c r="A2616" s="15">
        <f t="shared" si="40"/>
        <v>2614</v>
      </c>
      <c r="B2616" s="16"/>
      <c r="C2616" s="19"/>
      <c r="D2616" s="10"/>
      <c r="E2616" s="10"/>
      <c r="F2616" s="47"/>
      <c r="G2616" s="10"/>
      <c r="H2616" s="20"/>
      <c r="I2616" s="20"/>
      <c r="J2616" s="10"/>
      <c r="K2616" s="10"/>
      <c r="L2616" s="10"/>
      <c r="M2616" s="10"/>
      <c r="N2616" s="10"/>
      <c r="O2616" s="21"/>
    </row>
    <row r="2617" spans="1:15" x14ac:dyDescent="0.35">
      <c r="A2617" s="15">
        <f t="shared" si="40"/>
        <v>2615</v>
      </c>
      <c r="B2617" s="16"/>
      <c r="C2617" s="19"/>
      <c r="D2617" s="10"/>
      <c r="E2617" s="10"/>
      <c r="F2617" s="47"/>
      <c r="G2617" s="10"/>
      <c r="H2617" s="20"/>
      <c r="I2617" s="20"/>
      <c r="J2617" s="10"/>
      <c r="K2617" s="10"/>
      <c r="L2617" s="10"/>
      <c r="M2617" s="10"/>
      <c r="N2617" s="10"/>
      <c r="O2617" s="21"/>
    </row>
    <row r="2618" spans="1:15" x14ac:dyDescent="0.35">
      <c r="A2618" s="15">
        <f t="shared" si="40"/>
        <v>2616</v>
      </c>
      <c r="B2618" s="16"/>
      <c r="C2618" s="19"/>
      <c r="D2618" s="10"/>
      <c r="E2618" s="10"/>
      <c r="F2618" s="47"/>
      <c r="G2618" s="10"/>
      <c r="H2618" s="20"/>
      <c r="I2618" s="20"/>
      <c r="J2618" s="10"/>
      <c r="K2618" s="10"/>
      <c r="L2618" s="10"/>
      <c r="M2618" s="10"/>
      <c r="N2618" s="10"/>
      <c r="O2618" s="21"/>
    </row>
    <row r="2619" spans="1:15" x14ac:dyDescent="0.35">
      <c r="A2619" s="15">
        <f t="shared" si="40"/>
        <v>2617</v>
      </c>
      <c r="B2619" s="16"/>
      <c r="C2619" s="19"/>
      <c r="D2619" s="10"/>
      <c r="E2619" s="10"/>
      <c r="F2619" s="47"/>
      <c r="G2619" s="10"/>
      <c r="H2619" s="20"/>
      <c r="I2619" s="20"/>
      <c r="J2619" s="10"/>
      <c r="K2619" s="10"/>
      <c r="L2619" s="10"/>
      <c r="M2619" s="10"/>
      <c r="N2619" s="10"/>
      <c r="O2619" s="21"/>
    </row>
    <row r="2620" spans="1:15" x14ac:dyDescent="0.35">
      <c r="A2620" s="15">
        <f t="shared" si="40"/>
        <v>2618</v>
      </c>
      <c r="B2620" s="16"/>
      <c r="C2620" s="19"/>
      <c r="D2620" s="10"/>
      <c r="E2620" s="10"/>
      <c r="F2620" s="47"/>
      <c r="G2620" s="10"/>
      <c r="H2620" s="20"/>
      <c r="I2620" s="20"/>
      <c r="J2620" s="10"/>
      <c r="K2620" s="10"/>
      <c r="L2620" s="10"/>
      <c r="M2620" s="10"/>
      <c r="N2620" s="10"/>
      <c r="O2620" s="21"/>
    </row>
    <row r="2621" spans="1:15" x14ac:dyDescent="0.35">
      <c r="A2621" s="15">
        <f t="shared" si="40"/>
        <v>2619</v>
      </c>
      <c r="B2621" s="16"/>
      <c r="C2621" s="19"/>
      <c r="D2621" s="10"/>
      <c r="E2621" s="10"/>
      <c r="F2621" s="47"/>
      <c r="G2621" s="10"/>
      <c r="H2621" s="20"/>
      <c r="I2621" s="20"/>
      <c r="J2621" s="10"/>
      <c r="K2621" s="10"/>
      <c r="L2621" s="10"/>
      <c r="M2621" s="10"/>
      <c r="N2621" s="10"/>
      <c r="O2621" s="21"/>
    </row>
    <row r="2622" spans="1:15" x14ac:dyDescent="0.35">
      <c r="A2622" s="15">
        <f t="shared" si="40"/>
        <v>2620</v>
      </c>
      <c r="B2622" s="16"/>
      <c r="C2622" s="19"/>
      <c r="D2622" s="10"/>
      <c r="E2622" s="10"/>
      <c r="F2622" s="47"/>
      <c r="G2622" s="10"/>
      <c r="H2622" s="20"/>
      <c r="I2622" s="20"/>
      <c r="J2622" s="10"/>
      <c r="K2622" s="10"/>
      <c r="L2622" s="10"/>
      <c r="M2622" s="10"/>
      <c r="N2622" s="10"/>
      <c r="O2622" s="21"/>
    </row>
    <row r="2623" spans="1:15" x14ac:dyDescent="0.35">
      <c r="A2623" s="15">
        <f t="shared" si="40"/>
        <v>2621</v>
      </c>
      <c r="B2623" s="16"/>
      <c r="C2623" s="19"/>
      <c r="D2623" s="10"/>
      <c r="E2623" s="10"/>
      <c r="F2623" s="47"/>
      <c r="G2623" s="10"/>
      <c r="H2623" s="20"/>
      <c r="I2623" s="20"/>
      <c r="J2623" s="10"/>
      <c r="K2623" s="10"/>
      <c r="L2623" s="10"/>
      <c r="M2623" s="10"/>
      <c r="N2623" s="10"/>
      <c r="O2623" s="21"/>
    </row>
    <row r="2624" spans="1:15" x14ac:dyDescent="0.35">
      <c r="A2624" s="15">
        <f t="shared" si="40"/>
        <v>2622</v>
      </c>
      <c r="B2624" s="16"/>
      <c r="C2624" s="19"/>
      <c r="D2624" s="10"/>
      <c r="E2624" s="10"/>
      <c r="F2624" s="47"/>
      <c r="G2624" s="10"/>
      <c r="H2624" s="20"/>
      <c r="I2624" s="20"/>
      <c r="J2624" s="10"/>
      <c r="K2624" s="10"/>
      <c r="L2624" s="10"/>
      <c r="M2624" s="10"/>
      <c r="N2624" s="10"/>
      <c r="O2624" s="21"/>
    </row>
    <row r="2625" spans="1:15" x14ac:dyDescent="0.35">
      <c r="A2625" s="15">
        <f t="shared" si="40"/>
        <v>2623</v>
      </c>
      <c r="B2625" s="16"/>
      <c r="C2625" s="19"/>
      <c r="D2625" s="10"/>
      <c r="E2625" s="10"/>
      <c r="F2625" s="47"/>
      <c r="G2625" s="10"/>
      <c r="H2625" s="20"/>
      <c r="I2625" s="20"/>
      <c r="J2625" s="10"/>
      <c r="K2625" s="10"/>
      <c r="L2625" s="10"/>
      <c r="M2625" s="10"/>
      <c r="N2625" s="10"/>
      <c r="O2625" s="21"/>
    </row>
    <row r="2626" spans="1:15" x14ac:dyDescent="0.35">
      <c r="A2626" s="15">
        <f t="shared" si="40"/>
        <v>2624</v>
      </c>
      <c r="B2626" s="16"/>
      <c r="C2626" s="19"/>
      <c r="D2626" s="10"/>
      <c r="E2626" s="10"/>
      <c r="F2626" s="47"/>
      <c r="G2626" s="10"/>
      <c r="H2626" s="20"/>
      <c r="I2626" s="20"/>
      <c r="J2626" s="10"/>
      <c r="K2626" s="10"/>
      <c r="L2626" s="10"/>
      <c r="M2626" s="10"/>
      <c r="N2626" s="10"/>
      <c r="O2626" s="21"/>
    </row>
    <row r="2627" spans="1:15" x14ac:dyDescent="0.35">
      <c r="A2627" s="15">
        <f t="shared" si="40"/>
        <v>2625</v>
      </c>
      <c r="B2627" s="16"/>
      <c r="C2627" s="19"/>
      <c r="D2627" s="10"/>
      <c r="E2627" s="10"/>
      <c r="F2627" s="47"/>
      <c r="G2627" s="10"/>
      <c r="H2627" s="20"/>
      <c r="I2627" s="20"/>
      <c r="J2627" s="10"/>
      <c r="K2627" s="10"/>
      <c r="L2627" s="10"/>
      <c r="M2627" s="10"/>
      <c r="N2627" s="10"/>
      <c r="O2627" s="21"/>
    </row>
    <row r="2628" spans="1:15" x14ac:dyDescent="0.35">
      <c r="A2628" s="15">
        <f t="shared" si="40"/>
        <v>2626</v>
      </c>
      <c r="B2628" s="16"/>
      <c r="C2628" s="19"/>
      <c r="D2628" s="10"/>
      <c r="E2628" s="10"/>
      <c r="F2628" s="47"/>
      <c r="G2628" s="10"/>
      <c r="H2628" s="20"/>
      <c r="I2628" s="20"/>
      <c r="J2628" s="10"/>
      <c r="K2628" s="10"/>
      <c r="L2628" s="10"/>
      <c r="M2628" s="10"/>
      <c r="N2628" s="10"/>
      <c r="O2628" s="21"/>
    </row>
    <row r="2629" spans="1:15" x14ac:dyDescent="0.35">
      <c r="A2629" s="15">
        <f t="shared" si="40"/>
        <v>2627</v>
      </c>
      <c r="B2629" s="16"/>
      <c r="C2629" s="19"/>
      <c r="D2629" s="10"/>
      <c r="E2629" s="10"/>
      <c r="F2629" s="47"/>
      <c r="G2629" s="10"/>
      <c r="H2629" s="20"/>
      <c r="I2629" s="20"/>
      <c r="J2629" s="10"/>
      <c r="K2629" s="10"/>
      <c r="L2629" s="10"/>
      <c r="M2629" s="10"/>
      <c r="N2629" s="10"/>
      <c r="O2629" s="21"/>
    </row>
    <row r="2630" spans="1:15" x14ac:dyDescent="0.35">
      <c r="A2630" s="15">
        <f t="shared" si="40"/>
        <v>2628</v>
      </c>
      <c r="B2630" s="16"/>
      <c r="C2630" s="19"/>
      <c r="D2630" s="10"/>
      <c r="E2630" s="10"/>
      <c r="F2630" s="47"/>
      <c r="G2630" s="10"/>
      <c r="H2630" s="20"/>
      <c r="I2630" s="20"/>
      <c r="J2630" s="10"/>
      <c r="K2630" s="10"/>
      <c r="L2630" s="10"/>
      <c r="M2630" s="10"/>
      <c r="N2630" s="10"/>
      <c r="O2630" s="21"/>
    </row>
    <row r="2631" spans="1:15" x14ac:dyDescent="0.35">
      <c r="A2631" s="15">
        <f t="shared" si="40"/>
        <v>2629</v>
      </c>
      <c r="B2631" s="16"/>
      <c r="C2631" s="19"/>
      <c r="D2631" s="10"/>
      <c r="E2631" s="10"/>
      <c r="F2631" s="47"/>
      <c r="G2631" s="10"/>
      <c r="H2631" s="20"/>
      <c r="I2631" s="20"/>
      <c r="J2631" s="10"/>
      <c r="K2631" s="10"/>
      <c r="L2631" s="10"/>
      <c r="M2631" s="10"/>
      <c r="N2631" s="10"/>
      <c r="O2631" s="21"/>
    </row>
    <row r="2632" spans="1:15" x14ac:dyDescent="0.35">
      <c r="A2632" s="15">
        <f t="shared" si="40"/>
        <v>2630</v>
      </c>
      <c r="B2632" s="16"/>
      <c r="C2632" s="19"/>
      <c r="D2632" s="10"/>
      <c r="E2632" s="10"/>
      <c r="F2632" s="47"/>
      <c r="G2632" s="10"/>
      <c r="H2632" s="20"/>
      <c r="I2632" s="20"/>
      <c r="J2632" s="10"/>
      <c r="K2632" s="10"/>
      <c r="L2632" s="10"/>
      <c r="M2632" s="10"/>
      <c r="N2632" s="10"/>
      <c r="O2632" s="21"/>
    </row>
    <row r="2633" spans="1:15" x14ac:dyDescent="0.35">
      <c r="A2633" s="15">
        <f t="shared" si="40"/>
        <v>2631</v>
      </c>
      <c r="B2633" s="16"/>
      <c r="C2633" s="19"/>
      <c r="D2633" s="10"/>
      <c r="E2633" s="10"/>
      <c r="F2633" s="47"/>
      <c r="G2633" s="10"/>
      <c r="H2633" s="20"/>
      <c r="I2633" s="20"/>
      <c r="J2633" s="10"/>
      <c r="K2633" s="10"/>
      <c r="L2633" s="10"/>
      <c r="M2633" s="10"/>
      <c r="N2633" s="10"/>
      <c r="O2633" s="21"/>
    </row>
    <row r="2634" spans="1:15" x14ac:dyDescent="0.35">
      <c r="A2634" s="15">
        <f t="shared" si="40"/>
        <v>2632</v>
      </c>
      <c r="B2634" s="16"/>
      <c r="C2634" s="19"/>
      <c r="D2634" s="10"/>
      <c r="E2634" s="10"/>
      <c r="F2634" s="47"/>
      <c r="G2634" s="10"/>
      <c r="H2634" s="20"/>
      <c r="I2634" s="20"/>
      <c r="J2634" s="10"/>
      <c r="K2634" s="10"/>
      <c r="L2634" s="10"/>
      <c r="M2634" s="10"/>
      <c r="N2634" s="10"/>
      <c r="O2634" s="21"/>
    </row>
    <row r="2635" spans="1:15" x14ac:dyDescent="0.35">
      <c r="A2635" s="15">
        <f t="shared" ref="A2635:A2698" si="41">+A2634+1</f>
        <v>2633</v>
      </c>
      <c r="B2635" s="16"/>
      <c r="C2635" s="19"/>
      <c r="D2635" s="10"/>
      <c r="E2635" s="10"/>
      <c r="F2635" s="47"/>
      <c r="G2635" s="10"/>
      <c r="H2635" s="20"/>
      <c r="I2635" s="20"/>
      <c r="J2635" s="10"/>
      <c r="K2635" s="10"/>
      <c r="L2635" s="10"/>
      <c r="M2635" s="10"/>
      <c r="N2635" s="10"/>
      <c r="O2635" s="21"/>
    </row>
    <row r="2636" spans="1:15" x14ac:dyDescent="0.35">
      <c r="A2636" s="15">
        <f t="shared" si="41"/>
        <v>2634</v>
      </c>
      <c r="B2636" s="16"/>
      <c r="C2636" s="19"/>
      <c r="D2636" s="10"/>
      <c r="E2636" s="10"/>
      <c r="F2636" s="47"/>
      <c r="G2636" s="10"/>
      <c r="H2636" s="20"/>
      <c r="I2636" s="20"/>
      <c r="J2636" s="10"/>
      <c r="K2636" s="10"/>
      <c r="L2636" s="10"/>
      <c r="M2636" s="10"/>
      <c r="N2636" s="10"/>
      <c r="O2636" s="21"/>
    </row>
    <row r="2637" spans="1:15" x14ac:dyDescent="0.35">
      <c r="A2637" s="15">
        <f t="shared" si="41"/>
        <v>2635</v>
      </c>
      <c r="B2637" s="16"/>
      <c r="C2637" s="19"/>
      <c r="D2637" s="10"/>
      <c r="E2637" s="10"/>
      <c r="F2637" s="47"/>
      <c r="G2637" s="10"/>
      <c r="H2637" s="20"/>
      <c r="I2637" s="20"/>
      <c r="J2637" s="10"/>
      <c r="K2637" s="10"/>
      <c r="L2637" s="10"/>
      <c r="M2637" s="10"/>
      <c r="N2637" s="10"/>
      <c r="O2637" s="21"/>
    </row>
    <row r="2638" spans="1:15" x14ac:dyDescent="0.35">
      <c r="A2638" s="15">
        <f t="shared" si="41"/>
        <v>2636</v>
      </c>
      <c r="B2638" s="16"/>
      <c r="C2638" s="19"/>
      <c r="D2638" s="10"/>
      <c r="E2638" s="10"/>
      <c r="F2638" s="47"/>
      <c r="G2638" s="10"/>
      <c r="H2638" s="20"/>
      <c r="I2638" s="20"/>
      <c r="J2638" s="10"/>
      <c r="K2638" s="10"/>
      <c r="L2638" s="10"/>
      <c r="M2638" s="10"/>
      <c r="N2638" s="10"/>
      <c r="O2638" s="21"/>
    </row>
    <row r="2639" spans="1:15" x14ac:dyDescent="0.35">
      <c r="A2639" s="15">
        <f t="shared" si="41"/>
        <v>2637</v>
      </c>
      <c r="B2639" s="16"/>
      <c r="C2639" s="19"/>
      <c r="D2639" s="10"/>
      <c r="E2639" s="10"/>
      <c r="F2639" s="47"/>
      <c r="G2639" s="10"/>
      <c r="H2639" s="20"/>
      <c r="I2639" s="20"/>
      <c r="J2639" s="10"/>
      <c r="K2639" s="10"/>
      <c r="L2639" s="10"/>
      <c r="M2639" s="10"/>
      <c r="N2639" s="10"/>
      <c r="O2639" s="21"/>
    </row>
    <row r="2640" spans="1:15" x14ac:dyDescent="0.35">
      <c r="A2640" s="15">
        <f t="shared" si="41"/>
        <v>2638</v>
      </c>
      <c r="B2640" s="16"/>
      <c r="C2640" s="19"/>
      <c r="D2640" s="10"/>
      <c r="E2640" s="10"/>
      <c r="F2640" s="47"/>
      <c r="G2640" s="10"/>
      <c r="H2640" s="20"/>
      <c r="I2640" s="20"/>
      <c r="J2640" s="10"/>
      <c r="K2640" s="10"/>
      <c r="L2640" s="10"/>
      <c r="M2640" s="10"/>
      <c r="N2640" s="10"/>
      <c r="O2640" s="21"/>
    </row>
    <row r="2641" spans="1:15" x14ac:dyDescent="0.35">
      <c r="A2641" s="15">
        <f t="shared" si="41"/>
        <v>2639</v>
      </c>
      <c r="B2641" s="16"/>
      <c r="C2641" s="19"/>
      <c r="D2641" s="10"/>
      <c r="E2641" s="10"/>
      <c r="F2641" s="47"/>
      <c r="G2641" s="10"/>
      <c r="H2641" s="20"/>
      <c r="I2641" s="20"/>
      <c r="J2641" s="10"/>
      <c r="K2641" s="10"/>
      <c r="L2641" s="10"/>
      <c r="M2641" s="10"/>
      <c r="N2641" s="10"/>
      <c r="O2641" s="21"/>
    </row>
    <row r="2642" spans="1:15" x14ac:dyDescent="0.35">
      <c r="A2642" s="15">
        <f t="shared" si="41"/>
        <v>2640</v>
      </c>
      <c r="B2642" s="16"/>
      <c r="C2642" s="19"/>
      <c r="D2642" s="10"/>
      <c r="E2642" s="10"/>
      <c r="F2642" s="47"/>
      <c r="G2642" s="10"/>
      <c r="H2642" s="20"/>
      <c r="I2642" s="20"/>
      <c r="J2642" s="10"/>
      <c r="K2642" s="10"/>
      <c r="L2642" s="10"/>
      <c r="M2642" s="10"/>
      <c r="N2642" s="10"/>
      <c r="O2642" s="21"/>
    </row>
    <row r="2643" spans="1:15" x14ac:dyDescent="0.35">
      <c r="A2643" s="15">
        <f t="shared" si="41"/>
        <v>2641</v>
      </c>
      <c r="B2643" s="16"/>
      <c r="C2643" s="19"/>
      <c r="D2643" s="10"/>
      <c r="E2643" s="10"/>
      <c r="F2643" s="47"/>
      <c r="G2643" s="10"/>
      <c r="H2643" s="20"/>
      <c r="I2643" s="20"/>
      <c r="J2643" s="10"/>
      <c r="K2643" s="10"/>
      <c r="L2643" s="10"/>
      <c r="M2643" s="10"/>
      <c r="N2643" s="10"/>
      <c r="O2643" s="21"/>
    </row>
    <row r="2644" spans="1:15" x14ac:dyDescent="0.35">
      <c r="A2644" s="15">
        <f t="shared" si="41"/>
        <v>2642</v>
      </c>
      <c r="B2644" s="16"/>
      <c r="C2644" s="19"/>
      <c r="D2644" s="10"/>
      <c r="E2644" s="10"/>
      <c r="F2644" s="47"/>
      <c r="G2644" s="10"/>
      <c r="H2644" s="20"/>
      <c r="I2644" s="20"/>
      <c r="J2644" s="10"/>
      <c r="K2644" s="10"/>
      <c r="L2644" s="10"/>
      <c r="M2644" s="10"/>
      <c r="N2644" s="10"/>
      <c r="O2644" s="21"/>
    </row>
    <row r="2645" spans="1:15" x14ac:dyDescent="0.35">
      <c r="A2645" s="15">
        <f t="shared" si="41"/>
        <v>2643</v>
      </c>
      <c r="B2645" s="16"/>
      <c r="C2645" s="19"/>
      <c r="D2645" s="10"/>
      <c r="E2645" s="10"/>
      <c r="F2645" s="47"/>
      <c r="G2645" s="10"/>
      <c r="H2645" s="20"/>
      <c r="I2645" s="20"/>
      <c r="J2645" s="10"/>
      <c r="K2645" s="10"/>
      <c r="L2645" s="10"/>
      <c r="M2645" s="10"/>
      <c r="N2645" s="10"/>
      <c r="O2645" s="21"/>
    </row>
    <row r="2646" spans="1:15" x14ac:dyDescent="0.35">
      <c r="A2646" s="15">
        <f t="shared" si="41"/>
        <v>2644</v>
      </c>
      <c r="B2646" s="16"/>
      <c r="C2646" s="19"/>
      <c r="D2646" s="10"/>
      <c r="E2646" s="10"/>
      <c r="F2646" s="47"/>
      <c r="G2646" s="10"/>
      <c r="H2646" s="20"/>
      <c r="I2646" s="20"/>
      <c r="J2646" s="10"/>
      <c r="K2646" s="10"/>
      <c r="L2646" s="10"/>
      <c r="M2646" s="10"/>
      <c r="N2646" s="10"/>
      <c r="O2646" s="21"/>
    </row>
    <row r="2647" spans="1:15" x14ac:dyDescent="0.35">
      <c r="A2647" s="15">
        <f t="shared" si="41"/>
        <v>2645</v>
      </c>
      <c r="B2647" s="16"/>
      <c r="C2647" s="19"/>
      <c r="D2647" s="10"/>
      <c r="E2647" s="10"/>
      <c r="F2647" s="47"/>
      <c r="G2647" s="10"/>
      <c r="H2647" s="20"/>
      <c r="I2647" s="20"/>
      <c r="J2647" s="10"/>
      <c r="K2647" s="10"/>
      <c r="L2647" s="10"/>
      <c r="M2647" s="10"/>
      <c r="N2647" s="10"/>
      <c r="O2647" s="21"/>
    </row>
    <row r="2648" spans="1:15" x14ac:dyDescent="0.35">
      <c r="A2648" s="15">
        <f t="shared" si="41"/>
        <v>2646</v>
      </c>
      <c r="B2648" s="16"/>
      <c r="C2648" s="19"/>
      <c r="D2648" s="10"/>
      <c r="E2648" s="10"/>
      <c r="F2648" s="47"/>
      <c r="G2648" s="10"/>
      <c r="H2648" s="20"/>
      <c r="I2648" s="20"/>
      <c r="J2648" s="10"/>
      <c r="K2648" s="10"/>
      <c r="L2648" s="10"/>
      <c r="M2648" s="10"/>
      <c r="N2648" s="10"/>
      <c r="O2648" s="21"/>
    </row>
    <row r="2649" spans="1:15" x14ac:dyDescent="0.35">
      <c r="A2649" s="15">
        <f t="shared" si="41"/>
        <v>2647</v>
      </c>
      <c r="B2649" s="16"/>
      <c r="C2649" s="19"/>
      <c r="D2649" s="10"/>
      <c r="E2649" s="10"/>
      <c r="F2649" s="47"/>
      <c r="G2649" s="10"/>
      <c r="H2649" s="20"/>
      <c r="I2649" s="20"/>
      <c r="J2649" s="10"/>
      <c r="K2649" s="10"/>
      <c r="L2649" s="10"/>
      <c r="M2649" s="10"/>
      <c r="N2649" s="10"/>
      <c r="O2649" s="21"/>
    </row>
    <row r="2650" spans="1:15" x14ac:dyDescent="0.35">
      <c r="A2650" s="15">
        <f t="shared" si="41"/>
        <v>2648</v>
      </c>
      <c r="B2650" s="16"/>
      <c r="C2650" s="19"/>
      <c r="D2650" s="10"/>
      <c r="E2650" s="10"/>
      <c r="F2650" s="47"/>
      <c r="G2650" s="10"/>
      <c r="H2650" s="20"/>
      <c r="I2650" s="20"/>
      <c r="J2650" s="10"/>
      <c r="K2650" s="10"/>
      <c r="L2650" s="10"/>
      <c r="M2650" s="10"/>
      <c r="N2650" s="10"/>
      <c r="O2650" s="21"/>
    </row>
    <row r="2651" spans="1:15" x14ac:dyDescent="0.35">
      <c r="A2651" s="15">
        <f t="shared" si="41"/>
        <v>2649</v>
      </c>
      <c r="B2651" s="16"/>
      <c r="C2651" s="19"/>
      <c r="D2651" s="10"/>
      <c r="E2651" s="10"/>
      <c r="F2651" s="47"/>
      <c r="G2651" s="10"/>
      <c r="H2651" s="20"/>
      <c r="I2651" s="20"/>
      <c r="J2651" s="10"/>
      <c r="K2651" s="10"/>
      <c r="L2651" s="10"/>
      <c r="M2651" s="10"/>
      <c r="N2651" s="10"/>
      <c r="O2651" s="21"/>
    </row>
    <row r="2652" spans="1:15" x14ac:dyDescent="0.35">
      <c r="A2652" s="15">
        <f t="shared" si="41"/>
        <v>2650</v>
      </c>
      <c r="B2652" s="16"/>
      <c r="C2652" s="19"/>
      <c r="D2652" s="10"/>
      <c r="E2652" s="10"/>
      <c r="F2652" s="47"/>
      <c r="G2652" s="10"/>
      <c r="H2652" s="20"/>
      <c r="I2652" s="20"/>
      <c r="J2652" s="10"/>
      <c r="K2652" s="10"/>
      <c r="L2652" s="10"/>
      <c r="M2652" s="10"/>
      <c r="N2652" s="10"/>
      <c r="O2652" s="21"/>
    </row>
    <row r="2653" spans="1:15" x14ac:dyDescent="0.35">
      <c r="A2653" s="15">
        <f t="shared" si="41"/>
        <v>2651</v>
      </c>
      <c r="B2653" s="16"/>
      <c r="C2653" s="19"/>
      <c r="D2653" s="10"/>
      <c r="E2653" s="10"/>
      <c r="F2653" s="47"/>
      <c r="G2653" s="10"/>
      <c r="H2653" s="20"/>
      <c r="I2653" s="20"/>
      <c r="J2653" s="10"/>
      <c r="K2653" s="10"/>
      <c r="L2653" s="10"/>
      <c r="M2653" s="10"/>
      <c r="N2653" s="10"/>
      <c r="O2653" s="21"/>
    </row>
    <row r="2654" spans="1:15" x14ac:dyDescent="0.35">
      <c r="A2654" s="15">
        <f t="shared" si="41"/>
        <v>2652</v>
      </c>
      <c r="B2654" s="16"/>
      <c r="C2654" s="19"/>
      <c r="D2654" s="10"/>
      <c r="E2654" s="10"/>
      <c r="F2654" s="47"/>
      <c r="G2654" s="10"/>
      <c r="H2654" s="20"/>
      <c r="I2654" s="20"/>
      <c r="J2654" s="10"/>
      <c r="K2654" s="10"/>
      <c r="L2654" s="10"/>
      <c r="M2654" s="10"/>
      <c r="N2654" s="10"/>
      <c r="O2654" s="21"/>
    </row>
    <row r="2655" spans="1:15" x14ac:dyDescent="0.35">
      <c r="A2655" s="15">
        <f t="shared" si="41"/>
        <v>2653</v>
      </c>
      <c r="B2655" s="16"/>
      <c r="C2655" s="19"/>
      <c r="D2655" s="10"/>
      <c r="E2655" s="10"/>
      <c r="F2655" s="47"/>
      <c r="G2655" s="10"/>
      <c r="H2655" s="20"/>
      <c r="I2655" s="20"/>
      <c r="J2655" s="10"/>
      <c r="K2655" s="10"/>
      <c r="L2655" s="10"/>
      <c r="M2655" s="10"/>
      <c r="N2655" s="10"/>
      <c r="O2655" s="21"/>
    </row>
    <row r="2656" spans="1:15" x14ac:dyDescent="0.35">
      <c r="A2656" s="15">
        <f t="shared" si="41"/>
        <v>2654</v>
      </c>
      <c r="B2656" s="16"/>
      <c r="C2656" s="19"/>
      <c r="D2656" s="10"/>
      <c r="E2656" s="10"/>
      <c r="F2656" s="47"/>
      <c r="G2656" s="10"/>
      <c r="H2656" s="20"/>
      <c r="I2656" s="20"/>
      <c r="J2656" s="10"/>
      <c r="K2656" s="10"/>
      <c r="L2656" s="10"/>
      <c r="M2656" s="10"/>
      <c r="N2656" s="10"/>
      <c r="O2656" s="21"/>
    </row>
    <row r="2657" spans="1:15" x14ac:dyDescent="0.35">
      <c r="A2657" s="15">
        <f t="shared" si="41"/>
        <v>2655</v>
      </c>
      <c r="B2657" s="16"/>
      <c r="C2657" s="19"/>
      <c r="D2657" s="10"/>
      <c r="E2657" s="10"/>
      <c r="F2657" s="47"/>
      <c r="G2657" s="10"/>
      <c r="H2657" s="20"/>
      <c r="I2657" s="20"/>
      <c r="J2657" s="10"/>
      <c r="K2657" s="10"/>
      <c r="L2657" s="10"/>
      <c r="M2657" s="10"/>
      <c r="N2657" s="10"/>
      <c r="O2657" s="21"/>
    </row>
    <row r="2658" spans="1:15" x14ac:dyDescent="0.35">
      <c r="A2658" s="15">
        <f t="shared" si="41"/>
        <v>2656</v>
      </c>
      <c r="B2658" s="16"/>
      <c r="C2658" s="19"/>
      <c r="D2658" s="10"/>
      <c r="E2658" s="10"/>
      <c r="F2658" s="47"/>
      <c r="G2658" s="10"/>
      <c r="H2658" s="20"/>
      <c r="I2658" s="20"/>
      <c r="J2658" s="10"/>
      <c r="K2658" s="10"/>
      <c r="L2658" s="10"/>
      <c r="M2658" s="10"/>
      <c r="N2658" s="10"/>
      <c r="O2658" s="21"/>
    </row>
    <row r="2659" spans="1:15" x14ac:dyDescent="0.35">
      <c r="A2659" s="15">
        <f t="shared" si="41"/>
        <v>2657</v>
      </c>
      <c r="B2659" s="16"/>
      <c r="C2659" s="19"/>
      <c r="D2659" s="10"/>
      <c r="E2659" s="10"/>
      <c r="F2659" s="47"/>
      <c r="G2659" s="10"/>
      <c r="H2659" s="20"/>
      <c r="I2659" s="20"/>
      <c r="J2659" s="10"/>
      <c r="K2659" s="10"/>
      <c r="L2659" s="10"/>
      <c r="M2659" s="10"/>
      <c r="N2659" s="10"/>
      <c r="O2659" s="21"/>
    </row>
    <row r="2660" spans="1:15" x14ac:dyDescent="0.35">
      <c r="A2660" s="15">
        <f t="shared" si="41"/>
        <v>2658</v>
      </c>
      <c r="B2660" s="16"/>
      <c r="C2660" s="19"/>
      <c r="D2660" s="10"/>
      <c r="E2660" s="10"/>
      <c r="F2660" s="47"/>
      <c r="G2660" s="10"/>
      <c r="H2660" s="20"/>
      <c r="I2660" s="20"/>
      <c r="J2660" s="10"/>
      <c r="K2660" s="10"/>
      <c r="L2660" s="10"/>
      <c r="M2660" s="10"/>
      <c r="N2660" s="10"/>
      <c r="O2660" s="21"/>
    </row>
    <row r="2661" spans="1:15" x14ac:dyDescent="0.35">
      <c r="A2661" s="15">
        <f t="shared" si="41"/>
        <v>2659</v>
      </c>
      <c r="B2661" s="16"/>
      <c r="C2661" s="19"/>
      <c r="D2661" s="10"/>
      <c r="E2661" s="10"/>
      <c r="F2661" s="47"/>
      <c r="G2661" s="10"/>
      <c r="H2661" s="20"/>
      <c r="I2661" s="20"/>
      <c r="J2661" s="10"/>
      <c r="K2661" s="10"/>
      <c r="L2661" s="10"/>
      <c r="M2661" s="10"/>
      <c r="N2661" s="10"/>
      <c r="O2661" s="21"/>
    </row>
    <row r="2662" spans="1:15" x14ac:dyDescent="0.35">
      <c r="A2662" s="15">
        <f t="shared" si="41"/>
        <v>2660</v>
      </c>
      <c r="B2662" s="16"/>
      <c r="C2662" s="19"/>
      <c r="D2662" s="10"/>
      <c r="E2662" s="10"/>
      <c r="F2662" s="47"/>
      <c r="G2662" s="10"/>
      <c r="H2662" s="20"/>
      <c r="I2662" s="20"/>
      <c r="J2662" s="10"/>
      <c r="K2662" s="10"/>
      <c r="L2662" s="10"/>
      <c r="M2662" s="10"/>
      <c r="N2662" s="10"/>
      <c r="O2662" s="21"/>
    </row>
    <row r="2663" spans="1:15" x14ac:dyDescent="0.35">
      <c r="A2663" s="15">
        <f t="shared" si="41"/>
        <v>2661</v>
      </c>
      <c r="B2663" s="16"/>
      <c r="C2663" s="19"/>
      <c r="D2663" s="10"/>
      <c r="E2663" s="10"/>
      <c r="F2663" s="47"/>
      <c r="G2663" s="10"/>
      <c r="H2663" s="20"/>
      <c r="I2663" s="20"/>
      <c r="J2663" s="10"/>
      <c r="K2663" s="10"/>
      <c r="L2663" s="10"/>
      <c r="M2663" s="10"/>
      <c r="N2663" s="10"/>
      <c r="O2663" s="21"/>
    </row>
    <row r="2664" spans="1:15" x14ac:dyDescent="0.35">
      <c r="A2664" s="15">
        <f t="shared" si="41"/>
        <v>2662</v>
      </c>
      <c r="B2664" s="16"/>
      <c r="C2664" s="19"/>
      <c r="D2664" s="10"/>
      <c r="E2664" s="10"/>
      <c r="F2664" s="47"/>
      <c r="G2664" s="10"/>
      <c r="H2664" s="20"/>
      <c r="I2664" s="20"/>
      <c r="J2664" s="10"/>
      <c r="K2664" s="10"/>
      <c r="L2664" s="10"/>
      <c r="M2664" s="10"/>
      <c r="N2664" s="10"/>
      <c r="O2664" s="21"/>
    </row>
    <row r="2665" spans="1:15" x14ac:dyDescent="0.35">
      <c r="A2665" s="15">
        <f t="shared" si="41"/>
        <v>2663</v>
      </c>
      <c r="B2665" s="16"/>
      <c r="C2665" s="19"/>
      <c r="D2665" s="10"/>
      <c r="E2665" s="10"/>
      <c r="F2665" s="47"/>
      <c r="G2665" s="10"/>
      <c r="H2665" s="20"/>
      <c r="I2665" s="20"/>
      <c r="J2665" s="10"/>
      <c r="K2665" s="10"/>
      <c r="L2665" s="10"/>
      <c r="M2665" s="10"/>
      <c r="N2665" s="10"/>
      <c r="O2665" s="21"/>
    </row>
    <row r="2666" spans="1:15" x14ac:dyDescent="0.35">
      <c r="A2666" s="15">
        <f t="shared" si="41"/>
        <v>2664</v>
      </c>
      <c r="B2666" s="16"/>
      <c r="C2666" s="19"/>
      <c r="D2666" s="10"/>
      <c r="E2666" s="10"/>
      <c r="F2666" s="47"/>
      <c r="G2666" s="10"/>
      <c r="H2666" s="20"/>
      <c r="I2666" s="20"/>
      <c r="J2666" s="10"/>
      <c r="K2666" s="10"/>
      <c r="L2666" s="10"/>
      <c r="M2666" s="10"/>
      <c r="N2666" s="10"/>
      <c r="O2666" s="21"/>
    </row>
    <row r="2667" spans="1:15" x14ac:dyDescent="0.35">
      <c r="A2667" s="15">
        <f t="shared" si="41"/>
        <v>2665</v>
      </c>
      <c r="B2667" s="16"/>
      <c r="C2667" s="19"/>
      <c r="D2667" s="10"/>
      <c r="E2667" s="10"/>
      <c r="F2667" s="47"/>
      <c r="G2667" s="10"/>
      <c r="H2667" s="20"/>
      <c r="I2667" s="20"/>
      <c r="J2667" s="10"/>
      <c r="K2667" s="10"/>
      <c r="L2667" s="10"/>
      <c r="M2667" s="10"/>
      <c r="N2667" s="10"/>
      <c r="O2667" s="21"/>
    </row>
    <row r="2668" spans="1:15" x14ac:dyDescent="0.35">
      <c r="A2668" s="15">
        <f t="shared" si="41"/>
        <v>2666</v>
      </c>
      <c r="B2668" s="16"/>
      <c r="C2668" s="19"/>
      <c r="D2668" s="10"/>
      <c r="E2668" s="10"/>
      <c r="F2668" s="47"/>
      <c r="G2668" s="10"/>
      <c r="H2668" s="20"/>
      <c r="I2668" s="20"/>
      <c r="J2668" s="10"/>
      <c r="K2668" s="10"/>
      <c r="L2668" s="10"/>
      <c r="M2668" s="10"/>
      <c r="N2668" s="10"/>
      <c r="O2668" s="21"/>
    </row>
    <row r="2669" spans="1:15" x14ac:dyDescent="0.35">
      <c r="A2669" s="15">
        <f t="shared" si="41"/>
        <v>2667</v>
      </c>
      <c r="B2669" s="16"/>
      <c r="C2669" s="19"/>
      <c r="D2669" s="10"/>
      <c r="E2669" s="10"/>
      <c r="F2669" s="47"/>
      <c r="G2669" s="10"/>
      <c r="H2669" s="20"/>
      <c r="I2669" s="20"/>
      <c r="J2669" s="10"/>
      <c r="K2669" s="10"/>
      <c r="L2669" s="10"/>
      <c r="M2669" s="10"/>
      <c r="N2669" s="10"/>
      <c r="O2669" s="21"/>
    </row>
    <row r="2670" spans="1:15" x14ac:dyDescent="0.35">
      <c r="A2670" s="15">
        <f t="shared" si="41"/>
        <v>2668</v>
      </c>
      <c r="B2670" s="16"/>
      <c r="C2670" s="19"/>
      <c r="D2670" s="10"/>
      <c r="E2670" s="10"/>
      <c r="F2670" s="47"/>
      <c r="G2670" s="10"/>
      <c r="H2670" s="20"/>
      <c r="I2670" s="20"/>
      <c r="J2670" s="10"/>
      <c r="K2670" s="10"/>
      <c r="L2670" s="10"/>
      <c r="M2670" s="10"/>
      <c r="N2670" s="10"/>
      <c r="O2670" s="21"/>
    </row>
    <row r="2671" spans="1:15" x14ac:dyDescent="0.35">
      <c r="A2671" s="15">
        <f t="shared" si="41"/>
        <v>2669</v>
      </c>
      <c r="B2671" s="16"/>
      <c r="C2671" s="19"/>
      <c r="D2671" s="10"/>
      <c r="E2671" s="10"/>
      <c r="F2671" s="47"/>
      <c r="G2671" s="10"/>
      <c r="H2671" s="20"/>
      <c r="I2671" s="20"/>
      <c r="J2671" s="10"/>
      <c r="K2671" s="10"/>
      <c r="L2671" s="10"/>
      <c r="M2671" s="10"/>
      <c r="N2671" s="10"/>
      <c r="O2671" s="21"/>
    </row>
    <row r="2672" spans="1:15" x14ac:dyDescent="0.35">
      <c r="A2672" s="15">
        <f t="shared" si="41"/>
        <v>2670</v>
      </c>
      <c r="B2672" s="16"/>
      <c r="C2672" s="19"/>
      <c r="D2672" s="10"/>
      <c r="E2672" s="10"/>
      <c r="F2672" s="47"/>
      <c r="G2672" s="10"/>
      <c r="H2672" s="20"/>
      <c r="I2672" s="20"/>
      <c r="J2672" s="10"/>
      <c r="K2672" s="10"/>
      <c r="L2672" s="10"/>
      <c r="M2672" s="10"/>
      <c r="N2672" s="10"/>
      <c r="O2672" s="21"/>
    </row>
    <row r="2673" spans="1:15" x14ac:dyDescent="0.35">
      <c r="A2673" s="15">
        <f t="shared" si="41"/>
        <v>2671</v>
      </c>
      <c r="B2673" s="16"/>
      <c r="C2673" s="19"/>
      <c r="D2673" s="10"/>
      <c r="E2673" s="10"/>
      <c r="F2673" s="47"/>
      <c r="G2673" s="10"/>
      <c r="H2673" s="20"/>
      <c r="I2673" s="20"/>
      <c r="J2673" s="10"/>
      <c r="K2673" s="10"/>
      <c r="L2673" s="10"/>
      <c r="M2673" s="10"/>
      <c r="N2673" s="10"/>
      <c r="O2673" s="21"/>
    </row>
    <row r="2674" spans="1:15" x14ac:dyDescent="0.35">
      <c r="A2674" s="15">
        <f t="shared" si="41"/>
        <v>2672</v>
      </c>
      <c r="B2674" s="16"/>
      <c r="C2674" s="19"/>
      <c r="D2674" s="10"/>
      <c r="E2674" s="10"/>
      <c r="F2674" s="47"/>
      <c r="G2674" s="10"/>
      <c r="H2674" s="20"/>
      <c r="I2674" s="20"/>
      <c r="J2674" s="10"/>
      <c r="K2674" s="10"/>
      <c r="L2674" s="10"/>
      <c r="M2674" s="10"/>
      <c r="N2674" s="10"/>
      <c r="O2674" s="21"/>
    </row>
    <row r="2675" spans="1:15" x14ac:dyDescent="0.35">
      <c r="A2675" s="15">
        <f t="shared" si="41"/>
        <v>2673</v>
      </c>
      <c r="B2675" s="16"/>
      <c r="C2675" s="19"/>
      <c r="D2675" s="10"/>
      <c r="E2675" s="10"/>
      <c r="F2675" s="47"/>
      <c r="G2675" s="10"/>
      <c r="H2675" s="20"/>
      <c r="I2675" s="20"/>
      <c r="J2675" s="10"/>
      <c r="K2675" s="10"/>
      <c r="L2675" s="10"/>
      <c r="M2675" s="10"/>
      <c r="N2675" s="10"/>
      <c r="O2675" s="21"/>
    </row>
    <row r="2676" spans="1:15" x14ac:dyDescent="0.35">
      <c r="A2676" s="15">
        <f t="shared" si="41"/>
        <v>2674</v>
      </c>
      <c r="B2676" s="16"/>
      <c r="C2676" s="19"/>
      <c r="D2676" s="10"/>
      <c r="E2676" s="10"/>
      <c r="F2676" s="47"/>
      <c r="G2676" s="10"/>
      <c r="H2676" s="20"/>
      <c r="I2676" s="20"/>
      <c r="J2676" s="10"/>
      <c r="K2676" s="10"/>
      <c r="L2676" s="10"/>
      <c r="M2676" s="10"/>
      <c r="N2676" s="10"/>
      <c r="O2676" s="21"/>
    </row>
    <row r="2677" spans="1:15" x14ac:dyDescent="0.35">
      <c r="A2677" s="15">
        <f t="shared" si="41"/>
        <v>2675</v>
      </c>
      <c r="B2677" s="16"/>
      <c r="C2677" s="19"/>
      <c r="D2677" s="10"/>
      <c r="E2677" s="10"/>
      <c r="F2677" s="47"/>
      <c r="G2677" s="10"/>
      <c r="H2677" s="20"/>
      <c r="I2677" s="20"/>
      <c r="J2677" s="10"/>
      <c r="K2677" s="10"/>
      <c r="L2677" s="10"/>
      <c r="M2677" s="10"/>
      <c r="N2677" s="10"/>
      <c r="O2677" s="21"/>
    </row>
    <row r="2678" spans="1:15" x14ac:dyDescent="0.35">
      <c r="A2678" s="15">
        <f t="shared" si="41"/>
        <v>2676</v>
      </c>
      <c r="B2678" s="16"/>
      <c r="C2678" s="19"/>
      <c r="D2678" s="10"/>
      <c r="E2678" s="10"/>
      <c r="F2678" s="47"/>
      <c r="G2678" s="10"/>
      <c r="H2678" s="20"/>
      <c r="I2678" s="20"/>
      <c r="J2678" s="10"/>
      <c r="K2678" s="10"/>
      <c r="L2678" s="10"/>
      <c r="M2678" s="10"/>
      <c r="N2678" s="10"/>
      <c r="O2678" s="21"/>
    </row>
    <row r="2679" spans="1:15" x14ac:dyDescent="0.35">
      <c r="A2679" s="15">
        <f t="shared" si="41"/>
        <v>2677</v>
      </c>
      <c r="B2679" s="16"/>
      <c r="C2679" s="19"/>
      <c r="D2679" s="10"/>
      <c r="E2679" s="10"/>
      <c r="F2679" s="47"/>
      <c r="G2679" s="10"/>
      <c r="H2679" s="20"/>
      <c r="I2679" s="20"/>
      <c r="J2679" s="10"/>
      <c r="K2679" s="10"/>
      <c r="L2679" s="10"/>
      <c r="M2679" s="10"/>
      <c r="N2679" s="10"/>
      <c r="O2679" s="21"/>
    </row>
    <row r="2680" spans="1:15" x14ac:dyDescent="0.35">
      <c r="A2680" s="15">
        <f t="shared" si="41"/>
        <v>2678</v>
      </c>
      <c r="B2680" s="16"/>
      <c r="C2680" s="19"/>
      <c r="D2680" s="10"/>
      <c r="E2680" s="10"/>
      <c r="F2680" s="47"/>
      <c r="G2680" s="10"/>
      <c r="H2680" s="20"/>
      <c r="I2680" s="20"/>
      <c r="J2680" s="10"/>
      <c r="K2680" s="10"/>
      <c r="L2680" s="10"/>
      <c r="M2680" s="10"/>
      <c r="N2680" s="10"/>
      <c r="O2680" s="21"/>
    </row>
    <row r="2681" spans="1:15" x14ac:dyDescent="0.35">
      <c r="A2681" s="15">
        <f t="shared" si="41"/>
        <v>2679</v>
      </c>
      <c r="B2681" s="16"/>
      <c r="C2681" s="19"/>
      <c r="D2681" s="10"/>
      <c r="E2681" s="10"/>
      <c r="F2681" s="47"/>
      <c r="G2681" s="10"/>
      <c r="H2681" s="20"/>
      <c r="I2681" s="20"/>
      <c r="J2681" s="10"/>
      <c r="K2681" s="10"/>
      <c r="L2681" s="10"/>
      <c r="M2681" s="10"/>
      <c r="N2681" s="10"/>
      <c r="O2681" s="21"/>
    </row>
    <row r="2682" spans="1:15" x14ac:dyDescent="0.35">
      <c r="A2682" s="15">
        <f t="shared" si="41"/>
        <v>2680</v>
      </c>
      <c r="B2682" s="16"/>
      <c r="C2682" s="19"/>
      <c r="D2682" s="10"/>
      <c r="E2682" s="10"/>
      <c r="F2682" s="47"/>
      <c r="G2682" s="10"/>
      <c r="H2682" s="20"/>
      <c r="I2682" s="20"/>
      <c r="J2682" s="10"/>
      <c r="K2682" s="10"/>
      <c r="L2682" s="10"/>
      <c r="M2682" s="10"/>
      <c r="N2682" s="10"/>
      <c r="O2682" s="21"/>
    </row>
    <row r="2683" spans="1:15" x14ac:dyDescent="0.35">
      <c r="A2683" s="15">
        <f t="shared" si="41"/>
        <v>2681</v>
      </c>
      <c r="B2683" s="16"/>
      <c r="C2683" s="19"/>
      <c r="D2683" s="10"/>
      <c r="E2683" s="10"/>
      <c r="F2683" s="47"/>
      <c r="G2683" s="10"/>
      <c r="H2683" s="20"/>
      <c r="I2683" s="20"/>
      <c r="J2683" s="10"/>
      <c r="K2683" s="10"/>
      <c r="L2683" s="10"/>
      <c r="M2683" s="10"/>
      <c r="N2683" s="10"/>
      <c r="O2683" s="21"/>
    </row>
    <row r="2684" spans="1:15" x14ac:dyDescent="0.35">
      <c r="A2684" s="15">
        <f t="shared" si="41"/>
        <v>2682</v>
      </c>
      <c r="B2684" s="16"/>
      <c r="C2684" s="19"/>
      <c r="D2684" s="10"/>
      <c r="E2684" s="10"/>
      <c r="F2684" s="47"/>
      <c r="G2684" s="10"/>
      <c r="H2684" s="20"/>
      <c r="I2684" s="20"/>
      <c r="J2684" s="10"/>
      <c r="K2684" s="10"/>
      <c r="L2684" s="10"/>
      <c r="M2684" s="10"/>
      <c r="N2684" s="10"/>
      <c r="O2684" s="21"/>
    </row>
    <row r="2685" spans="1:15" x14ac:dyDescent="0.35">
      <c r="A2685" s="15">
        <f t="shared" si="41"/>
        <v>2683</v>
      </c>
      <c r="B2685" s="16"/>
      <c r="C2685" s="19"/>
      <c r="D2685" s="10"/>
      <c r="E2685" s="10"/>
      <c r="F2685" s="47"/>
      <c r="G2685" s="10"/>
      <c r="H2685" s="20"/>
      <c r="I2685" s="20"/>
      <c r="J2685" s="10"/>
      <c r="K2685" s="10"/>
      <c r="L2685" s="10"/>
      <c r="M2685" s="10"/>
      <c r="N2685" s="10"/>
      <c r="O2685" s="21"/>
    </row>
    <row r="2686" spans="1:15" x14ac:dyDescent="0.35">
      <c r="A2686" s="15">
        <f t="shared" si="41"/>
        <v>2684</v>
      </c>
      <c r="B2686" s="16"/>
      <c r="C2686" s="19"/>
      <c r="D2686" s="10"/>
      <c r="E2686" s="10"/>
      <c r="F2686" s="47"/>
      <c r="G2686" s="10"/>
      <c r="H2686" s="20"/>
      <c r="I2686" s="20"/>
      <c r="J2686" s="10"/>
      <c r="K2686" s="10"/>
      <c r="L2686" s="10"/>
      <c r="M2686" s="10"/>
      <c r="N2686" s="10"/>
      <c r="O2686" s="21"/>
    </row>
    <row r="2687" spans="1:15" x14ac:dyDescent="0.35">
      <c r="A2687" s="15">
        <f t="shared" si="41"/>
        <v>2685</v>
      </c>
      <c r="B2687" s="16"/>
      <c r="C2687" s="19"/>
      <c r="D2687" s="10"/>
      <c r="E2687" s="10"/>
      <c r="F2687" s="47"/>
      <c r="G2687" s="10"/>
      <c r="H2687" s="20"/>
      <c r="I2687" s="20"/>
      <c r="J2687" s="10"/>
      <c r="K2687" s="10"/>
      <c r="L2687" s="10"/>
      <c r="M2687" s="10"/>
      <c r="N2687" s="10"/>
      <c r="O2687" s="21"/>
    </row>
    <row r="2688" spans="1:15" x14ac:dyDescent="0.35">
      <c r="A2688" s="15">
        <f t="shared" si="41"/>
        <v>2686</v>
      </c>
      <c r="B2688" s="16"/>
      <c r="C2688" s="19"/>
      <c r="D2688" s="10"/>
      <c r="E2688" s="10"/>
      <c r="F2688" s="47"/>
      <c r="G2688" s="10"/>
      <c r="H2688" s="20"/>
      <c r="I2688" s="20"/>
      <c r="J2688" s="10"/>
      <c r="K2688" s="10"/>
      <c r="L2688" s="10"/>
      <c r="M2688" s="10"/>
      <c r="N2688" s="10"/>
      <c r="O2688" s="21"/>
    </row>
    <row r="2689" spans="1:15" x14ac:dyDescent="0.35">
      <c r="A2689" s="15">
        <f t="shared" si="41"/>
        <v>2687</v>
      </c>
      <c r="B2689" s="16"/>
      <c r="C2689" s="19"/>
      <c r="D2689" s="10"/>
      <c r="E2689" s="10"/>
      <c r="F2689" s="47"/>
      <c r="G2689" s="10"/>
      <c r="H2689" s="20"/>
      <c r="I2689" s="20"/>
      <c r="J2689" s="10"/>
      <c r="K2689" s="10"/>
      <c r="L2689" s="10"/>
      <c r="M2689" s="10"/>
      <c r="N2689" s="10"/>
      <c r="O2689" s="21"/>
    </row>
    <row r="2690" spans="1:15" x14ac:dyDescent="0.35">
      <c r="A2690" s="15">
        <f t="shared" si="41"/>
        <v>2688</v>
      </c>
      <c r="B2690" s="16"/>
      <c r="C2690" s="19"/>
      <c r="D2690" s="10"/>
      <c r="E2690" s="10"/>
      <c r="F2690" s="47"/>
      <c r="G2690" s="10"/>
      <c r="H2690" s="20"/>
      <c r="I2690" s="20"/>
      <c r="J2690" s="10"/>
      <c r="K2690" s="10"/>
      <c r="L2690" s="10"/>
      <c r="M2690" s="10"/>
      <c r="N2690" s="10"/>
      <c r="O2690" s="21"/>
    </row>
    <row r="2691" spans="1:15" x14ac:dyDescent="0.35">
      <c r="A2691" s="15">
        <f t="shared" si="41"/>
        <v>2689</v>
      </c>
      <c r="B2691" s="16"/>
      <c r="C2691" s="19"/>
      <c r="D2691" s="10"/>
      <c r="E2691" s="10"/>
      <c r="F2691" s="47"/>
      <c r="G2691" s="10"/>
      <c r="H2691" s="20"/>
      <c r="I2691" s="20"/>
      <c r="J2691" s="10"/>
      <c r="K2691" s="10"/>
      <c r="L2691" s="10"/>
      <c r="M2691" s="10"/>
      <c r="N2691" s="10"/>
      <c r="O2691" s="21"/>
    </row>
    <row r="2692" spans="1:15" x14ac:dyDescent="0.35">
      <c r="A2692" s="15">
        <f t="shared" si="41"/>
        <v>2690</v>
      </c>
      <c r="B2692" s="16"/>
      <c r="C2692" s="19"/>
      <c r="D2692" s="10"/>
      <c r="E2692" s="10"/>
      <c r="F2692" s="47"/>
      <c r="G2692" s="10"/>
      <c r="H2692" s="20"/>
      <c r="I2692" s="20"/>
      <c r="J2692" s="10"/>
      <c r="K2692" s="10"/>
      <c r="L2692" s="10"/>
      <c r="M2692" s="10"/>
      <c r="N2692" s="10"/>
      <c r="O2692" s="21"/>
    </row>
    <row r="2693" spans="1:15" x14ac:dyDescent="0.35">
      <c r="A2693" s="15">
        <f t="shared" si="41"/>
        <v>2691</v>
      </c>
      <c r="B2693" s="16"/>
      <c r="C2693" s="19"/>
      <c r="D2693" s="10"/>
      <c r="E2693" s="10"/>
      <c r="F2693" s="47"/>
      <c r="G2693" s="10"/>
      <c r="H2693" s="20"/>
      <c r="I2693" s="20"/>
      <c r="J2693" s="10"/>
      <c r="K2693" s="10"/>
      <c r="L2693" s="10"/>
      <c r="M2693" s="10"/>
      <c r="N2693" s="10"/>
      <c r="O2693" s="21"/>
    </row>
    <row r="2694" spans="1:15" x14ac:dyDescent="0.35">
      <c r="A2694" s="15">
        <f t="shared" si="41"/>
        <v>2692</v>
      </c>
      <c r="B2694" s="16"/>
      <c r="C2694" s="19"/>
      <c r="D2694" s="10"/>
      <c r="E2694" s="10"/>
      <c r="F2694" s="47"/>
      <c r="G2694" s="10"/>
      <c r="H2694" s="20"/>
      <c r="I2694" s="20"/>
      <c r="J2694" s="10"/>
      <c r="K2694" s="10"/>
      <c r="L2694" s="10"/>
      <c r="M2694" s="10"/>
      <c r="N2694" s="10"/>
      <c r="O2694" s="21"/>
    </row>
    <row r="2695" spans="1:15" x14ac:dyDescent="0.35">
      <c r="A2695" s="15">
        <f t="shared" si="41"/>
        <v>2693</v>
      </c>
      <c r="B2695" s="16"/>
      <c r="C2695" s="19"/>
      <c r="D2695" s="10"/>
      <c r="E2695" s="10"/>
      <c r="F2695" s="47"/>
      <c r="G2695" s="10"/>
      <c r="H2695" s="20"/>
      <c r="I2695" s="20"/>
      <c r="J2695" s="10"/>
      <c r="K2695" s="10"/>
      <c r="L2695" s="10"/>
      <c r="M2695" s="10"/>
      <c r="N2695" s="10"/>
      <c r="O2695" s="21"/>
    </row>
    <row r="2696" spans="1:15" x14ac:dyDescent="0.35">
      <c r="A2696" s="15">
        <f t="shared" si="41"/>
        <v>2694</v>
      </c>
      <c r="B2696" s="16"/>
      <c r="C2696" s="19"/>
      <c r="D2696" s="10"/>
      <c r="E2696" s="10"/>
      <c r="F2696" s="47"/>
      <c r="G2696" s="10"/>
      <c r="H2696" s="20"/>
      <c r="I2696" s="20"/>
      <c r="J2696" s="10"/>
      <c r="K2696" s="10"/>
      <c r="L2696" s="10"/>
      <c r="M2696" s="10"/>
      <c r="N2696" s="10"/>
      <c r="O2696" s="21"/>
    </row>
    <row r="2697" spans="1:15" x14ac:dyDescent="0.35">
      <c r="A2697" s="15">
        <f t="shared" si="41"/>
        <v>2695</v>
      </c>
      <c r="B2697" s="16"/>
      <c r="C2697" s="19"/>
      <c r="D2697" s="10"/>
      <c r="E2697" s="10"/>
      <c r="F2697" s="47"/>
      <c r="G2697" s="10"/>
      <c r="H2697" s="20"/>
      <c r="I2697" s="20"/>
      <c r="J2697" s="10"/>
      <c r="K2697" s="10"/>
      <c r="L2697" s="10"/>
      <c r="M2697" s="10"/>
      <c r="N2697" s="10"/>
      <c r="O2697" s="21"/>
    </row>
    <row r="2698" spans="1:15" x14ac:dyDescent="0.35">
      <c r="A2698" s="15">
        <f t="shared" si="41"/>
        <v>2696</v>
      </c>
      <c r="B2698" s="16"/>
      <c r="C2698" s="19"/>
      <c r="D2698" s="10"/>
      <c r="E2698" s="10"/>
      <c r="F2698" s="47"/>
      <c r="G2698" s="10"/>
      <c r="H2698" s="20"/>
      <c r="I2698" s="20"/>
      <c r="J2698" s="10"/>
      <c r="K2698" s="10"/>
      <c r="L2698" s="10"/>
      <c r="M2698" s="10"/>
      <c r="N2698" s="10"/>
      <c r="O2698" s="21"/>
    </row>
    <row r="2699" spans="1:15" x14ac:dyDescent="0.35">
      <c r="A2699" s="15">
        <f t="shared" ref="A2699:A2762" si="42">+A2698+1</f>
        <v>2697</v>
      </c>
      <c r="B2699" s="16"/>
      <c r="C2699" s="19"/>
      <c r="D2699" s="10"/>
      <c r="E2699" s="10"/>
      <c r="F2699" s="47"/>
      <c r="G2699" s="10"/>
      <c r="H2699" s="20"/>
      <c r="I2699" s="20"/>
      <c r="J2699" s="10"/>
      <c r="K2699" s="10"/>
      <c r="L2699" s="10"/>
      <c r="M2699" s="10"/>
      <c r="N2699" s="10"/>
      <c r="O2699" s="21"/>
    </row>
    <row r="2700" spans="1:15" x14ac:dyDescent="0.35">
      <c r="A2700" s="15">
        <f t="shared" si="42"/>
        <v>2698</v>
      </c>
      <c r="B2700" s="16"/>
      <c r="C2700" s="19"/>
      <c r="D2700" s="10"/>
      <c r="E2700" s="10"/>
      <c r="F2700" s="47"/>
      <c r="G2700" s="10"/>
      <c r="H2700" s="20"/>
      <c r="I2700" s="20"/>
      <c r="J2700" s="10"/>
      <c r="K2700" s="10"/>
      <c r="L2700" s="10"/>
      <c r="M2700" s="10"/>
      <c r="N2700" s="10"/>
      <c r="O2700" s="21"/>
    </row>
    <row r="2701" spans="1:15" x14ac:dyDescent="0.35">
      <c r="A2701" s="15">
        <f t="shared" si="42"/>
        <v>2699</v>
      </c>
      <c r="B2701" s="16"/>
      <c r="C2701" s="19"/>
      <c r="D2701" s="10"/>
      <c r="E2701" s="10"/>
      <c r="F2701" s="47"/>
      <c r="G2701" s="10"/>
      <c r="H2701" s="20"/>
      <c r="I2701" s="20"/>
      <c r="J2701" s="10"/>
      <c r="K2701" s="10"/>
      <c r="L2701" s="10"/>
      <c r="M2701" s="10"/>
      <c r="N2701" s="10"/>
      <c r="O2701" s="21"/>
    </row>
    <row r="2702" spans="1:15" x14ac:dyDescent="0.35">
      <c r="A2702" s="15">
        <f t="shared" si="42"/>
        <v>2700</v>
      </c>
      <c r="B2702" s="16"/>
      <c r="C2702" s="19"/>
      <c r="D2702" s="10"/>
      <c r="E2702" s="10"/>
      <c r="F2702" s="47"/>
      <c r="G2702" s="10"/>
      <c r="H2702" s="20"/>
      <c r="I2702" s="20"/>
      <c r="J2702" s="10"/>
      <c r="K2702" s="10"/>
      <c r="L2702" s="10"/>
      <c r="M2702" s="10"/>
      <c r="N2702" s="10"/>
      <c r="O2702" s="21"/>
    </row>
    <row r="2703" spans="1:15" x14ac:dyDescent="0.35">
      <c r="A2703" s="15">
        <f t="shared" si="42"/>
        <v>2701</v>
      </c>
      <c r="B2703" s="16"/>
      <c r="C2703" s="19"/>
      <c r="D2703" s="10"/>
      <c r="E2703" s="10"/>
      <c r="F2703" s="47"/>
      <c r="G2703" s="10"/>
      <c r="H2703" s="20"/>
      <c r="I2703" s="20"/>
      <c r="J2703" s="10"/>
      <c r="K2703" s="10"/>
      <c r="L2703" s="10"/>
      <c r="M2703" s="10"/>
      <c r="N2703" s="10"/>
      <c r="O2703" s="21"/>
    </row>
    <row r="2704" spans="1:15" x14ac:dyDescent="0.35">
      <c r="A2704" s="15">
        <f t="shared" si="42"/>
        <v>2702</v>
      </c>
      <c r="B2704" s="16"/>
      <c r="C2704" s="19"/>
      <c r="D2704" s="10"/>
      <c r="E2704" s="10"/>
      <c r="F2704" s="47"/>
      <c r="G2704" s="10"/>
      <c r="H2704" s="20"/>
      <c r="I2704" s="20"/>
      <c r="J2704" s="10"/>
      <c r="K2704" s="10"/>
      <c r="L2704" s="10"/>
      <c r="M2704" s="10"/>
      <c r="N2704" s="10"/>
      <c r="O2704" s="21"/>
    </row>
    <row r="2705" spans="1:15" x14ac:dyDescent="0.35">
      <c r="A2705" s="15">
        <f t="shared" si="42"/>
        <v>2703</v>
      </c>
      <c r="B2705" s="16"/>
      <c r="C2705" s="19"/>
      <c r="D2705" s="10"/>
      <c r="E2705" s="10"/>
      <c r="F2705" s="47"/>
      <c r="G2705" s="10"/>
      <c r="H2705" s="20"/>
      <c r="I2705" s="20"/>
      <c r="J2705" s="10"/>
      <c r="K2705" s="10"/>
      <c r="L2705" s="10"/>
      <c r="M2705" s="10"/>
      <c r="N2705" s="10"/>
      <c r="O2705" s="21"/>
    </row>
    <row r="2706" spans="1:15" x14ac:dyDescent="0.35">
      <c r="A2706" s="15">
        <f t="shared" si="42"/>
        <v>2704</v>
      </c>
      <c r="B2706" s="16"/>
      <c r="C2706" s="19"/>
      <c r="D2706" s="10"/>
      <c r="E2706" s="10"/>
      <c r="F2706" s="47"/>
      <c r="G2706" s="10"/>
      <c r="H2706" s="20"/>
      <c r="I2706" s="20"/>
      <c r="J2706" s="10"/>
      <c r="K2706" s="10"/>
      <c r="L2706" s="10"/>
      <c r="M2706" s="10"/>
      <c r="N2706" s="10"/>
      <c r="O2706" s="21"/>
    </row>
    <row r="2707" spans="1:15" x14ac:dyDescent="0.35">
      <c r="A2707" s="15">
        <f t="shared" si="42"/>
        <v>2705</v>
      </c>
      <c r="B2707" s="16"/>
      <c r="C2707" s="19"/>
      <c r="D2707" s="10"/>
      <c r="E2707" s="10"/>
      <c r="F2707" s="47"/>
      <c r="G2707" s="10"/>
      <c r="H2707" s="20"/>
      <c r="I2707" s="20"/>
      <c r="J2707" s="10"/>
      <c r="K2707" s="10"/>
      <c r="L2707" s="10"/>
      <c r="M2707" s="10"/>
      <c r="N2707" s="10"/>
      <c r="O2707" s="21"/>
    </row>
    <row r="2708" spans="1:15" x14ac:dyDescent="0.35">
      <c r="A2708" s="15">
        <f t="shared" si="42"/>
        <v>2706</v>
      </c>
      <c r="B2708" s="16"/>
      <c r="C2708" s="19"/>
      <c r="D2708" s="10"/>
      <c r="E2708" s="10"/>
      <c r="F2708" s="47"/>
      <c r="G2708" s="10"/>
      <c r="H2708" s="20"/>
      <c r="I2708" s="20"/>
      <c r="J2708" s="10"/>
      <c r="K2708" s="10"/>
      <c r="L2708" s="10"/>
      <c r="M2708" s="10"/>
      <c r="N2708" s="10"/>
      <c r="O2708" s="21"/>
    </row>
    <row r="2709" spans="1:15" x14ac:dyDescent="0.35">
      <c r="A2709" s="15">
        <f t="shared" si="42"/>
        <v>2707</v>
      </c>
      <c r="B2709" s="16"/>
      <c r="C2709" s="19"/>
      <c r="D2709" s="10"/>
      <c r="E2709" s="10"/>
      <c r="F2709" s="47"/>
      <c r="G2709" s="10"/>
      <c r="H2709" s="20"/>
      <c r="I2709" s="20"/>
      <c r="J2709" s="10"/>
      <c r="K2709" s="10"/>
      <c r="L2709" s="10"/>
      <c r="M2709" s="10"/>
      <c r="N2709" s="10"/>
      <c r="O2709" s="21"/>
    </row>
    <row r="2710" spans="1:15" x14ac:dyDescent="0.35">
      <c r="A2710" s="15">
        <f t="shared" si="42"/>
        <v>2708</v>
      </c>
      <c r="B2710" s="16"/>
      <c r="C2710" s="19"/>
      <c r="D2710" s="10"/>
      <c r="E2710" s="10"/>
      <c r="F2710" s="47"/>
      <c r="G2710" s="10"/>
      <c r="H2710" s="20"/>
      <c r="I2710" s="20"/>
      <c r="J2710" s="10"/>
      <c r="K2710" s="10"/>
      <c r="L2710" s="10"/>
      <c r="M2710" s="10"/>
      <c r="N2710" s="10"/>
      <c r="O2710" s="21"/>
    </row>
    <row r="2711" spans="1:15" x14ac:dyDescent="0.35">
      <c r="A2711" s="15">
        <f t="shared" si="42"/>
        <v>2709</v>
      </c>
      <c r="B2711" s="16"/>
      <c r="C2711" s="19"/>
      <c r="D2711" s="10"/>
      <c r="E2711" s="10"/>
      <c r="F2711" s="47"/>
      <c r="G2711" s="10"/>
      <c r="H2711" s="20"/>
      <c r="I2711" s="20"/>
      <c r="J2711" s="10"/>
      <c r="K2711" s="10"/>
      <c r="L2711" s="10"/>
      <c r="M2711" s="10"/>
      <c r="N2711" s="10"/>
      <c r="O2711" s="21"/>
    </row>
    <row r="2712" spans="1:15" x14ac:dyDescent="0.35">
      <c r="A2712" s="15">
        <f t="shared" si="42"/>
        <v>2710</v>
      </c>
      <c r="B2712" s="16"/>
      <c r="C2712" s="19"/>
      <c r="D2712" s="10"/>
      <c r="E2712" s="10"/>
      <c r="F2712" s="47"/>
      <c r="G2712" s="10"/>
      <c r="H2712" s="20"/>
      <c r="I2712" s="20"/>
      <c r="J2712" s="10"/>
      <c r="K2712" s="10"/>
      <c r="L2712" s="10"/>
      <c r="M2712" s="10"/>
      <c r="N2712" s="10"/>
      <c r="O2712" s="21"/>
    </row>
    <row r="2713" spans="1:15" x14ac:dyDescent="0.35">
      <c r="A2713" s="15">
        <f t="shared" si="42"/>
        <v>2711</v>
      </c>
      <c r="B2713" s="16"/>
      <c r="C2713" s="19"/>
      <c r="D2713" s="10"/>
      <c r="E2713" s="10"/>
      <c r="F2713" s="47"/>
      <c r="G2713" s="10"/>
      <c r="H2713" s="20"/>
      <c r="I2713" s="20"/>
      <c r="J2713" s="10"/>
      <c r="K2713" s="10"/>
      <c r="L2713" s="10"/>
      <c r="M2713" s="10"/>
      <c r="N2713" s="10"/>
      <c r="O2713" s="21"/>
    </row>
    <row r="2714" spans="1:15" x14ac:dyDescent="0.35">
      <c r="A2714" s="15">
        <f t="shared" si="42"/>
        <v>2712</v>
      </c>
      <c r="B2714" s="16"/>
      <c r="C2714" s="19"/>
      <c r="D2714" s="10"/>
      <c r="E2714" s="10"/>
      <c r="F2714" s="47"/>
      <c r="G2714" s="10"/>
      <c r="H2714" s="20"/>
      <c r="I2714" s="20"/>
      <c r="J2714" s="10"/>
      <c r="K2714" s="10"/>
      <c r="L2714" s="10"/>
      <c r="M2714" s="10"/>
      <c r="N2714" s="10"/>
      <c r="O2714" s="21"/>
    </row>
    <row r="2715" spans="1:15" x14ac:dyDescent="0.35">
      <c r="A2715" s="15">
        <f t="shared" si="42"/>
        <v>2713</v>
      </c>
      <c r="B2715" s="16"/>
      <c r="C2715" s="19"/>
      <c r="D2715" s="10"/>
      <c r="E2715" s="10"/>
      <c r="F2715" s="47"/>
      <c r="G2715" s="10"/>
      <c r="H2715" s="20"/>
      <c r="I2715" s="20"/>
      <c r="J2715" s="10"/>
      <c r="K2715" s="10"/>
      <c r="L2715" s="10"/>
      <c r="M2715" s="10"/>
      <c r="N2715" s="10"/>
      <c r="O2715" s="21"/>
    </row>
    <row r="2716" spans="1:15" x14ac:dyDescent="0.35">
      <c r="A2716" s="15">
        <f t="shared" si="42"/>
        <v>2714</v>
      </c>
      <c r="B2716" s="16"/>
      <c r="C2716" s="19"/>
      <c r="D2716" s="10"/>
      <c r="E2716" s="10"/>
      <c r="F2716" s="47"/>
      <c r="G2716" s="10"/>
      <c r="H2716" s="20"/>
      <c r="I2716" s="20"/>
      <c r="J2716" s="10"/>
      <c r="K2716" s="10"/>
      <c r="L2716" s="10"/>
      <c r="M2716" s="10"/>
      <c r="N2716" s="10"/>
      <c r="O2716" s="21"/>
    </row>
    <row r="2717" spans="1:15" x14ac:dyDescent="0.35">
      <c r="A2717" s="15">
        <f t="shared" si="42"/>
        <v>2715</v>
      </c>
      <c r="B2717" s="16"/>
      <c r="C2717" s="19"/>
      <c r="D2717" s="10"/>
      <c r="E2717" s="10"/>
      <c r="F2717" s="47"/>
      <c r="G2717" s="10"/>
      <c r="H2717" s="20"/>
      <c r="I2717" s="20"/>
      <c r="J2717" s="10"/>
      <c r="K2717" s="10"/>
      <c r="L2717" s="10"/>
      <c r="M2717" s="10"/>
      <c r="N2717" s="10"/>
      <c r="O2717" s="21"/>
    </row>
    <row r="2718" spans="1:15" x14ac:dyDescent="0.35">
      <c r="A2718" s="15">
        <f t="shared" si="42"/>
        <v>2716</v>
      </c>
      <c r="B2718" s="16"/>
      <c r="C2718" s="19"/>
      <c r="D2718" s="10"/>
      <c r="E2718" s="10"/>
      <c r="F2718" s="47"/>
      <c r="G2718" s="10"/>
      <c r="H2718" s="20"/>
      <c r="I2718" s="20"/>
      <c r="J2718" s="10"/>
      <c r="K2718" s="10"/>
      <c r="L2718" s="10"/>
      <c r="M2718" s="10"/>
      <c r="N2718" s="10"/>
      <c r="O2718" s="21"/>
    </row>
    <row r="2719" spans="1:15" x14ac:dyDescent="0.35">
      <c r="A2719" s="15">
        <f t="shared" si="42"/>
        <v>2717</v>
      </c>
      <c r="B2719" s="16"/>
      <c r="C2719" s="19"/>
      <c r="D2719" s="10"/>
      <c r="E2719" s="10"/>
      <c r="F2719" s="47"/>
      <c r="G2719" s="10"/>
      <c r="H2719" s="20"/>
      <c r="I2719" s="20"/>
      <c r="J2719" s="10"/>
      <c r="K2719" s="10"/>
      <c r="L2719" s="10"/>
      <c r="M2719" s="10"/>
      <c r="N2719" s="10"/>
      <c r="O2719" s="21"/>
    </row>
    <row r="2720" spans="1:15" x14ac:dyDescent="0.35">
      <c r="A2720" s="15">
        <f t="shared" si="42"/>
        <v>2718</v>
      </c>
      <c r="B2720" s="16"/>
      <c r="C2720" s="19"/>
      <c r="D2720" s="10"/>
      <c r="E2720" s="10"/>
      <c r="F2720" s="47"/>
      <c r="G2720" s="10"/>
      <c r="H2720" s="20"/>
      <c r="I2720" s="20"/>
      <c r="J2720" s="10"/>
      <c r="K2720" s="10"/>
      <c r="L2720" s="10"/>
      <c r="M2720" s="10"/>
      <c r="N2720" s="10"/>
      <c r="O2720" s="21"/>
    </row>
    <row r="2721" spans="1:15" x14ac:dyDescent="0.35">
      <c r="A2721" s="15">
        <f t="shared" si="42"/>
        <v>2719</v>
      </c>
      <c r="B2721" s="16"/>
      <c r="C2721" s="19"/>
      <c r="D2721" s="10"/>
      <c r="E2721" s="10"/>
      <c r="F2721" s="47"/>
      <c r="G2721" s="10"/>
      <c r="H2721" s="20"/>
      <c r="I2721" s="20"/>
      <c r="J2721" s="10"/>
      <c r="K2721" s="10"/>
      <c r="L2721" s="10"/>
      <c r="M2721" s="10"/>
      <c r="N2721" s="10"/>
      <c r="O2721" s="21"/>
    </row>
    <row r="2722" spans="1:15" x14ac:dyDescent="0.35">
      <c r="A2722" s="15">
        <f t="shared" si="42"/>
        <v>2720</v>
      </c>
      <c r="B2722" s="16"/>
      <c r="C2722" s="19"/>
      <c r="D2722" s="10"/>
      <c r="E2722" s="10"/>
      <c r="F2722" s="47"/>
      <c r="G2722" s="10"/>
      <c r="H2722" s="20"/>
      <c r="I2722" s="20"/>
      <c r="J2722" s="10"/>
      <c r="K2722" s="10"/>
      <c r="L2722" s="10"/>
      <c r="M2722" s="10"/>
      <c r="N2722" s="10"/>
      <c r="O2722" s="21"/>
    </row>
    <row r="2723" spans="1:15" x14ac:dyDescent="0.35">
      <c r="A2723" s="15">
        <f t="shared" si="42"/>
        <v>2721</v>
      </c>
      <c r="B2723" s="16"/>
      <c r="C2723" s="19"/>
      <c r="D2723" s="10"/>
      <c r="E2723" s="10"/>
      <c r="F2723" s="47"/>
      <c r="G2723" s="10"/>
      <c r="H2723" s="20"/>
      <c r="I2723" s="20"/>
      <c r="J2723" s="10"/>
      <c r="K2723" s="10"/>
      <c r="L2723" s="10"/>
      <c r="M2723" s="10"/>
      <c r="N2723" s="10"/>
      <c r="O2723" s="21"/>
    </row>
    <row r="2724" spans="1:15" x14ac:dyDescent="0.35">
      <c r="A2724" s="15">
        <f t="shared" si="42"/>
        <v>2722</v>
      </c>
      <c r="B2724" s="16"/>
      <c r="C2724" s="19"/>
      <c r="D2724" s="10"/>
      <c r="E2724" s="10"/>
      <c r="F2724" s="47"/>
      <c r="G2724" s="10"/>
      <c r="H2724" s="20"/>
      <c r="I2724" s="20"/>
      <c r="J2724" s="10"/>
      <c r="K2724" s="10"/>
      <c r="L2724" s="10"/>
      <c r="M2724" s="10"/>
      <c r="N2724" s="10"/>
      <c r="O2724" s="21"/>
    </row>
    <row r="2725" spans="1:15" x14ac:dyDescent="0.35">
      <c r="A2725" s="15">
        <f t="shared" si="42"/>
        <v>2723</v>
      </c>
      <c r="B2725" s="16"/>
      <c r="C2725" s="19"/>
      <c r="D2725" s="10"/>
      <c r="E2725" s="10"/>
      <c r="F2725" s="47"/>
      <c r="G2725" s="10"/>
      <c r="H2725" s="20"/>
      <c r="I2725" s="20"/>
      <c r="J2725" s="10"/>
      <c r="K2725" s="10"/>
      <c r="L2725" s="10"/>
      <c r="M2725" s="10"/>
      <c r="N2725" s="10"/>
      <c r="O2725" s="21"/>
    </row>
    <row r="2726" spans="1:15" x14ac:dyDescent="0.35">
      <c r="A2726" s="15">
        <f t="shared" si="42"/>
        <v>2724</v>
      </c>
      <c r="B2726" s="16"/>
      <c r="C2726" s="19"/>
      <c r="D2726" s="10"/>
      <c r="E2726" s="10"/>
      <c r="F2726" s="47"/>
      <c r="G2726" s="10"/>
      <c r="H2726" s="20"/>
      <c r="I2726" s="20"/>
      <c r="J2726" s="10"/>
      <c r="K2726" s="10"/>
      <c r="L2726" s="10"/>
      <c r="M2726" s="10"/>
      <c r="N2726" s="10"/>
      <c r="O2726" s="21"/>
    </row>
    <row r="2727" spans="1:15" x14ac:dyDescent="0.35">
      <c r="A2727" s="15">
        <f t="shared" si="42"/>
        <v>2725</v>
      </c>
      <c r="B2727" s="16"/>
      <c r="C2727" s="19"/>
      <c r="D2727" s="10"/>
      <c r="E2727" s="10"/>
      <c r="F2727" s="47"/>
      <c r="G2727" s="10"/>
      <c r="H2727" s="20"/>
      <c r="I2727" s="20"/>
      <c r="J2727" s="10"/>
      <c r="K2727" s="10"/>
      <c r="L2727" s="10"/>
      <c r="M2727" s="10"/>
      <c r="N2727" s="10"/>
      <c r="O2727" s="21"/>
    </row>
    <row r="2728" spans="1:15" x14ac:dyDescent="0.35">
      <c r="A2728" s="15">
        <f t="shared" si="42"/>
        <v>2726</v>
      </c>
      <c r="B2728" s="16"/>
      <c r="C2728" s="19"/>
      <c r="D2728" s="10"/>
      <c r="E2728" s="10"/>
      <c r="F2728" s="47"/>
      <c r="G2728" s="10"/>
      <c r="H2728" s="20"/>
      <c r="I2728" s="20"/>
      <c r="J2728" s="10"/>
      <c r="K2728" s="10"/>
      <c r="L2728" s="10"/>
      <c r="M2728" s="10"/>
      <c r="N2728" s="10"/>
      <c r="O2728" s="21"/>
    </row>
    <row r="2729" spans="1:15" x14ac:dyDescent="0.35">
      <c r="A2729" s="15">
        <f t="shared" si="42"/>
        <v>2727</v>
      </c>
      <c r="B2729" s="16"/>
      <c r="C2729" s="19"/>
      <c r="D2729" s="10"/>
      <c r="E2729" s="10"/>
      <c r="F2729" s="47"/>
      <c r="G2729" s="10"/>
      <c r="H2729" s="20"/>
      <c r="I2729" s="20"/>
      <c r="J2729" s="10"/>
      <c r="K2729" s="10"/>
      <c r="L2729" s="10"/>
      <c r="M2729" s="10"/>
      <c r="N2729" s="10"/>
      <c r="O2729" s="21"/>
    </row>
    <row r="2730" spans="1:15" x14ac:dyDescent="0.35">
      <c r="A2730" s="15">
        <f t="shared" si="42"/>
        <v>2728</v>
      </c>
      <c r="B2730" s="16"/>
      <c r="C2730" s="19"/>
      <c r="D2730" s="10"/>
      <c r="E2730" s="10"/>
      <c r="F2730" s="47"/>
      <c r="G2730" s="10"/>
      <c r="H2730" s="20"/>
      <c r="I2730" s="20"/>
      <c r="J2730" s="10"/>
      <c r="K2730" s="10"/>
      <c r="L2730" s="10"/>
      <c r="M2730" s="10"/>
      <c r="N2730" s="10"/>
      <c r="O2730" s="21"/>
    </row>
    <row r="2731" spans="1:15" x14ac:dyDescent="0.35">
      <c r="A2731" s="15">
        <f t="shared" si="42"/>
        <v>2729</v>
      </c>
      <c r="B2731" s="16"/>
      <c r="C2731" s="19"/>
      <c r="D2731" s="10"/>
      <c r="E2731" s="10"/>
      <c r="F2731" s="47"/>
      <c r="G2731" s="10"/>
      <c r="H2731" s="20"/>
      <c r="I2731" s="20"/>
      <c r="J2731" s="10"/>
      <c r="K2731" s="10"/>
      <c r="L2731" s="10"/>
      <c r="M2731" s="10"/>
      <c r="N2731" s="10"/>
      <c r="O2731" s="21"/>
    </row>
    <row r="2732" spans="1:15" x14ac:dyDescent="0.35">
      <c r="A2732" s="15">
        <f t="shared" si="42"/>
        <v>2730</v>
      </c>
      <c r="B2732" s="16"/>
      <c r="C2732" s="19"/>
      <c r="D2732" s="10"/>
      <c r="E2732" s="10"/>
      <c r="F2732" s="47"/>
      <c r="G2732" s="10"/>
      <c r="H2732" s="20"/>
      <c r="I2732" s="20"/>
      <c r="J2732" s="10"/>
      <c r="K2732" s="10"/>
      <c r="L2732" s="10"/>
      <c r="M2732" s="10"/>
      <c r="N2732" s="10"/>
      <c r="O2732" s="21"/>
    </row>
    <row r="2733" spans="1:15" x14ac:dyDescent="0.35">
      <c r="A2733" s="15">
        <f t="shared" si="42"/>
        <v>2731</v>
      </c>
      <c r="B2733" s="16"/>
      <c r="C2733" s="19"/>
      <c r="D2733" s="10"/>
      <c r="E2733" s="10"/>
      <c r="F2733" s="47"/>
      <c r="G2733" s="10"/>
      <c r="H2733" s="20"/>
      <c r="I2733" s="20"/>
      <c r="J2733" s="10"/>
      <c r="K2733" s="10"/>
      <c r="L2733" s="10"/>
      <c r="M2733" s="10"/>
      <c r="N2733" s="10"/>
      <c r="O2733" s="21"/>
    </row>
    <row r="2734" spans="1:15" x14ac:dyDescent="0.35">
      <c r="A2734" s="15">
        <f t="shared" si="42"/>
        <v>2732</v>
      </c>
      <c r="B2734" s="16"/>
      <c r="C2734" s="19"/>
      <c r="D2734" s="10"/>
      <c r="E2734" s="10"/>
      <c r="F2734" s="47"/>
      <c r="G2734" s="10"/>
      <c r="H2734" s="20"/>
      <c r="I2734" s="20"/>
      <c r="J2734" s="10"/>
      <c r="K2734" s="10"/>
      <c r="L2734" s="10"/>
      <c r="M2734" s="10"/>
      <c r="N2734" s="10"/>
      <c r="O2734" s="21"/>
    </row>
    <row r="2735" spans="1:15" x14ac:dyDescent="0.35">
      <c r="A2735" s="15">
        <f t="shared" si="42"/>
        <v>2733</v>
      </c>
      <c r="B2735" s="16"/>
      <c r="C2735" s="19"/>
      <c r="D2735" s="10"/>
      <c r="E2735" s="10"/>
      <c r="F2735" s="47"/>
      <c r="G2735" s="10"/>
      <c r="H2735" s="20"/>
      <c r="I2735" s="20"/>
      <c r="J2735" s="10"/>
      <c r="K2735" s="10"/>
      <c r="L2735" s="10"/>
      <c r="M2735" s="10"/>
      <c r="N2735" s="10"/>
      <c r="O2735" s="21"/>
    </row>
    <row r="2736" spans="1:15" x14ac:dyDescent="0.35">
      <c r="A2736" s="15">
        <f t="shared" si="42"/>
        <v>2734</v>
      </c>
      <c r="B2736" s="16"/>
      <c r="C2736" s="19"/>
      <c r="D2736" s="10"/>
      <c r="E2736" s="10"/>
      <c r="F2736" s="47"/>
      <c r="G2736" s="10"/>
      <c r="H2736" s="20"/>
      <c r="I2736" s="20"/>
      <c r="J2736" s="10"/>
      <c r="K2736" s="10"/>
      <c r="L2736" s="10"/>
      <c r="M2736" s="10"/>
      <c r="N2736" s="10"/>
      <c r="O2736" s="21"/>
    </row>
    <row r="2737" spans="1:15" x14ac:dyDescent="0.35">
      <c r="A2737" s="15">
        <f t="shared" si="42"/>
        <v>2735</v>
      </c>
      <c r="B2737" s="16"/>
      <c r="C2737" s="19"/>
      <c r="D2737" s="10"/>
      <c r="E2737" s="10"/>
      <c r="F2737" s="47"/>
      <c r="G2737" s="10"/>
      <c r="H2737" s="20"/>
      <c r="I2737" s="20"/>
      <c r="J2737" s="10"/>
      <c r="K2737" s="10"/>
      <c r="L2737" s="10"/>
      <c r="M2737" s="10"/>
      <c r="N2737" s="10"/>
      <c r="O2737" s="21"/>
    </row>
    <row r="2738" spans="1:15" x14ac:dyDescent="0.35">
      <c r="A2738" s="15">
        <f t="shared" si="42"/>
        <v>2736</v>
      </c>
      <c r="B2738" s="16"/>
      <c r="C2738" s="19"/>
      <c r="D2738" s="10"/>
      <c r="E2738" s="10"/>
      <c r="F2738" s="47"/>
      <c r="G2738" s="10"/>
      <c r="H2738" s="20"/>
      <c r="I2738" s="20"/>
      <c r="J2738" s="10"/>
      <c r="K2738" s="10"/>
      <c r="L2738" s="10"/>
      <c r="M2738" s="10"/>
      <c r="N2738" s="10"/>
      <c r="O2738" s="21"/>
    </row>
    <row r="2739" spans="1:15" x14ac:dyDescent="0.35">
      <c r="A2739" s="15">
        <f t="shared" si="42"/>
        <v>2737</v>
      </c>
      <c r="B2739" s="16"/>
      <c r="C2739" s="19"/>
      <c r="D2739" s="10"/>
      <c r="E2739" s="10"/>
      <c r="F2739" s="47"/>
      <c r="G2739" s="10"/>
      <c r="H2739" s="20"/>
      <c r="I2739" s="20"/>
      <c r="J2739" s="10"/>
      <c r="K2739" s="10"/>
      <c r="L2739" s="10"/>
      <c r="M2739" s="10"/>
      <c r="N2739" s="10"/>
      <c r="O2739" s="21"/>
    </row>
    <row r="2740" spans="1:15" x14ac:dyDescent="0.35">
      <c r="A2740" s="15">
        <f t="shared" si="42"/>
        <v>2738</v>
      </c>
      <c r="B2740" s="16"/>
      <c r="C2740" s="19"/>
      <c r="D2740" s="10"/>
      <c r="E2740" s="10"/>
      <c r="F2740" s="47"/>
      <c r="G2740" s="10"/>
      <c r="H2740" s="20"/>
      <c r="I2740" s="20"/>
      <c r="J2740" s="10"/>
      <c r="K2740" s="10"/>
      <c r="L2740" s="10"/>
      <c r="M2740" s="10"/>
      <c r="N2740" s="10"/>
      <c r="O2740" s="21"/>
    </row>
    <row r="2741" spans="1:15" x14ac:dyDescent="0.35">
      <c r="A2741" s="15">
        <f t="shared" si="42"/>
        <v>2739</v>
      </c>
      <c r="B2741" s="16"/>
      <c r="C2741" s="19"/>
      <c r="D2741" s="10"/>
      <c r="E2741" s="10"/>
      <c r="F2741" s="47"/>
      <c r="G2741" s="10"/>
      <c r="H2741" s="20"/>
      <c r="I2741" s="20"/>
      <c r="J2741" s="10"/>
      <c r="K2741" s="10"/>
      <c r="L2741" s="10"/>
      <c r="M2741" s="10"/>
      <c r="N2741" s="10"/>
      <c r="O2741" s="21"/>
    </row>
    <row r="2742" spans="1:15" x14ac:dyDescent="0.35">
      <c r="A2742" s="15">
        <f t="shared" si="42"/>
        <v>2740</v>
      </c>
      <c r="B2742" s="16"/>
      <c r="C2742" s="19"/>
      <c r="D2742" s="10"/>
      <c r="E2742" s="10"/>
      <c r="F2742" s="47"/>
      <c r="G2742" s="10"/>
      <c r="H2742" s="20"/>
      <c r="I2742" s="20"/>
      <c r="J2742" s="10"/>
      <c r="K2742" s="10"/>
      <c r="L2742" s="10"/>
      <c r="M2742" s="10"/>
      <c r="N2742" s="10"/>
      <c r="O2742" s="21"/>
    </row>
    <row r="2743" spans="1:15" x14ac:dyDescent="0.35">
      <c r="A2743" s="15">
        <f t="shared" si="42"/>
        <v>2741</v>
      </c>
      <c r="B2743" s="16"/>
      <c r="C2743" s="19"/>
      <c r="D2743" s="10"/>
      <c r="E2743" s="10"/>
      <c r="F2743" s="47"/>
      <c r="G2743" s="10"/>
      <c r="H2743" s="20"/>
      <c r="I2743" s="20"/>
      <c r="J2743" s="10"/>
      <c r="K2743" s="10"/>
      <c r="L2743" s="10"/>
      <c r="M2743" s="10"/>
      <c r="N2743" s="10"/>
      <c r="O2743" s="21"/>
    </row>
    <row r="2744" spans="1:15" x14ac:dyDescent="0.35">
      <c r="A2744" s="15">
        <f t="shared" si="42"/>
        <v>2742</v>
      </c>
      <c r="B2744" s="16"/>
      <c r="C2744" s="19"/>
      <c r="D2744" s="10"/>
      <c r="E2744" s="10"/>
      <c r="F2744" s="47"/>
      <c r="G2744" s="10"/>
      <c r="H2744" s="20"/>
      <c r="I2744" s="20"/>
      <c r="J2744" s="10"/>
      <c r="K2744" s="10"/>
      <c r="L2744" s="10"/>
      <c r="M2744" s="10"/>
      <c r="N2744" s="10"/>
      <c r="O2744" s="21"/>
    </row>
    <row r="2745" spans="1:15" x14ac:dyDescent="0.35">
      <c r="A2745" s="15">
        <f t="shared" si="42"/>
        <v>2743</v>
      </c>
      <c r="B2745" s="16"/>
      <c r="C2745" s="19"/>
      <c r="D2745" s="10"/>
      <c r="E2745" s="10"/>
      <c r="F2745" s="47"/>
      <c r="G2745" s="10"/>
      <c r="H2745" s="20"/>
      <c r="I2745" s="20"/>
      <c r="J2745" s="10"/>
      <c r="K2745" s="10"/>
      <c r="L2745" s="10"/>
      <c r="M2745" s="10"/>
      <c r="N2745" s="10"/>
      <c r="O2745" s="21"/>
    </row>
    <row r="2746" spans="1:15" x14ac:dyDescent="0.35">
      <c r="A2746" s="15">
        <f t="shared" si="42"/>
        <v>2744</v>
      </c>
      <c r="B2746" s="16"/>
      <c r="C2746" s="19"/>
      <c r="D2746" s="10"/>
      <c r="E2746" s="10"/>
      <c r="F2746" s="47"/>
      <c r="G2746" s="10"/>
      <c r="H2746" s="20"/>
      <c r="I2746" s="20"/>
      <c r="J2746" s="10"/>
      <c r="K2746" s="10"/>
      <c r="L2746" s="10"/>
      <c r="M2746" s="10"/>
      <c r="N2746" s="10"/>
      <c r="O2746" s="21"/>
    </row>
    <row r="2747" spans="1:15" x14ac:dyDescent="0.35">
      <c r="A2747" s="15">
        <f t="shared" si="42"/>
        <v>2745</v>
      </c>
      <c r="B2747" s="16"/>
      <c r="C2747" s="19"/>
      <c r="D2747" s="10"/>
      <c r="E2747" s="10"/>
      <c r="F2747" s="47"/>
      <c r="G2747" s="10"/>
      <c r="H2747" s="20"/>
      <c r="I2747" s="20"/>
      <c r="J2747" s="10"/>
      <c r="K2747" s="10"/>
      <c r="L2747" s="10"/>
      <c r="M2747" s="10"/>
      <c r="N2747" s="10"/>
      <c r="O2747" s="21"/>
    </row>
    <row r="2748" spans="1:15" x14ac:dyDescent="0.35">
      <c r="A2748" s="15">
        <f t="shared" si="42"/>
        <v>2746</v>
      </c>
      <c r="B2748" s="16"/>
      <c r="C2748" s="19"/>
      <c r="D2748" s="10"/>
      <c r="E2748" s="10"/>
      <c r="F2748" s="47"/>
      <c r="G2748" s="10"/>
      <c r="H2748" s="20"/>
      <c r="I2748" s="20"/>
      <c r="J2748" s="10"/>
      <c r="K2748" s="10"/>
      <c r="L2748" s="10"/>
      <c r="M2748" s="10"/>
      <c r="N2748" s="10"/>
      <c r="O2748" s="21"/>
    </row>
    <row r="2749" spans="1:15" x14ac:dyDescent="0.35">
      <c r="A2749" s="15">
        <f t="shared" si="42"/>
        <v>2747</v>
      </c>
      <c r="B2749" s="16"/>
      <c r="C2749" s="19"/>
      <c r="D2749" s="10"/>
      <c r="E2749" s="10"/>
      <c r="F2749" s="47"/>
      <c r="G2749" s="10"/>
      <c r="H2749" s="20"/>
      <c r="I2749" s="20"/>
      <c r="J2749" s="10"/>
      <c r="K2749" s="10"/>
      <c r="L2749" s="10"/>
      <c r="M2749" s="10"/>
      <c r="N2749" s="10"/>
      <c r="O2749" s="21"/>
    </row>
    <row r="2750" spans="1:15" x14ac:dyDescent="0.35">
      <c r="A2750" s="15">
        <f t="shared" si="42"/>
        <v>2748</v>
      </c>
      <c r="B2750" s="16"/>
      <c r="C2750" s="19"/>
      <c r="D2750" s="10"/>
      <c r="E2750" s="10"/>
      <c r="F2750" s="47"/>
      <c r="G2750" s="10"/>
      <c r="H2750" s="20"/>
      <c r="I2750" s="20"/>
      <c r="J2750" s="10"/>
      <c r="K2750" s="10"/>
      <c r="L2750" s="10"/>
      <c r="M2750" s="10"/>
      <c r="N2750" s="10"/>
      <c r="O2750" s="21"/>
    </row>
    <row r="2751" spans="1:15" x14ac:dyDescent="0.35">
      <c r="A2751" s="15">
        <f t="shared" si="42"/>
        <v>2749</v>
      </c>
      <c r="B2751" s="16"/>
      <c r="C2751" s="19"/>
      <c r="D2751" s="10"/>
      <c r="E2751" s="10"/>
      <c r="F2751" s="47"/>
      <c r="G2751" s="10"/>
      <c r="H2751" s="20"/>
      <c r="I2751" s="20"/>
      <c r="J2751" s="10"/>
      <c r="K2751" s="10"/>
      <c r="L2751" s="10"/>
      <c r="M2751" s="10"/>
      <c r="N2751" s="10"/>
      <c r="O2751" s="21"/>
    </row>
    <row r="2752" spans="1:15" x14ac:dyDescent="0.35">
      <c r="A2752" s="15">
        <f t="shared" si="42"/>
        <v>2750</v>
      </c>
      <c r="B2752" s="16"/>
      <c r="C2752" s="19"/>
      <c r="D2752" s="10"/>
      <c r="E2752" s="10"/>
      <c r="F2752" s="47"/>
      <c r="G2752" s="10"/>
      <c r="H2752" s="20"/>
      <c r="I2752" s="20"/>
      <c r="J2752" s="10"/>
      <c r="K2752" s="10"/>
      <c r="L2752" s="10"/>
      <c r="M2752" s="10"/>
      <c r="N2752" s="10"/>
      <c r="O2752" s="21"/>
    </row>
    <row r="2753" spans="1:15" x14ac:dyDescent="0.35">
      <c r="A2753" s="15">
        <f t="shared" si="42"/>
        <v>2751</v>
      </c>
      <c r="B2753" s="16"/>
      <c r="C2753" s="19"/>
      <c r="D2753" s="10"/>
      <c r="E2753" s="10"/>
      <c r="F2753" s="47"/>
      <c r="G2753" s="10"/>
      <c r="H2753" s="20"/>
      <c r="I2753" s="20"/>
      <c r="J2753" s="10"/>
      <c r="K2753" s="10"/>
      <c r="L2753" s="10"/>
      <c r="M2753" s="10"/>
      <c r="N2753" s="10"/>
      <c r="O2753" s="21"/>
    </row>
    <row r="2754" spans="1:15" x14ac:dyDescent="0.35">
      <c r="A2754" s="15">
        <f t="shared" si="42"/>
        <v>2752</v>
      </c>
      <c r="B2754" s="16"/>
      <c r="C2754" s="19"/>
      <c r="D2754" s="10"/>
      <c r="E2754" s="10"/>
      <c r="F2754" s="47"/>
      <c r="G2754" s="10"/>
      <c r="H2754" s="20"/>
      <c r="I2754" s="20"/>
      <c r="J2754" s="10"/>
      <c r="K2754" s="10"/>
      <c r="L2754" s="10"/>
      <c r="M2754" s="10"/>
      <c r="N2754" s="10"/>
      <c r="O2754" s="21"/>
    </row>
    <row r="2755" spans="1:15" x14ac:dyDescent="0.35">
      <c r="A2755" s="15">
        <f t="shared" si="42"/>
        <v>2753</v>
      </c>
      <c r="B2755" s="16"/>
      <c r="C2755" s="19"/>
      <c r="D2755" s="10"/>
      <c r="E2755" s="10"/>
      <c r="F2755" s="47"/>
      <c r="G2755" s="10"/>
      <c r="H2755" s="20"/>
      <c r="I2755" s="20"/>
      <c r="J2755" s="10"/>
      <c r="K2755" s="10"/>
      <c r="L2755" s="10"/>
      <c r="M2755" s="10"/>
      <c r="N2755" s="10"/>
      <c r="O2755" s="21"/>
    </row>
    <row r="2756" spans="1:15" x14ac:dyDescent="0.35">
      <c r="A2756" s="15">
        <f t="shared" si="42"/>
        <v>2754</v>
      </c>
      <c r="B2756" s="16"/>
      <c r="C2756" s="19"/>
      <c r="D2756" s="10"/>
      <c r="E2756" s="10"/>
      <c r="F2756" s="47"/>
      <c r="G2756" s="10"/>
      <c r="H2756" s="20"/>
      <c r="I2756" s="20"/>
      <c r="J2756" s="10"/>
      <c r="K2756" s="10"/>
      <c r="L2756" s="10"/>
      <c r="M2756" s="10"/>
      <c r="N2756" s="10"/>
      <c r="O2756" s="21"/>
    </row>
    <row r="2757" spans="1:15" x14ac:dyDescent="0.35">
      <c r="A2757" s="15">
        <f t="shared" si="42"/>
        <v>2755</v>
      </c>
      <c r="B2757" s="16"/>
      <c r="C2757" s="19"/>
      <c r="D2757" s="10"/>
      <c r="E2757" s="10"/>
      <c r="F2757" s="47"/>
      <c r="G2757" s="10"/>
      <c r="H2757" s="20"/>
      <c r="I2757" s="20"/>
      <c r="J2757" s="10"/>
      <c r="K2757" s="10"/>
      <c r="L2757" s="10"/>
      <c r="M2757" s="10"/>
      <c r="N2757" s="10"/>
      <c r="O2757" s="21"/>
    </row>
    <row r="2758" spans="1:15" x14ac:dyDescent="0.35">
      <c r="A2758" s="15">
        <f t="shared" si="42"/>
        <v>2756</v>
      </c>
      <c r="B2758" s="16"/>
      <c r="C2758" s="19"/>
      <c r="D2758" s="10"/>
      <c r="E2758" s="10"/>
      <c r="F2758" s="47"/>
      <c r="G2758" s="10"/>
      <c r="H2758" s="20"/>
      <c r="I2758" s="20"/>
      <c r="J2758" s="10"/>
      <c r="K2758" s="10"/>
      <c r="L2758" s="10"/>
      <c r="M2758" s="10"/>
      <c r="N2758" s="10"/>
      <c r="O2758" s="21"/>
    </row>
    <row r="2759" spans="1:15" x14ac:dyDescent="0.35">
      <c r="A2759" s="15">
        <f t="shared" si="42"/>
        <v>2757</v>
      </c>
      <c r="B2759" s="16"/>
      <c r="C2759" s="19"/>
      <c r="D2759" s="10"/>
      <c r="E2759" s="10"/>
      <c r="F2759" s="47"/>
      <c r="G2759" s="10"/>
      <c r="H2759" s="20"/>
      <c r="I2759" s="20"/>
      <c r="J2759" s="10"/>
      <c r="K2759" s="10"/>
      <c r="L2759" s="10"/>
      <c r="M2759" s="10"/>
      <c r="N2759" s="10"/>
      <c r="O2759" s="21"/>
    </row>
    <row r="2760" spans="1:15" x14ac:dyDescent="0.35">
      <c r="A2760" s="15">
        <f t="shared" si="42"/>
        <v>2758</v>
      </c>
      <c r="B2760" s="16"/>
      <c r="C2760" s="19"/>
      <c r="D2760" s="10"/>
      <c r="E2760" s="10"/>
      <c r="F2760" s="47"/>
      <c r="G2760" s="10"/>
      <c r="H2760" s="20"/>
      <c r="I2760" s="20"/>
      <c r="J2760" s="10"/>
      <c r="K2760" s="10"/>
      <c r="L2760" s="10"/>
      <c r="M2760" s="10"/>
      <c r="N2760" s="10"/>
      <c r="O2760" s="21"/>
    </row>
    <row r="2761" spans="1:15" x14ac:dyDescent="0.35">
      <c r="A2761" s="15">
        <f t="shared" si="42"/>
        <v>2759</v>
      </c>
      <c r="B2761" s="16"/>
      <c r="C2761" s="19"/>
      <c r="D2761" s="10"/>
      <c r="E2761" s="10"/>
      <c r="F2761" s="47"/>
      <c r="G2761" s="10"/>
      <c r="H2761" s="20"/>
      <c r="I2761" s="20"/>
      <c r="J2761" s="10"/>
      <c r="K2761" s="10"/>
      <c r="L2761" s="10"/>
      <c r="M2761" s="10"/>
      <c r="N2761" s="10"/>
      <c r="O2761" s="21"/>
    </row>
    <row r="2762" spans="1:15" x14ac:dyDescent="0.35">
      <c r="A2762" s="15">
        <f t="shared" si="42"/>
        <v>2760</v>
      </c>
      <c r="B2762" s="16"/>
      <c r="C2762" s="19"/>
      <c r="D2762" s="10"/>
      <c r="E2762" s="10"/>
      <c r="F2762" s="47"/>
      <c r="G2762" s="10"/>
      <c r="H2762" s="20"/>
      <c r="I2762" s="20"/>
      <c r="J2762" s="10"/>
      <c r="K2762" s="10"/>
      <c r="L2762" s="10"/>
      <c r="M2762" s="10"/>
      <c r="N2762" s="10"/>
      <c r="O2762" s="21"/>
    </row>
    <row r="2763" spans="1:15" x14ac:dyDescent="0.35">
      <c r="A2763" s="15">
        <f t="shared" ref="A2763:A2826" si="43">+A2762+1</f>
        <v>2761</v>
      </c>
      <c r="B2763" s="16"/>
      <c r="C2763" s="19"/>
      <c r="D2763" s="10"/>
      <c r="E2763" s="10"/>
      <c r="F2763" s="47"/>
      <c r="G2763" s="10"/>
      <c r="H2763" s="20"/>
      <c r="I2763" s="20"/>
      <c r="J2763" s="10"/>
      <c r="K2763" s="10"/>
      <c r="L2763" s="10"/>
      <c r="M2763" s="10"/>
      <c r="N2763" s="10"/>
      <c r="O2763" s="21"/>
    </row>
    <row r="2764" spans="1:15" x14ac:dyDescent="0.35">
      <c r="A2764" s="15">
        <f t="shared" si="43"/>
        <v>2762</v>
      </c>
      <c r="B2764" s="16"/>
      <c r="C2764" s="19"/>
      <c r="D2764" s="10"/>
      <c r="E2764" s="10"/>
      <c r="F2764" s="47"/>
      <c r="G2764" s="10"/>
      <c r="H2764" s="20"/>
      <c r="I2764" s="20"/>
      <c r="J2764" s="10"/>
      <c r="K2764" s="10"/>
      <c r="L2764" s="10"/>
      <c r="M2764" s="10"/>
      <c r="N2764" s="10"/>
      <c r="O2764" s="21"/>
    </row>
    <row r="2765" spans="1:15" x14ac:dyDescent="0.35">
      <c r="A2765" s="15">
        <f t="shared" si="43"/>
        <v>2763</v>
      </c>
      <c r="B2765" s="16"/>
      <c r="C2765" s="19"/>
      <c r="D2765" s="10"/>
      <c r="E2765" s="10"/>
      <c r="F2765" s="47"/>
      <c r="G2765" s="10"/>
      <c r="H2765" s="20"/>
      <c r="I2765" s="20"/>
      <c r="J2765" s="10"/>
      <c r="K2765" s="10"/>
      <c r="L2765" s="10"/>
      <c r="M2765" s="10"/>
      <c r="N2765" s="10"/>
      <c r="O2765" s="21"/>
    </row>
    <row r="2766" spans="1:15" x14ac:dyDescent="0.35">
      <c r="A2766" s="15">
        <f t="shared" si="43"/>
        <v>2764</v>
      </c>
      <c r="B2766" s="16"/>
      <c r="C2766" s="19"/>
      <c r="D2766" s="10"/>
      <c r="E2766" s="10"/>
      <c r="F2766" s="47"/>
      <c r="G2766" s="10"/>
      <c r="H2766" s="20"/>
      <c r="I2766" s="20"/>
      <c r="J2766" s="10"/>
      <c r="K2766" s="10"/>
      <c r="L2766" s="10"/>
      <c r="M2766" s="10"/>
      <c r="N2766" s="10"/>
      <c r="O2766" s="21"/>
    </row>
    <row r="2767" spans="1:15" x14ac:dyDescent="0.35">
      <c r="A2767" s="15">
        <f t="shared" si="43"/>
        <v>2765</v>
      </c>
      <c r="B2767" s="16"/>
      <c r="C2767" s="19"/>
      <c r="D2767" s="10"/>
      <c r="E2767" s="10"/>
      <c r="F2767" s="47"/>
      <c r="G2767" s="10"/>
      <c r="H2767" s="20"/>
      <c r="I2767" s="20"/>
      <c r="J2767" s="10"/>
      <c r="K2767" s="10"/>
      <c r="L2767" s="10"/>
      <c r="M2767" s="10"/>
      <c r="N2767" s="10"/>
      <c r="O2767" s="21"/>
    </row>
    <row r="2768" spans="1:15" x14ac:dyDescent="0.35">
      <c r="A2768" s="15">
        <f t="shared" si="43"/>
        <v>2766</v>
      </c>
      <c r="B2768" s="16"/>
      <c r="C2768" s="19"/>
      <c r="D2768" s="10"/>
      <c r="E2768" s="10"/>
      <c r="F2768" s="47"/>
      <c r="G2768" s="10"/>
      <c r="H2768" s="20"/>
      <c r="I2768" s="20"/>
      <c r="J2768" s="10"/>
      <c r="K2768" s="10"/>
      <c r="L2768" s="10"/>
      <c r="M2768" s="10"/>
      <c r="N2768" s="10"/>
      <c r="O2768" s="21"/>
    </row>
    <row r="2769" spans="1:15" x14ac:dyDescent="0.35">
      <c r="A2769" s="15">
        <f t="shared" si="43"/>
        <v>2767</v>
      </c>
      <c r="B2769" s="16"/>
      <c r="C2769" s="19"/>
      <c r="D2769" s="10"/>
      <c r="E2769" s="10"/>
      <c r="F2769" s="47"/>
      <c r="G2769" s="10"/>
      <c r="H2769" s="20"/>
      <c r="I2769" s="20"/>
      <c r="J2769" s="10"/>
      <c r="K2769" s="10"/>
      <c r="L2769" s="10"/>
      <c r="M2769" s="10"/>
      <c r="N2769" s="10"/>
      <c r="O2769" s="21"/>
    </row>
    <row r="2770" spans="1:15" x14ac:dyDescent="0.35">
      <c r="A2770" s="15">
        <f t="shared" si="43"/>
        <v>2768</v>
      </c>
      <c r="B2770" s="16"/>
      <c r="C2770" s="19"/>
      <c r="D2770" s="10"/>
      <c r="E2770" s="10"/>
      <c r="F2770" s="47"/>
      <c r="G2770" s="10"/>
      <c r="H2770" s="20"/>
      <c r="I2770" s="20"/>
      <c r="J2770" s="10"/>
      <c r="K2770" s="10"/>
      <c r="L2770" s="10"/>
      <c r="M2770" s="10"/>
      <c r="N2770" s="10"/>
      <c r="O2770" s="21"/>
    </row>
    <row r="2771" spans="1:15" x14ac:dyDescent="0.35">
      <c r="A2771" s="15">
        <f t="shared" si="43"/>
        <v>2769</v>
      </c>
      <c r="B2771" s="16"/>
      <c r="C2771" s="19"/>
      <c r="D2771" s="10"/>
      <c r="E2771" s="10"/>
      <c r="F2771" s="47"/>
      <c r="G2771" s="10"/>
      <c r="H2771" s="20"/>
      <c r="I2771" s="20"/>
      <c r="J2771" s="10"/>
      <c r="K2771" s="10"/>
      <c r="L2771" s="10"/>
      <c r="M2771" s="10"/>
      <c r="N2771" s="10"/>
      <c r="O2771" s="21"/>
    </row>
    <row r="2772" spans="1:15" x14ac:dyDescent="0.35">
      <c r="A2772" s="15">
        <f t="shared" si="43"/>
        <v>2770</v>
      </c>
      <c r="B2772" s="16"/>
      <c r="C2772" s="19"/>
      <c r="D2772" s="10"/>
      <c r="E2772" s="10"/>
      <c r="F2772" s="47"/>
      <c r="G2772" s="10"/>
      <c r="H2772" s="20"/>
      <c r="I2772" s="20"/>
      <c r="J2772" s="10"/>
      <c r="K2772" s="10"/>
      <c r="L2772" s="10"/>
      <c r="M2772" s="10"/>
      <c r="N2772" s="10"/>
      <c r="O2772" s="21"/>
    </row>
    <row r="2773" spans="1:15" x14ac:dyDescent="0.35">
      <c r="A2773" s="15">
        <f t="shared" si="43"/>
        <v>2771</v>
      </c>
      <c r="B2773" s="16"/>
      <c r="C2773" s="19"/>
      <c r="D2773" s="10"/>
      <c r="E2773" s="10"/>
      <c r="F2773" s="47"/>
      <c r="G2773" s="10"/>
      <c r="H2773" s="20"/>
      <c r="I2773" s="20"/>
      <c r="J2773" s="10"/>
      <c r="K2773" s="10"/>
      <c r="L2773" s="10"/>
      <c r="M2773" s="10"/>
      <c r="N2773" s="10"/>
      <c r="O2773" s="21"/>
    </row>
    <row r="2774" spans="1:15" x14ac:dyDescent="0.35">
      <c r="A2774" s="15">
        <f t="shared" si="43"/>
        <v>2772</v>
      </c>
      <c r="B2774" s="16"/>
      <c r="C2774" s="19"/>
      <c r="D2774" s="10"/>
      <c r="E2774" s="10"/>
      <c r="F2774" s="47"/>
      <c r="G2774" s="10"/>
      <c r="H2774" s="20"/>
      <c r="I2774" s="20"/>
      <c r="J2774" s="10"/>
      <c r="K2774" s="10"/>
      <c r="L2774" s="10"/>
      <c r="M2774" s="10"/>
      <c r="N2774" s="10"/>
      <c r="O2774" s="21"/>
    </row>
    <row r="2775" spans="1:15" x14ac:dyDescent="0.35">
      <c r="A2775" s="15">
        <f t="shared" si="43"/>
        <v>2773</v>
      </c>
      <c r="B2775" s="16"/>
      <c r="C2775" s="19"/>
      <c r="D2775" s="10"/>
      <c r="E2775" s="10"/>
      <c r="F2775" s="47"/>
      <c r="G2775" s="10"/>
      <c r="H2775" s="20"/>
      <c r="I2775" s="20"/>
      <c r="J2775" s="10"/>
      <c r="K2775" s="10"/>
      <c r="L2775" s="10"/>
      <c r="M2775" s="10"/>
      <c r="N2775" s="10"/>
      <c r="O2775" s="21"/>
    </row>
    <row r="2776" spans="1:15" x14ac:dyDescent="0.35">
      <c r="A2776" s="15">
        <f t="shared" si="43"/>
        <v>2774</v>
      </c>
      <c r="B2776" s="16"/>
      <c r="C2776" s="19"/>
      <c r="D2776" s="10"/>
      <c r="E2776" s="10"/>
      <c r="F2776" s="47"/>
      <c r="G2776" s="10"/>
      <c r="H2776" s="20"/>
      <c r="I2776" s="20"/>
      <c r="J2776" s="10"/>
      <c r="K2776" s="10"/>
      <c r="L2776" s="10"/>
      <c r="M2776" s="10"/>
      <c r="N2776" s="10"/>
      <c r="O2776" s="21"/>
    </row>
    <row r="2777" spans="1:15" x14ac:dyDescent="0.35">
      <c r="A2777" s="15">
        <f t="shared" si="43"/>
        <v>2775</v>
      </c>
      <c r="B2777" s="16"/>
      <c r="C2777" s="19"/>
      <c r="D2777" s="10"/>
      <c r="E2777" s="10"/>
      <c r="F2777" s="47"/>
      <c r="G2777" s="10"/>
      <c r="H2777" s="20"/>
      <c r="I2777" s="20"/>
      <c r="J2777" s="10"/>
      <c r="K2777" s="10"/>
      <c r="L2777" s="10"/>
      <c r="M2777" s="10"/>
      <c r="N2777" s="10"/>
      <c r="O2777" s="21"/>
    </row>
    <row r="2778" spans="1:15" x14ac:dyDescent="0.35">
      <c r="A2778" s="15">
        <f t="shared" si="43"/>
        <v>2776</v>
      </c>
      <c r="B2778" s="16"/>
      <c r="C2778" s="19"/>
      <c r="D2778" s="10"/>
      <c r="E2778" s="10"/>
      <c r="F2778" s="47"/>
      <c r="G2778" s="10"/>
      <c r="H2778" s="20"/>
      <c r="I2778" s="20"/>
      <c r="J2778" s="10"/>
      <c r="K2778" s="10"/>
      <c r="L2778" s="10"/>
      <c r="M2778" s="10"/>
      <c r="N2778" s="10"/>
      <c r="O2778" s="21"/>
    </row>
    <row r="2779" spans="1:15" x14ac:dyDescent="0.35">
      <c r="A2779" s="15">
        <f t="shared" si="43"/>
        <v>2777</v>
      </c>
      <c r="B2779" s="16"/>
      <c r="C2779" s="19"/>
      <c r="D2779" s="10"/>
      <c r="E2779" s="10"/>
      <c r="F2779" s="47"/>
      <c r="G2779" s="10"/>
      <c r="H2779" s="20"/>
      <c r="I2779" s="20"/>
      <c r="J2779" s="10"/>
      <c r="K2779" s="10"/>
      <c r="L2779" s="10"/>
      <c r="M2779" s="10"/>
      <c r="N2779" s="10"/>
      <c r="O2779" s="21"/>
    </row>
    <row r="2780" spans="1:15" x14ac:dyDescent="0.35">
      <c r="A2780" s="15">
        <f t="shared" si="43"/>
        <v>2778</v>
      </c>
      <c r="B2780" s="16"/>
      <c r="C2780" s="19"/>
      <c r="D2780" s="10"/>
      <c r="E2780" s="10"/>
      <c r="F2780" s="47"/>
      <c r="G2780" s="10"/>
      <c r="H2780" s="20"/>
      <c r="I2780" s="20"/>
      <c r="J2780" s="10"/>
      <c r="K2780" s="10"/>
      <c r="L2780" s="10"/>
      <c r="M2780" s="10"/>
      <c r="N2780" s="10"/>
      <c r="O2780" s="21"/>
    </row>
    <row r="2781" spans="1:15" x14ac:dyDescent="0.35">
      <c r="A2781" s="15">
        <f t="shared" si="43"/>
        <v>2779</v>
      </c>
      <c r="B2781" s="16"/>
      <c r="C2781" s="19"/>
      <c r="D2781" s="10"/>
      <c r="E2781" s="10"/>
      <c r="F2781" s="47"/>
      <c r="G2781" s="10"/>
      <c r="H2781" s="20"/>
      <c r="I2781" s="20"/>
      <c r="J2781" s="10"/>
      <c r="K2781" s="10"/>
      <c r="L2781" s="10"/>
      <c r="M2781" s="10"/>
      <c r="N2781" s="10"/>
      <c r="O2781" s="21"/>
    </row>
    <row r="2782" spans="1:15" x14ac:dyDescent="0.35">
      <c r="A2782" s="15">
        <f t="shared" si="43"/>
        <v>2780</v>
      </c>
      <c r="B2782" s="16"/>
      <c r="C2782" s="19"/>
      <c r="D2782" s="10"/>
      <c r="E2782" s="10"/>
      <c r="F2782" s="47"/>
      <c r="G2782" s="10"/>
      <c r="H2782" s="20"/>
      <c r="I2782" s="20"/>
      <c r="J2782" s="10"/>
      <c r="K2782" s="10"/>
      <c r="L2782" s="10"/>
      <c r="M2782" s="10"/>
      <c r="N2782" s="10"/>
      <c r="O2782" s="21"/>
    </row>
    <row r="2783" spans="1:15" x14ac:dyDescent="0.35">
      <c r="A2783" s="15">
        <f t="shared" si="43"/>
        <v>2781</v>
      </c>
      <c r="B2783" s="16"/>
      <c r="C2783" s="19"/>
      <c r="D2783" s="10"/>
      <c r="E2783" s="10"/>
      <c r="F2783" s="47"/>
      <c r="G2783" s="10"/>
      <c r="H2783" s="20"/>
      <c r="I2783" s="20"/>
      <c r="J2783" s="10"/>
      <c r="K2783" s="10"/>
      <c r="L2783" s="10"/>
      <c r="M2783" s="10"/>
      <c r="N2783" s="10"/>
      <c r="O2783" s="21"/>
    </row>
    <row r="2784" spans="1:15" x14ac:dyDescent="0.35">
      <c r="A2784" s="15">
        <f t="shared" si="43"/>
        <v>2782</v>
      </c>
      <c r="B2784" s="16"/>
      <c r="C2784" s="19"/>
      <c r="D2784" s="10"/>
      <c r="E2784" s="10"/>
      <c r="F2784" s="47"/>
      <c r="G2784" s="10"/>
      <c r="H2784" s="20"/>
      <c r="I2784" s="20"/>
      <c r="J2784" s="10"/>
      <c r="K2784" s="10"/>
      <c r="L2784" s="10"/>
      <c r="M2784" s="10"/>
      <c r="N2784" s="10"/>
      <c r="O2784" s="21"/>
    </row>
    <row r="2785" spans="1:15" x14ac:dyDescent="0.35">
      <c r="A2785" s="15">
        <f t="shared" si="43"/>
        <v>2783</v>
      </c>
      <c r="B2785" s="16"/>
      <c r="C2785" s="19"/>
      <c r="D2785" s="10"/>
      <c r="E2785" s="10"/>
      <c r="F2785" s="47"/>
      <c r="G2785" s="10"/>
      <c r="H2785" s="20"/>
      <c r="I2785" s="20"/>
      <c r="J2785" s="10"/>
      <c r="K2785" s="10"/>
      <c r="L2785" s="10"/>
      <c r="M2785" s="10"/>
      <c r="N2785" s="10"/>
      <c r="O2785" s="21"/>
    </row>
    <row r="2786" spans="1:15" x14ac:dyDescent="0.35">
      <c r="A2786" s="15">
        <f t="shared" si="43"/>
        <v>2784</v>
      </c>
      <c r="B2786" s="16"/>
      <c r="C2786" s="19"/>
      <c r="D2786" s="10"/>
      <c r="E2786" s="10"/>
      <c r="F2786" s="47"/>
      <c r="G2786" s="10"/>
      <c r="H2786" s="20"/>
      <c r="I2786" s="20"/>
      <c r="J2786" s="10"/>
      <c r="K2786" s="10"/>
      <c r="L2786" s="10"/>
      <c r="M2786" s="10"/>
      <c r="N2786" s="10"/>
      <c r="O2786" s="21"/>
    </row>
    <row r="2787" spans="1:15" x14ac:dyDescent="0.35">
      <c r="A2787" s="15">
        <f t="shared" si="43"/>
        <v>2785</v>
      </c>
      <c r="B2787" s="16"/>
      <c r="C2787" s="19"/>
      <c r="D2787" s="10"/>
      <c r="E2787" s="10"/>
      <c r="F2787" s="47"/>
      <c r="G2787" s="10"/>
      <c r="H2787" s="20"/>
      <c r="I2787" s="20"/>
      <c r="J2787" s="10"/>
      <c r="K2787" s="10"/>
      <c r="L2787" s="10"/>
      <c r="M2787" s="10"/>
      <c r="N2787" s="10"/>
      <c r="O2787" s="21"/>
    </row>
    <row r="2788" spans="1:15" x14ac:dyDescent="0.35">
      <c r="A2788" s="15">
        <f t="shared" si="43"/>
        <v>2786</v>
      </c>
      <c r="B2788" s="16"/>
      <c r="C2788" s="19"/>
      <c r="D2788" s="10"/>
      <c r="E2788" s="10"/>
      <c r="F2788" s="47"/>
      <c r="G2788" s="10"/>
      <c r="H2788" s="20"/>
      <c r="I2788" s="20"/>
      <c r="J2788" s="10"/>
      <c r="K2788" s="10"/>
      <c r="L2788" s="10"/>
      <c r="M2788" s="10"/>
      <c r="N2788" s="10"/>
      <c r="O2788" s="21"/>
    </row>
    <row r="2789" spans="1:15" x14ac:dyDescent="0.35">
      <c r="A2789" s="15">
        <f t="shared" si="43"/>
        <v>2787</v>
      </c>
      <c r="B2789" s="16"/>
      <c r="C2789" s="19"/>
      <c r="D2789" s="10"/>
      <c r="E2789" s="10"/>
      <c r="F2789" s="47"/>
      <c r="G2789" s="10"/>
      <c r="H2789" s="20"/>
      <c r="I2789" s="20"/>
      <c r="J2789" s="10"/>
      <c r="K2789" s="10"/>
      <c r="L2789" s="10"/>
      <c r="M2789" s="10"/>
      <c r="N2789" s="10"/>
      <c r="O2789" s="21"/>
    </row>
    <row r="2790" spans="1:15" x14ac:dyDescent="0.35">
      <c r="A2790" s="15">
        <f t="shared" si="43"/>
        <v>2788</v>
      </c>
      <c r="B2790" s="16"/>
      <c r="C2790" s="19"/>
      <c r="D2790" s="10"/>
      <c r="E2790" s="10"/>
      <c r="F2790" s="47"/>
      <c r="G2790" s="10"/>
      <c r="H2790" s="20"/>
      <c r="I2790" s="20"/>
      <c r="J2790" s="10"/>
      <c r="K2790" s="10"/>
      <c r="L2790" s="10"/>
      <c r="M2790" s="10"/>
      <c r="N2790" s="10"/>
      <c r="O2790" s="21"/>
    </row>
    <row r="2791" spans="1:15" x14ac:dyDescent="0.35">
      <c r="A2791" s="15">
        <f t="shared" si="43"/>
        <v>2789</v>
      </c>
      <c r="B2791" s="16"/>
      <c r="C2791" s="19"/>
      <c r="D2791" s="10"/>
      <c r="E2791" s="10"/>
      <c r="F2791" s="47"/>
      <c r="G2791" s="10"/>
      <c r="H2791" s="20"/>
      <c r="I2791" s="20"/>
      <c r="J2791" s="10"/>
      <c r="K2791" s="10"/>
      <c r="L2791" s="10"/>
      <c r="M2791" s="10"/>
      <c r="N2791" s="10"/>
      <c r="O2791" s="21"/>
    </row>
    <row r="2792" spans="1:15" x14ac:dyDescent="0.35">
      <c r="A2792" s="15">
        <f t="shared" si="43"/>
        <v>2790</v>
      </c>
      <c r="B2792" s="16"/>
      <c r="C2792" s="19"/>
      <c r="D2792" s="10"/>
      <c r="E2792" s="10"/>
      <c r="F2792" s="47"/>
      <c r="G2792" s="10"/>
      <c r="H2792" s="20"/>
      <c r="I2792" s="20"/>
      <c r="J2792" s="10"/>
      <c r="K2792" s="10"/>
      <c r="L2792" s="10"/>
      <c r="M2792" s="10"/>
      <c r="N2792" s="10"/>
      <c r="O2792" s="21"/>
    </row>
    <row r="2793" spans="1:15" x14ac:dyDescent="0.35">
      <c r="A2793" s="15">
        <f t="shared" si="43"/>
        <v>2791</v>
      </c>
      <c r="B2793" s="16"/>
      <c r="C2793" s="19"/>
      <c r="D2793" s="10"/>
      <c r="E2793" s="10"/>
      <c r="F2793" s="47"/>
      <c r="G2793" s="10"/>
      <c r="H2793" s="20"/>
      <c r="I2793" s="20"/>
      <c r="J2793" s="10"/>
      <c r="K2793" s="10"/>
      <c r="L2793" s="10"/>
      <c r="M2793" s="10"/>
      <c r="N2793" s="10"/>
      <c r="O2793" s="21"/>
    </row>
    <row r="2794" spans="1:15" x14ac:dyDescent="0.35">
      <c r="A2794" s="15">
        <f t="shared" si="43"/>
        <v>2792</v>
      </c>
      <c r="B2794" s="16"/>
      <c r="C2794" s="19"/>
      <c r="D2794" s="10"/>
      <c r="E2794" s="10"/>
      <c r="F2794" s="47"/>
      <c r="G2794" s="10"/>
      <c r="H2794" s="20"/>
      <c r="I2794" s="20"/>
      <c r="J2794" s="10"/>
      <c r="K2794" s="10"/>
      <c r="L2794" s="10"/>
      <c r="M2794" s="10"/>
      <c r="N2794" s="10"/>
      <c r="O2794" s="21"/>
    </row>
    <row r="2795" spans="1:15" x14ac:dyDescent="0.35">
      <c r="A2795" s="15">
        <f t="shared" si="43"/>
        <v>2793</v>
      </c>
      <c r="B2795" s="16"/>
      <c r="C2795" s="19"/>
      <c r="D2795" s="10"/>
      <c r="E2795" s="10"/>
      <c r="F2795" s="47"/>
      <c r="G2795" s="10"/>
      <c r="H2795" s="20"/>
      <c r="I2795" s="20"/>
      <c r="J2795" s="10"/>
      <c r="K2795" s="10"/>
      <c r="L2795" s="10"/>
      <c r="M2795" s="10"/>
      <c r="N2795" s="10"/>
      <c r="O2795" s="21"/>
    </row>
    <row r="2796" spans="1:15" x14ac:dyDescent="0.35">
      <c r="A2796" s="15">
        <f t="shared" si="43"/>
        <v>2794</v>
      </c>
      <c r="B2796" s="16"/>
      <c r="C2796" s="19"/>
      <c r="D2796" s="10"/>
      <c r="E2796" s="10"/>
      <c r="F2796" s="47"/>
      <c r="G2796" s="10"/>
      <c r="H2796" s="20"/>
      <c r="I2796" s="20"/>
      <c r="J2796" s="10"/>
      <c r="K2796" s="10"/>
      <c r="L2796" s="10"/>
      <c r="M2796" s="10"/>
      <c r="N2796" s="10"/>
      <c r="O2796" s="21"/>
    </row>
    <row r="2797" spans="1:15" x14ac:dyDescent="0.35">
      <c r="A2797" s="15">
        <f t="shared" si="43"/>
        <v>2795</v>
      </c>
      <c r="B2797" s="16"/>
      <c r="C2797" s="19"/>
      <c r="D2797" s="10"/>
      <c r="E2797" s="10"/>
      <c r="F2797" s="47"/>
      <c r="G2797" s="10"/>
      <c r="H2797" s="20"/>
      <c r="I2797" s="20"/>
      <c r="J2797" s="10"/>
      <c r="K2797" s="10"/>
      <c r="L2797" s="10"/>
      <c r="M2797" s="10"/>
      <c r="N2797" s="10"/>
      <c r="O2797" s="21"/>
    </row>
    <row r="2798" spans="1:15" x14ac:dyDescent="0.35">
      <c r="A2798" s="15">
        <f t="shared" si="43"/>
        <v>2796</v>
      </c>
      <c r="B2798" s="16"/>
      <c r="C2798" s="19"/>
      <c r="D2798" s="10"/>
      <c r="E2798" s="10"/>
      <c r="F2798" s="47"/>
      <c r="G2798" s="10"/>
      <c r="H2798" s="20"/>
      <c r="I2798" s="20"/>
      <c r="J2798" s="10"/>
      <c r="K2798" s="10"/>
      <c r="L2798" s="10"/>
      <c r="M2798" s="10"/>
      <c r="N2798" s="10"/>
      <c r="O2798" s="21"/>
    </row>
    <row r="2799" spans="1:15" x14ac:dyDescent="0.35">
      <c r="A2799" s="15">
        <f t="shared" si="43"/>
        <v>2797</v>
      </c>
      <c r="B2799" s="16"/>
      <c r="C2799" s="19"/>
      <c r="D2799" s="10"/>
      <c r="E2799" s="10"/>
      <c r="F2799" s="47"/>
      <c r="G2799" s="10"/>
      <c r="H2799" s="20"/>
      <c r="I2799" s="20"/>
      <c r="J2799" s="10"/>
      <c r="K2799" s="10"/>
      <c r="L2799" s="10"/>
      <c r="M2799" s="10"/>
      <c r="N2799" s="10"/>
      <c r="O2799" s="21"/>
    </row>
    <row r="2800" spans="1:15" x14ac:dyDescent="0.35">
      <c r="A2800" s="15">
        <f t="shared" si="43"/>
        <v>2798</v>
      </c>
      <c r="B2800" s="16"/>
      <c r="C2800" s="19"/>
      <c r="D2800" s="10"/>
      <c r="E2800" s="10"/>
      <c r="F2800" s="47"/>
      <c r="G2800" s="10"/>
      <c r="H2800" s="20"/>
      <c r="I2800" s="20"/>
      <c r="J2800" s="10"/>
      <c r="K2800" s="10"/>
      <c r="L2800" s="10"/>
      <c r="M2800" s="10"/>
      <c r="N2800" s="10"/>
      <c r="O2800" s="21"/>
    </row>
    <row r="2801" spans="1:15" x14ac:dyDescent="0.35">
      <c r="A2801" s="15">
        <f t="shared" si="43"/>
        <v>2799</v>
      </c>
      <c r="B2801" s="16"/>
      <c r="C2801" s="19"/>
      <c r="D2801" s="10"/>
      <c r="E2801" s="10"/>
      <c r="F2801" s="47"/>
      <c r="G2801" s="10"/>
      <c r="H2801" s="20"/>
      <c r="I2801" s="20"/>
      <c r="J2801" s="10"/>
      <c r="K2801" s="10"/>
      <c r="L2801" s="10"/>
      <c r="M2801" s="10"/>
      <c r="N2801" s="10"/>
      <c r="O2801" s="21"/>
    </row>
    <row r="2802" spans="1:15" x14ac:dyDescent="0.35">
      <c r="A2802" s="15">
        <f t="shared" si="43"/>
        <v>2800</v>
      </c>
      <c r="B2802" s="16"/>
      <c r="C2802" s="19"/>
      <c r="D2802" s="10"/>
      <c r="E2802" s="10"/>
      <c r="F2802" s="47"/>
      <c r="G2802" s="10"/>
      <c r="H2802" s="20"/>
      <c r="I2802" s="20"/>
      <c r="J2802" s="10"/>
      <c r="K2802" s="10"/>
      <c r="L2802" s="10"/>
      <c r="M2802" s="10"/>
      <c r="N2802" s="10"/>
      <c r="O2802" s="21"/>
    </row>
    <row r="2803" spans="1:15" x14ac:dyDescent="0.35">
      <c r="A2803" s="15">
        <f t="shared" si="43"/>
        <v>2801</v>
      </c>
      <c r="B2803" s="16"/>
      <c r="C2803" s="19"/>
      <c r="D2803" s="10"/>
      <c r="E2803" s="10"/>
      <c r="F2803" s="47"/>
      <c r="G2803" s="10"/>
      <c r="H2803" s="20"/>
      <c r="I2803" s="20"/>
      <c r="J2803" s="10"/>
      <c r="K2803" s="10"/>
      <c r="L2803" s="10"/>
      <c r="M2803" s="10"/>
      <c r="N2803" s="10"/>
      <c r="O2803" s="21"/>
    </row>
    <row r="2804" spans="1:15" x14ac:dyDescent="0.35">
      <c r="A2804" s="15">
        <f t="shared" si="43"/>
        <v>2802</v>
      </c>
      <c r="B2804" s="16"/>
      <c r="C2804" s="19"/>
      <c r="D2804" s="10"/>
      <c r="E2804" s="10"/>
      <c r="F2804" s="47"/>
      <c r="G2804" s="10"/>
      <c r="H2804" s="20"/>
      <c r="I2804" s="20"/>
      <c r="J2804" s="10"/>
      <c r="K2804" s="10"/>
      <c r="L2804" s="10"/>
      <c r="M2804" s="10"/>
      <c r="N2804" s="10"/>
      <c r="O2804" s="21"/>
    </row>
    <row r="2805" spans="1:15" x14ac:dyDescent="0.35">
      <c r="A2805" s="15">
        <f t="shared" si="43"/>
        <v>2803</v>
      </c>
      <c r="B2805" s="16"/>
      <c r="C2805" s="19"/>
      <c r="D2805" s="10"/>
      <c r="E2805" s="10"/>
      <c r="F2805" s="47"/>
      <c r="G2805" s="10"/>
      <c r="H2805" s="20"/>
      <c r="I2805" s="20"/>
      <c r="J2805" s="10"/>
      <c r="K2805" s="10"/>
      <c r="L2805" s="10"/>
      <c r="M2805" s="10"/>
      <c r="N2805" s="10"/>
      <c r="O2805" s="21"/>
    </row>
    <row r="2806" spans="1:15" x14ac:dyDescent="0.35">
      <c r="A2806" s="15">
        <f t="shared" si="43"/>
        <v>2804</v>
      </c>
      <c r="B2806" s="16"/>
      <c r="C2806" s="19"/>
      <c r="D2806" s="10"/>
      <c r="E2806" s="10"/>
      <c r="F2806" s="47"/>
      <c r="G2806" s="10"/>
      <c r="H2806" s="20"/>
      <c r="I2806" s="20"/>
      <c r="J2806" s="10"/>
      <c r="K2806" s="10"/>
      <c r="L2806" s="10"/>
      <c r="M2806" s="10"/>
      <c r="N2806" s="10"/>
      <c r="O2806" s="21"/>
    </row>
    <row r="2807" spans="1:15" x14ac:dyDescent="0.35">
      <c r="A2807" s="15">
        <f t="shared" si="43"/>
        <v>2805</v>
      </c>
      <c r="B2807" s="16"/>
      <c r="C2807" s="19"/>
      <c r="D2807" s="10"/>
      <c r="E2807" s="10"/>
      <c r="F2807" s="47"/>
      <c r="G2807" s="10"/>
      <c r="H2807" s="20"/>
      <c r="I2807" s="20"/>
      <c r="J2807" s="10"/>
      <c r="K2807" s="10"/>
      <c r="L2807" s="10"/>
      <c r="M2807" s="10"/>
      <c r="N2807" s="10"/>
      <c r="O2807" s="21"/>
    </row>
    <row r="2808" spans="1:15" x14ac:dyDescent="0.35">
      <c r="A2808" s="15">
        <f t="shared" si="43"/>
        <v>2806</v>
      </c>
      <c r="B2808" s="16"/>
      <c r="C2808" s="19"/>
      <c r="D2808" s="10"/>
      <c r="E2808" s="10"/>
      <c r="F2808" s="47"/>
      <c r="G2808" s="10"/>
      <c r="H2808" s="20"/>
      <c r="I2808" s="20"/>
      <c r="J2808" s="10"/>
      <c r="K2808" s="10"/>
      <c r="L2808" s="10"/>
      <c r="M2808" s="10"/>
      <c r="N2808" s="10"/>
      <c r="O2808" s="21"/>
    </row>
    <row r="2809" spans="1:15" x14ac:dyDescent="0.35">
      <c r="A2809" s="15">
        <f t="shared" si="43"/>
        <v>2807</v>
      </c>
      <c r="B2809" s="16"/>
      <c r="C2809" s="19"/>
      <c r="D2809" s="10"/>
      <c r="E2809" s="10"/>
      <c r="F2809" s="47"/>
      <c r="G2809" s="10"/>
      <c r="H2809" s="20"/>
      <c r="I2809" s="20"/>
      <c r="J2809" s="10"/>
      <c r="K2809" s="10"/>
      <c r="L2809" s="10"/>
      <c r="M2809" s="10"/>
      <c r="N2809" s="10"/>
      <c r="O2809" s="21"/>
    </row>
    <row r="2810" spans="1:15" x14ac:dyDescent="0.35">
      <c r="A2810" s="15">
        <f t="shared" si="43"/>
        <v>2808</v>
      </c>
      <c r="B2810" s="16"/>
      <c r="C2810" s="19"/>
      <c r="D2810" s="10"/>
      <c r="E2810" s="10"/>
      <c r="F2810" s="47"/>
      <c r="G2810" s="10"/>
      <c r="H2810" s="20"/>
      <c r="I2810" s="20"/>
      <c r="J2810" s="10"/>
      <c r="K2810" s="10"/>
      <c r="L2810" s="10"/>
      <c r="M2810" s="10"/>
      <c r="N2810" s="10"/>
      <c r="O2810" s="21"/>
    </row>
    <row r="2811" spans="1:15" x14ac:dyDescent="0.35">
      <c r="A2811" s="15">
        <f t="shared" si="43"/>
        <v>2809</v>
      </c>
      <c r="B2811" s="16"/>
      <c r="C2811" s="19"/>
      <c r="D2811" s="10"/>
      <c r="E2811" s="10"/>
      <c r="F2811" s="47"/>
      <c r="G2811" s="10"/>
      <c r="H2811" s="20"/>
      <c r="I2811" s="20"/>
      <c r="J2811" s="10"/>
      <c r="K2811" s="10"/>
      <c r="L2811" s="10"/>
      <c r="M2811" s="10"/>
      <c r="N2811" s="10"/>
      <c r="O2811" s="21"/>
    </row>
    <row r="2812" spans="1:15" x14ac:dyDescent="0.35">
      <c r="A2812" s="15">
        <f t="shared" si="43"/>
        <v>2810</v>
      </c>
      <c r="B2812" s="16"/>
      <c r="C2812" s="19"/>
      <c r="D2812" s="10"/>
      <c r="E2812" s="10"/>
      <c r="F2812" s="47"/>
      <c r="G2812" s="10"/>
      <c r="H2812" s="20"/>
      <c r="I2812" s="20"/>
      <c r="J2812" s="10"/>
      <c r="K2812" s="10"/>
      <c r="L2812" s="10"/>
      <c r="M2812" s="10"/>
      <c r="N2812" s="10"/>
      <c r="O2812" s="21"/>
    </row>
    <row r="2813" spans="1:15" x14ac:dyDescent="0.35">
      <c r="A2813" s="15">
        <f t="shared" si="43"/>
        <v>2811</v>
      </c>
      <c r="B2813" s="16"/>
      <c r="C2813" s="19"/>
      <c r="D2813" s="10"/>
      <c r="E2813" s="10"/>
      <c r="F2813" s="47"/>
      <c r="G2813" s="10"/>
      <c r="H2813" s="20"/>
      <c r="I2813" s="20"/>
      <c r="J2813" s="10"/>
      <c r="K2813" s="10"/>
      <c r="L2813" s="10"/>
      <c r="M2813" s="10"/>
      <c r="N2813" s="10"/>
      <c r="O2813" s="21"/>
    </row>
    <row r="2814" spans="1:15" x14ac:dyDescent="0.35">
      <c r="A2814" s="15">
        <f t="shared" si="43"/>
        <v>2812</v>
      </c>
      <c r="B2814" s="16"/>
      <c r="C2814" s="19"/>
      <c r="D2814" s="10"/>
      <c r="E2814" s="10"/>
      <c r="F2814" s="47"/>
      <c r="G2814" s="10"/>
      <c r="H2814" s="20"/>
      <c r="I2814" s="20"/>
      <c r="J2814" s="10"/>
      <c r="K2814" s="10"/>
      <c r="L2814" s="10"/>
      <c r="M2814" s="10"/>
      <c r="N2814" s="10"/>
      <c r="O2814" s="21"/>
    </row>
    <row r="2815" spans="1:15" x14ac:dyDescent="0.35">
      <c r="A2815" s="15">
        <f t="shared" si="43"/>
        <v>2813</v>
      </c>
      <c r="B2815" s="16"/>
      <c r="C2815" s="19"/>
      <c r="D2815" s="10"/>
      <c r="E2815" s="10"/>
      <c r="F2815" s="47"/>
      <c r="G2815" s="10"/>
      <c r="H2815" s="20"/>
      <c r="I2815" s="20"/>
      <c r="J2815" s="10"/>
      <c r="K2815" s="10"/>
      <c r="L2815" s="10"/>
      <c r="M2815" s="10"/>
      <c r="N2815" s="10"/>
      <c r="O2815" s="21"/>
    </row>
    <row r="2816" spans="1:15" x14ac:dyDescent="0.35">
      <c r="A2816" s="15">
        <f t="shared" si="43"/>
        <v>2814</v>
      </c>
      <c r="B2816" s="16"/>
      <c r="C2816" s="19"/>
      <c r="D2816" s="10"/>
      <c r="E2816" s="10"/>
      <c r="F2816" s="47"/>
      <c r="G2816" s="10"/>
      <c r="H2816" s="20"/>
      <c r="I2816" s="20"/>
      <c r="J2816" s="10"/>
      <c r="K2816" s="10"/>
      <c r="L2816" s="10"/>
      <c r="M2816" s="10"/>
      <c r="N2816" s="10"/>
      <c r="O2816" s="21"/>
    </row>
    <row r="2817" spans="1:15" x14ac:dyDescent="0.35">
      <c r="A2817" s="15">
        <f t="shared" si="43"/>
        <v>2815</v>
      </c>
      <c r="B2817" s="16"/>
      <c r="C2817" s="19"/>
      <c r="D2817" s="10"/>
      <c r="E2817" s="10"/>
      <c r="F2817" s="47"/>
      <c r="G2817" s="10"/>
      <c r="H2817" s="20"/>
      <c r="I2817" s="20"/>
      <c r="J2817" s="10"/>
      <c r="K2817" s="10"/>
      <c r="L2817" s="10"/>
      <c r="M2817" s="10"/>
      <c r="N2817" s="10"/>
      <c r="O2817" s="21"/>
    </row>
    <row r="2818" spans="1:15" x14ac:dyDescent="0.35">
      <c r="A2818" s="15">
        <f t="shared" si="43"/>
        <v>2816</v>
      </c>
      <c r="B2818" s="16"/>
      <c r="C2818" s="19"/>
      <c r="D2818" s="10"/>
      <c r="E2818" s="10"/>
      <c r="F2818" s="47"/>
      <c r="G2818" s="10"/>
      <c r="H2818" s="20"/>
      <c r="I2818" s="20"/>
      <c r="J2818" s="10"/>
      <c r="K2818" s="10"/>
      <c r="L2818" s="10"/>
      <c r="M2818" s="10"/>
      <c r="N2818" s="10"/>
      <c r="O2818" s="21"/>
    </row>
    <row r="2819" spans="1:15" x14ac:dyDescent="0.35">
      <c r="A2819" s="15">
        <f t="shared" si="43"/>
        <v>2817</v>
      </c>
      <c r="B2819" s="16"/>
      <c r="C2819" s="19"/>
      <c r="D2819" s="10"/>
      <c r="E2819" s="10"/>
      <c r="F2819" s="47"/>
      <c r="G2819" s="10"/>
      <c r="H2819" s="20"/>
      <c r="I2819" s="20"/>
      <c r="J2819" s="10"/>
      <c r="K2819" s="10"/>
      <c r="L2819" s="10"/>
      <c r="M2819" s="10"/>
      <c r="N2819" s="10"/>
      <c r="O2819" s="21"/>
    </row>
    <row r="2820" spans="1:15" x14ac:dyDescent="0.35">
      <c r="A2820" s="15">
        <f t="shared" si="43"/>
        <v>2818</v>
      </c>
      <c r="B2820" s="16"/>
      <c r="C2820" s="19"/>
      <c r="D2820" s="10"/>
      <c r="E2820" s="10"/>
      <c r="F2820" s="47"/>
      <c r="G2820" s="10"/>
      <c r="H2820" s="20"/>
      <c r="I2820" s="20"/>
      <c r="J2820" s="10"/>
      <c r="K2820" s="10"/>
      <c r="L2820" s="10"/>
      <c r="M2820" s="10"/>
      <c r="N2820" s="10"/>
      <c r="O2820" s="21"/>
    </row>
    <row r="2821" spans="1:15" x14ac:dyDescent="0.35">
      <c r="A2821" s="15">
        <f t="shared" si="43"/>
        <v>2819</v>
      </c>
      <c r="B2821" s="16"/>
      <c r="C2821" s="19"/>
      <c r="D2821" s="10"/>
      <c r="E2821" s="10"/>
      <c r="F2821" s="47"/>
      <c r="G2821" s="10"/>
      <c r="H2821" s="20"/>
      <c r="I2821" s="20"/>
      <c r="J2821" s="10"/>
      <c r="K2821" s="10"/>
      <c r="L2821" s="10"/>
      <c r="M2821" s="10"/>
      <c r="N2821" s="10"/>
      <c r="O2821" s="21"/>
    </row>
    <row r="2822" spans="1:15" x14ac:dyDescent="0.35">
      <c r="A2822" s="15">
        <f t="shared" si="43"/>
        <v>2820</v>
      </c>
      <c r="B2822" s="16"/>
      <c r="C2822" s="19"/>
      <c r="D2822" s="10"/>
      <c r="E2822" s="10"/>
      <c r="F2822" s="47"/>
      <c r="G2822" s="10"/>
      <c r="H2822" s="20"/>
      <c r="I2822" s="20"/>
      <c r="J2822" s="10"/>
      <c r="K2822" s="10"/>
      <c r="L2822" s="10"/>
      <c r="M2822" s="10"/>
      <c r="N2822" s="10"/>
      <c r="O2822" s="21"/>
    </row>
    <row r="2823" spans="1:15" x14ac:dyDescent="0.35">
      <c r="A2823" s="15">
        <f t="shared" si="43"/>
        <v>2821</v>
      </c>
      <c r="B2823" s="16"/>
      <c r="C2823" s="19"/>
      <c r="D2823" s="10"/>
      <c r="E2823" s="10"/>
      <c r="F2823" s="47"/>
      <c r="G2823" s="10"/>
      <c r="H2823" s="20"/>
      <c r="I2823" s="20"/>
      <c r="J2823" s="10"/>
      <c r="K2823" s="10"/>
      <c r="L2823" s="10"/>
      <c r="M2823" s="10"/>
      <c r="N2823" s="10"/>
      <c r="O2823" s="21"/>
    </row>
    <row r="2824" spans="1:15" x14ac:dyDescent="0.35">
      <c r="A2824" s="15">
        <f t="shared" si="43"/>
        <v>2822</v>
      </c>
      <c r="B2824" s="16"/>
      <c r="C2824" s="19"/>
      <c r="D2824" s="10"/>
      <c r="E2824" s="10"/>
      <c r="F2824" s="47"/>
      <c r="G2824" s="10"/>
      <c r="H2824" s="20"/>
      <c r="I2824" s="20"/>
      <c r="J2824" s="10"/>
      <c r="K2824" s="10"/>
      <c r="L2824" s="10"/>
      <c r="M2824" s="10"/>
      <c r="N2824" s="10"/>
      <c r="O2824" s="21"/>
    </row>
    <row r="2825" spans="1:15" x14ac:dyDescent="0.35">
      <c r="A2825" s="15">
        <f t="shared" si="43"/>
        <v>2823</v>
      </c>
      <c r="B2825" s="16"/>
      <c r="C2825" s="19"/>
      <c r="D2825" s="10"/>
      <c r="E2825" s="10"/>
      <c r="F2825" s="47"/>
      <c r="G2825" s="10"/>
      <c r="H2825" s="20"/>
      <c r="I2825" s="20"/>
      <c r="J2825" s="10"/>
      <c r="K2825" s="10"/>
      <c r="L2825" s="10"/>
      <c r="M2825" s="10"/>
      <c r="N2825" s="10"/>
      <c r="O2825" s="21"/>
    </row>
    <row r="2826" spans="1:15" x14ac:dyDescent="0.35">
      <c r="A2826" s="15">
        <f t="shared" si="43"/>
        <v>2824</v>
      </c>
      <c r="B2826" s="16"/>
      <c r="C2826" s="19"/>
      <c r="D2826" s="10"/>
      <c r="E2826" s="10"/>
      <c r="F2826" s="47"/>
      <c r="G2826" s="10"/>
      <c r="H2826" s="20"/>
      <c r="I2826" s="20"/>
      <c r="J2826" s="10"/>
      <c r="K2826" s="10"/>
      <c r="L2826" s="10"/>
      <c r="M2826" s="10"/>
      <c r="N2826" s="10"/>
      <c r="O2826" s="21"/>
    </row>
    <row r="2827" spans="1:15" x14ac:dyDescent="0.35">
      <c r="A2827" s="15">
        <f t="shared" ref="A2827:A2890" si="44">+A2826+1</f>
        <v>2825</v>
      </c>
      <c r="B2827" s="16"/>
      <c r="C2827" s="19"/>
      <c r="D2827" s="10"/>
      <c r="E2827" s="10"/>
      <c r="F2827" s="47"/>
      <c r="G2827" s="10"/>
      <c r="H2827" s="20"/>
      <c r="I2827" s="20"/>
      <c r="J2827" s="10"/>
      <c r="K2827" s="10"/>
      <c r="L2827" s="10"/>
      <c r="M2827" s="10"/>
      <c r="N2827" s="10"/>
      <c r="O2827" s="21"/>
    </row>
    <row r="2828" spans="1:15" x14ac:dyDescent="0.35">
      <c r="A2828" s="15">
        <f t="shared" si="44"/>
        <v>2826</v>
      </c>
      <c r="B2828" s="16"/>
      <c r="C2828" s="19"/>
      <c r="D2828" s="10"/>
      <c r="E2828" s="10"/>
      <c r="F2828" s="47"/>
      <c r="G2828" s="10"/>
      <c r="H2828" s="20"/>
      <c r="I2828" s="20"/>
      <c r="J2828" s="10"/>
      <c r="K2828" s="10"/>
      <c r="L2828" s="10"/>
      <c r="M2828" s="10"/>
      <c r="N2828" s="10"/>
      <c r="O2828" s="21"/>
    </row>
    <row r="2829" spans="1:15" x14ac:dyDescent="0.35">
      <c r="A2829" s="15">
        <f t="shared" si="44"/>
        <v>2827</v>
      </c>
      <c r="B2829" s="16"/>
      <c r="C2829" s="19"/>
      <c r="D2829" s="10"/>
      <c r="E2829" s="10"/>
      <c r="F2829" s="47"/>
      <c r="G2829" s="10"/>
      <c r="H2829" s="20"/>
      <c r="I2829" s="20"/>
      <c r="J2829" s="10"/>
      <c r="K2829" s="10"/>
      <c r="L2829" s="10"/>
      <c r="M2829" s="10"/>
      <c r="N2829" s="10"/>
      <c r="O2829" s="21"/>
    </row>
    <row r="2830" spans="1:15" x14ac:dyDescent="0.35">
      <c r="A2830" s="15">
        <f t="shared" si="44"/>
        <v>2828</v>
      </c>
      <c r="B2830" s="16"/>
      <c r="C2830" s="19"/>
      <c r="D2830" s="10"/>
      <c r="E2830" s="10"/>
      <c r="F2830" s="47"/>
      <c r="G2830" s="10"/>
      <c r="H2830" s="20"/>
      <c r="I2830" s="20"/>
      <c r="J2830" s="10"/>
      <c r="K2830" s="10"/>
      <c r="L2830" s="10"/>
      <c r="M2830" s="10"/>
      <c r="N2830" s="10"/>
      <c r="O2830" s="21"/>
    </row>
    <row r="2831" spans="1:15" x14ac:dyDescent="0.35">
      <c r="A2831" s="15">
        <f t="shared" si="44"/>
        <v>2829</v>
      </c>
      <c r="B2831" s="16"/>
      <c r="C2831" s="19"/>
      <c r="D2831" s="10"/>
      <c r="E2831" s="10"/>
      <c r="F2831" s="47"/>
      <c r="G2831" s="10"/>
      <c r="H2831" s="20"/>
      <c r="I2831" s="20"/>
      <c r="J2831" s="10"/>
      <c r="K2831" s="10"/>
      <c r="L2831" s="10"/>
      <c r="M2831" s="10"/>
      <c r="N2831" s="10"/>
      <c r="O2831" s="21"/>
    </row>
    <row r="2832" spans="1:15" x14ac:dyDescent="0.35">
      <c r="A2832" s="15">
        <f t="shared" si="44"/>
        <v>2830</v>
      </c>
      <c r="B2832" s="16"/>
      <c r="C2832" s="19"/>
      <c r="D2832" s="10"/>
      <c r="E2832" s="10"/>
      <c r="F2832" s="47"/>
      <c r="G2832" s="10"/>
      <c r="H2832" s="20"/>
      <c r="I2832" s="20"/>
      <c r="J2832" s="10"/>
      <c r="K2832" s="10"/>
      <c r="L2832" s="10"/>
      <c r="M2832" s="10"/>
      <c r="N2832" s="10"/>
      <c r="O2832" s="21"/>
    </row>
    <row r="2833" spans="1:15" x14ac:dyDescent="0.35">
      <c r="A2833" s="15">
        <f t="shared" si="44"/>
        <v>2831</v>
      </c>
      <c r="B2833" s="16"/>
      <c r="C2833" s="19"/>
      <c r="D2833" s="10"/>
      <c r="E2833" s="10"/>
      <c r="F2833" s="47"/>
      <c r="G2833" s="10"/>
      <c r="H2833" s="20"/>
      <c r="I2833" s="20"/>
      <c r="J2833" s="10"/>
      <c r="K2833" s="10"/>
      <c r="L2833" s="10"/>
      <c r="M2833" s="10"/>
      <c r="N2833" s="10"/>
      <c r="O2833" s="21"/>
    </row>
    <row r="2834" spans="1:15" x14ac:dyDescent="0.35">
      <c r="A2834" s="15">
        <f t="shared" si="44"/>
        <v>2832</v>
      </c>
      <c r="B2834" s="16"/>
      <c r="C2834" s="19"/>
      <c r="D2834" s="10"/>
      <c r="E2834" s="10"/>
      <c r="F2834" s="47"/>
      <c r="G2834" s="10"/>
      <c r="H2834" s="20"/>
      <c r="I2834" s="20"/>
      <c r="J2834" s="10"/>
      <c r="K2834" s="10"/>
      <c r="L2834" s="10"/>
      <c r="M2834" s="10"/>
      <c r="N2834" s="10"/>
      <c r="O2834" s="21"/>
    </row>
    <row r="2835" spans="1:15" x14ac:dyDescent="0.35">
      <c r="A2835" s="15">
        <f t="shared" si="44"/>
        <v>2833</v>
      </c>
      <c r="B2835" s="16"/>
      <c r="C2835" s="19"/>
      <c r="D2835" s="10"/>
      <c r="E2835" s="10"/>
      <c r="F2835" s="47"/>
      <c r="G2835" s="10"/>
      <c r="H2835" s="20"/>
      <c r="I2835" s="20"/>
      <c r="J2835" s="10"/>
      <c r="K2835" s="10"/>
      <c r="L2835" s="10"/>
      <c r="M2835" s="10"/>
      <c r="N2835" s="10"/>
      <c r="O2835" s="21"/>
    </row>
    <row r="2836" spans="1:15" x14ac:dyDescent="0.35">
      <c r="A2836" s="15">
        <f t="shared" si="44"/>
        <v>2834</v>
      </c>
      <c r="B2836" s="16"/>
      <c r="C2836" s="19"/>
      <c r="D2836" s="10"/>
      <c r="E2836" s="10"/>
      <c r="F2836" s="47"/>
      <c r="G2836" s="10"/>
      <c r="H2836" s="20"/>
      <c r="I2836" s="20"/>
      <c r="J2836" s="10"/>
      <c r="K2836" s="10"/>
      <c r="L2836" s="10"/>
      <c r="M2836" s="10"/>
      <c r="N2836" s="10"/>
      <c r="O2836" s="21"/>
    </row>
    <row r="2837" spans="1:15" x14ac:dyDescent="0.35">
      <c r="A2837" s="15">
        <f t="shared" si="44"/>
        <v>2835</v>
      </c>
      <c r="B2837" s="16"/>
      <c r="C2837" s="19"/>
      <c r="D2837" s="10"/>
      <c r="E2837" s="10"/>
      <c r="F2837" s="47"/>
      <c r="G2837" s="10"/>
      <c r="H2837" s="20"/>
      <c r="I2837" s="20"/>
      <c r="J2837" s="10"/>
      <c r="K2837" s="10"/>
      <c r="L2837" s="10"/>
      <c r="M2837" s="10"/>
      <c r="N2837" s="10"/>
      <c r="O2837" s="21"/>
    </row>
    <row r="2838" spans="1:15" x14ac:dyDescent="0.35">
      <c r="A2838" s="15">
        <f t="shared" si="44"/>
        <v>2836</v>
      </c>
      <c r="B2838" s="16"/>
      <c r="C2838" s="19"/>
      <c r="D2838" s="10"/>
      <c r="E2838" s="10"/>
      <c r="F2838" s="47"/>
      <c r="G2838" s="10"/>
      <c r="H2838" s="20"/>
      <c r="I2838" s="20"/>
      <c r="J2838" s="10"/>
      <c r="K2838" s="10"/>
      <c r="L2838" s="10"/>
      <c r="M2838" s="10"/>
      <c r="N2838" s="10"/>
      <c r="O2838" s="21"/>
    </row>
    <row r="2839" spans="1:15" x14ac:dyDescent="0.35">
      <c r="A2839" s="15">
        <f t="shared" si="44"/>
        <v>2837</v>
      </c>
      <c r="B2839" s="16"/>
      <c r="C2839" s="19"/>
      <c r="D2839" s="10"/>
      <c r="E2839" s="10"/>
      <c r="F2839" s="47"/>
      <c r="G2839" s="10"/>
      <c r="H2839" s="20"/>
      <c r="I2839" s="20"/>
      <c r="J2839" s="10"/>
      <c r="K2839" s="10"/>
      <c r="L2839" s="10"/>
      <c r="M2839" s="10"/>
      <c r="N2839" s="10"/>
      <c r="O2839" s="21"/>
    </row>
    <row r="2840" spans="1:15" x14ac:dyDescent="0.35">
      <c r="A2840" s="15">
        <f t="shared" si="44"/>
        <v>2838</v>
      </c>
      <c r="B2840" s="16"/>
      <c r="C2840" s="19"/>
      <c r="D2840" s="10"/>
      <c r="E2840" s="10"/>
      <c r="F2840" s="47"/>
      <c r="G2840" s="10"/>
      <c r="H2840" s="20"/>
      <c r="I2840" s="20"/>
      <c r="J2840" s="10"/>
      <c r="K2840" s="10"/>
      <c r="L2840" s="10"/>
      <c r="M2840" s="10"/>
      <c r="N2840" s="10"/>
      <c r="O2840" s="21"/>
    </row>
    <row r="2841" spans="1:15" x14ac:dyDescent="0.35">
      <c r="A2841" s="15">
        <f t="shared" si="44"/>
        <v>2839</v>
      </c>
      <c r="B2841" s="16"/>
      <c r="C2841" s="19"/>
      <c r="D2841" s="10"/>
      <c r="E2841" s="10"/>
      <c r="F2841" s="47"/>
      <c r="G2841" s="10"/>
      <c r="H2841" s="20"/>
      <c r="I2841" s="20"/>
      <c r="J2841" s="10"/>
      <c r="K2841" s="10"/>
      <c r="L2841" s="10"/>
      <c r="M2841" s="10"/>
      <c r="N2841" s="10"/>
      <c r="O2841" s="21"/>
    </row>
    <row r="2842" spans="1:15" x14ac:dyDescent="0.35">
      <c r="A2842" s="15">
        <f t="shared" si="44"/>
        <v>2840</v>
      </c>
      <c r="B2842" s="16"/>
      <c r="C2842" s="19"/>
      <c r="D2842" s="10"/>
      <c r="E2842" s="10"/>
      <c r="F2842" s="47"/>
      <c r="G2842" s="10"/>
      <c r="H2842" s="20"/>
      <c r="I2842" s="20"/>
      <c r="J2842" s="10"/>
      <c r="K2842" s="10"/>
      <c r="L2842" s="10"/>
      <c r="M2842" s="10"/>
      <c r="N2842" s="10"/>
      <c r="O2842" s="21"/>
    </row>
    <row r="2843" spans="1:15" x14ac:dyDescent="0.35">
      <c r="A2843" s="15">
        <f t="shared" si="44"/>
        <v>2841</v>
      </c>
      <c r="B2843" s="16"/>
      <c r="C2843" s="19"/>
      <c r="D2843" s="10"/>
      <c r="E2843" s="10"/>
      <c r="F2843" s="47"/>
      <c r="G2843" s="10"/>
      <c r="H2843" s="20"/>
      <c r="I2843" s="20"/>
      <c r="J2843" s="10"/>
      <c r="K2843" s="10"/>
      <c r="L2843" s="10"/>
      <c r="M2843" s="10"/>
      <c r="N2843" s="10"/>
      <c r="O2843" s="21"/>
    </row>
    <row r="2844" spans="1:15" x14ac:dyDescent="0.35">
      <c r="A2844" s="15">
        <f t="shared" si="44"/>
        <v>2842</v>
      </c>
      <c r="B2844" s="16"/>
      <c r="C2844" s="19"/>
      <c r="D2844" s="10"/>
      <c r="E2844" s="10"/>
      <c r="F2844" s="47"/>
      <c r="G2844" s="10"/>
      <c r="H2844" s="20"/>
      <c r="I2844" s="20"/>
      <c r="J2844" s="10"/>
      <c r="K2844" s="10"/>
      <c r="L2844" s="10"/>
      <c r="M2844" s="10"/>
      <c r="N2844" s="10"/>
      <c r="O2844" s="21"/>
    </row>
    <row r="2845" spans="1:15" x14ac:dyDescent="0.35">
      <c r="A2845" s="15">
        <f t="shared" si="44"/>
        <v>2843</v>
      </c>
      <c r="B2845" s="16"/>
      <c r="C2845" s="19"/>
      <c r="D2845" s="10"/>
      <c r="E2845" s="10"/>
      <c r="F2845" s="47"/>
      <c r="G2845" s="10"/>
      <c r="H2845" s="20"/>
      <c r="I2845" s="20"/>
      <c r="J2845" s="10"/>
      <c r="K2845" s="10"/>
      <c r="L2845" s="10"/>
      <c r="M2845" s="10"/>
      <c r="N2845" s="10"/>
      <c r="O2845" s="21"/>
    </row>
    <row r="2846" spans="1:15" x14ac:dyDescent="0.35">
      <c r="A2846" s="15">
        <f t="shared" si="44"/>
        <v>2844</v>
      </c>
      <c r="B2846" s="16"/>
      <c r="C2846" s="19"/>
      <c r="D2846" s="10"/>
      <c r="E2846" s="10"/>
      <c r="F2846" s="47"/>
      <c r="G2846" s="10"/>
      <c r="H2846" s="20"/>
      <c r="I2846" s="20"/>
      <c r="J2846" s="10"/>
      <c r="K2846" s="10"/>
      <c r="L2846" s="10"/>
      <c r="M2846" s="10"/>
      <c r="N2846" s="10"/>
      <c r="O2846" s="21"/>
    </row>
    <row r="2847" spans="1:15" x14ac:dyDescent="0.35">
      <c r="A2847" s="15">
        <f t="shared" si="44"/>
        <v>2845</v>
      </c>
      <c r="B2847" s="16"/>
      <c r="C2847" s="19"/>
      <c r="D2847" s="10"/>
      <c r="E2847" s="10"/>
      <c r="F2847" s="47"/>
      <c r="G2847" s="10"/>
      <c r="H2847" s="20"/>
      <c r="I2847" s="20"/>
      <c r="J2847" s="10"/>
      <c r="K2847" s="10"/>
      <c r="L2847" s="10"/>
      <c r="M2847" s="10"/>
      <c r="N2847" s="10"/>
      <c r="O2847" s="21"/>
    </row>
    <row r="2848" spans="1:15" x14ac:dyDescent="0.35">
      <c r="A2848" s="15">
        <f t="shared" si="44"/>
        <v>2846</v>
      </c>
      <c r="B2848" s="16"/>
      <c r="C2848" s="19"/>
      <c r="D2848" s="10"/>
      <c r="E2848" s="10"/>
      <c r="F2848" s="47"/>
      <c r="G2848" s="10"/>
      <c r="H2848" s="20"/>
      <c r="I2848" s="20"/>
      <c r="J2848" s="10"/>
      <c r="K2848" s="10"/>
      <c r="L2848" s="10"/>
      <c r="M2848" s="10"/>
      <c r="N2848" s="10"/>
      <c r="O2848" s="21"/>
    </row>
    <row r="2849" spans="1:15" x14ac:dyDescent="0.35">
      <c r="A2849" s="15">
        <f t="shared" si="44"/>
        <v>2847</v>
      </c>
      <c r="B2849" s="16"/>
      <c r="C2849" s="19"/>
      <c r="D2849" s="10"/>
      <c r="E2849" s="10"/>
      <c r="F2849" s="47"/>
      <c r="G2849" s="10"/>
      <c r="H2849" s="20"/>
      <c r="I2849" s="20"/>
      <c r="J2849" s="10"/>
      <c r="K2849" s="10"/>
      <c r="L2849" s="10"/>
      <c r="M2849" s="10"/>
      <c r="N2849" s="10"/>
      <c r="O2849" s="21"/>
    </row>
    <row r="2850" spans="1:15" x14ac:dyDescent="0.35">
      <c r="A2850" s="15">
        <f t="shared" si="44"/>
        <v>2848</v>
      </c>
      <c r="B2850" s="16"/>
      <c r="C2850" s="19"/>
      <c r="D2850" s="10"/>
      <c r="E2850" s="10"/>
      <c r="F2850" s="47"/>
      <c r="G2850" s="10"/>
      <c r="H2850" s="20"/>
      <c r="I2850" s="20"/>
      <c r="J2850" s="10"/>
      <c r="K2850" s="10"/>
      <c r="L2850" s="10"/>
      <c r="M2850" s="10"/>
      <c r="N2850" s="10"/>
      <c r="O2850" s="21"/>
    </row>
    <row r="2851" spans="1:15" x14ac:dyDescent="0.35">
      <c r="A2851" s="15">
        <f t="shared" si="44"/>
        <v>2849</v>
      </c>
      <c r="B2851" s="16"/>
      <c r="C2851" s="19"/>
      <c r="D2851" s="10"/>
      <c r="E2851" s="10"/>
      <c r="F2851" s="47"/>
      <c r="G2851" s="10"/>
      <c r="H2851" s="20"/>
      <c r="I2851" s="20"/>
      <c r="J2851" s="10"/>
      <c r="K2851" s="10"/>
      <c r="L2851" s="10"/>
      <c r="M2851" s="10"/>
      <c r="N2851" s="10"/>
      <c r="O2851" s="21"/>
    </row>
    <row r="2852" spans="1:15" x14ac:dyDescent="0.35">
      <c r="A2852" s="15">
        <f t="shared" si="44"/>
        <v>2850</v>
      </c>
      <c r="B2852" s="16"/>
      <c r="C2852" s="19"/>
      <c r="D2852" s="10"/>
      <c r="E2852" s="10"/>
      <c r="F2852" s="47"/>
      <c r="G2852" s="10"/>
      <c r="H2852" s="20"/>
      <c r="I2852" s="20"/>
      <c r="J2852" s="10"/>
      <c r="K2852" s="10"/>
      <c r="L2852" s="10"/>
      <c r="M2852" s="10"/>
      <c r="N2852" s="10"/>
      <c r="O2852" s="21"/>
    </row>
    <row r="2853" spans="1:15" x14ac:dyDescent="0.35">
      <c r="A2853" s="15">
        <f t="shared" si="44"/>
        <v>2851</v>
      </c>
      <c r="B2853" s="16"/>
      <c r="C2853" s="19"/>
      <c r="D2853" s="10"/>
      <c r="E2853" s="10"/>
      <c r="F2853" s="47"/>
      <c r="G2853" s="10"/>
      <c r="H2853" s="20"/>
      <c r="I2853" s="20"/>
      <c r="J2853" s="10"/>
      <c r="K2853" s="10"/>
      <c r="L2853" s="10"/>
      <c r="M2853" s="10"/>
      <c r="N2853" s="10"/>
      <c r="O2853" s="21"/>
    </row>
    <row r="2854" spans="1:15" x14ac:dyDescent="0.35">
      <c r="A2854" s="15">
        <f t="shared" si="44"/>
        <v>2852</v>
      </c>
      <c r="B2854" s="16"/>
      <c r="C2854" s="19"/>
      <c r="D2854" s="10"/>
      <c r="E2854" s="10"/>
      <c r="F2854" s="47"/>
      <c r="G2854" s="10"/>
      <c r="H2854" s="20"/>
      <c r="I2854" s="20"/>
      <c r="J2854" s="10"/>
      <c r="K2854" s="10"/>
      <c r="L2854" s="10"/>
      <c r="M2854" s="10"/>
      <c r="N2854" s="10"/>
      <c r="O2854" s="21"/>
    </row>
    <row r="2855" spans="1:15" x14ac:dyDescent="0.35">
      <c r="A2855" s="15">
        <f t="shared" si="44"/>
        <v>2853</v>
      </c>
      <c r="B2855" s="16"/>
      <c r="C2855" s="19"/>
      <c r="D2855" s="10"/>
      <c r="E2855" s="10"/>
      <c r="F2855" s="47"/>
      <c r="G2855" s="10"/>
      <c r="H2855" s="20"/>
      <c r="I2855" s="20"/>
      <c r="J2855" s="10"/>
      <c r="K2855" s="10"/>
      <c r="L2855" s="10"/>
      <c r="M2855" s="10"/>
      <c r="N2855" s="10"/>
      <c r="O2855" s="21"/>
    </row>
    <row r="2856" spans="1:15" x14ac:dyDescent="0.35">
      <c r="A2856" s="15">
        <f t="shared" si="44"/>
        <v>2854</v>
      </c>
      <c r="B2856" s="16"/>
      <c r="C2856" s="19"/>
      <c r="D2856" s="10"/>
      <c r="E2856" s="10"/>
      <c r="F2856" s="47"/>
      <c r="G2856" s="10"/>
      <c r="H2856" s="20"/>
      <c r="I2856" s="20"/>
      <c r="J2856" s="10"/>
      <c r="K2856" s="10"/>
      <c r="L2856" s="10"/>
      <c r="M2856" s="10"/>
      <c r="N2856" s="10"/>
      <c r="O2856" s="21"/>
    </row>
    <row r="2857" spans="1:15" x14ac:dyDescent="0.35">
      <c r="A2857" s="15">
        <f t="shared" si="44"/>
        <v>2855</v>
      </c>
      <c r="B2857" s="16"/>
      <c r="C2857" s="19"/>
      <c r="D2857" s="10"/>
      <c r="E2857" s="10"/>
      <c r="F2857" s="47"/>
      <c r="G2857" s="10"/>
      <c r="H2857" s="20"/>
      <c r="I2857" s="20"/>
      <c r="J2857" s="10"/>
      <c r="K2857" s="10"/>
      <c r="L2857" s="10"/>
      <c r="M2857" s="10"/>
      <c r="N2857" s="10"/>
      <c r="O2857" s="21"/>
    </row>
    <row r="2858" spans="1:15" x14ac:dyDescent="0.35">
      <c r="A2858" s="15">
        <f t="shared" si="44"/>
        <v>2856</v>
      </c>
      <c r="B2858" s="16"/>
      <c r="C2858" s="19"/>
      <c r="D2858" s="10"/>
      <c r="E2858" s="10"/>
      <c r="F2858" s="47"/>
      <c r="G2858" s="10"/>
      <c r="H2858" s="20"/>
      <c r="I2858" s="20"/>
      <c r="J2858" s="10"/>
      <c r="K2858" s="10"/>
      <c r="L2858" s="10"/>
      <c r="M2858" s="10"/>
      <c r="N2858" s="10"/>
      <c r="O2858" s="21"/>
    </row>
    <row r="2859" spans="1:15" x14ac:dyDescent="0.35">
      <c r="A2859" s="15">
        <f t="shared" si="44"/>
        <v>2857</v>
      </c>
      <c r="B2859" s="16"/>
      <c r="C2859" s="19"/>
      <c r="D2859" s="10"/>
      <c r="E2859" s="10"/>
      <c r="F2859" s="47"/>
      <c r="G2859" s="10"/>
      <c r="H2859" s="20"/>
      <c r="I2859" s="20"/>
      <c r="J2859" s="10"/>
      <c r="K2859" s="10"/>
      <c r="L2859" s="10"/>
      <c r="M2859" s="10"/>
      <c r="N2859" s="10"/>
      <c r="O2859" s="21"/>
    </row>
    <row r="2860" spans="1:15" x14ac:dyDescent="0.35">
      <c r="A2860" s="15">
        <f t="shared" si="44"/>
        <v>2858</v>
      </c>
      <c r="B2860" s="16"/>
      <c r="C2860" s="19"/>
      <c r="D2860" s="10"/>
      <c r="E2860" s="10"/>
      <c r="F2860" s="47"/>
      <c r="G2860" s="10"/>
      <c r="H2860" s="20"/>
      <c r="I2860" s="20"/>
      <c r="J2860" s="10"/>
      <c r="K2860" s="10"/>
      <c r="L2860" s="10"/>
      <c r="M2860" s="10"/>
      <c r="N2860" s="10"/>
      <c r="O2860" s="21"/>
    </row>
    <row r="2861" spans="1:15" x14ac:dyDescent="0.35">
      <c r="A2861" s="15">
        <f t="shared" si="44"/>
        <v>2859</v>
      </c>
      <c r="B2861" s="16"/>
      <c r="C2861" s="19"/>
      <c r="D2861" s="10"/>
      <c r="E2861" s="10"/>
      <c r="F2861" s="47"/>
      <c r="G2861" s="10"/>
      <c r="H2861" s="20"/>
      <c r="I2861" s="20"/>
      <c r="J2861" s="10"/>
      <c r="K2861" s="10"/>
      <c r="L2861" s="10"/>
      <c r="M2861" s="10"/>
      <c r="N2861" s="10"/>
      <c r="O2861" s="21"/>
    </row>
    <row r="2862" spans="1:15" x14ac:dyDescent="0.35">
      <c r="A2862" s="15">
        <f t="shared" si="44"/>
        <v>2860</v>
      </c>
      <c r="B2862" s="16"/>
      <c r="C2862" s="19"/>
      <c r="D2862" s="10"/>
      <c r="E2862" s="10"/>
      <c r="F2862" s="47"/>
      <c r="G2862" s="10"/>
      <c r="H2862" s="20"/>
      <c r="I2862" s="20"/>
      <c r="J2862" s="10"/>
      <c r="K2862" s="10"/>
      <c r="L2862" s="10"/>
      <c r="M2862" s="10"/>
      <c r="N2862" s="10"/>
      <c r="O2862" s="21"/>
    </row>
    <row r="2863" spans="1:15" x14ac:dyDescent="0.35">
      <c r="A2863" s="15">
        <f t="shared" si="44"/>
        <v>2861</v>
      </c>
      <c r="B2863" s="16"/>
      <c r="C2863" s="19"/>
      <c r="D2863" s="10"/>
      <c r="E2863" s="10"/>
      <c r="F2863" s="47"/>
      <c r="G2863" s="10"/>
      <c r="H2863" s="20"/>
      <c r="I2863" s="20"/>
      <c r="J2863" s="10"/>
      <c r="K2863" s="10"/>
      <c r="L2863" s="10"/>
      <c r="M2863" s="10"/>
      <c r="N2863" s="10"/>
      <c r="O2863" s="21"/>
    </row>
    <row r="2864" spans="1:15" x14ac:dyDescent="0.35">
      <c r="A2864" s="15">
        <f t="shared" si="44"/>
        <v>2862</v>
      </c>
      <c r="B2864" s="16"/>
      <c r="C2864" s="19"/>
      <c r="D2864" s="10"/>
      <c r="E2864" s="10"/>
      <c r="F2864" s="47"/>
      <c r="G2864" s="10"/>
      <c r="H2864" s="20"/>
      <c r="I2864" s="20"/>
      <c r="J2864" s="10"/>
      <c r="K2864" s="10"/>
      <c r="L2864" s="10"/>
      <c r="M2864" s="10"/>
      <c r="N2864" s="10"/>
      <c r="O2864" s="21"/>
    </row>
    <row r="2865" spans="1:15" x14ac:dyDescent="0.35">
      <c r="A2865" s="15">
        <f t="shared" si="44"/>
        <v>2863</v>
      </c>
      <c r="B2865" s="16"/>
      <c r="C2865" s="19"/>
      <c r="D2865" s="10"/>
      <c r="E2865" s="10"/>
      <c r="F2865" s="47"/>
      <c r="G2865" s="10"/>
      <c r="H2865" s="20"/>
      <c r="I2865" s="20"/>
      <c r="J2865" s="10"/>
      <c r="K2865" s="10"/>
      <c r="L2865" s="10"/>
      <c r="M2865" s="10"/>
      <c r="N2865" s="10"/>
      <c r="O2865" s="21"/>
    </row>
    <row r="2866" spans="1:15" x14ac:dyDescent="0.35">
      <c r="A2866" s="15">
        <f t="shared" si="44"/>
        <v>2864</v>
      </c>
      <c r="B2866" s="16"/>
      <c r="C2866" s="19"/>
      <c r="D2866" s="10"/>
      <c r="E2866" s="10"/>
      <c r="F2866" s="47"/>
      <c r="G2866" s="10"/>
      <c r="H2866" s="20"/>
      <c r="I2866" s="20"/>
      <c r="J2866" s="10"/>
      <c r="K2866" s="10"/>
      <c r="L2866" s="10"/>
      <c r="M2866" s="10"/>
      <c r="N2866" s="10"/>
      <c r="O2866" s="21"/>
    </row>
    <row r="2867" spans="1:15" x14ac:dyDescent="0.35">
      <c r="A2867" s="15">
        <f t="shared" si="44"/>
        <v>2865</v>
      </c>
      <c r="B2867" s="16"/>
      <c r="C2867" s="19"/>
      <c r="D2867" s="10"/>
      <c r="E2867" s="10"/>
      <c r="F2867" s="47"/>
      <c r="G2867" s="10"/>
      <c r="H2867" s="20"/>
      <c r="I2867" s="20"/>
      <c r="J2867" s="10"/>
      <c r="K2867" s="10"/>
      <c r="L2867" s="10"/>
      <c r="M2867" s="10"/>
      <c r="N2867" s="10"/>
      <c r="O2867" s="21"/>
    </row>
    <row r="2868" spans="1:15" x14ac:dyDescent="0.35">
      <c r="A2868" s="15">
        <f t="shared" si="44"/>
        <v>2866</v>
      </c>
      <c r="B2868" s="16"/>
      <c r="C2868" s="19"/>
      <c r="D2868" s="10"/>
      <c r="E2868" s="10"/>
      <c r="F2868" s="47"/>
      <c r="G2868" s="10"/>
      <c r="H2868" s="20"/>
      <c r="I2868" s="20"/>
      <c r="J2868" s="10"/>
      <c r="K2868" s="10"/>
      <c r="L2868" s="10"/>
      <c r="M2868" s="10"/>
      <c r="N2868" s="10"/>
      <c r="O2868" s="21"/>
    </row>
    <row r="2869" spans="1:15" x14ac:dyDescent="0.35">
      <c r="A2869" s="15">
        <f t="shared" si="44"/>
        <v>2867</v>
      </c>
      <c r="B2869" s="16"/>
      <c r="C2869" s="19"/>
      <c r="D2869" s="10"/>
      <c r="E2869" s="10"/>
      <c r="F2869" s="47"/>
      <c r="G2869" s="10"/>
      <c r="H2869" s="20"/>
      <c r="I2869" s="20"/>
      <c r="J2869" s="10"/>
      <c r="K2869" s="10"/>
      <c r="L2869" s="10"/>
      <c r="M2869" s="10"/>
      <c r="N2869" s="10"/>
      <c r="O2869" s="21"/>
    </row>
    <row r="2870" spans="1:15" x14ac:dyDescent="0.35">
      <c r="A2870" s="15">
        <f t="shared" si="44"/>
        <v>2868</v>
      </c>
      <c r="B2870" s="16"/>
      <c r="C2870" s="19"/>
      <c r="D2870" s="10"/>
      <c r="E2870" s="10"/>
      <c r="F2870" s="47"/>
      <c r="G2870" s="10"/>
      <c r="H2870" s="20"/>
      <c r="I2870" s="20"/>
      <c r="J2870" s="10"/>
      <c r="K2870" s="10"/>
      <c r="L2870" s="10"/>
      <c r="M2870" s="10"/>
      <c r="N2870" s="10"/>
      <c r="O2870" s="21"/>
    </row>
    <row r="2871" spans="1:15" x14ac:dyDescent="0.35">
      <c r="A2871" s="15">
        <f t="shared" si="44"/>
        <v>2869</v>
      </c>
      <c r="B2871" s="16"/>
      <c r="C2871" s="19"/>
      <c r="D2871" s="10"/>
      <c r="E2871" s="10"/>
      <c r="F2871" s="47"/>
      <c r="G2871" s="10"/>
      <c r="H2871" s="20"/>
      <c r="I2871" s="20"/>
      <c r="J2871" s="10"/>
      <c r="K2871" s="10"/>
      <c r="L2871" s="10"/>
      <c r="M2871" s="10"/>
      <c r="N2871" s="10"/>
      <c r="O2871" s="21"/>
    </row>
    <row r="2872" spans="1:15" x14ac:dyDescent="0.35">
      <c r="A2872" s="15">
        <f t="shared" si="44"/>
        <v>2870</v>
      </c>
      <c r="B2872" s="16"/>
      <c r="C2872" s="19"/>
      <c r="D2872" s="10"/>
      <c r="E2872" s="10"/>
      <c r="F2872" s="47"/>
      <c r="G2872" s="10"/>
      <c r="H2872" s="20"/>
      <c r="I2872" s="20"/>
      <c r="J2872" s="10"/>
      <c r="K2872" s="10"/>
      <c r="L2872" s="10"/>
      <c r="M2872" s="10"/>
      <c r="N2872" s="10"/>
      <c r="O2872" s="21"/>
    </row>
    <row r="2873" spans="1:15" x14ac:dyDescent="0.35">
      <c r="A2873" s="15">
        <f t="shared" si="44"/>
        <v>2871</v>
      </c>
      <c r="B2873" s="16"/>
      <c r="C2873" s="19"/>
      <c r="D2873" s="10"/>
      <c r="E2873" s="10"/>
      <c r="F2873" s="47"/>
      <c r="G2873" s="10"/>
      <c r="H2873" s="20"/>
      <c r="I2873" s="20"/>
      <c r="J2873" s="10"/>
      <c r="K2873" s="10"/>
      <c r="L2873" s="10"/>
      <c r="M2873" s="10"/>
      <c r="N2873" s="10"/>
      <c r="O2873" s="21"/>
    </row>
    <row r="2874" spans="1:15" x14ac:dyDescent="0.35">
      <c r="A2874" s="15">
        <f t="shared" si="44"/>
        <v>2872</v>
      </c>
      <c r="B2874" s="16"/>
      <c r="C2874" s="19"/>
      <c r="D2874" s="10"/>
      <c r="E2874" s="10"/>
      <c r="F2874" s="47"/>
      <c r="G2874" s="10"/>
      <c r="H2874" s="20"/>
      <c r="I2874" s="20"/>
      <c r="J2874" s="10"/>
      <c r="K2874" s="10"/>
      <c r="L2874" s="10"/>
      <c r="M2874" s="10"/>
      <c r="N2874" s="10"/>
      <c r="O2874" s="21"/>
    </row>
    <row r="2875" spans="1:15" x14ac:dyDescent="0.35">
      <c r="A2875" s="15">
        <f t="shared" si="44"/>
        <v>2873</v>
      </c>
      <c r="B2875" s="16"/>
      <c r="C2875" s="19"/>
      <c r="D2875" s="10"/>
      <c r="E2875" s="10"/>
      <c r="F2875" s="47"/>
      <c r="G2875" s="10"/>
      <c r="H2875" s="20"/>
      <c r="I2875" s="20"/>
      <c r="J2875" s="10"/>
      <c r="K2875" s="10"/>
      <c r="L2875" s="10"/>
      <c r="M2875" s="10"/>
      <c r="N2875" s="10"/>
      <c r="O2875" s="21"/>
    </row>
    <row r="2876" spans="1:15" x14ac:dyDescent="0.35">
      <c r="A2876" s="15">
        <f t="shared" si="44"/>
        <v>2874</v>
      </c>
      <c r="B2876" s="16"/>
      <c r="C2876" s="19"/>
      <c r="D2876" s="10"/>
      <c r="E2876" s="10"/>
      <c r="F2876" s="47"/>
      <c r="G2876" s="10"/>
      <c r="H2876" s="20"/>
      <c r="I2876" s="20"/>
      <c r="J2876" s="10"/>
      <c r="K2876" s="10"/>
      <c r="L2876" s="10"/>
      <c r="M2876" s="10"/>
      <c r="N2876" s="10"/>
      <c r="O2876" s="21"/>
    </row>
    <row r="2877" spans="1:15" x14ac:dyDescent="0.35">
      <c r="A2877" s="15">
        <f t="shared" si="44"/>
        <v>2875</v>
      </c>
      <c r="B2877" s="16"/>
      <c r="C2877" s="19"/>
      <c r="D2877" s="10"/>
      <c r="E2877" s="10"/>
      <c r="F2877" s="47"/>
      <c r="G2877" s="10"/>
      <c r="H2877" s="20"/>
      <c r="I2877" s="20"/>
      <c r="J2877" s="10"/>
      <c r="K2877" s="10"/>
      <c r="L2877" s="10"/>
      <c r="M2877" s="10"/>
      <c r="N2877" s="10"/>
      <c r="O2877" s="21"/>
    </row>
    <row r="2878" spans="1:15" x14ac:dyDescent="0.35">
      <c r="A2878" s="15">
        <f t="shared" si="44"/>
        <v>2876</v>
      </c>
      <c r="B2878" s="16"/>
      <c r="C2878" s="19"/>
      <c r="D2878" s="10"/>
      <c r="E2878" s="10"/>
      <c r="F2878" s="47"/>
      <c r="G2878" s="10"/>
      <c r="H2878" s="20"/>
      <c r="I2878" s="20"/>
      <c r="J2878" s="10"/>
      <c r="K2878" s="10"/>
      <c r="L2878" s="10"/>
      <c r="M2878" s="10"/>
      <c r="N2878" s="10"/>
      <c r="O2878" s="21"/>
    </row>
    <row r="2879" spans="1:15" x14ac:dyDescent="0.35">
      <c r="A2879" s="15">
        <f t="shared" si="44"/>
        <v>2877</v>
      </c>
      <c r="B2879" s="16"/>
      <c r="C2879" s="19"/>
      <c r="D2879" s="10"/>
      <c r="E2879" s="10"/>
      <c r="F2879" s="47"/>
      <c r="G2879" s="10"/>
      <c r="H2879" s="20"/>
      <c r="I2879" s="20"/>
      <c r="J2879" s="10"/>
      <c r="K2879" s="10"/>
      <c r="L2879" s="10"/>
      <c r="M2879" s="10"/>
      <c r="N2879" s="10"/>
      <c r="O2879" s="21"/>
    </row>
    <row r="2880" spans="1:15" x14ac:dyDescent="0.35">
      <c r="A2880" s="15">
        <f t="shared" si="44"/>
        <v>2878</v>
      </c>
      <c r="B2880" s="16"/>
      <c r="C2880" s="19"/>
      <c r="D2880" s="10"/>
      <c r="E2880" s="10"/>
      <c r="F2880" s="47"/>
      <c r="G2880" s="10"/>
      <c r="H2880" s="20"/>
      <c r="I2880" s="20"/>
      <c r="J2880" s="10"/>
      <c r="K2880" s="10"/>
      <c r="L2880" s="10"/>
      <c r="M2880" s="10"/>
      <c r="N2880" s="10"/>
      <c r="O2880" s="21"/>
    </row>
    <row r="2881" spans="1:15" x14ac:dyDescent="0.35">
      <c r="A2881" s="15">
        <f t="shared" si="44"/>
        <v>2879</v>
      </c>
      <c r="B2881" s="16"/>
      <c r="C2881" s="19"/>
      <c r="D2881" s="10"/>
      <c r="E2881" s="10"/>
      <c r="F2881" s="47"/>
      <c r="G2881" s="10"/>
      <c r="H2881" s="20"/>
      <c r="I2881" s="20"/>
      <c r="J2881" s="10"/>
      <c r="K2881" s="10"/>
      <c r="L2881" s="10"/>
      <c r="M2881" s="10"/>
      <c r="N2881" s="10"/>
      <c r="O2881" s="21"/>
    </row>
    <row r="2882" spans="1:15" x14ac:dyDescent="0.35">
      <c r="A2882" s="15">
        <f t="shared" si="44"/>
        <v>2880</v>
      </c>
      <c r="B2882" s="16"/>
      <c r="C2882" s="19"/>
      <c r="D2882" s="10"/>
      <c r="E2882" s="10"/>
      <c r="F2882" s="47"/>
      <c r="G2882" s="10"/>
      <c r="H2882" s="20"/>
      <c r="I2882" s="20"/>
      <c r="J2882" s="10"/>
      <c r="K2882" s="10"/>
      <c r="L2882" s="10"/>
      <c r="M2882" s="10"/>
      <c r="N2882" s="10"/>
      <c r="O2882" s="21"/>
    </row>
    <row r="2883" spans="1:15" x14ac:dyDescent="0.35">
      <c r="A2883" s="15">
        <f t="shared" si="44"/>
        <v>2881</v>
      </c>
      <c r="B2883" s="16"/>
      <c r="C2883" s="19"/>
      <c r="D2883" s="10"/>
      <c r="E2883" s="10"/>
      <c r="F2883" s="47"/>
      <c r="G2883" s="10"/>
      <c r="H2883" s="20"/>
      <c r="I2883" s="20"/>
      <c r="J2883" s="10"/>
      <c r="K2883" s="10"/>
      <c r="L2883" s="10"/>
      <c r="M2883" s="10"/>
      <c r="N2883" s="10"/>
      <c r="O2883" s="21"/>
    </row>
    <row r="2884" spans="1:15" x14ac:dyDescent="0.35">
      <c r="A2884" s="15">
        <f t="shared" si="44"/>
        <v>2882</v>
      </c>
      <c r="B2884" s="16"/>
      <c r="C2884" s="19"/>
      <c r="D2884" s="10"/>
      <c r="E2884" s="10"/>
      <c r="F2884" s="47"/>
      <c r="G2884" s="10"/>
      <c r="H2884" s="20"/>
      <c r="I2884" s="20"/>
      <c r="J2884" s="10"/>
      <c r="K2884" s="10"/>
      <c r="L2884" s="10"/>
      <c r="M2884" s="10"/>
      <c r="N2884" s="10"/>
      <c r="O2884" s="21"/>
    </row>
    <row r="2885" spans="1:15" x14ac:dyDescent="0.35">
      <c r="A2885" s="15">
        <f t="shared" si="44"/>
        <v>2883</v>
      </c>
      <c r="B2885" s="16"/>
      <c r="C2885" s="19"/>
      <c r="D2885" s="10"/>
      <c r="E2885" s="10"/>
      <c r="F2885" s="47"/>
      <c r="G2885" s="10"/>
      <c r="H2885" s="20"/>
      <c r="I2885" s="20"/>
      <c r="J2885" s="10"/>
      <c r="K2885" s="10"/>
      <c r="L2885" s="10"/>
      <c r="M2885" s="10"/>
      <c r="N2885" s="10"/>
      <c r="O2885" s="21"/>
    </row>
    <row r="2886" spans="1:15" x14ac:dyDescent="0.35">
      <c r="A2886" s="15">
        <f t="shared" si="44"/>
        <v>2884</v>
      </c>
      <c r="B2886" s="16"/>
      <c r="C2886" s="19"/>
      <c r="D2886" s="10"/>
      <c r="E2886" s="10"/>
      <c r="F2886" s="47"/>
      <c r="G2886" s="10"/>
      <c r="H2886" s="20"/>
      <c r="I2886" s="20"/>
      <c r="J2886" s="10"/>
      <c r="K2886" s="10"/>
      <c r="L2886" s="10"/>
      <c r="M2886" s="10"/>
      <c r="N2886" s="10"/>
      <c r="O2886" s="21"/>
    </row>
    <row r="2887" spans="1:15" x14ac:dyDescent="0.35">
      <c r="A2887" s="15">
        <f t="shared" si="44"/>
        <v>2885</v>
      </c>
      <c r="B2887" s="16"/>
      <c r="C2887" s="19"/>
      <c r="D2887" s="10"/>
      <c r="E2887" s="10"/>
      <c r="F2887" s="47"/>
      <c r="G2887" s="10"/>
      <c r="H2887" s="20"/>
      <c r="I2887" s="20"/>
      <c r="J2887" s="10"/>
      <c r="K2887" s="10"/>
      <c r="L2887" s="10"/>
      <c r="M2887" s="10"/>
      <c r="N2887" s="10"/>
      <c r="O2887" s="21"/>
    </row>
    <row r="2888" spans="1:15" x14ac:dyDescent="0.35">
      <c r="A2888" s="15">
        <f t="shared" si="44"/>
        <v>2886</v>
      </c>
      <c r="B2888" s="16"/>
      <c r="C2888" s="19"/>
      <c r="D2888" s="10"/>
      <c r="E2888" s="10"/>
      <c r="F2888" s="47"/>
      <c r="G2888" s="10"/>
      <c r="H2888" s="20"/>
      <c r="I2888" s="20"/>
      <c r="J2888" s="10"/>
      <c r="K2888" s="10"/>
      <c r="L2888" s="10"/>
      <c r="M2888" s="10"/>
      <c r="N2888" s="10"/>
      <c r="O2888" s="21"/>
    </row>
    <row r="2889" spans="1:15" x14ac:dyDescent="0.35">
      <c r="A2889" s="15">
        <f t="shared" si="44"/>
        <v>2887</v>
      </c>
      <c r="B2889" s="16"/>
      <c r="C2889" s="19"/>
      <c r="D2889" s="10"/>
      <c r="E2889" s="10"/>
      <c r="F2889" s="47"/>
      <c r="G2889" s="10"/>
      <c r="H2889" s="20"/>
      <c r="I2889" s="20"/>
      <c r="J2889" s="10"/>
      <c r="K2889" s="10"/>
      <c r="L2889" s="10"/>
      <c r="M2889" s="10"/>
      <c r="N2889" s="10"/>
      <c r="O2889" s="21"/>
    </row>
    <row r="2890" spans="1:15" x14ac:dyDescent="0.35">
      <c r="A2890" s="15">
        <f t="shared" si="44"/>
        <v>2888</v>
      </c>
      <c r="B2890" s="16"/>
      <c r="C2890" s="19"/>
      <c r="D2890" s="10"/>
      <c r="E2890" s="10"/>
      <c r="F2890" s="47"/>
      <c r="G2890" s="10"/>
      <c r="H2890" s="20"/>
      <c r="I2890" s="20"/>
      <c r="J2890" s="10"/>
      <c r="K2890" s="10"/>
      <c r="L2890" s="10"/>
      <c r="M2890" s="10"/>
      <c r="N2890" s="10"/>
      <c r="O2890" s="21"/>
    </row>
    <row r="2891" spans="1:15" x14ac:dyDescent="0.35">
      <c r="A2891" s="15">
        <f t="shared" ref="A2891:A2954" si="45">+A2890+1</f>
        <v>2889</v>
      </c>
      <c r="B2891" s="16"/>
      <c r="C2891" s="19"/>
      <c r="D2891" s="10"/>
      <c r="E2891" s="10"/>
      <c r="F2891" s="47"/>
      <c r="G2891" s="10"/>
      <c r="H2891" s="20"/>
      <c r="I2891" s="20"/>
      <c r="J2891" s="10"/>
      <c r="K2891" s="10"/>
      <c r="L2891" s="10"/>
      <c r="M2891" s="10"/>
      <c r="N2891" s="10"/>
      <c r="O2891" s="21"/>
    </row>
    <row r="2892" spans="1:15" x14ac:dyDescent="0.35">
      <c r="A2892" s="15">
        <f t="shared" si="45"/>
        <v>2890</v>
      </c>
      <c r="B2892" s="16"/>
      <c r="C2892" s="19"/>
      <c r="D2892" s="10"/>
      <c r="E2892" s="10"/>
      <c r="F2892" s="47"/>
      <c r="G2892" s="10"/>
      <c r="H2892" s="20"/>
      <c r="I2892" s="20"/>
      <c r="J2892" s="10"/>
      <c r="K2892" s="10"/>
      <c r="L2892" s="10"/>
      <c r="M2892" s="10"/>
      <c r="N2892" s="10"/>
      <c r="O2892" s="21"/>
    </row>
    <row r="2893" spans="1:15" x14ac:dyDescent="0.35">
      <c r="A2893" s="15">
        <f t="shared" si="45"/>
        <v>2891</v>
      </c>
      <c r="B2893" s="16"/>
      <c r="C2893" s="19"/>
      <c r="D2893" s="10"/>
      <c r="E2893" s="10"/>
      <c r="F2893" s="47"/>
      <c r="G2893" s="10"/>
      <c r="H2893" s="20"/>
      <c r="I2893" s="20"/>
      <c r="J2893" s="10"/>
      <c r="K2893" s="10"/>
      <c r="L2893" s="10"/>
      <c r="M2893" s="10"/>
      <c r="N2893" s="10"/>
      <c r="O2893" s="21"/>
    </row>
    <row r="2894" spans="1:15" x14ac:dyDescent="0.35">
      <c r="A2894" s="15">
        <f t="shared" si="45"/>
        <v>2892</v>
      </c>
      <c r="B2894" s="16"/>
      <c r="C2894" s="19"/>
      <c r="D2894" s="10"/>
      <c r="E2894" s="10"/>
      <c r="F2894" s="47"/>
      <c r="G2894" s="10"/>
      <c r="H2894" s="20"/>
      <c r="I2894" s="20"/>
      <c r="J2894" s="10"/>
      <c r="K2894" s="10"/>
      <c r="L2894" s="10"/>
      <c r="M2894" s="10"/>
      <c r="N2894" s="10"/>
      <c r="O2894" s="21"/>
    </row>
    <row r="2895" spans="1:15" x14ac:dyDescent="0.35">
      <c r="A2895" s="15">
        <f t="shared" si="45"/>
        <v>2893</v>
      </c>
      <c r="B2895" s="16"/>
      <c r="C2895" s="19"/>
      <c r="D2895" s="10"/>
      <c r="E2895" s="10"/>
      <c r="F2895" s="47"/>
      <c r="G2895" s="10"/>
      <c r="H2895" s="20"/>
      <c r="I2895" s="20"/>
      <c r="J2895" s="10"/>
      <c r="K2895" s="10"/>
      <c r="L2895" s="10"/>
      <c r="M2895" s="10"/>
      <c r="N2895" s="10"/>
      <c r="O2895" s="21"/>
    </row>
    <row r="2896" spans="1:15" x14ac:dyDescent="0.35">
      <c r="A2896" s="15">
        <f t="shared" si="45"/>
        <v>2894</v>
      </c>
      <c r="B2896" s="16"/>
      <c r="C2896" s="19"/>
      <c r="D2896" s="10"/>
      <c r="E2896" s="10"/>
      <c r="F2896" s="47"/>
      <c r="G2896" s="10"/>
      <c r="H2896" s="20"/>
      <c r="I2896" s="20"/>
      <c r="J2896" s="10"/>
      <c r="K2896" s="10"/>
      <c r="L2896" s="10"/>
      <c r="M2896" s="10"/>
      <c r="N2896" s="10"/>
      <c r="O2896" s="21"/>
    </row>
    <row r="2897" spans="1:15" x14ac:dyDescent="0.35">
      <c r="A2897" s="15">
        <f t="shared" si="45"/>
        <v>2895</v>
      </c>
      <c r="B2897" s="16"/>
      <c r="C2897" s="19"/>
      <c r="D2897" s="10"/>
      <c r="E2897" s="10"/>
      <c r="F2897" s="47"/>
      <c r="G2897" s="10"/>
      <c r="H2897" s="20"/>
      <c r="I2897" s="20"/>
      <c r="J2897" s="10"/>
      <c r="K2897" s="10"/>
      <c r="L2897" s="10"/>
      <c r="M2897" s="10"/>
      <c r="N2897" s="10"/>
      <c r="O2897" s="21"/>
    </row>
    <row r="2898" spans="1:15" x14ac:dyDescent="0.35">
      <c r="A2898" s="15">
        <f t="shared" si="45"/>
        <v>2896</v>
      </c>
      <c r="B2898" s="16"/>
      <c r="C2898" s="19"/>
      <c r="D2898" s="10"/>
      <c r="E2898" s="10"/>
      <c r="F2898" s="47"/>
      <c r="G2898" s="10"/>
      <c r="H2898" s="20"/>
      <c r="I2898" s="20"/>
      <c r="J2898" s="10"/>
      <c r="K2898" s="10"/>
      <c r="L2898" s="10"/>
      <c r="M2898" s="10"/>
      <c r="N2898" s="10"/>
      <c r="O2898" s="21"/>
    </row>
    <row r="2899" spans="1:15" x14ac:dyDescent="0.35">
      <c r="A2899" s="15">
        <f t="shared" si="45"/>
        <v>2897</v>
      </c>
      <c r="B2899" s="16"/>
      <c r="C2899" s="19"/>
      <c r="D2899" s="10"/>
      <c r="E2899" s="10"/>
      <c r="F2899" s="47"/>
      <c r="G2899" s="10"/>
      <c r="H2899" s="20"/>
      <c r="I2899" s="20"/>
      <c r="J2899" s="10"/>
      <c r="K2899" s="10"/>
      <c r="L2899" s="10"/>
      <c r="M2899" s="10"/>
      <c r="N2899" s="10"/>
      <c r="O2899" s="21"/>
    </row>
    <row r="2900" spans="1:15" x14ac:dyDescent="0.35">
      <c r="A2900" s="15">
        <f t="shared" si="45"/>
        <v>2898</v>
      </c>
      <c r="B2900" s="16"/>
      <c r="C2900" s="19"/>
      <c r="D2900" s="10"/>
      <c r="E2900" s="10"/>
      <c r="F2900" s="47"/>
      <c r="G2900" s="10"/>
      <c r="H2900" s="20"/>
      <c r="I2900" s="20"/>
      <c r="J2900" s="10"/>
      <c r="K2900" s="10"/>
      <c r="L2900" s="10"/>
      <c r="M2900" s="10"/>
      <c r="N2900" s="10"/>
      <c r="O2900" s="21"/>
    </row>
    <row r="2901" spans="1:15" x14ac:dyDescent="0.35">
      <c r="A2901" s="15">
        <f t="shared" si="45"/>
        <v>2899</v>
      </c>
      <c r="B2901" s="16"/>
      <c r="C2901" s="19"/>
      <c r="D2901" s="10"/>
      <c r="E2901" s="10"/>
      <c r="F2901" s="47"/>
      <c r="G2901" s="10"/>
      <c r="H2901" s="20"/>
      <c r="I2901" s="20"/>
      <c r="J2901" s="10"/>
      <c r="K2901" s="10"/>
      <c r="L2901" s="10"/>
      <c r="M2901" s="10"/>
      <c r="N2901" s="10"/>
      <c r="O2901" s="21"/>
    </row>
    <row r="2902" spans="1:15" x14ac:dyDescent="0.35">
      <c r="A2902" s="15">
        <f t="shared" si="45"/>
        <v>2900</v>
      </c>
      <c r="B2902" s="16"/>
      <c r="C2902" s="19"/>
      <c r="D2902" s="10"/>
      <c r="E2902" s="10"/>
      <c r="F2902" s="47"/>
      <c r="G2902" s="10"/>
      <c r="H2902" s="20"/>
      <c r="I2902" s="20"/>
      <c r="J2902" s="10"/>
      <c r="K2902" s="10"/>
      <c r="L2902" s="10"/>
      <c r="M2902" s="10"/>
      <c r="N2902" s="10"/>
      <c r="O2902" s="21"/>
    </row>
    <row r="2903" spans="1:15" x14ac:dyDescent="0.35">
      <c r="A2903" s="15">
        <f t="shared" si="45"/>
        <v>2901</v>
      </c>
      <c r="B2903" s="16"/>
      <c r="C2903" s="19"/>
      <c r="D2903" s="10"/>
      <c r="E2903" s="10"/>
      <c r="F2903" s="47"/>
      <c r="G2903" s="10"/>
      <c r="H2903" s="20"/>
      <c r="I2903" s="20"/>
      <c r="J2903" s="10"/>
      <c r="K2903" s="10"/>
      <c r="L2903" s="10"/>
      <c r="M2903" s="10"/>
      <c r="N2903" s="10"/>
      <c r="O2903" s="21"/>
    </row>
    <row r="2904" spans="1:15" x14ac:dyDescent="0.35">
      <c r="A2904" s="15">
        <f t="shared" si="45"/>
        <v>2902</v>
      </c>
      <c r="B2904" s="16"/>
      <c r="C2904" s="19"/>
      <c r="D2904" s="10"/>
      <c r="E2904" s="10"/>
      <c r="F2904" s="47"/>
      <c r="G2904" s="10"/>
      <c r="H2904" s="20"/>
      <c r="I2904" s="20"/>
      <c r="J2904" s="10"/>
      <c r="K2904" s="10"/>
      <c r="L2904" s="10"/>
      <c r="M2904" s="10"/>
      <c r="N2904" s="10"/>
      <c r="O2904" s="21"/>
    </row>
    <row r="2905" spans="1:15" x14ac:dyDescent="0.35">
      <c r="A2905" s="15">
        <f t="shared" si="45"/>
        <v>2903</v>
      </c>
      <c r="B2905" s="16"/>
      <c r="C2905" s="19"/>
      <c r="D2905" s="10"/>
      <c r="E2905" s="10"/>
      <c r="F2905" s="47"/>
      <c r="G2905" s="10"/>
      <c r="H2905" s="20"/>
      <c r="I2905" s="20"/>
      <c r="J2905" s="10"/>
      <c r="K2905" s="10"/>
      <c r="L2905" s="10"/>
      <c r="M2905" s="10"/>
      <c r="N2905" s="10"/>
      <c r="O2905" s="21"/>
    </row>
    <row r="2906" spans="1:15" x14ac:dyDescent="0.35">
      <c r="A2906" s="15">
        <f t="shared" si="45"/>
        <v>2904</v>
      </c>
      <c r="B2906" s="16"/>
      <c r="C2906" s="19"/>
      <c r="D2906" s="10"/>
      <c r="E2906" s="10"/>
      <c r="F2906" s="47"/>
      <c r="G2906" s="10"/>
      <c r="H2906" s="20"/>
      <c r="I2906" s="20"/>
      <c r="J2906" s="10"/>
      <c r="K2906" s="10"/>
      <c r="L2906" s="10"/>
      <c r="M2906" s="10"/>
      <c r="N2906" s="10"/>
      <c r="O2906" s="21"/>
    </row>
    <row r="2907" spans="1:15" x14ac:dyDescent="0.35">
      <c r="A2907" s="15">
        <f t="shared" si="45"/>
        <v>2905</v>
      </c>
      <c r="B2907" s="16"/>
      <c r="C2907" s="19"/>
      <c r="D2907" s="10"/>
      <c r="E2907" s="10"/>
      <c r="F2907" s="47"/>
      <c r="G2907" s="10"/>
      <c r="H2907" s="20"/>
      <c r="I2907" s="20"/>
      <c r="J2907" s="10"/>
      <c r="K2907" s="10"/>
      <c r="L2907" s="10"/>
      <c r="M2907" s="10"/>
      <c r="N2907" s="10"/>
      <c r="O2907" s="21"/>
    </row>
    <row r="2908" spans="1:15" x14ac:dyDescent="0.35">
      <c r="A2908" s="15">
        <f t="shared" si="45"/>
        <v>2906</v>
      </c>
      <c r="B2908" s="16"/>
      <c r="C2908" s="19"/>
      <c r="D2908" s="10"/>
      <c r="E2908" s="10"/>
      <c r="F2908" s="47"/>
      <c r="G2908" s="10"/>
      <c r="H2908" s="20"/>
      <c r="I2908" s="20"/>
      <c r="J2908" s="10"/>
      <c r="K2908" s="10"/>
      <c r="L2908" s="10"/>
      <c r="M2908" s="10"/>
      <c r="N2908" s="10"/>
      <c r="O2908" s="21"/>
    </row>
    <row r="2909" spans="1:15" x14ac:dyDescent="0.35">
      <c r="A2909" s="15">
        <f t="shared" si="45"/>
        <v>2907</v>
      </c>
      <c r="B2909" s="16"/>
      <c r="C2909" s="19"/>
      <c r="D2909" s="10"/>
      <c r="E2909" s="10"/>
      <c r="F2909" s="47"/>
      <c r="G2909" s="10"/>
      <c r="H2909" s="20"/>
      <c r="I2909" s="20"/>
      <c r="J2909" s="10"/>
      <c r="K2909" s="10"/>
      <c r="L2909" s="10"/>
      <c r="M2909" s="10"/>
      <c r="N2909" s="10"/>
      <c r="O2909" s="21"/>
    </row>
    <row r="2910" spans="1:15" x14ac:dyDescent="0.35">
      <c r="A2910" s="15">
        <f t="shared" si="45"/>
        <v>2908</v>
      </c>
      <c r="B2910" s="16"/>
      <c r="C2910" s="19"/>
      <c r="D2910" s="10"/>
      <c r="E2910" s="10"/>
      <c r="F2910" s="47"/>
      <c r="G2910" s="10"/>
      <c r="H2910" s="20"/>
      <c r="I2910" s="20"/>
      <c r="J2910" s="10"/>
      <c r="K2910" s="10"/>
      <c r="L2910" s="10"/>
      <c r="M2910" s="10"/>
      <c r="N2910" s="10"/>
      <c r="O2910" s="21"/>
    </row>
    <row r="2911" spans="1:15" x14ac:dyDescent="0.35">
      <c r="A2911" s="15">
        <f t="shared" si="45"/>
        <v>2909</v>
      </c>
      <c r="B2911" s="16"/>
      <c r="C2911" s="19"/>
      <c r="D2911" s="10"/>
      <c r="E2911" s="10"/>
      <c r="F2911" s="47"/>
      <c r="G2911" s="10"/>
      <c r="H2911" s="20"/>
      <c r="I2911" s="20"/>
      <c r="J2911" s="10"/>
      <c r="K2911" s="10"/>
      <c r="L2911" s="10"/>
      <c r="M2911" s="10"/>
      <c r="N2911" s="10"/>
      <c r="O2911" s="21"/>
    </row>
    <row r="2912" spans="1:15" x14ac:dyDescent="0.35">
      <c r="A2912" s="15">
        <f t="shared" si="45"/>
        <v>2910</v>
      </c>
      <c r="B2912" s="16"/>
      <c r="C2912" s="19"/>
      <c r="D2912" s="10"/>
      <c r="E2912" s="10"/>
      <c r="F2912" s="47"/>
      <c r="G2912" s="10"/>
      <c r="H2912" s="20"/>
      <c r="I2912" s="20"/>
      <c r="J2912" s="10"/>
      <c r="K2912" s="10"/>
      <c r="L2912" s="10"/>
      <c r="M2912" s="10"/>
      <c r="N2912" s="10"/>
      <c r="O2912" s="21"/>
    </row>
    <row r="2913" spans="1:15" x14ac:dyDescent="0.35">
      <c r="A2913" s="15">
        <f t="shared" si="45"/>
        <v>2911</v>
      </c>
      <c r="B2913" s="16"/>
      <c r="C2913" s="19"/>
      <c r="D2913" s="10"/>
      <c r="E2913" s="10"/>
      <c r="F2913" s="47"/>
      <c r="G2913" s="10"/>
      <c r="H2913" s="20"/>
      <c r="I2913" s="20"/>
      <c r="J2913" s="10"/>
      <c r="K2913" s="10"/>
      <c r="L2913" s="10"/>
      <c r="M2913" s="10"/>
      <c r="N2913" s="10"/>
      <c r="O2913" s="21"/>
    </row>
    <row r="2914" spans="1:15" x14ac:dyDescent="0.35">
      <c r="A2914" s="15">
        <f t="shared" si="45"/>
        <v>2912</v>
      </c>
      <c r="B2914" s="16"/>
      <c r="C2914" s="19"/>
      <c r="D2914" s="10"/>
      <c r="E2914" s="10"/>
      <c r="F2914" s="47"/>
      <c r="G2914" s="10"/>
      <c r="H2914" s="20"/>
      <c r="I2914" s="20"/>
      <c r="J2914" s="10"/>
      <c r="K2914" s="10"/>
      <c r="L2914" s="10"/>
      <c r="M2914" s="10"/>
      <c r="N2914" s="10"/>
      <c r="O2914" s="21"/>
    </row>
    <row r="2915" spans="1:15" x14ac:dyDescent="0.35">
      <c r="A2915" s="15">
        <f t="shared" si="45"/>
        <v>2913</v>
      </c>
      <c r="B2915" s="16"/>
      <c r="C2915" s="19"/>
      <c r="D2915" s="10"/>
      <c r="E2915" s="10"/>
      <c r="F2915" s="47"/>
      <c r="G2915" s="10"/>
      <c r="H2915" s="20"/>
      <c r="I2915" s="20"/>
      <c r="J2915" s="10"/>
      <c r="K2915" s="10"/>
      <c r="L2915" s="10"/>
      <c r="M2915" s="10"/>
      <c r="N2915" s="10"/>
      <c r="O2915" s="21"/>
    </row>
    <row r="2916" spans="1:15" x14ac:dyDescent="0.35">
      <c r="A2916" s="15">
        <f t="shared" si="45"/>
        <v>2914</v>
      </c>
      <c r="B2916" s="16"/>
      <c r="C2916" s="19"/>
      <c r="D2916" s="10"/>
      <c r="E2916" s="10"/>
      <c r="F2916" s="47"/>
      <c r="G2916" s="10"/>
      <c r="H2916" s="20"/>
      <c r="I2916" s="20"/>
      <c r="J2916" s="10"/>
      <c r="K2916" s="10"/>
      <c r="L2916" s="10"/>
      <c r="M2916" s="10"/>
      <c r="N2916" s="10"/>
      <c r="O2916" s="21"/>
    </row>
    <row r="2917" spans="1:15" x14ac:dyDescent="0.35">
      <c r="A2917" s="15">
        <f t="shared" si="45"/>
        <v>2915</v>
      </c>
      <c r="B2917" s="16"/>
      <c r="C2917" s="19"/>
      <c r="D2917" s="10"/>
      <c r="E2917" s="10"/>
      <c r="F2917" s="47"/>
      <c r="G2917" s="10"/>
      <c r="H2917" s="20"/>
      <c r="I2917" s="20"/>
      <c r="J2917" s="10"/>
      <c r="K2917" s="10"/>
      <c r="L2917" s="10"/>
      <c r="M2917" s="10"/>
      <c r="N2917" s="10"/>
      <c r="O2917" s="21"/>
    </row>
    <row r="2918" spans="1:15" x14ac:dyDescent="0.35">
      <c r="A2918" s="15">
        <f t="shared" si="45"/>
        <v>2916</v>
      </c>
      <c r="B2918" s="16"/>
      <c r="C2918" s="19"/>
      <c r="D2918" s="10"/>
      <c r="E2918" s="10"/>
      <c r="F2918" s="47"/>
      <c r="G2918" s="10"/>
      <c r="H2918" s="20"/>
      <c r="I2918" s="20"/>
      <c r="J2918" s="10"/>
      <c r="K2918" s="10"/>
      <c r="L2918" s="10"/>
      <c r="M2918" s="10"/>
      <c r="N2918" s="10"/>
      <c r="O2918" s="21"/>
    </row>
    <row r="2919" spans="1:15" x14ac:dyDescent="0.35">
      <c r="A2919" s="15">
        <f t="shared" si="45"/>
        <v>2917</v>
      </c>
      <c r="B2919" s="16"/>
      <c r="C2919" s="19"/>
      <c r="D2919" s="10"/>
      <c r="E2919" s="10"/>
      <c r="F2919" s="47"/>
      <c r="G2919" s="10"/>
      <c r="H2919" s="20"/>
      <c r="I2919" s="20"/>
      <c r="J2919" s="10"/>
      <c r="K2919" s="10"/>
      <c r="L2919" s="10"/>
      <c r="M2919" s="10"/>
      <c r="N2919" s="10"/>
      <c r="O2919" s="21"/>
    </row>
    <row r="2920" spans="1:15" x14ac:dyDescent="0.35">
      <c r="A2920" s="15">
        <f t="shared" si="45"/>
        <v>2918</v>
      </c>
      <c r="B2920" s="16"/>
      <c r="C2920" s="19"/>
      <c r="D2920" s="10"/>
      <c r="E2920" s="10"/>
      <c r="F2920" s="47"/>
      <c r="G2920" s="10"/>
      <c r="H2920" s="20"/>
      <c r="I2920" s="20"/>
      <c r="J2920" s="10"/>
      <c r="K2920" s="10"/>
      <c r="L2920" s="10"/>
      <c r="M2920" s="10"/>
      <c r="N2920" s="10"/>
      <c r="O2920" s="21"/>
    </row>
    <row r="2921" spans="1:15" x14ac:dyDescent="0.35">
      <c r="A2921" s="15">
        <f t="shared" si="45"/>
        <v>2919</v>
      </c>
      <c r="B2921" s="16"/>
      <c r="C2921" s="19"/>
      <c r="D2921" s="10"/>
      <c r="E2921" s="10"/>
      <c r="F2921" s="47"/>
      <c r="G2921" s="10"/>
      <c r="H2921" s="20"/>
      <c r="I2921" s="20"/>
      <c r="J2921" s="10"/>
      <c r="K2921" s="10"/>
      <c r="L2921" s="10"/>
      <c r="M2921" s="10"/>
      <c r="N2921" s="10"/>
      <c r="O2921" s="21"/>
    </row>
    <row r="2922" spans="1:15" x14ac:dyDescent="0.35">
      <c r="A2922" s="15">
        <f t="shared" si="45"/>
        <v>2920</v>
      </c>
      <c r="B2922" s="16"/>
      <c r="C2922" s="19"/>
      <c r="D2922" s="10"/>
      <c r="E2922" s="10"/>
      <c r="F2922" s="47"/>
      <c r="G2922" s="10"/>
      <c r="H2922" s="20"/>
      <c r="I2922" s="20"/>
      <c r="J2922" s="10"/>
      <c r="K2922" s="10"/>
      <c r="L2922" s="10"/>
      <c r="M2922" s="10"/>
      <c r="N2922" s="10"/>
      <c r="O2922" s="21"/>
    </row>
    <row r="2923" spans="1:15" x14ac:dyDescent="0.35">
      <c r="A2923" s="15">
        <f t="shared" si="45"/>
        <v>2921</v>
      </c>
      <c r="B2923" s="16"/>
      <c r="C2923" s="19"/>
      <c r="D2923" s="10"/>
      <c r="E2923" s="10"/>
      <c r="F2923" s="47"/>
      <c r="G2923" s="10"/>
      <c r="H2923" s="20"/>
      <c r="I2923" s="20"/>
      <c r="J2923" s="10"/>
      <c r="K2923" s="10"/>
      <c r="L2923" s="10"/>
      <c r="M2923" s="10"/>
      <c r="N2923" s="10"/>
      <c r="O2923" s="21"/>
    </row>
    <row r="2924" spans="1:15" x14ac:dyDescent="0.35">
      <c r="A2924" s="15">
        <f t="shared" si="45"/>
        <v>2922</v>
      </c>
      <c r="B2924" s="16"/>
      <c r="C2924" s="19"/>
      <c r="D2924" s="10"/>
      <c r="E2924" s="10"/>
      <c r="F2924" s="47"/>
      <c r="G2924" s="10"/>
      <c r="H2924" s="20"/>
      <c r="I2924" s="20"/>
      <c r="J2924" s="10"/>
      <c r="K2924" s="10"/>
      <c r="L2924" s="10"/>
      <c r="M2924" s="10"/>
      <c r="N2924" s="10"/>
      <c r="O2924" s="21"/>
    </row>
    <row r="2925" spans="1:15" x14ac:dyDescent="0.35">
      <c r="A2925" s="15">
        <f t="shared" si="45"/>
        <v>2923</v>
      </c>
      <c r="B2925" s="16"/>
      <c r="C2925" s="19"/>
      <c r="D2925" s="10"/>
      <c r="E2925" s="10"/>
      <c r="F2925" s="47"/>
      <c r="G2925" s="10"/>
      <c r="H2925" s="20"/>
      <c r="I2925" s="20"/>
      <c r="J2925" s="10"/>
      <c r="K2925" s="10"/>
      <c r="L2925" s="10"/>
      <c r="M2925" s="10"/>
      <c r="N2925" s="10"/>
      <c r="O2925" s="21"/>
    </row>
    <row r="2926" spans="1:15" x14ac:dyDescent="0.35">
      <c r="A2926" s="15">
        <f t="shared" si="45"/>
        <v>2924</v>
      </c>
      <c r="B2926" s="16"/>
      <c r="C2926" s="19"/>
      <c r="D2926" s="10"/>
      <c r="E2926" s="10"/>
      <c r="F2926" s="47"/>
      <c r="G2926" s="10"/>
      <c r="H2926" s="20"/>
      <c r="I2926" s="20"/>
      <c r="J2926" s="10"/>
      <c r="K2926" s="10"/>
      <c r="L2926" s="10"/>
      <c r="M2926" s="10"/>
      <c r="N2926" s="10"/>
      <c r="O2926" s="21"/>
    </row>
    <row r="2927" spans="1:15" x14ac:dyDescent="0.35">
      <c r="A2927" s="15">
        <f t="shared" si="45"/>
        <v>2925</v>
      </c>
      <c r="B2927" s="16"/>
      <c r="C2927" s="19"/>
      <c r="D2927" s="10"/>
      <c r="E2927" s="10"/>
      <c r="F2927" s="47"/>
      <c r="G2927" s="10"/>
      <c r="H2927" s="20"/>
      <c r="I2927" s="20"/>
      <c r="J2927" s="10"/>
      <c r="K2927" s="10"/>
      <c r="L2927" s="10"/>
      <c r="M2927" s="10"/>
      <c r="N2927" s="10"/>
      <c r="O2927" s="21"/>
    </row>
    <row r="2928" spans="1:15" x14ac:dyDescent="0.35">
      <c r="A2928" s="15">
        <f t="shared" si="45"/>
        <v>2926</v>
      </c>
      <c r="B2928" s="16"/>
      <c r="C2928" s="19"/>
      <c r="D2928" s="10"/>
      <c r="E2928" s="10"/>
      <c r="F2928" s="47"/>
      <c r="G2928" s="10"/>
      <c r="H2928" s="20"/>
      <c r="I2928" s="20"/>
      <c r="J2928" s="10"/>
      <c r="K2928" s="10"/>
      <c r="L2928" s="10"/>
      <c r="M2928" s="10"/>
      <c r="N2928" s="10"/>
      <c r="O2928" s="21"/>
    </row>
    <row r="2929" spans="1:15" x14ac:dyDescent="0.35">
      <c r="A2929" s="15">
        <f t="shared" si="45"/>
        <v>2927</v>
      </c>
      <c r="B2929" s="16"/>
      <c r="C2929" s="19"/>
      <c r="D2929" s="10"/>
      <c r="E2929" s="10"/>
      <c r="F2929" s="47"/>
      <c r="G2929" s="10"/>
      <c r="H2929" s="20"/>
      <c r="I2929" s="20"/>
      <c r="J2929" s="10"/>
      <c r="K2929" s="10"/>
      <c r="L2929" s="10"/>
      <c r="M2929" s="10"/>
      <c r="N2929" s="10"/>
      <c r="O2929" s="21"/>
    </row>
    <row r="2930" spans="1:15" x14ac:dyDescent="0.35">
      <c r="A2930" s="15">
        <f t="shared" si="45"/>
        <v>2928</v>
      </c>
      <c r="B2930" s="16"/>
      <c r="C2930" s="19"/>
      <c r="D2930" s="10"/>
      <c r="E2930" s="10"/>
      <c r="F2930" s="47"/>
      <c r="G2930" s="10"/>
      <c r="H2930" s="20"/>
      <c r="I2930" s="20"/>
      <c r="J2930" s="10"/>
      <c r="K2930" s="10"/>
      <c r="L2930" s="10"/>
      <c r="M2930" s="10"/>
      <c r="N2930" s="10"/>
      <c r="O2930" s="21"/>
    </row>
    <row r="2931" spans="1:15" x14ac:dyDescent="0.35">
      <c r="A2931" s="15">
        <f t="shared" si="45"/>
        <v>2929</v>
      </c>
      <c r="B2931" s="16"/>
      <c r="C2931" s="19"/>
      <c r="D2931" s="10"/>
      <c r="E2931" s="10"/>
      <c r="F2931" s="47"/>
      <c r="G2931" s="10"/>
      <c r="H2931" s="20"/>
      <c r="I2931" s="20"/>
      <c r="J2931" s="10"/>
      <c r="K2931" s="10"/>
      <c r="L2931" s="10"/>
      <c r="M2931" s="10"/>
      <c r="N2931" s="10"/>
      <c r="O2931" s="21"/>
    </row>
    <row r="2932" spans="1:15" x14ac:dyDescent="0.35">
      <c r="A2932" s="15">
        <f t="shared" si="45"/>
        <v>2930</v>
      </c>
      <c r="B2932" s="16"/>
      <c r="C2932" s="19"/>
      <c r="D2932" s="10"/>
      <c r="E2932" s="10"/>
      <c r="F2932" s="47"/>
      <c r="G2932" s="10"/>
      <c r="H2932" s="20"/>
      <c r="I2932" s="20"/>
      <c r="J2932" s="10"/>
      <c r="K2932" s="10"/>
      <c r="L2932" s="10"/>
      <c r="M2932" s="10"/>
      <c r="N2932" s="10"/>
      <c r="O2932" s="21"/>
    </row>
    <row r="2933" spans="1:15" x14ac:dyDescent="0.35">
      <c r="A2933" s="15">
        <f t="shared" si="45"/>
        <v>2931</v>
      </c>
      <c r="B2933" s="16"/>
      <c r="C2933" s="19"/>
      <c r="D2933" s="10"/>
      <c r="E2933" s="10"/>
      <c r="F2933" s="47"/>
      <c r="G2933" s="10"/>
      <c r="H2933" s="20"/>
      <c r="I2933" s="20"/>
      <c r="J2933" s="10"/>
      <c r="K2933" s="10"/>
      <c r="L2933" s="10"/>
      <c r="M2933" s="10"/>
      <c r="N2933" s="10"/>
      <c r="O2933" s="21"/>
    </row>
    <row r="2934" spans="1:15" x14ac:dyDescent="0.35">
      <c r="A2934" s="15">
        <f t="shared" si="45"/>
        <v>2932</v>
      </c>
      <c r="B2934" s="16"/>
      <c r="C2934" s="19"/>
      <c r="D2934" s="10"/>
      <c r="E2934" s="10"/>
      <c r="F2934" s="47"/>
      <c r="G2934" s="10"/>
      <c r="H2934" s="20"/>
      <c r="I2934" s="20"/>
      <c r="J2934" s="10"/>
      <c r="K2934" s="10"/>
      <c r="L2934" s="10"/>
      <c r="M2934" s="10"/>
      <c r="N2934" s="10"/>
      <c r="O2934" s="21"/>
    </row>
    <row r="2935" spans="1:15" x14ac:dyDescent="0.35">
      <c r="A2935" s="15">
        <f t="shared" si="45"/>
        <v>2933</v>
      </c>
      <c r="B2935" s="16"/>
      <c r="C2935" s="19"/>
      <c r="D2935" s="10"/>
      <c r="E2935" s="10"/>
      <c r="F2935" s="47"/>
      <c r="G2935" s="10"/>
      <c r="H2935" s="20"/>
      <c r="I2935" s="20"/>
      <c r="J2935" s="10"/>
      <c r="K2935" s="10"/>
      <c r="L2935" s="10"/>
      <c r="M2935" s="10"/>
      <c r="N2935" s="10"/>
      <c r="O2935" s="21"/>
    </row>
    <row r="2936" spans="1:15" x14ac:dyDescent="0.35">
      <c r="A2936" s="15">
        <f t="shared" si="45"/>
        <v>2934</v>
      </c>
      <c r="B2936" s="16"/>
      <c r="C2936" s="19"/>
      <c r="D2936" s="10"/>
      <c r="E2936" s="10"/>
      <c r="F2936" s="47"/>
      <c r="G2936" s="10"/>
      <c r="H2936" s="20"/>
      <c r="I2936" s="20"/>
      <c r="J2936" s="10"/>
      <c r="K2936" s="10"/>
      <c r="L2936" s="10"/>
      <c r="M2936" s="10"/>
      <c r="N2936" s="10"/>
      <c r="O2936" s="21"/>
    </row>
    <row r="2937" spans="1:15" x14ac:dyDescent="0.35">
      <c r="A2937" s="15">
        <f t="shared" si="45"/>
        <v>2935</v>
      </c>
      <c r="B2937" s="16"/>
      <c r="C2937" s="19"/>
      <c r="D2937" s="10"/>
      <c r="E2937" s="10"/>
      <c r="F2937" s="47"/>
      <c r="G2937" s="10"/>
      <c r="H2937" s="20"/>
      <c r="I2937" s="20"/>
      <c r="J2937" s="10"/>
      <c r="K2937" s="10"/>
      <c r="L2937" s="10"/>
      <c r="M2937" s="10"/>
      <c r="N2937" s="10"/>
      <c r="O2937" s="21"/>
    </row>
    <row r="2938" spans="1:15" x14ac:dyDescent="0.35">
      <c r="A2938" s="15">
        <f t="shared" si="45"/>
        <v>2936</v>
      </c>
      <c r="B2938" s="16"/>
      <c r="C2938" s="19"/>
      <c r="D2938" s="10"/>
      <c r="E2938" s="10"/>
      <c r="F2938" s="47"/>
      <c r="G2938" s="10"/>
      <c r="H2938" s="20"/>
      <c r="I2938" s="20"/>
      <c r="J2938" s="10"/>
      <c r="K2938" s="10"/>
      <c r="L2938" s="10"/>
      <c r="M2938" s="10"/>
      <c r="N2938" s="10"/>
      <c r="O2938" s="21"/>
    </row>
    <row r="2939" spans="1:15" x14ac:dyDescent="0.35">
      <c r="A2939" s="15">
        <f t="shared" si="45"/>
        <v>2937</v>
      </c>
      <c r="B2939" s="16"/>
      <c r="C2939" s="19"/>
      <c r="D2939" s="10"/>
      <c r="E2939" s="10"/>
      <c r="F2939" s="47"/>
      <c r="G2939" s="10"/>
      <c r="H2939" s="20"/>
      <c r="I2939" s="20"/>
      <c r="J2939" s="10"/>
      <c r="K2939" s="10"/>
      <c r="L2939" s="10"/>
      <c r="M2939" s="10"/>
      <c r="N2939" s="10"/>
      <c r="O2939" s="21"/>
    </row>
    <row r="2940" spans="1:15" x14ac:dyDescent="0.35">
      <c r="A2940" s="15">
        <f t="shared" si="45"/>
        <v>2938</v>
      </c>
      <c r="B2940" s="16"/>
      <c r="C2940" s="19"/>
      <c r="D2940" s="10"/>
      <c r="E2940" s="10"/>
      <c r="F2940" s="47"/>
      <c r="G2940" s="10"/>
      <c r="H2940" s="20"/>
      <c r="I2940" s="20"/>
      <c r="J2940" s="10"/>
      <c r="K2940" s="10"/>
      <c r="L2940" s="10"/>
      <c r="M2940" s="10"/>
      <c r="N2940" s="10"/>
      <c r="O2940" s="21"/>
    </row>
    <row r="2941" spans="1:15" x14ac:dyDescent="0.35">
      <c r="A2941" s="15">
        <f t="shared" si="45"/>
        <v>2939</v>
      </c>
      <c r="B2941" s="16"/>
      <c r="C2941" s="19"/>
      <c r="D2941" s="10"/>
      <c r="E2941" s="10"/>
      <c r="F2941" s="47"/>
      <c r="G2941" s="10"/>
      <c r="H2941" s="20"/>
      <c r="I2941" s="20"/>
      <c r="J2941" s="10"/>
      <c r="K2941" s="10"/>
      <c r="L2941" s="10"/>
      <c r="M2941" s="10"/>
      <c r="N2941" s="10"/>
      <c r="O2941" s="21"/>
    </row>
    <row r="2942" spans="1:15" x14ac:dyDescent="0.35">
      <c r="A2942" s="15">
        <f t="shared" si="45"/>
        <v>2940</v>
      </c>
      <c r="B2942" s="16"/>
      <c r="C2942" s="19"/>
      <c r="D2942" s="10"/>
      <c r="E2942" s="10"/>
      <c r="F2942" s="47"/>
      <c r="G2942" s="10"/>
      <c r="H2942" s="20"/>
      <c r="I2942" s="20"/>
      <c r="J2942" s="10"/>
      <c r="K2942" s="10"/>
      <c r="L2942" s="10"/>
      <c r="M2942" s="10"/>
      <c r="N2942" s="10"/>
      <c r="O2942" s="21"/>
    </row>
    <row r="2943" spans="1:15" x14ac:dyDescent="0.35">
      <c r="A2943" s="15">
        <f t="shared" si="45"/>
        <v>2941</v>
      </c>
      <c r="B2943" s="16"/>
      <c r="C2943" s="19"/>
      <c r="D2943" s="10"/>
      <c r="E2943" s="10"/>
      <c r="F2943" s="47"/>
      <c r="G2943" s="10"/>
      <c r="H2943" s="20"/>
      <c r="I2943" s="20"/>
      <c r="J2943" s="10"/>
      <c r="K2943" s="10"/>
      <c r="L2943" s="10"/>
      <c r="M2943" s="10"/>
      <c r="N2943" s="10"/>
      <c r="O2943" s="21"/>
    </row>
    <row r="2944" spans="1:15" x14ac:dyDescent="0.35">
      <c r="A2944" s="15">
        <f t="shared" si="45"/>
        <v>2942</v>
      </c>
      <c r="B2944" s="16"/>
      <c r="C2944" s="19"/>
      <c r="D2944" s="10"/>
      <c r="E2944" s="10"/>
      <c r="F2944" s="47"/>
      <c r="G2944" s="10"/>
      <c r="H2944" s="20"/>
      <c r="I2944" s="20"/>
      <c r="J2944" s="10"/>
      <c r="K2944" s="10"/>
      <c r="L2944" s="10"/>
      <c r="M2944" s="10"/>
      <c r="N2944" s="10"/>
      <c r="O2944" s="21"/>
    </row>
    <row r="2945" spans="1:15" x14ac:dyDescent="0.35">
      <c r="A2945" s="15">
        <f t="shared" si="45"/>
        <v>2943</v>
      </c>
      <c r="B2945" s="16"/>
      <c r="C2945" s="19"/>
      <c r="D2945" s="10"/>
      <c r="E2945" s="10"/>
      <c r="F2945" s="47"/>
      <c r="G2945" s="10"/>
      <c r="H2945" s="20"/>
      <c r="I2945" s="20"/>
      <c r="J2945" s="10"/>
      <c r="K2945" s="10"/>
      <c r="L2945" s="10"/>
      <c r="M2945" s="10"/>
      <c r="N2945" s="10"/>
      <c r="O2945" s="21"/>
    </row>
    <row r="2946" spans="1:15" x14ac:dyDescent="0.35">
      <c r="A2946" s="15">
        <f t="shared" si="45"/>
        <v>2944</v>
      </c>
      <c r="B2946" s="16"/>
      <c r="C2946" s="19"/>
      <c r="D2946" s="10"/>
      <c r="E2946" s="10"/>
      <c r="F2946" s="47"/>
      <c r="G2946" s="10"/>
      <c r="H2946" s="20"/>
      <c r="I2946" s="20"/>
      <c r="J2946" s="10"/>
      <c r="K2946" s="10"/>
      <c r="L2946" s="10"/>
      <c r="M2946" s="10"/>
      <c r="N2946" s="10"/>
      <c r="O2946" s="21"/>
    </row>
    <row r="2947" spans="1:15" x14ac:dyDescent="0.35">
      <c r="A2947" s="15">
        <f t="shared" si="45"/>
        <v>2945</v>
      </c>
      <c r="B2947" s="16"/>
      <c r="C2947" s="19"/>
      <c r="D2947" s="10"/>
      <c r="E2947" s="10"/>
      <c r="F2947" s="47"/>
      <c r="G2947" s="10"/>
      <c r="H2947" s="20"/>
      <c r="I2947" s="20"/>
      <c r="J2947" s="10"/>
      <c r="K2947" s="10"/>
      <c r="L2947" s="10"/>
      <c r="M2947" s="10"/>
      <c r="N2947" s="10"/>
      <c r="O2947" s="21"/>
    </row>
    <row r="2948" spans="1:15" x14ac:dyDescent="0.35">
      <c r="A2948" s="15">
        <f t="shared" si="45"/>
        <v>2946</v>
      </c>
      <c r="B2948" s="16"/>
      <c r="C2948" s="19"/>
      <c r="D2948" s="10"/>
      <c r="E2948" s="10"/>
      <c r="F2948" s="47"/>
      <c r="G2948" s="10"/>
      <c r="H2948" s="20"/>
      <c r="I2948" s="20"/>
      <c r="J2948" s="10"/>
      <c r="K2948" s="10"/>
      <c r="L2948" s="10"/>
      <c r="M2948" s="10"/>
      <c r="N2948" s="10"/>
      <c r="O2948" s="21"/>
    </row>
    <row r="2949" spans="1:15" x14ac:dyDescent="0.35">
      <c r="A2949" s="15">
        <f t="shared" si="45"/>
        <v>2947</v>
      </c>
      <c r="B2949" s="16"/>
      <c r="C2949" s="19"/>
      <c r="D2949" s="10"/>
      <c r="E2949" s="10"/>
      <c r="F2949" s="47"/>
      <c r="G2949" s="10"/>
      <c r="H2949" s="20"/>
      <c r="I2949" s="20"/>
      <c r="J2949" s="10"/>
      <c r="K2949" s="10"/>
      <c r="L2949" s="10"/>
      <c r="M2949" s="10"/>
      <c r="N2949" s="10"/>
      <c r="O2949" s="21"/>
    </row>
    <row r="2950" spans="1:15" x14ac:dyDescent="0.35">
      <c r="A2950" s="15">
        <f t="shared" si="45"/>
        <v>2948</v>
      </c>
      <c r="B2950" s="16"/>
      <c r="C2950" s="19"/>
      <c r="D2950" s="10"/>
      <c r="E2950" s="10"/>
      <c r="F2950" s="47"/>
      <c r="G2950" s="10"/>
      <c r="H2950" s="20"/>
      <c r="I2950" s="20"/>
      <c r="J2950" s="10"/>
      <c r="K2950" s="10"/>
      <c r="L2950" s="10"/>
      <c r="M2950" s="10"/>
      <c r="N2950" s="10"/>
      <c r="O2950" s="21"/>
    </row>
    <row r="2951" spans="1:15" x14ac:dyDescent="0.35">
      <c r="A2951" s="15">
        <f t="shared" si="45"/>
        <v>2949</v>
      </c>
      <c r="B2951" s="16"/>
      <c r="C2951" s="19"/>
      <c r="D2951" s="10"/>
      <c r="E2951" s="10"/>
      <c r="F2951" s="47"/>
      <c r="G2951" s="10"/>
      <c r="H2951" s="20"/>
      <c r="I2951" s="20"/>
      <c r="J2951" s="10"/>
      <c r="K2951" s="10"/>
      <c r="L2951" s="10"/>
      <c r="M2951" s="10"/>
      <c r="N2951" s="10"/>
      <c r="O2951" s="21"/>
    </row>
    <row r="2952" spans="1:15" x14ac:dyDescent="0.35">
      <c r="A2952" s="15">
        <f t="shared" si="45"/>
        <v>2950</v>
      </c>
      <c r="B2952" s="16"/>
      <c r="C2952" s="19"/>
      <c r="D2952" s="10"/>
      <c r="E2952" s="10"/>
      <c r="F2952" s="47"/>
      <c r="G2952" s="10"/>
      <c r="H2952" s="20"/>
      <c r="I2952" s="20"/>
      <c r="J2952" s="10"/>
      <c r="K2952" s="10"/>
      <c r="L2952" s="10"/>
      <c r="M2952" s="10"/>
      <c r="N2952" s="10"/>
      <c r="O2952" s="21"/>
    </row>
    <row r="2953" spans="1:15" x14ac:dyDescent="0.35">
      <c r="A2953" s="15">
        <f t="shared" si="45"/>
        <v>2951</v>
      </c>
      <c r="B2953" s="16"/>
      <c r="C2953" s="19"/>
      <c r="D2953" s="10"/>
      <c r="E2953" s="10"/>
      <c r="F2953" s="47"/>
      <c r="G2953" s="10"/>
      <c r="H2953" s="20"/>
      <c r="I2953" s="20"/>
      <c r="J2953" s="10"/>
      <c r="K2953" s="10"/>
      <c r="L2953" s="10"/>
      <c r="M2953" s="10"/>
      <c r="N2953" s="10"/>
      <c r="O2953" s="21"/>
    </row>
    <row r="2954" spans="1:15" x14ac:dyDescent="0.35">
      <c r="A2954" s="15">
        <f t="shared" si="45"/>
        <v>2952</v>
      </c>
      <c r="B2954" s="16"/>
      <c r="C2954" s="19"/>
      <c r="D2954" s="10"/>
      <c r="E2954" s="10"/>
      <c r="F2954" s="47"/>
      <c r="G2954" s="10"/>
      <c r="H2954" s="20"/>
      <c r="I2954" s="20"/>
      <c r="J2954" s="10"/>
      <c r="K2954" s="10"/>
      <c r="L2954" s="10"/>
      <c r="M2954" s="10"/>
      <c r="N2954" s="10"/>
      <c r="O2954" s="21"/>
    </row>
    <row r="2955" spans="1:15" x14ac:dyDescent="0.35">
      <c r="A2955" s="15">
        <f t="shared" ref="A2955:A3018" si="46">+A2954+1</f>
        <v>2953</v>
      </c>
      <c r="B2955" s="16"/>
      <c r="C2955" s="19"/>
      <c r="D2955" s="10"/>
      <c r="E2955" s="10"/>
      <c r="F2955" s="47"/>
      <c r="G2955" s="10"/>
      <c r="H2955" s="20"/>
      <c r="I2955" s="20"/>
      <c r="J2955" s="10"/>
      <c r="K2955" s="10"/>
      <c r="L2955" s="10"/>
      <c r="M2955" s="10"/>
      <c r="N2955" s="10"/>
      <c r="O2955" s="21"/>
    </row>
    <row r="2956" spans="1:15" x14ac:dyDescent="0.35">
      <c r="A2956" s="15">
        <f t="shared" si="46"/>
        <v>2954</v>
      </c>
      <c r="B2956" s="16"/>
      <c r="C2956" s="19"/>
      <c r="D2956" s="10"/>
      <c r="E2956" s="10"/>
      <c r="F2956" s="47"/>
      <c r="G2956" s="10"/>
      <c r="H2956" s="20"/>
      <c r="I2956" s="20"/>
      <c r="J2956" s="10"/>
      <c r="K2956" s="10"/>
      <c r="L2956" s="10"/>
      <c r="M2956" s="10"/>
      <c r="N2956" s="10"/>
      <c r="O2956" s="21"/>
    </row>
    <row r="2957" spans="1:15" x14ac:dyDescent="0.35">
      <c r="A2957" s="15">
        <f t="shared" si="46"/>
        <v>2955</v>
      </c>
      <c r="B2957" s="16"/>
      <c r="C2957" s="19"/>
      <c r="D2957" s="10"/>
      <c r="E2957" s="10"/>
      <c r="F2957" s="47"/>
      <c r="G2957" s="10"/>
      <c r="H2957" s="20"/>
      <c r="I2957" s="20"/>
      <c r="J2957" s="10"/>
      <c r="K2957" s="10"/>
      <c r="L2957" s="10"/>
      <c r="M2957" s="10"/>
      <c r="N2957" s="10"/>
      <c r="O2957" s="21"/>
    </row>
    <row r="2958" spans="1:15" x14ac:dyDescent="0.35">
      <c r="A2958" s="15">
        <f t="shared" si="46"/>
        <v>2956</v>
      </c>
      <c r="B2958" s="16"/>
      <c r="C2958" s="19"/>
      <c r="D2958" s="10"/>
      <c r="E2958" s="10"/>
      <c r="F2958" s="47"/>
      <c r="G2958" s="10"/>
      <c r="H2958" s="20"/>
      <c r="I2958" s="20"/>
      <c r="J2958" s="10"/>
      <c r="K2958" s="10"/>
      <c r="L2958" s="10"/>
      <c r="M2958" s="10"/>
      <c r="N2958" s="10"/>
      <c r="O2958" s="21"/>
    </row>
    <row r="2959" spans="1:15" x14ac:dyDescent="0.35">
      <c r="A2959" s="15">
        <f t="shared" si="46"/>
        <v>2957</v>
      </c>
      <c r="B2959" s="16"/>
      <c r="C2959" s="19"/>
      <c r="D2959" s="10"/>
      <c r="E2959" s="10"/>
      <c r="F2959" s="47"/>
      <c r="G2959" s="10"/>
      <c r="H2959" s="20"/>
      <c r="I2959" s="20"/>
      <c r="J2959" s="10"/>
      <c r="K2959" s="10"/>
      <c r="L2959" s="10"/>
      <c r="M2959" s="10"/>
      <c r="N2959" s="10"/>
      <c r="O2959" s="21"/>
    </row>
    <row r="2960" spans="1:15" x14ac:dyDescent="0.35">
      <c r="A2960" s="15">
        <f t="shared" si="46"/>
        <v>2958</v>
      </c>
      <c r="B2960" s="16"/>
      <c r="C2960" s="19"/>
      <c r="D2960" s="10"/>
      <c r="E2960" s="10"/>
      <c r="F2960" s="47"/>
      <c r="G2960" s="10"/>
      <c r="H2960" s="20"/>
      <c r="I2960" s="20"/>
      <c r="J2960" s="10"/>
      <c r="K2960" s="10"/>
      <c r="L2960" s="10"/>
      <c r="M2960" s="10"/>
      <c r="N2960" s="10"/>
      <c r="O2960" s="21"/>
    </row>
    <row r="2961" spans="1:15" x14ac:dyDescent="0.35">
      <c r="A2961" s="15">
        <f t="shared" si="46"/>
        <v>2959</v>
      </c>
      <c r="B2961" s="16"/>
      <c r="C2961" s="19"/>
      <c r="D2961" s="10"/>
      <c r="E2961" s="10"/>
      <c r="F2961" s="47"/>
      <c r="G2961" s="10"/>
      <c r="H2961" s="20"/>
      <c r="I2961" s="20"/>
      <c r="J2961" s="10"/>
      <c r="K2961" s="10"/>
      <c r="L2961" s="10"/>
      <c r="M2961" s="10"/>
      <c r="N2961" s="10"/>
      <c r="O2961" s="21"/>
    </row>
    <row r="2962" spans="1:15" x14ac:dyDescent="0.35">
      <c r="A2962" s="15">
        <f t="shared" si="46"/>
        <v>2960</v>
      </c>
      <c r="B2962" s="16"/>
      <c r="C2962" s="19"/>
      <c r="D2962" s="10"/>
      <c r="E2962" s="10"/>
      <c r="F2962" s="47"/>
      <c r="G2962" s="10"/>
      <c r="H2962" s="20"/>
      <c r="I2962" s="20"/>
      <c r="J2962" s="10"/>
      <c r="K2962" s="10"/>
      <c r="L2962" s="10"/>
      <c r="M2962" s="10"/>
      <c r="N2962" s="10"/>
      <c r="O2962" s="21"/>
    </row>
    <row r="2963" spans="1:15" x14ac:dyDescent="0.35">
      <c r="A2963" s="15">
        <f t="shared" si="46"/>
        <v>2961</v>
      </c>
      <c r="B2963" s="16"/>
      <c r="C2963" s="19"/>
      <c r="D2963" s="10"/>
      <c r="E2963" s="10"/>
      <c r="F2963" s="47"/>
      <c r="G2963" s="10"/>
      <c r="H2963" s="20"/>
      <c r="I2963" s="20"/>
      <c r="J2963" s="10"/>
      <c r="K2963" s="10"/>
      <c r="L2963" s="10"/>
      <c r="M2963" s="10"/>
      <c r="N2963" s="10"/>
      <c r="O2963" s="21"/>
    </row>
    <row r="2964" spans="1:15" x14ac:dyDescent="0.35">
      <c r="A2964" s="15">
        <f t="shared" si="46"/>
        <v>2962</v>
      </c>
      <c r="B2964" s="16"/>
      <c r="C2964" s="19"/>
      <c r="D2964" s="10"/>
      <c r="E2964" s="10"/>
      <c r="F2964" s="47"/>
      <c r="G2964" s="10"/>
      <c r="H2964" s="20"/>
      <c r="I2964" s="20"/>
      <c r="J2964" s="10"/>
      <c r="K2964" s="10"/>
      <c r="L2964" s="10"/>
      <c r="M2964" s="10"/>
      <c r="N2964" s="10"/>
      <c r="O2964" s="21"/>
    </row>
    <row r="2965" spans="1:15" x14ac:dyDescent="0.35">
      <c r="A2965" s="15">
        <f t="shared" si="46"/>
        <v>2963</v>
      </c>
      <c r="B2965" s="16"/>
      <c r="C2965" s="19"/>
      <c r="D2965" s="10"/>
      <c r="E2965" s="10"/>
      <c r="F2965" s="47"/>
      <c r="G2965" s="10"/>
      <c r="H2965" s="20"/>
      <c r="I2965" s="20"/>
      <c r="J2965" s="10"/>
      <c r="K2965" s="10"/>
      <c r="L2965" s="10"/>
      <c r="M2965" s="10"/>
      <c r="N2965" s="10"/>
      <c r="O2965" s="21"/>
    </row>
    <row r="2966" spans="1:15" x14ac:dyDescent="0.35">
      <c r="A2966" s="15">
        <f t="shared" si="46"/>
        <v>2964</v>
      </c>
      <c r="B2966" s="16"/>
      <c r="C2966" s="19"/>
      <c r="D2966" s="10"/>
      <c r="E2966" s="10"/>
      <c r="F2966" s="47"/>
      <c r="G2966" s="10"/>
      <c r="H2966" s="20"/>
      <c r="I2966" s="20"/>
      <c r="J2966" s="10"/>
      <c r="K2966" s="10"/>
      <c r="L2966" s="10"/>
      <c r="M2966" s="10"/>
      <c r="N2966" s="10"/>
      <c r="O2966" s="21"/>
    </row>
    <row r="2967" spans="1:15" x14ac:dyDescent="0.35">
      <c r="A2967" s="15">
        <f t="shared" si="46"/>
        <v>2965</v>
      </c>
      <c r="B2967" s="16"/>
      <c r="C2967" s="19"/>
      <c r="D2967" s="10"/>
      <c r="E2967" s="10"/>
      <c r="F2967" s="47"/>
      <c r="G2967" s="10"/>
      <c r="H2967" s="20"/>
      <c r="I2967" s="20"/>
      <c r="J2967" s="10"/>
      <c r="K2967" s="10"/>
      <c r="L2967" s="10"/>
      <c r="M2967" s="10"/>
      <c r="N2967" s="10"/>
      <c r="O2967" s="21"/>
    </row>
    <row r="2968" spans="1:15" x14ac:dyDescent="0.35">
      <c r="A2968" s="15">
        <f t="shared" si="46"/>
        <v>2966</v>
      </c>
      <c r="B2968" s="16"/>
      <c r="C2968" s="19"/>
      <c r="D2968" s="10"/>
      <c r="E2968" s="10"/>
      <c r="F2968" s="47"/>
      <c r="G2968" s="10"/>
      <c r="H2968" s="20"/>
      <c r="I2968" s="20"/>
      <c r="J2968" s="10"/>
      <c r="K2968" s="10"/>
      <c r="L2968" s="10"/>
      <c r="M2968" s="10"/>
      <c r="N2968" s="10"/>
      <c r="O2968" s="21"/>
    </row>
    <row r="2969" spans="1:15" x14ac:dyDescent="0.35">
      <c r="A2969" s="15">
        <f t="shared" si="46"/>
        <v>2967</v>
      </c>
      <c r="B2969" s="16"/>
      <c r="C2969" s="19"/>
      <c r="D2969" s="10"/>
      <c r="E2969" s="10"/>
      <c r="F2969" s="47"/>
      <c r="G2969" s="10"/>
      <c r="H2969" s="20"/>
      <c r="I2969" s="20"/>
      <c r="J2969" s="10"/>
      <c r="K2969" s="10"/>
      <c r="L2969" s="10"/>
      <c r="M2969" s="10"/>
      <c r="N2969" s="10"/>
      <c r="O2969" s="21"/>
    </row>
    <row r="2970" spans="1:15" x14ac:dyDescent="0.35">
      <c r="A2970" s="15">
        <f t="shared" si="46"/>
        <v>2968</v>
      </c>
      <c r="B2970" s="16"/>
      <c r="C2970" s="19"/>
      <c r="D2970" s="10"/>
      <c r="E2970" s="10"/>
      <c r="F2970" s="47"/>
      <c r="G2970" s="10"/>
      <c r="H2970" s="20"/>
      <c r="I2970" s="20"/>
      <c r="J2970" s="10"/>
      <c r="K2970" s="10"/>
      <c r="L2970" s="10"/>
      <c r="M2970" s="10"/>
      <c r="N2970" s="10"/>
      <c r="O2970" s="21"/>
    </row>
    <row r="2971" spans="1:15" x14ac:dyDescent="0.35">
      <c r="A2971" s="15">
        <f t="shared" si="46"/>
        <v>2969</v>
      </c>
      <c r="B2971" s="16"/>
      <c r="C2971" s="19"/>
      <c r="D2971" s="10"/>
      <c r="E2971" s="10"/>
      <c r="F2971" s="47"/>
      <c r="G2971" s="10"/>
      <c r="H2971" s="20"/>
      <c r="I2971" s="20"/>
      <c r="J2971" s="10"/>
      <c r="K2971" s="10"/>
      <c r="L2971" s="10"/>
      <c r="M2971" s="10"/>
      <c r="N2971" s="10"/>
      <c r="O2971" s="21"/>
    </row>
    <row r="2972" spans="1:15" x14ac:dyDescent="0.35">
      <c r="A2972" s="15">
        <f t="shared" si="46"/>
        <v>2970</v>
      </c>
      <c r="B2972" s="16"/>
      <c r="C2972" s="19"/>
      <c r="D2972" s="10"/>
      <c r="E2972" s="10"/>
      <c r="F2972" s="47"/>
      <c r="G2972" s="10"/>
      <c r="H2972" s="20"/>
      <c r="I2972" s="20"/>
      <c r="J2972" s="10"/>
      <c r="K2972" s="10"/>
      <c r="L2972" s="10"/>
      <c r="M2972" s="10"/>
      <c r="N2972" s="10"/>
      <c r="O2972" s="21"/>
    </row>
    <row r="2973" spans="1:15" x14ac:dyDescent="0.35">
      <c r="A2973" s="15">
        <f t="shared" si="46"/>
        <v>2971</v>
      </c>
      <c r="B2973" s="16"/>
      <c r="C2973" s="19"/>
      <c r="D2973" s="10"/>
      <c r="E2973" s="10"/>
      <c r="F2973" s="47"/>
      <c r="G2973" s="10"/>
      <c r="H2973" s="20"/>
      <c r="I2973" s="20"/>
      <c r="J2973" s="10"/>
      <c r="K2973" s="10"/>
      <c r="L2973" s="10"/>
      <c r="M2973" s="10"/>
      <c r="N2973" s="10"/>
      <c r="O2973" s="21"/>
    </row>
    <row r="2974" spans="1:15" x14ac:dyDescent="0.35">
      <c r="A2974" s="15">
        <f t="shared" si="46"/>
        <v>2972</v>
      </c>
      <c r="B2974" s="16"/>
      <c r="C2974" s="19"/>
      <c r="D2974" s="10"/>
      <c r="E2974" s="10"/>
      <c r="F2974" s="47"/>
      <c r="G2974" s="10"/>
      <c r="H2974" s="20"/>
      <c r="I2974" s="20"/>
      <c r="J2974" s="10"/>
      <c r="K2974" s="10"/>
      <c r="L2974" s="10"/>
      <c r="M2974" s="10"/>
      <c r="N2974" s="10"/>
      <c r="O2974" s="21"/>
    </row>
    <row r="2975" spans="1:15" x14ac:dyDescent="0.35">
      <c r="A2975" s="15">
        <f t="shared" si="46"/>
        <v>2973</v>
      </c>
      <c r="B2975" s="16"/>
      <c r="C2975" s="19"/>
      <c r="D2975" s="10"/>
      <c r="E2975" s="10"/>
      <c r="F2975" s="47"/>
      <c r="G2975" s="10"/>
      <c r="H2975" s="20"/>
      <c r="I2975" s="20"/>
      <c r="J2975" s="10"/>
      <c r="K2975" s="10"/>
      <c r="L2975" s="10"/>
      <c r="M2975" s="10"/>
      <c r="N2975" s="10"/>
      <c r="O2975" s="21"/>
    </row>
    <row r="2976" spans="1:15" x14ac:dyDescent="0.35">
      <c r="A2976" s="15">
        <f t="shared" si="46"/>
        <v>2974</v>
      </c>
      <c r="B2976" s="16"/>
      <c r="C2976" s="19"/>
      <c r="D2976" s="10"/>
      <c r="E2976" s="10"/>
      <c r="F2976" s="47"/>
      <c r="G2976" s="10"/>
      <c r="H2976" s="20"/>
      <c r="I2976" s="20"/>
      <c r="J2976" s="10"/>
      <c r="K2976" s="10"/>
      <c r="L2976" s="10"/>
      <c r="M2976" s="10"/>
      <c r="N2976" s="10"/>
      <c r="O2976" s="21"/>
    </row>
    <row r="2977" spans="1:15" x14ac:dyDescent="0.35">
      <c r="A2977" s="15">
        <f t="shared" si="46"/>
        <v>2975</v>
      </c>
      <c r="B2977" s="16"/>
      <c r="C2977" s="19"/>
      <c r="D2977" s="10"/>
      <c r="E2977" s="10"/>
      <c r="F2977" s="47"/>
      <c r="G2977" s="10"/>
      <c r="H2977" s="20"/>
      <c r="I2977" s="20"/>
      <c r="J2977" s="10"/>
      <c r="K2977" s="10"/>
      <c r="L2977" s="10"/>
      <c r="M2977" s="10"/>
      <c r="N2977" s="10"/>
      <c r="O2977" s="21"/>
    </row>
    <row r="2978" spans="1:15" x14ac:dyDescent="0.35">
      <c r="A2978" s="15">
        <f t="shared" si="46"/>
        <v>2976</v>
      </c>
      <c r="B2978" s="16"/>
      <c r="C2978" s="19"/>
      <c r="D2978" s="10"/>
      <c r="E2978" s="10"/>
      <c r="F2978" s="47"/>
      <c r="G2978" s="10"/>
      <c r="H2978" s="20"/>
      <c r="I2978" s="20"/>
      <c r="J2978" s="10"/>
      <c r="K2978" s="10"/>
      <c r="L2978" s="10"/>
      <c r="M2978" s="10"/>
      <c r="N2978" s="10"/>
      <c r="O2978" s="21"/>
    </row>
    <row r="2979" spans="1:15" x14ac:dyDescent="0.35">
      <c r="A2979" s="15">
        <f t="shared" si="46"/>
        <v>2977</v>
      </c>
      <c r="B2979" s="16"/>
      <c r="C2979" s="19"/>
      <c r="D2979" s="10"/>
      <c r="E2979" s="10"/>
      <c r="F2979" s="47"/>
      <c r="G2979" s="10"/>
      <c r="H2979" s="20"/>
      <c r="I2979" s="20"/>
      <c r="J2979" s="10"/>
      <c r="K2979" s="10"/>
      <c r="L2979" s="10"/>
      <c r="M2979" s="10"/>
      <c r="N2979" s="10"/>
      <c r="O2979" s="21"/>
    </row>
    <row r="2980" spans="1:15" x14ac:dyDescent="0.35">
      <c r="A2980" s="15">
        <f t="shared" si="46"/>
        <v>2978</v>
      </c>
      <c r="B2980" s="16"/>
      <c r="C2980" s="19"/>
      <c r="D2980" s="10"/>
      <c r="E2980" s="10"/>
      <c r="F2980" s="47"/>
      <c r="G2980" s="10"/>
      <c r="H2980" s="20"/>
      <c r="I2980" s="20"/>
      <c r="J2980" s="10"/>
      <c r="K2980" s="10"/>
      <c r="L2980" s="10"/>
      <c r="M2980" s="10"/>
      <c r="N2980" s="10"/>
      <c r="O2980" s="21"/>
    </row>
    <row r="2981" spans="1:15" x14ac:dyDescent="0.35">
      <c r="A2981" s="15">
        <f t="shared" si="46"/>
        <v>2979</v>
      </c>
      <c r="B2981" s="16"/>
      <c r="C2981" s="19"/>
      <c r="D2981" s="10"/>
      <c r="E2981" s="10"/>
      <c r="F2981" s="47"/>
      <c r="G2981" s="10"/>
      <c r="H2981" s="20"/>
      <c r="I2981" s="20"/>
      <c r="J2981" s="10"/>
      <c r="K2981" s="10"/>
      <c r="L2981" s="10"/>
      <c r="M2981" s="10"/>
      <c r="N2981" s="10"/>
      <c r="O2981" s="21"/>
    </row>
    <row r="2982" spans="1:15" x14ac:dyDescent="0.35">
      <c r="A2982" s="15">
        <f t="shared" si="46"/>
        <v>2980</v>
      </c>
      <c r="B2982" s="16"/>
      <c r="C2982" s="19"/>
      <c r="D2982" s="10"/>
      <c r="E2982" s="10"/>
      <c r="F2982" s="47"/>
      <c r="G2982" s="10"/>
      <c r="H2982" s="20"/>
      <c r="I2982" s="20"/>
      <c r="J2982" s="10"/>
      <c r="K2982" s="10"/>
      <c r="L2982" s="10"/>
      <c r="M2982" s="10"/>
      <c r="N2982" s="10"/>
      <c r="O2982" s="21"/>
    </row>
    <row r="2983" spans="1:15" x14ac:dyDescent="0.35">
      <c r="A2983" s="15">
        <f t="shared" si="46"/>
        <v>2981</v>
      </c>
      <c r="B2983" s="16"/>
      <c r="C2983" s="19"/>
      <c r="D2983" s="10"/>
      <c r="E2983" s="10"/>
      <c r="F2983" s="47"/>
      <c r="G2983" s="10"/>
      <c r="H2983" s="20"/>
      <c r="I2983" s="20"/>
      <c r="J2983" s="10"/>
      <c r="K2983" s="10"/>
      <c r="L2983" s="10"/>
      <c r="M2983" s="10"/>
      <c r="N2983" s="10"/>
      <c r="O2983" s="21"/>
    </row>
    <row r="2984" spans="1:15" x14ac:dyDescent="0.35">
      <c r="A2984" s="15">
        <f t="shared" si="46"/>
        <v>2982</v>
      </c>
      <c r="B2984" s="16"/>
      <c r="C2984" s="19"/>
      <c r="D2984" s="10"/>
      <c r="E2984" s="10"/>
      <c r="F2984" s="47"/>
      <c r="G2984" s="10"/>
      <c r="H2984" s="20"/>
      <c r="I2984" s="20"/>
      <c r="J2984" s="10"/>
      <c r="K2984" s="10"/>
      <c r="L2984" s="10"/>
      <c r="M2984" s="10"/>
      <c r="N2984" s="10"/>
      <c r="O2984" s="21"/>
    </row>
    <row r="2985" spans="1:15" x14ac:dyDescent="0.35">
      <c r="A2985" s="15">
        <f t="shared" si="46"/>
        <v>2983</v>
      </c>
      <c r="B2985" s="16"/>
      <c r="C2985" s="19"/>
      <c r="D2985" s="10"/>
      <c r="E2985" s="10"/>
      <c r="F2985" s="47"/>
      <c r="G2985" s="10"/>
      <c r="H2985" s="20"/>
      <c r="I2985" s="20"/>
      <c r="J2985" s="10"/>
      <c r="K2985" s="10"/>
      <c r="L2985" s="10"/>
      <c r="M2985" s="10"/>
      <c r="N2985" s="10"/>
      <c r="O2985" s="21"/>
    </row>
    <row r="2986" spans="1:15" x14ac:dyDescent="0.35">
      <c r="A2986" s="15">
        <f t="shared" si="46"/>
        <v>2984</v>
      </c>
      <c r="B2986" s="16"/>
      <c r="C2986" s="19"/>
      <c r="D2986" s="10"/>
      <c r="E2986" s="10"/>
      <c r="F2986" s="47"/>
      <c r="G2986" s="10"/>
      <c r="H2986" s="20"/>
      <c r="I2986" s="20"/>
      <c r="J2986" s="10"/>
      <c r="K2986" s="10"/>
      <c r="L2986" s="10"/>
      <c r="M2986" s="10"/>
      <c r="N2986" s="10"/>
      <c r="O2986" s="21"/>
    </row>
    <row r="2987" spans="1:15" x14ac:dyDescent="0.35">
      <c r="A2987" s="15">
        <f t="shared" si="46"/>
        <v>2985</v>
      </c>
      <c r="B2987" s="16"/>
      <c r="C2987" s="19"/>
      <c r="D2987" s="10"/>
      <c r="E2987" s="10"/>
      <c r="F2987" s="47"/>
      <c r="G2987" s="10"/>
      <c r="H2987" s="20"/>
      <c r="I2987" s="20"/>
      <c r="J2987" s="10"/>
      <c r="K2987" s="10"/>
      <c r="L2987" s="10"/>
      <c r="M2987" s="10"/>
      <c r="N2987" s="10"/>
      <c r="O2987" s="21"/>
    </row>
    <row r="2988" spans="1:15" x14ac:dyDescent="0.35">
      <c r="A2988" s="15">
        <f t="shared" si="46"/>
        <v>2986</v>
      </c>
      <c r="B2988" s="16"/>
      <c r="C2988" s="19"/>
      <c r="D2988" s="10"/>
      <c r="E2988" s="10"/>
      <c r="F2988" s="47"/>
      <c r="G2988" s="10"/>
      <c r="H2988" s="20"/>
      <c r="I2988" s="20"/>
      <c r="J2988" s="10"/>
      <c r="K2988" s="10"/>
      <c r="L2988" s="10"/>
      <c r="M2988" s="10"/>
      <c r="N2988" s="10"/>
      <c r="O2988" s="21"/>
    </row>
    <row r="2989" spans="1:15" x14ac:dyDescent="0.35">
      <c r="A2989" s="15">
        <f t="shared" si="46"/>
        <v>2987</v>
      </c>
      <c r="B2989" s="16"/>
      <c r="C2989" s="19"/>
      <c r="D2989" s="10"/>
      <c r="E2989" s="10"/>
      <c r="F2989" s="47"/>
      <c r="G2989" s="10"/>
      <c r="H2989" s="20"/>
      <c r="I2989" s="20"/>
      <c r="J2989" s="10"/>
      <c r="K2989" s="10"/>
      <c r="L2989" s="10"/>
      <c r="M2989" s="10"/>
      <c r="N2989" s="10"/>
      <c r="O2989" s="21"/>
    </row>
    <row r="2990" spans="1:15" x14ac:dyDescent="0.35">
      <c r="A2990" s="15">
        <f t="shared" si="46"/>
        <v>2988</v>
      </c>
      <c r="B2990" s="16"/>
      <c r="C2990" s="19"/>
      <c r="D2990" s="10"/>
      <c r="E2990" s="10"/>
      <c r="F2990" s="47"/>
      <c r="G2990" s="10"/>
      <c r="H2990" s="20"/>
      <c r="I2990" s="20"/>
      <c r="J2990" s="10"/>
      <c r="K2990" s="10"/>
      <c r="L2990" s="10"/>
      <c r="M2990" s="10"/>
      <c r="N2990" s="10"/>
      <c r="O2990" s="21"/>
    </row>
    <row r="2991" spans="1:15" x14ac:dyDescent="0.35">
      <c r="A2991" s="15">
        <f t="shared" si="46"/>
        <v>2989</v>
      </c>
      <c r="B2991" s="16"/>
      <c r="C2991" s="19"/>
      <c r="D2991" s="10"/>
      <c r="E2991" s="10"/>
      <c r="F2991" s="47"/>
      <c r="G2991" s="10"/>
      <c r="H2991" s="20"/>
      <c r="I2991" s="20"/>
      <c r="J2991" s="10"/>
      <c r="K2991" s="10"/>
      <c r="L2991" s="10"/>
      <c r="M2991" s="10"/>
      <c r="N2991" s="10"/>
      <c r="O2991" s="21"/>
    </row>
    <row r="2992" spans="1:15" x14ac:dyDescent="0.35">
      <c r="A2992" s="15">
        <f t="shared" si="46"/>
        <v>2990</v>
      </c>
      <c r="B2992" s="16"/>
      <c r="C2992" s="19"/>
      <c r="D2992" s="10"/>
      <c r="E2992" s="10"/>
      <c r="F2992" s="47"/>
      <c r="G2992" s="10"/>
      <c r="H2992" s="20"/>
      <c r="I2992" s="20"/>
      <c r="J2992" s="10"/>
      <c r="K2992" s="10"/>
      <c r="L2992" s="10"/>
      <c r="M2992" s="10"/>
      <c r="N2992" s="10"/>
      <c r="O2992" s="21"/>
    </row>
    <row r="2993" spans="1:15" x14ac:dyDescent="0.35">
      <c r="A2993" s="15">
        <f t="shared" si="46"/>
        <v>2991</v>
      </c>
      <c r="B2993" s="16"/>
      <c r="C2993" s="19"/>
      <c r="D2993" s="10"/>
      <c r="E2993" s="10"/>
      <c r="F2993" s="47"/>
      <c r="G2993" s="10"/>
      <c r="H2993" s="20"/>
      <c r="I2993" s="20"/>
      <c r="J2993" s="10"/>
      <c r="K2993" s="10"/>
      <c r="L2993" s="10"/>
      <c r="M2993" s="10"/>
      <c r="N2993" s="10"/>
      <c r="O2993" s="21"/>
    </row>
    <row r="2994" spans="1:15" x14ac:dyDescent="0.35">
      <c r="A2994" s="15">
        <f t="shared" si="46"/>
        <v>2992</v>
      </c>
      <c r="B2994" s="16"/>
      <c r="C2994" s="19"/>
      <c r="D2994" s="10"/>
      <c r="E2994" s="10"/>
      <c r="F2994" s="47"/>
      <c r="G2994" s="10"/>
      <c r="H2994" s="20"/>
      <c r="I2994" s="20"/>
      <c r="J2994" s="10"/>
      <c r="K2994" s="10"/>
      <c r="L2994" s="10"/>
      <c r="M2994" s="10"/>
      <c r="N2994" s="10"/>
      <c r="O2994" s="21"/>
    </row>
    <row r="2995" spans="1:15" x14ac:dyDescent="0.35">
      <c r="A2995" s="15">
        <f t="shared" si="46"/>
        <v>2993</v>
      </c>
      <c r="B2995" s="16"/>
      <c r="C2995" s="19"/>
      <c r="D2995" s="10"/>
      <c r="E2995" s="10"/>
      <c r="F2995" s="47"/>
      <c r="G2995" s="10"/>
      <c r="H2995" s="20"/>
      <c r="I2995" s="20"/>
      <c r="J2995" s="10"/>
      <c r="K2995" s="10"/>
      <c r="L2995" s="10"/>
      <c r="M2995" s="10"/>
      <c r="N2995" s="10"/>
      <c r="O2995" s="21"/>
    </row>
    <row r="2996" spans="1:15" x14ac:dyDescent="0.35">
      <c r="A2996" s="15">
        <f t="shared" si="46"/>
        <v>2994</v>
      </c>
      <c r="B2996" s="16"/>
      <c r="C2996" s="19"/>
      <c r="D2996" s="10"/>
      <c r="E2996" s="10"/>
      <c r="F2996" s="47"/>
      <c r="G2996" s="10"/>
      <c r="H2996" s="20"/>
      <c r="I2996" s="20"/>
      <c r="J2996" s="10"/>
      <c r="K2996" s="10"/>
      <c r="L2996" s="10"/>
      <c r="M2996" s="10"/>
      <c r="N2996" s="10"/>
      <c r="O2996" s="21"/>
    </row>
    <row r="2997" spans="1:15" x14ac:dyDescent="0.35">
      <c r="A2997" s="15">
        <f t="shared" si="46"/>
        <v>2995</v>
      </c>
      <c r="B2997" s="16"/>
      <c r="C2997" s="19"/>
      <c r="D2997" s="10"/>
      <c r="E2997" s="10"/>
      <c r="F2997" s="47"/>
      <c r="G2997" s="10"/>
      <c r="H2997" s="20"/>
      <c r="I2997" s="20"/>
      <c r="J2997" s="10"/>
      <c r="K2997" s="10"/>
      <c r="L2997" s="10"/>
      <c r="M2997" s="10"/>
      <c r="N2997" s="10"/>
      <c r="O2997" s="21"/>
    </row>
    <row r="2998" spans="1:15" x14ac:dyDescent="0.35">
      <c r="A2998" s="15">
        <f t="shared" si="46"/>
        <v>2996</v>
      </c>
      <c r="B2998" s="16"/>
      <c r="C2998" s="19"/>
      <c r="D2998" s="10"/>
      <c r="E2998" s="10"/>
      <c r="F2998" s="47"/>
      <c r="G2998" s="10"/>
      <c r="H2998" s="20"/>
      <c r="I2998" s="20"/>
      <c r="J2998" s="10"/>
      <c r="K2998" s="10"/>
      <c r="L2998" s="10"/>
      <c r="M2998" s="10"/>
      <c r="N2998" s="10"/>
      <c r="O2998" s="21"/>
    </row>
    <row r="2999" spans="1:15" x14ac:dyDescent="0.35">
      <c r="A2999" s="15">
        <f t="shared" si="46"/>
        <v>2997</v>
      </c>
      <c r="B2999" s="16"/>
      <c r="C2999" s="19"/>
      <c r="D2999" s="10"/>
      <c r="E2999" s="10"/>
      <c r="F2999" s="47"/>
      <c r="G2999" s="10"/>
      <c r="H2999" s="20"/>
      <c r="I2999" s="20"/>
      <c r="J2999" s="10"/>
      <c r="K2999" s="10"/>
      <c r="L2999" s="10"/>
      <c r="M2999" s="10"/>
      <c r="N2999" s="10"/>
      <c r="O2999" s="21"/>
    </row>
    <row r="3000" spans="1:15" x14ac:dyDescent="0.35">
      <c r="A3000" s="15">
        <f t="shared" si="46"/>
        <v>2998</v>
      </c>
      <c r="B3000" s="16"/>
      <c r="C3000" s="19"/>
      <c r="D3000" s="10"/>
      <c r="E3000" s="10"/>
      <c r="F3000" s="47"/>
      <c r="G3000" s="10"/>
      <c r="H3000" s="20"/>
      <c r="I3000" s="20"/>
      <c r="J3000" s="10"/>
      <c r="K3000" s="10"/>
      <c r="L3000" s="10"/>
      <c r="M3000" s="10"/>
      <c r="N3000" s="10"/>
      <c r="O3000" s="21"/>
    </row>
    <row r="3001" spans="1:15" x14ac:dyDescent="0.35">
      <c r="A3001" s="15">
        <f t="shared" si="46"/>
        <v>2999</v>
      </c>
      <c r="B3001" s="16"/>
      <c r="C3001" s="19"/>
      <c r="D3001" s="10"/>
      <c r="E3001" s="10"/>
      <c r="F3001" s="47"/>
      <c r="G3001" s="10"/>
      <c r="H3001" s="20"/>
      <c r="I3001" s="20"/>
      <c r="J3001" s="10"/>
      <c r="K3001" s="10"/>
      <c r="L3001" s="10"/>
      <c r="M3001" s="10"/>
      <c r="N3001" s="10"/>
      <c r="O3001" s="21"/>
    </row>
    <row r="3002" spans="1:15" x14ac:dyDescent="0.35">
      <c r="A3002" s="15">
        <f t="shared" si="46"/>
        <v>3000</v>
      </c>
      <c r="B3002" s="16"/>
      <c r="C3002" s="19"/>
      <c r="D3002" s="10"/>
      <c r="E3002" s="10"/>
      <c r="F3002" s="47"/>
      <c r="G3002" s="10"/>
      <c r="H3002" s="20"/>
      <c r="I3002" s="20"/>
      <c r="J3002" s="10"/>
      <c r="K3002" s="10"/>
      <c r="L3002" s="10"/>
      <c r="M3002" s="10"/>
      <c r="N3002" s="10"/>
      <c r="O3002" s="21"/>
    </row>
    <row r="3003" spans="1:15" x14ac:dyDescent="0.35">
      <c r="A3003" s="15">
        <f t="shared" si="46"/>
        <v>3001</v>
      </c>
      <c r="B3003" s="16"/>
      <c r="C3003" s="19"/>
      <c r="D3003" s="10"/>
      <c r="E3003" s="10"/>
      <c r="F3003" s="47"/>
      <c r="G3003" s="10"/>
      <c r="H3003" s="20"/>
      <c r="I3003" s="20"/>
      <c r="J3003" s="10"/>
      <c r="K3003" s="10"/>
      <c r="L3003" s="10"/>
      <c r="M3003" s="10"/>
      <c r="N3003" s="10"/>
      <c r="O3003" s="21"/>
    </row>
    <row r="3004" spans="1:15" x14ac:dyDescent="0.35">
      <c r="A3004" s="15">
        <f t="shared" si="46"/>
        <v>3002</v>
      </c>
      <c r="B3004" s="16"/>
      <c r="C3004" s="19"/>
      <c r="D3004" s="10"/>
      <c r="E3004" s="10"/>
      <c r="F3004" s="47"/>
      <c r="G3004" s="10"/>
      <c r="H3004" s="20"/>
      <c r="I3004" s="20"/>
      <c r="J3004" s="10"/>
      <c r="K3004" s="10"/>
      <c r="L3004" s="10"/>
      <c r="M3004" s="10"/>
      <c r="N3004" s="10"/>
      <c r="O3004" s="21"/>
    </row>
    <row r="3005" spans="1:15" x14ac:dyDescent="0.35">
      <c r="A3005" s="15">
        <f t="shared" si="46"/>
        <v>3003</v>
      </c>
      <c r="B3005" s="16"/>
      <c r="C3005" s="19"/>
      <c r="D3005" s="10"/>
      <c r="E3005" s="10"/>
      <c r="F3005" s="47"/>
      <c r="G3005" s="10"/>
      <c r="H3005" s="20"/>
      <c r="I3005" s="20"/>
      <c r="J3005" s="10"/>
      <c r="K3005" s="10"/>
      <c r="L3005" s="10"/>
      <c r="M3005" s="10"/>
      <c r="N3005" s="10"/>
      <c r="O3005" s="21"/>
    </row>
    <row r="3006" spans="1:15" x14ac:dyDescent="0.35">
      <c r="A3006" s="15">
        <f t="shared" si="46"/>
        <v>3004</v>
      </c>
      <c r="B3006" s="16"/>
      <c r="C3006" s="19"/>
      <c r="D3006" s="10"/>
      <c r="E3006" s="10"/>
      <c r="F3006" s="47"/>
      <c r="G3006" s="10"/>
      <c r="H3006" s="20"/>
      <c r="I3006" s="20"/>
      <c r="J3006" s="10"/>
      <c r="K3006" s="10"/>
      <c r="L3006" s="10"/>
      <c r="M3006" s="10"/>
      <c r="N3006" s="10"/>
      <c r="O3006" s="21"/>
    </row>
    <row r="3007" spans="1:15" x14ac:dyDescent="0.35">
      <c r="A3007" s="15">
        <f t="shared" si="46"/>
        <v>3005</v>
      </c>
      <c r="B3007" s="16"/>
      <c r="C3007" s="19"/>
      <c r="D3007" s="10"/>
      <c r="E3007" s="10"/>
      <c r="F3007" s="47"/>
      <c r="G3007" s="10"/>
      <c r="H3007" s="20"/>
      <c r="I3007" s="20"/>
      <c r="J3007" s="10"/>
      <c r="K3007" s="10"/>
      <c r="L3007" s="10"/>
      <c r="M3007" s="10"/>
      <c r="N3007" s="10"/>
      <c r="O3007" s="21"/>
    </row>
    <row r="3008" spans="1:15" x14ac:dyDescent="0.35">
      <c r="A3008" s="15">
        <f t="shared" si="46"/>
        <v>3006</v>
      </c>
      <c r="B3008" s="16"/>
      <c r="C3008" s="19"/>
      <c r="D3008" s="10"/>
      <c r="E3008" s="10"/>
      <c r="F3008" s="47"/>
      <c r="G3008" s="10"/>
      <c r="H3008" s="20"/>
      <c r="I3008" s="20"/>
      <c r="J3008" s="10"/>
      <c r="K3008" s="10"/>
      <c r="L3008" s="10"/>
      <c r="M3008" s="10"/>
      <c r="N3008" s="10"/>
      <c r="O3008" s="21"/>
    </row>
    <row r="3009" spans="1:15" x14ac:dyDescent="0.35">
      <c r="A3009" s="15">
        <f t="shared" si="46"/>
        <v>3007</v>
      </c>
      <c r="B3009" s="16"/>
      <c r="C3009" s="19"/>
      <c r="D3009" s="10"/>
      <c r="E3009" s="10"/>
      <c r="F3009" s="47"/>
      <c r="G3009" s="10"/>
      <c r="H3009" s="20"/>
      <c r="I3009" s="20"/>
      <c r="J3009" s="10"/>
      <c r="K3009" s="10"/>
      <c r="L3009" s="10"/>
      <c r="M3009" s="10"/>
      <c r="N3009" s="10"/>
      <c r="O3009" s="21"/>
    </row>
    <row r="3010" spans="1:15" x14ac:dyDescent="0.35">
      <c r="A3010" s="15">
        <f t="shared" si="46"/>
        <v>3008</v>
      </c>
      <c r="B3010" s="16"/>
      <c r="C3010" s="19"/>
      <c r="D3010" s="10"/>
      <c r="E3010" s="10"/>
      <c r="F3010" s="47"/>
      <c r="G3010" s="10"/>
      <c r="H3010" s="20"/>
      <c r="I3010" s="20"/>
      <c r="J3010" s="10"/>
      <c r="K3010" s="10"/>
      <c r="L3010" s="10"/>
      <c r="M3010" s="10"/>
      <c r="N3010" s="10"/>
      <c r="O3010" s="21"/>
    </row>
    <row r="3011" spans="1:15" x14ac:dyDescent="0.35">
      <c r="A3011" s="15">
        <f t="shared" si="46"/>
        <v>3009</v>
      </c>
      <c r="B3011" s="16"/>
      <c r="C3011" s="19"/>
      <c r="D3011" s="10"/>
      <c r="E3011" s="10"/>
      <c r="F3011" s="47"/>
      <c r="G3011" s="10"/>
      <c r="H3011" s="20"/>
      <c r="I3011" s="20"/>
      <c r="J3011" s="10"/>
      <c r="K3011" s="10"/>
      <c r="L3011" s="10"/>
      <c r="M3011" s="10"/>
      <c r="N3011" s="10"/>
      <c r="O3011" s="21"/>
    </row>
    <row r="3012" spans="1:15" x14ac:dyDescent="0.35">
      <c r="A3012" s="15">
        <f t="shared" si="46"/>
        <v>3010</v>
      </c>
      <c r="B3012" s="16"/>
      <c r="C3012" s="19"/>
      <c r="D3012" s="10"/>
      <c r="E3012" s="10"/>
      <c r="F3012" s="47"/>
      <c r="G3012" s="10"/>
      <c r="H3012" s="20"/>
      <c r="I3012" s="20"/>
      <c r="J3012" s="10"/>
      <c r="K3012" s="10"/>
      <c r="L3012" s="10"/>
      <c r="M3012" s="10"/>
      <c r="N3012" s="10"/>
      <c r="O3012" s="21"/>
    </row>
    <row r="3013" spans="1:15" x14ac:dyDescent="0.35">
      <c r="A3013" s="15">
        <f t="shared" si="46"/>
        <v>3011</v>
      </c>
      <c r="B3013" s="16"/>
      <c r="C3013" s="19"/>
      <c r="D3013" s="10"/>
      <c r="E3013" s="10"/>
      <c r="F3013" s="47"/>
      <c r="G3013" s="10"/>
      <c r="H3013" s="20"/>
      <c r="I3013" s="20"/>
      <c r="J3013" s="10"/>
      <c r="K3013" s="10"/>
      <c r="L3013" s="10"/>
      <c r="M3013" s="10"/>
      <c r="N3013" s="10"/>
      <c r="O3013" s="21"/>
    </row>
    <row r="3014" spans="1:15" x14ac:dyDescent="0.35">
      <c r="A3014" s="15">
        <f t="shared" si="46"/>
        <v>3012</v>
      </c>
      <c r="B3014" s="16"/>
      <c r="C3014" s="19"/>
      <c r="D3014" s="10"/>
      <c r="E3014" s="10"/>
      <c r="F3014" s="47"/>
      <c r="G3014" s="10"/>
      <c r="H3014" s="20"/>
      <c r="I3014" s="20"/>
      <c r="J3014" s="10"/>
      <c r="K3014" s="10"/>
      <c r="L3014" s="10"/>
      <c r="M3014" s="10"/>
      <c r="N3014" s="10"/>
      <c r="O3014" s="21"/>
    </row>
    <row r="3015" spans="1:15" x14ac:dyDescent="0.35">
      <c r="A3015" s="15">
        <f t="shared" si="46"/>
        <v>3013</v>
      </c>
      <c r="B3015" s="16"/>
      <c r="C3015" s="19"/>
      <c r="D3015" s="10"/>
      <c r="E3015" s="10"/>
      <c r="F3015" s="47"/>
      <c r="G3015" s="10"/>
      <c r="H3015" s="20"/>
      <c r="I3015" s="20"/>
      <c r="J3015" s="10"/>
      <c r="K3015" s="10"/>
      <c r="L3015" s="10"/>
      <c r="M3015" s="10"/>
      <c r="N3015" s="10"/>
      <c r="O3015" s="21"/>
    </row>
    <row r="3016" spans="1:15" x14ac:dyDescent="0.35">
      <c r="A3016" s="15">
        <f t="shared" si="46"/>
        <v>3014</v>
      </c>
      <c r="B3016" s="16"/>
      <c r="C3016" s="19"/>
      <c r="D3016" s="10"/>
      <c r="E3016" s="10"/>
      <c r="F3016" s="47"/>
      <c r="G3016" s="10"/>
      <c r="H3016" s="20"/>
      <c r="I3016" s="20"/>
      <c r="J3016" s="10"/>
      <c r="K3016" s="10"/>
      <c r="L3016" s="10"/>
      <c r="M3016" s="10"/>
      <c r="N3016" s="10"/>
      <c r="O3016" s="21"/>
    </row>
    <row r="3017" spans="1:15" x14ac:dyDescent="0.35">
      <c r="A3017" s="15">
        <f t="shared" si="46"/>
        <v>3015</v>
      </c>
      <c r="B3017" s="16"/>
      <c r="C3017" s="19"/>
      <c r="D3017" s="10"/>
      <c r="E3017" s="10"/>
      <c r="F3017" s="47"/>
      <c r="G3017" s="10"/>
      <c r="H3017" s="20"/>
      <c r="I3017" s="20"/>
      <c r="J3017" s="10"/>
      <c r="K3017" s="10"/>
      <c r="L3017" s="10"/>
      <c r="M3017" s="10"/>
      <c r="N3017" s="10"/>
      <c r="O3017" s="21"/>
    </row>
    <row r="3018" spans="1:15" x14ac:dyDescent="0.35">
      <c r="A3018" s="15">
        <f t="shared" si="46"/>
        <v>3016</v>
      </c>
      <c r="B3018" s="16"/>
      <c r="C3018" s="19"/>
      <c r="D3018" s="10"/>
      <c r="E3018" s="10"/>
      <c r="F3018" s="47"/>
      <c r="G3018" s="10"/>
      <c r="H3018" s="20"/>
      <c r="I3018" s="20"/>
      <c r="J3018" s="10"/>
      <c r="K3018" s="10"/>
      <c r="L3018" s="10"/>
      <c r="M3018" s="10"/>
      <c r="N3018" s="10"/>
      <c r="O3018" s="21"/>
    </row>
    <row r="3019" spans="1:15" x14ac:dyDescent="0.35">
      <c r="A3019" s="15">
        <f t="shared" ref="A3019:A3082" si="47">+A3018+1</f>
        <v>3017</v>
      </c>
      <c r="B3019" s="16"/>
      <c r="C3019" s="19"/>
      <c r="D3019" s="10"/>
      <c r="E3019" s="10"/>
      <c r="F3019" s="47"/>
      <c r="G3019" s="10"/>
      <c r="H3019" s="20"/>
      <c r="I3019" s="20"/>
      <c r="J3019" s="10"/>
      <c r="K3019" s="10"/>
      <c r="L3019" s="10"/>
      <c r="M3019" s="10"/>
      <c r="N3019" s="10"/>
      <c r="O3019" s="21"/>
    </row>
    <row r="3020" spans="1:15" x14ac:dyDescent="0.35">
      <c r="A3020" s="15">
        <f t="shared" si="47"/>
        <v>3018</v>
      </c>
      <c r="B3020" s="16"/>
      <c r="C3020" s="19"/>
      <c r="D3020" s="10"/>
      <c r="E3020" s="10"/>
      <c r="F3020" s="47"/>
      <c r="G3020" s="10"/>
      <c r="H3020" s="20"/>
      <c r="I3020" s="20"/>
      <c r="J3020" s="10"/>
      <c r="K3020" s="10"/>
      <c r="L3020" s="10"/>
      <c r="M3020" s="10"/>
      <c r="N3020" s="10"/>
      <c r="O3020" s="21"/>
    </row>
    <row r="3021" spans="1:15" x14ac:dyDescent="0.35">
      <c r="A3021" s="15">
        <f t="shared" si="47"/>
        <v>3019</v>
      </c>
      <c r="B3021" s="16"/>
      <c r="C3021" s="19"/>
      <c r="D3021" s="10"/>
      <c r="E3021" s="10"/>
      <c r="F3021" s="47"/>
      <c r="G3021" s="10"/>
      <c r="H3021" s="20"/>
      <c r="I3021" s="20"/>
      <c r="J3021" s="10"/>
      <c r="K3021" s="10"/>
      <c r="L3021" s="10"/>
      <c r="M3021" s="10"/>
      <c r="N3021" s="10"/>
      <c r="O3021" s="21"/>
    </row>
    <row r="3022" spans="1:15" x14ac:dyDescent="0.35">
      <c r="A3022" s="15">
        <f t="shared" si="47"/>
        <v>3020</v>
      </c>
      <c r="B3022" s="16"/>
      <c r="C3022" s="19"/>
      <c r="D3022" s="10"/>
      <c r="E3022" s="10"/>
      <c r="F3022" s="47"/>
      <c r="G3022" s="10"/>
      <c r="H3022" s="20"/>
      <c r="I3022" s="20"/>
      <c r="J3022" s="10"/>
      <c r="K3022" s="10"/>
      <c r="L3022" s="10"/>
      <c r="M3022" s="10"/>
      <c r="N3022" s="10"/>
      <c r="O3022" s="21"/>
    </row>
    <row r="3023" spans="1:15" x14ac:dyDescent="0.35">
      <c r="A3023" s="15">
        <f t="shared" si="47"/>
        <v>3021</v>
      </c>
      <c r="B3023" s="16"/>
      <c r="C3023" s="19"/>
      <c r="D3023" s="10"/>
      <c r="E3023" s="10"/>
      <c r="F3023" s="47"/>
      <c r="G3023" s="10"/>
      <c r="H3023" s="20"/>
      <c r="I3023" s="20"/>
      <c r="J3023" s="10"/>
      <c r="K3023" s="10"/>
      <c r="L3023" s="10"/>
      <c r="M3023" s="10"/>
      <c r="N3023" s="10"/>
      <c r="O3023" s="21"/>
    </row>
    <row r="3024" spans="1:15" x14ac:dyDescent="0.35">
      <c r="A3024" s="15">
        <f t="shared" si="47"/>
        <v>3022</v>
      </c>
      <c r="B3024" s="16"/>
      <c r="C3024" s="19"/>
      <c r="D3024" s="10"/>
      <c r="E3024" s="10"/>
      <c r="F3024" s="47"/>
      <c r="G3024" s="10"/>
      <c r="H3024" s="20"/>
      <c r="I3024" s="20"/>
      <c r="J3024" s="10"/>
      <c r="K3024" s="10"/>
      <c r="L3024" s="10"/>
      <c r="M3024" s="10"/>
      <c r="N3024" s="10"/>
      <c r="O3024" s="21"/>
    </row>
    <row r="3025" spans="1:15" x14ac:dyDescent="0.35">
      <c r="A3025" s="15">
        <f t="shared" si="47"/>
        <v>3023</v>
      </c>
      <c r="B3025" s="16"/>
      <c r="C3025" s="19"/>
      <c r="D3025" s="10"/>
      <c r="E3025" s="10"/>
      <c r="F3025" s="47"/>
      <c r="G3025" s="10"/>
      <c r="H3025" s="20"/>
      <c r="I3025" s="20"/>
      <c r="J3025" s="10"/>
      <c r="K3025" s="10"/>
      <c r="L3025" s="10"/>
      <c r="M3025" s="10"/>
      <c r="N3025" s="10"/>
      <c r="O3025" s="21"/>
    </row>
    <row r="3026" spans="1:15" x14ac:dyDescent="0.35">
      <c r="A3026" s="15">
        <f t="shared" si="47"/>
        <v>3024</v>
      </c>
      <c r="B3026" s="16"/>
      <c r="C3026" s="19"/>
      <c r="D3026" s="10"/>
      <c r="E3026" s="10"/>
      <c r="F3026" s="47"/>
      <c r="G3026" s="10"/>
      <c r="H3026" s="20"/>
      <c r="I3026" s="20"/>
      <c r="J3026" s="10"/>
      <c r="K3026" s="10"/>
      <c r="L3026" s="10"/>
      <c r="M3026" s="10"/>
      <c r="N3026" s="10"/>
      <c r="O3026" s="21"/>
    </row>
    <row r="3027" spans="1:15" x14ac:dyDescent="0.35">
      <c r="A3027" s="15">
        <f t="shared" si="47"/>
        <v>3025</v>
      </c>
      <c r="B3027" s="16"/>
      <c r="C3027" s="19"/>
      <c r="D3027" s="10"/>
      <c r="E3027" s="10"/>
      <c r="F3027" s="47"/>
      <c r="G3027" s="10"/>
      <c r="H3027" s="20"/>
      <c r="I3027" s="20"/>
      <c r="J3027" s="10"/>
      <c r="K3027" s="10"/>
      <c r="L3027" s="10"/>
      <c r="M3027" s="10"/>
      <c r="N3027" s="10"/>
      <c r="O3027" s="21"/>
    </row>
    <row r="3028" spans="1:15" x14ac:dyDescent="0.35">
      <c r="A3028" s="15">
        <f t="shared" si="47"/>
        <v>3026</v>
      </c>
      <c r="B3028" s="16"/>
      <c r="C3028" s="19"/>
      <c r="D3028" s="10"/>
      <c r="E3028" s="10"/>
      <c r="F3028" s="47"/>
      <c r="G3028" s="10"/>
      <c r="H3028" s="20"/>
      <c r="I3028" s="20"/>
      <c r="J3028" s="10"/>
      <c r="K3028" s="10"/>
      <c r="L3028" s="10"/>
      <c r="M3028" s="10"/>
      <c r="N3028" s="10"/>
      <c r="O3028" s="21"/>
    </row>
    <row r="3029" spans="1:15" x14ac:dyDescent="0.35">
      <c r="A3029" s="15">
        <f t="shared" si="47"/>
        <v>3027</v>
      </c>
      <c r="B3029" s="16"/>
      <c r="C3029" s="19"/>
      <c r="D3029" s="10"/>
      <c r="E3029" s="10"/>
      <c r="F3029" s="47"/>
      <c r="G3029" s="10"/>
      <c r="H3029" s="20"/>
      <c r="I3029" s="20"/>
      <c r="J3029" s="10"/>
      <c r="K3029" s="10"/>
      <c r="L3029" s="10"/>
      <c r="M3029" s="10"/>
      <c r="N3029" s="10"/>
      <c r="O3029" s="21"/>
    </row>
    <row r="3030" spans="1:15" x14ac:dyDescent="0.35">
      <c r="A3030" s="15">
        <f t="shared" si="47"/>
        <v>3028</v>
      </c>
      <c r="B3030" s="16"/>
      <c r="C3030" s="19"/>
      <c r="D3030" s="10"/>
      <c r="E3030" s="10"/>
      <c r="F3030" s="47"/>
      <c r="G3030" s="10"/>
      <c r="H3030" s="20"/>
      <c r="I3030" s="20"/>
      <c r="J3030" s="10"/>
      <c r="K3030" s="10"/>
      <c r="L3030" s="10"/>
      <c r="M3030" s="10"/>
      <c r="N3030" s="10"/>
      <c r="O3030" s="21"/>
    </row>
    <row r="3031" spans="1:15" x14ac:dyDescent="0.35">
      <c r="A3031" s="15">
        <f t="shared" si="47"/>
        <v>3029</v>
      </c>
      <c r="B3031" s="16"/>
      <c r="C3031" s="19"/>
      <c r="D3031" s="10"/>
      <c r="E3031" s="10"/>
      <c r="F3031" s="47"/>
      <c r="G3031" s="10"/>
      <c r="H3031" s="20"/>
      <c r="I3031" s="20"/>
      <c r="J3031" s="10"/>
      <c r="K3031" s="10"/>
      <c r="L3031" s="10"/>
      <c r="M3031" s="10"/>
      <c r="N3031" s="10"/>
      <c r="O3031" s="21"/>
    </row>
    <row r="3032" spans="1:15" x14ac:dyDescent="0.35">
      <c r="A3032" s="15">
        <f t="shared" si="47"/>
        <v>3030</v>
      </c>
      <c r="B3032" s="16"/>
      <c r="C3032" s="19"/>
      <c r="D3032" s="10"/>
      <c r="E3032" s="10"/>
      <c r="F3032" s="47"/>
      <c r="G3032" s="10"/>
      <c r="H3032" s="20"/>
      <c r="I3032" s="20"/>
      <c r="J3032" s="10"/>
      <c r="K3032" s="10"/>
      <c r="L3032" s="10"/>
      <c r="M3032" s="10"/>
      <c r="N3032" s="10"/>
      <c r="O3032" s="21"/>
    </row>
    <row r="3033" spans="1:15" x14ac:dyDescent="0.35">
      <c r="A3033" s="15">
        <f t="shared" si="47"/>
        <v>3031</v>
      </c>
      <c r="B3033" s="16"/>
      <c r="C3033" s="19"/>
      <c r="D3033" s="10"/>
      <c r="E3033" s="10"/>
      <c r="F3033" s="47"/>
      <c r="G3033" s="10"/>
      <c r="H3033" s="20"/>
      <c r="I3033" s="20"/>
      <c r="J3033" s="10"/>
      <c r="K3033" s="10"/>
      <c r="L3033" s="10"/>
      <c r="M3033" s="10"/>
      <c r="N3033" s="10"/>
      <c r="O3033" s="21"/>
    </row>
    <row r="3034" spans="1:15" x14ac:dyDescent="0.35">
      <c r="A3034" s="15">
        <f t="shared" si="47"/>
        <v>3032</v>
      </c>
      <c r="B3034" s="16"/>
      <c r="C3034" s="19"/>
      <c r="D3034" s="10"/>
      <c r="E3034" s="10"/>
      <c r="F3034" s="47"/>
      <c r="G3034" s="10"/>
      <c r="H3034" s="20"/>
      <c r="I3034" s="20"/>
      <c r="J3034" s="10"/>
      <c r="K3034" s="10"/>
      <c r="L3034" s="10"/>
      <c r="M3034" s="10"/>
      <c r="N3034" s="10"/>
      <c r="O3034" s="21"/>
    </row>
    <row r="3035" spans="1:15" x14ac:dyDescent="0.35">
      <c r="A3035" s="15">
        <f t="shared" si="47"/>
        <v>3033</v>
      </c>
      <c r="B3035" s="16"/>
      <c r="C3035" s="19"/>
      <c r="D3035" s="10"/>
      <c r="E3035" s="10"/>
      <c r="F3035" s="47"/>
      <c r="G3035" s="10"/>
      <c r="H3035" s="20"/>
      <c r="I3035" s="20"/>
      <c r="J3035" s="10"/>
      <c r="K3035" s="10"/>
      <c r="L3035" s="10"/>
      <c r="M3035" s="10"/>
      <c r="N3035" s="10"/>
      <c r="O3035" s="21"/>
    </row>
    <row r="3036" spans="1:15" x14ac:dyDescent="0.35">
      <c r="A3036" s="15">
        <f t="shared" si="47"/>
        <v>3034</v>
      </c>
      <c r="B3036" s="16"/>
      <c r="C3036" s="19"/>
      <c r="D3036" s="10"/>
      <c r="E3036" s="10"/>
      <c r="F3036" s="47"/>
      <c r="G3036" s="10"/>
      <c r="H3036" s="20"/>
      <c r="I3036" s="20"/>
      <c r="J3036" s="10"/>
      <c r="K3036" s="10"/>
      <c r="L3036" s="10"/>
      <c r="M3036" s="10"/>
      <c r="N3036" s="10"/>
      <c r="O3036" s="21"/>
    </row>
    <row r="3037" spans="1:15" x14ac:dyDescent="0.35">
      <c r="A3037" s="15">
        <f t="shared" si="47"/>
        <v>3035</v>
      </c>
      <c r="B3037" s="16"/>
      <c r="C3037" s="19"/>
      <c r="D3037" s="10"/>
      <c r="E3037" s="10"/>
      <c r="F3037" s="47"/>
      <c r="G3037" s="10"/>
      <c r="H3037" s="20"/>
      <c r="I3037" s="20"/>
      <c r="J3037" s="10"/>
      <c r="K3037" s="10"/>
      <c r="L3037" s="10"/>
      <c r="M3037" s="10"/>
      <c r="N3037" s="10"/>
      <c r="O3037" s="21"/>
    </row>
    <row r="3038" spans="1:15" x14ac:dyDescent="0.35">
      <c r="A3038" s="15">
        <f t="shared" si="47"/>
        <v>3036</v>
      </c>
      <c r="B3038" s="16"/>
      <c r="C3038" s="19"/>
      <c r="D3038" s="10"/>
      <c r="E3038" s="10"/>
      <c r="F3038" s="47"/>
      <c r="G3038" s="10"/>
      <c r="H3038" s="20"/>
      <c r="I3038" s="20"/>
      <c r="J3038" s="10"/>
      <c r="K3038" s="10"/>
      <c r="L3038" s="10"/>
      <c r="M3038" s="10"/>
      <c r="N3038" s="10"/>
      <c r="O3038" s="21"/>
    </row>
    <row r="3039" spans="1:15" x14ac:dyDescent="0.35">
      <c r="A3039" s="15">
        <f t="shared" si="47"/>
        <v>3037</v>
      </c>
      <c r="B3039" s="16"/>
      <c r="C3039" s="19"/>
      <c r="D3039" s="10"/>
      <c r="E3039" s="10"/>
      <c r="F3039" s="47"/>
      <c r="G3039" s="10"/>
      <c r="H3039" s="20"/>
      <c r="I3039" s="20"/>
      <c r="J3039" s="10"/>
      <c r="K3039" s="10"/>
      <c r="L3039" s="10"/>
      <c r="M3039" s="10"/>
      <c r="N3039" s="10"/>
      <c r="O3039" s="21"/>
    </row>
    <row r="3040" spans="1:15" x14ac:dyDescent="0.35">
      <c r="A3040" s="15">
        <f t="shared" si="47"/>
        <v>3038</v>
      </c>
      <c r="B3040" s="16"/>
      <c r="C3040" s="19"/>
      <c r="D3040" s="10"/>
      <c r="E3040" s="10"/>
      <c r="F3040" s="47"/>
      <c r="G3040" s="10"/>
      <c r="H3040" s="20"/>
      <c r="I3040" s="20"/>
      <c r="J3040" s="10"/>
      <c r="K3040" s="10"/>
      <c r="L3040" s="10"/>
      <c r="M3040" s="10"/>
      <c r="N3040" s="10"/>
      <c r="O3040" s="21"/>
    </row>
    <row r="3041" spans="1:15" x14ac:dyDescent="0.35">
      <c r="A3041" s="15">
        <f t="shared" si="47"/>
        <v>3039</v>
      </c>
      <c r="B3041" s="16"/>
      <c r="C3041" s="19"/>
      <c r="D3041" s="10"/>
      <c r="E3041" s="10"/>
      <c r="F3041" s="47"/>
      <c r="G3041" s="10"/>
      <c r="H3041" s="20"/>
      <c r="I3041" s="20"/>
      <c r="J3041" s="10"/>
      <c r="K3041" s="10"/>
      <c r="L3041" s="10"/>
      <c r="M3041" s="10"/>
      <c r="N3041" s="10"/>
      <c r="O3041" s="21"/>
    </row>
    <row r="3042" spans="1:15" x14ac:dyDescent="0.35">
      <c r="A3042" s="15">
        <f t="shared" si="47"/>
        <v>3040</v>
      </c>
      <c r="B3042" s="16"/>
      <c r="C3042" s="19"/>
      <c r="D3042" s="10"/>
      <c r="E3042" s="10"/>
      <c r="F3042" s="47"/>
      <c r="G3042" s="10"/>
      <c r="H3042" s="20"/>
      <c r="I3042" s="20"/>
      <c r="J3042" s="10"/>
      <c r="K3042" s="10"/>
      <c r="L3042" s="10"/>
      <c r="M3042" s="10"/>
      <c r="N3042" s="10"/>
      <c r="O3042" s="21"/>
    </row>
    <row r="3043" spans="1:15" x14ac:dyDescent="0.35">
      <c r="A3043" s="15">
        <f t="shared" si="47"/>
        <v>3041</v>
      </c>
      <c r="B3043" s="16"/>
      <c r="C3043" s="19"/>
      <c r="D3043" s="10"/>
      <c r="E3043" s="10"/>
      <c r="F3043" s="47"/>
      <c r="G3043" s="10"/>
      <c r="H3043" s="20"/>
      <c r="I3043" s="20"/>
      <c r="J3043" s="10"/>
      <c r="K3043" s="10"/>
      <c r="L3043" s="10"/>
      <c r="M3043" s="10"/>
      <c r="N3043" s="10"/>
      <c r="O3043" s="21"/>
    </row>
    <row r="3044" spans="1:15" x14ac:dyDescent="0.35">
      <c r="A3044" s="15">
        <f t="shared" si="47"/>
        <v>3042</v>
      </c>
      <c r="B3044" s="16"/>
      <c r="C3044" s="19"/>
      <c r="D3044" s="10"/>
      <c r="E3044" s="10"/>
      <c r="F3044" s="47"/>
      <c r="G3044" s="10"/>
      <c r="H3044" s="20"/>
      <c r="I3044" s="20"/>
      <c r="J3044" s="10"/>
      <c r="K3044" s="10"/>
      <c r="L3044" s="10"/>
      <c r="M3044" s="10"/>
      <c r="N3044" s="10"/>
      <c r="O3044" s="21"/>
    </row>
    <row r="3045" spans="1:15" x14ac:dyDescent="0.35">
      <c r="A3045" s="15">
        <f t="shared" si="47"/>
        <v>3043</v>
      </c>
      <c r="B3045" s="16"/>
      <c r="C3045" s="19"/>
      <c r="D3045" s="10"/>
      <c r="E3045" s="10"/>
      <c r="F3045" s="47"/>
      <c r="G3045" s="10"/>
      <c r="H3045" s="20"/>
      <c r="I3045" s="20"/>
      <c r="J3045" s="10"/>
      <c r="K3045" s="10"/>
      <c r="L3045" s="10"/>
      <c r="M3045" s="10"/>
      <c r="N3045" s="10"/>
      <c r="O3045" s="21"/>
    </row>
    <row r="3046" spans="1:15" x14ac:dyDescent="0.35">
      <c r="A3046" s="15">
        <f t="shared" si="47"/>
        <v>3044</v>
      </c>
      <c r="B3046" s="16"/>
      <c r="C3046" s="19"/>
      <c r="D3046" s="10"/>
      <c r="E3046" s="10"/>
      <c r="F3046" s="47"/>
      <c r="G3046" s="10"/>
      <c r="H3046" s="20"/>
      <c r="I3046" s="20"/>
      <c r="J3046" s="10"/>
      <c r="K3046" s="10"/>
      <c r="L3046" s="10"/>
      <c r="M3046" s="10"/>
      <c r="N3046" s="10"/>
      <c r="O3046" s="21"/>
    </row>
    <row r="3047" spans="1:15" x14ac:dyDescent="0.35">
      <c r="A3047" s="15">
        <f t="shared" si="47"/>
        <v>3045</v>
      </c>
      <c r="B3047" s="16"/>
      <c r="C3047" s="19"/>
      <c r="D3047" s="10"/>
      <c r="E3047" s="10"/>
      <c r="F3047" s="47"/>
      <c r="G3047" s="10"/>
      <c r="H3047" s="20"/>
      <c r="I3047" s="20"/>
      <c r="J3047" s="10"/>
      <c r="K3047" s="10"/>
      <c r="L3047" s="10"/>
      <c r="M3047" s="10"/>
      <c r="N3047" s="10"/>
      <c r="O3047" s="21"/>
    </row>
    <row r="3048" spans="1:15" x14ac:dyDescent="0.35">
      <c r="A3048" s="15">
        <f t="shared" si="47"/>
        <v>3046</v>
      </c>
      <c r="B3048" s="16"/>
      <c r="C3048" s="19"/>
      <c r="D3048" s="10"/>
      <c r="E3048" s="10"/>
      <c r="F3048" s="47"/>
      <c r="G3048" s="10"/>
      <c r="H3048" s="20"/>
      <c r="I3048" s="20"/>
      <c r="J3048" s="10"/>
      <c r="K3048" s="10"/>
      <c r="L3048" s="10"/>
      <c r="M3048" s="10"/>
      <c r="N3048" s="10"/>
      <c r="O3048" s="21"/>
    </row>
    <row r="3049" spans="1:15" x14ac:dyDescent="0.35">
      <c r="A3049" s="15">
        <f t="shared" si="47"/>
        <v>3047</v>
      </c>
      <c r="B3049" s="16"/>
      <c r="C3049" s="19"/>
      <c r="D3049" s="10"/>
      <c r="E3049" s="10"/>
      <c r="F3049" s="47"/>
      <c r="G3049" s="10"/>
      <c r="H3049" s="20"/>
      <c r="I3049" s="20"/>
      <c r="J3049" s="10"/>
      <c r="K3049" s="10"/>
      <c r="L3049" s="10"/>
      <c r="M3049" s="10"/>
      <c r="N3049" s="10"/>
      <c r="O3049" s="21"/>
    </row>
    <row r="3050" spans="1:15" x14ac:dyDescent="0.35">
      <c r="A3050" s="15">
        <f t="shared" si="47"/>
        <v>3048</v>
      </c>
      <c r="B3050" s="16"/>
      <c r="C3050" s="19"/>
      <c r="D3050" s="10"/>
      <c r="E3050" s="10"/>
      <c r="F3050" s="47"/>
      <c r="G3050" s="10"/>
      <c r="H3050" s="20"/>
      <c r="I3050" s="20"/>
      <c r="J3050" s="10"/>
      <c r="K3050" s="10"/>
      <c r="L3050" s="10"/>
      <c r="M3050" s="10"/>
      <c r="N3050" s="10"/>
      <c r="O3050" s="21"/>
    </row>
    <row r="3051" spans="1:15" x14ac:dyDescent="0.35">
      <c r="A3051" s="15">
        <f t="shared" si="47"/>
        <v>3049</v>
      </c>
      <c r="B3051" s="16"/>
      <c r="C3051" s="19"/>
      <c r="D3051" s="10"/>
      <c r="E3051" s="10"/>
      <c r="F3051" s="47"/>
      <c r="G3051" s="10"/>
      <c r="H3051" s="20"/>
      <c r="I3051" s="20"/>
      <c r="J3051" s="10"/>
      <c r="K3051" s="10"/>
      <c r="L3051" s="10"/>
      <c r="M3051" s="10"/>
      <c r="N3051" s="10"/>
      <c r="O3051" s="21"/>
    </row>
    <row r="3052" spans="1:15" x14ac:dyDescent="0.35">
      <c r="A3052" s="15">
        <f t="shared" si="47"/>
        <v>3050</v>
      </c>
      <c r="B3052" s="16"/>
      <c r="C3052" s="19"/>
      <c r="D3052" s="10"/>
      <c r="E3052" s="10"/>
      <c r="F3052" s="47"/>
      <c r="G3052" s="10"/>
      <c r="H3052" s="20"/>
      <c r="I3052" s="20"/>
      <c r="J3052" s="10"/>
      <c r="K3052" s="10"/>
      <c r="L3052" s="10"/>
      <c r="M3052" s="10"/>
      <c r="N3052" s="10"/>
      <c r="O3052" s="21"/>
    </row>
    <row r="3053" spans="1:15" x14ac:dyDescent="0.35">
      <c r="A3053" s="15">
        <f t="shared" si="47"/>
        <v>3051</v>
      </c>
      <c r="B3053" s="16"/>
      <c r="C3053" s="19"/>
      <c r="D3053" s="10"/>
      <c r="E3053" s="10"/>
      <c r="F3053" s="47"/>
      <c r="G3053" s="10"/>
      <c r="H3053" s="20"/>
      <c r="I3053" s="20"/>
      <c r="J3053" s="10"/>
      <c r="K3053" s="10"/>
      <c r="L3053" s="10"/>
      <c r="M3053" s="10"/>
      <c r="N3053" s="10"/>
      <c r="O3053" s="21"/>
    </row>
    <row r="3054" spans="1:15" x14ac:dyDescent="0.35">
      <c r="A3054" s="15">
        <f t="shared" si="47"/>
        <v>3052</v>
      </c>
      <c r="B3054" s="16"/>
      <c r="C3054" s="19"/>
      <c r="D3054" s="10"/>
      <c r="E3054" s="10"/>
      <c r="F3054" s="47"/>
      <c r="G3054" s="10"/>
      <c r="H3054" s="20"/>
      <c r="I3054" s="20"/>
      <c r="J3054" s="10"/>
      <c r="K3054" s="10"/>
      <c r="L3054" s="10"/>
      <c r="M3054" s="10"/>
      <c r="N3054" s="10"/>
      <c r="O3054" s="21"/>
    </row>
    <row r="3055" spans="1:15" x14ac:dyDescent="0.35">
      <c r="A3055" s="15">
        <f t="shared" si="47"/>
        <v>3053</v>
      </c>
      <c r="B3055" s="16"/>
      <c r="C3055" s="19"/>
      <c r="D3055" s="10"/>
      <c r="E3055" s="10"/>
      <c r="F3055" s="47"/>
      <c r="G3055" s="10"/>
      <c r="H3055" s="20"/>
      <c r="I3055" s="20"/>
      <c r="J3055" s="10"/>
      <c r="K3055" s="10"/>
      <c r="L3055" s="10"/>
      <c r="M3055" s="10"/>
      <c r="N3055" s="10"/>
      <c r="O3055" s="21"/>
    </row>
    <row r="3056" spans="1:15" x14ac:dyDescent="0.35">
      <c r="A3056" s="15">
        <f t="shared" si="47"/>
        <v>3054</v>
      </c>
      <c r="B3056" s="16"/>
      <c r="C3056" s="19"/>
      <c r="D3056" s="10"/>
      <c r="E3056" s="10"/>
      <c r="F3056" s="47"/>
      <c r="G3056" s="10"/>
      <c r="H3056" s="20"/>
      <c r="I3056" s="20"/>
      <c r="J3056" s="10"/>
      <c r="K3056" s="10"/>
      <c r="L3056" s="10"/>
      <c r="M3056" s="10"/>
      <c r="N3056" s="10"/>
      <c r="O3056" s="21"/>
    </row>
    <row r="3057" spans="1:15" x14ac:dyDescent="0.35">
      <c r="A3057" s="15">
        <f t="shared" si="47"/>
        <v>3055</v>
      </c>
      <c r="B3057" s="16"/>
      <c r="C3057" s="19"/>
      <c r="D3057" s="10"/>
      <c r="E3057" s="10"/>
      <c r="F3057" s="47"/>
      <c r="G3057" s="10"/>
      <c r="H3057" s="20"/>
      <c r="I3057" s="20"/>
      <c r="J3057" s="10"/>
      <c r="K3057" s="10"/>
      <c r="L3057" s="10"/>
      <c r="M3057" s="10"/>
      <c r="N3057" s="10"/>
      <c r="O3057" s="21"/>
    </row>
    <row r="3058" spans="1:15" x14ac:dyDescent="0.35">
      <c r="A3058" s="15">
        <f t="shared" si="47"/>
        <v>3056</v>
      </c>
      <c r="B3058" s="16"/>
      <c r="C3058" s="19"/>
      <c r="D3058" s="10"/>
      <c r="E3058" s="10"/>
      <c r="F3058" s="47"/>
      <c r="G3058" s="10"/>
      <c r="H3058" s="20"/>
      <c r="I3058" s="20"/>
      <c r="J3058" s="10"/>
      <c r="K3058" s="10"/>
      <c r="L3058" s="10"/>
      <c r="M3058" s="10"/>
      <c r="N3058" s="10"/>
      <c r="O3058" s="21"/>
    </row>
    <row r="3059" spans="1:15" x14ac:dyDescent="0.35">
      <c r="A3059" s="15">
        <f t="shared" si="47"/>
        <v>3057</v>
      </c>
      <c r="B3059" s="16"/>
      <c r="C3059" s="19"/>
      <c r="D3059" s="10"/>
      <c r="E3059" s="10"/>
      <c r="F3059" s="47"/>
      <c r="G3059" s="10"/>
      <c r="H3059" s="20"/>
      <c r="I3059" s="20"/>
      <c r="J3059" s="10"/>
      <c r="K3059" s="10"/>
      <c r="L3059" s="10"/>
      <c r="M3059" s="10"/>
      <c r="N3059" s="10"/>
      <c r="O3059" s="21"/>
    </row>
    <row r="3060" spans="1:15" x14ac:dyDescent="0.35">
      <c r="A3060" s="15">
        <f t="shared" si="47"/>
        <v>3058</v>
      </c>
      <c r="B3060" s="16"/>
      <c r="C3060" s="19"/>
      <c r="D3060" s="10"/>
      <c r="E3060" s="10"/>
      <c r="F3060" s="47"/>
      <c r="G3060" s="10"/>
      <c r="H3060" s="20"/>
      <c r="I3060" s="20"/>
      <c r="J3060" s="10"/>
      <c r="K3060" s="10"/>
      <c r="L3060" s="10"/>
      <c r="M3060" s="10"/>
      <c r="N3060" s="10"/>
      <c r="O3060" s="21"/>
    </row>
    <row r="3061" spans="1:15" x14ac:dyDescent="0.35">
      <c r="A3061" s="15">
        <f t="shared" si="47"/>
        <v>3059</v>
      </c>
      <c r="B3061" s="16"/>
      <c r="C3061" s="19"/>
      <c r="D3061" s="10"/>
      <c r="E3061" s="10"/>
      <c r="F3061" s="47"/>
      <c r="G3061" s="10"/>
      <c r="H3061" s="20"/>
      <c r="I3061" s="20"/>
      <c r="J3061" s="10"/>
      <c r="K3061" s="10"/>
      <c r="L3061" s="10"/>
      <c r="M3061" s="10"/>
      <c r="N3061" s="10"/>
      <c r="O3061" s="21"/>
    </row>
    <row r="3062" spans="1:15" x14ac:dyDescent="0.35">
      <c r="A3062" s="15">
        <f t="shared" si="47"/>
        <v>3060</v>
      </c>
      <c r="B3062" s="16"/>
      <c r="C3062" s="19"/>
      <c r="D3062" s="10"/>
      <c r="E3062" s="10"/>
      <c r="F3062" s="47"/>
      <c r="G3062" s="10"/>
      <c r="H3062" s="20"/>
      <c r="I3062" s="20"/>
      <c r="J3062" s="10"/>
      <c r="K3062" s="10"/>
      <c r="L3062" s="10"/>
      <c r="M3062" s="10"/>
      <c r="N3062" s="10"/>
      <c r="O3062" s="21"/>
    </row>
    <row r="3063" spans="1:15" x14ac:dyDescent="0.35">
      <c r="A3063" s="15">
        <f t="shared" si="47"/>
        <v>3061</v>
      </c>
      <c r="B3063" s="16"/>
      <c r="C3063" s="19"/>
      <c r="D3063" s="10"/>
      <c r="E3063" s="10"/>
      <c r="F3063" s="47"/>
      <c r="G3063" s="10"/>
      <c r="H3063" s="20"/>
      <c r="I3063" s="20"/>
      <c r="J3063" s="10"/>
      <c r="K3063" s="10"/>
      <c r="L3063" s="10"/>
      <c r="M3063" s="10"/>
      <c r="N3063" s="10"/>
      <c r="O3063" s="21"/>
    </row>
    <row r="3064" spans="1:15" x14ac:dyDescent="0.35">
      <c r="A3064" s="15">
        <f t="shared" si="47"/>
        <v>3062</v>
      </c>
      <c r="B3064" s="16"/>
      <c r="C3064" s="19"/>
      <c r="D3064" s="10"/>
      <c r="E3064" s="10"/>
      <c r="F3064" s="47"/>
      <c r="G3064" s="10"/>
      <c r="H3064" s="20"/>
      <c r="I3064" s="20"/>
      <c r="J3064" s="10"/>
      <c r="K3064" s="10"/>
      <c r="L3064" s="10"/>
      <c r="M3064" s="10"/>
      <c r="N3064" s="10"/>
      <c r="O3064" s="21"/>
    </row>
    <row r="3065" spans="1:15" x14ac:dyDescent="0.35">
      <c r="A3065" s="15">
        <f t="shared" si="47"/>
        <v>3063</v>
      </c>
      <c r="B3065" s="16"/>
      <c r="C3065" s="19"/>
      <c r="D3065" s="10"/>
      <c r="E3065" s="10"/>
      <c r="F3065" s="47"/>
      <c r="G3065" s="10"/>
      <c r="H3065" s="20"/>
      <c r="I3065" s="20"/>
      <c r="J3065" s="10"/>
      <c r="K3065" s="10"/>
      <c r="L3065" s="10"/>
      <c r="M3065" s="10"/>
      <c r="N3065" s="10"/>
      <c r="O3065" s="21"/>
    </row>
    <row r="3066" spans="1:15" x14ac:dyDescent="0.35">
      <c r="A3066" s="15">
        <f t="shared" si="47"/>
        <v>3064</v>
      </c>
      <c r="B3066" s="16"/>
      <c r="C3066" s="19"/>
      <c r="D3066" s="10"/>
      <c r="E3066" s="10"/>
      <c r="F3066" s="47"/>
      <c r="G3066" s="10"/>
      <c r="H3066" s="20"/>
      <c r="I3066" s="20"/>
      <c r="J3066" s="10"/>
      <c r="K3066" s="10"/>
      <c r="L3066" s="10"/>
      <c r="M3066" s="10"/>
      <c r="N3066" s="10"/>
      <c r="O3066" s="21"/>
    </row>
    <row r="3067" spans="1:15" x14ac:dyDescent="0.35">
      <c r="A3067" s="15">
        <f t="shared" si="47"/>
        <v>3065</v>
      </c>
      <c r="B3067" s="16"/>
      <c r="C3067" s="19"/>
      <c r="D3067" s="10"/>
      <c r="E3067" s="10"/>
      <c r="F3067" s="47"/>
      <c r="G3067" s="10"/>
      <c r="H3067" s="20"/>
      <c r="I3067" s="20"/>
      <c r="J3067" s="10"/>
      <c r="K3067" s="10"/>
      <c r="L3067" s="10"/>
      <c r="M3067" s="10"/>
      <c r="N3067" s="10"/>
      <c r="O3067" s="21"/>
    </row>
    <row r="3068" spans="1:15" x14ac:dyDescent="0.35">
      <c r="A3068" s="15">
        <f t="shared" si="47"/>
        <v>3066</v>
      </c>
      <c r="B3068" s="16"/>
      <c r="C3068" s="19"/>
      <c r="D3068" s="10"/>
      <c r="E3068" s="10"/>
      <c r="F3068" s="47"/>
      <c r="G3068" s="10"/>
      <c r="H3068" s="20"/>
      <c r="I3068" s="20"/>
      <c r="J3068" s="10"/>
      <c r="K3068" s="10"/>
      <c r="L3068" s="10"/>
      <c r="M3068" s="10"/>
      <c r="N3068" s="10"/>
      <c r="O3068" s="21"/>
    </row>
    <row r="3069" spans="1:15" x14ac:dyDescent="0.35">
      <c r="A3069" s="15">
        <f t="shared" si="47"/>
        <v>3067</v>
      </c>
      <c r="B3069" s="16"/>
      <c r="C3069" s="19"/>
      <c r="D3069" s="10"/>
      <c r="E3069" s="10"/>
      <c r="F3069" s="47"/>
      <c r="G3069" s="10"/>
      <c r="H3069" s="20"/>
      <c r="I3069" s="20"/>
      <c r="J3069" s="10"/>
      <c r="K3069" s="10"/>
      <c r="L3069" s="10"/>
      <c r="M3069" s="10"/>
      <c r="N3069" s="10"/>
      <c r="O3069" s="21"/>
    </row>
    <row r="3070" spans="1:15" x14ac:dyDescent="0.35">
      <c r="A3070" s="15">
        <f t="shared" si="47"/>
        <v>3068</v>
      </c>
      <c r="B3070" s="16"/>
      <c r="C3070" s="19"/>
      <c r="D3070" s="10"/>
      <c r="E3070" s="10"/>
      <c r="F3070" s="47"/>
      <c r="G3070" s="10"/>
      <c r="H3070" s="20"/>
      <c r="I3070" s="20"/>
      <c r="J3070" s="10"/>
      <c r="K3070" s="10"/>
      <c r="L3070" s="10"/>
      <c r="M3070" s="10"/>
      <c r="N3070" s="10"/>
      <c r="O3070" s="21"/>
    </row>
    <row r="3071" spans="1:15" x14ac:dyDescent="0.35">
      <c r="A3071" s="15">
        <f t="shared" si="47"/>
        <v>3069</v>
      </c>
      <c r="B3071" s="16"/>
      <c r="C3071" s="19"/>
      <c r="D3071" s="10"/>
      <c r="E3071" s="10"/>
      <c r="F3071" s="47"/>
      <c r="G3071" s="10"/>
      <c r="H3071" s="20"/>
      <c r="I3071" s="20"/>
      <c r="J3071" s="10"/>
      <c r="K3071" s="10"/>
      <c r="L3071" s="10"/>
      <c r="M3071" s="10"/>
      <c r="N3071" s="10"/>
      <c r="O3071" s="21"/>
    </row>
    <row r="3072" spans="1:15" x14ac:dyDescent="0.35">
      <c r="A3072" s="15">
        <f t="shared" si="47"/>
        <v>3070</v>
      </c>
      <c r="B3072" s="16"/>
      <c r="C3072" s="19"/>
      <c r="D3072" s="10"/>
      <c r="E3072" s="10"/>
      <c r="F3072" s="47"/>
      <c r="G3072" s="10"/>
      <c r="H3072" s="20"/>
      <c r="I3072" s="20"/>
      <c r="J3072" s="10"/>
      <c r="K3072" s="10"/>
      <c r="L3072" s="10"/>
      <c r="M3072" s="10"/>
      <c r="N3072" s="10"/>
      <c r="O3072" s="21"/>
    </row>
    <row r="3073" spans="1:15" x14ac:dyDescent="0.35">
      <c r="A3073" s="15">
        <f t="shared" si="47"/>
        <v>3071</v>
      </c>
      <c r="B3073" s="16"/>
      <c r="C3073" s="19"/>
      <c r="D3073" s="10"/>
      <c r="E3073" s="10"/>
      <c r="F3073" s="47"/>
      <c r="G3073" s="10"/>
      <c r="H3073" s="20"/>
      <c r="I3073" s="20"/>
      <c r="J3073" s="10"/>
      <c r="K3073" s="10"/>
      <c r="L3073" s="10"/>
      <c r="M3073" s="10"/>
      <c r="N3073" s="10"/>
      <c r="O3073" s="21"/>
    </row>
    <row r="3074" spans="1:15" x14ac:dyDescent="0.35">
      <c r="A3074" s="15">
        <f t="shared" si="47"/>
        <v>3072</v>
      </c>
      <c r="B3074" s="16"/>
      <c r="C3074" s="19"/>
      <c r="D3074" s="10"/>
      <c r="E3074" s="10"/>
      <c r="F3074" s="47"/>
      <c r="G3074" s="10"/>
      <c r="H3074" s="20"/>
      <c r="I3074" s="20"/>
      <c r="J3074" s="10"/>
      <c r="K3074" s="10"/>
      <c r="L3074" s="10"/>
      <c r="M3074" s="10"/>
      <c r="N3074" s="10"/>
      <c r="O3074" s="21"/>
    </row>
    <row r="3075" spans="1:15" x14ac:dyDescent="0.35">
      <c r="A3075" s="15">
        <f t="shared" si="47"/>
        <v>3073</v>
      </c>
      <c r="B3075" s="16"/>
      <c r="C3075" s="19"/>
      <c r="D3075" s="10"/>
      <c r="E3075" s="10"/>
      <c r="F3075" s="47"/>
      <c r="G3075" s="10"/>
      <c r="H3075" s="20"/>
      <c r="I3075" s="20"/>
      <c r="J3075" s="10"/>
      <c r="K3075" s="10"/>
      <c r="L3075" s="10"/>
      <c r="M3075" s="10"/>
      <c r="N3075" s="10"/>
      <c r="O3075" s="21"/>
    </row>
    <row r="3076" spans="1:15" x14ac:dyDescent="0.35">
      <c r="A3076" s="15">
        <f t="shared" si="47"/>
        <v>3074</v>
      </c>
      <c r="B3076" s="16"/>
      <c r="C3076" s="19"/>
      <c r="D3076" s="10"/>
      <c r="E3076" s="10"/>
      <c r="F3076" s="47"/>
      <c r="G3076" s="10"/>
      <c r="H3076" s="20"/>
      <c r="I3076" s="20"/>
      <c r="J3076" s="10"/>
      <c r="K3076" s="10"/>
      <c r="L3076" s="10"/>
      <c r="M3076" s="10"/>
      <c r="N3076" s="10"/>
      <c r="O3076" s="21"/>
    </row>
    <row r="3077" spans="1:15" x14ac:dyDescent="0.35">
      <c r="A3077" s="15">
        <f t="shared" si="47"/>
        <v>3075</v>
      </c>
      <c r="B3077" s="16"/>
      <c r="C3077" s="19"/>
      <c r="D3077" s="10"/>
      <c r="E3077" s="10"/>
      <c r="F3077" s="47"/>
      <c r="G3077" s="10"/>
      <c r="H3077" s="20"/>
      <c r="I3077" s="20"/>
      <c r="J3077" s="10"/>
      <c r="K3077" s="10"/>
      <c r="L3077" s="10"/>
      <c r="M3077" s="10"/>
      <c r="N3077" s="10"/>
      <c r="O3077" s="21"/>
    </row>
    <row r="3078" spans="1:15" x14ac:dyDescent="0.35">
      <c r="A3078" s="15">
        <f t="shared" si="47"/>
        <v>3076</v>
      </c>
      <c r="B3078" s="16"/>
      <c r="C3078" s="19"/>
      <c r="D3078" s="10"/>
      <c r="E3078" s="10"/>
      <c r="F3078" s="47"/>
      <c r="G3078" s="10"/>
      <c r="H3078" s="20"/>
      <c r="I3078" s="20"/>
      <c r="J3078" s="10"/>
      <c r="K3078" s="10"/>
      <c r="L3078" s="10"/>
      <c r="M3078" s="10"/>
      <c r="N3078" s="10"/>
      <c r="O3078" s="21"/>
    </row>
    <row r="3079" spans="1:15" x14ac:dyDescent="0.35">
      <c r="A3079" s="15">
        <f t="shared" si="47"/>
        <v>3077</v>
      </c>
      <c r="B3079" s="16"/>
      <c r="C3079" s="19"/>
      <c r="D3079" s="10"/>
      <c r="E3079" s="10"/>
      <c r="F3079" s="47"/>
      <c r="G3079" s="10"/>
      <c r="H3079" s="20"/>
      <c r="I3079" s="20"/>
      <c r="J3079" s="10"/>
      <c r="K3079" s="10"/>
      <c r="L3079" s="10"/>
      <c r="M3079" s="10"/>
      <c r="N3079" s="10"/>
      <c r="O3079" s="21"/>
    </row>
    <row r="3080" spans="1:15" x14ac:dyDescent="0.35">
      <c r="A3080" s="15">
        <f t="shared" si="47"/>
        <v>3078</v>
      </c>
      <c r="B3080" s="16"/>
      <c r="C3080" s="19"/>
      <c r="D3080" s="10"/>
      <c r="E3080" s="10"/>
      <c r="F3080" s="47"/>
      <c r="G3080" s="10"/>
      <c r="H3080" s="20"/>
      <c r="I3080" s="20"/>
      <c r="J3080" s="10"/>
      <c r="K3080" s="10"/>
      <c r="L3080" s="10"/>
      <c r="M3080" s="10"/>
      <c r="N3080" s="10"/>
      <c r="O3080" s="21"/>
    </row>
    <row r="3081" spans="1:15" x14ac:dyDescent="0.35">
      <c r="A3081" s="15">
        <f t="shared" si="47"/>
        <v>3079</v>
      </c>
      <c r="B3081" s="16"/>
      <c r="C3081" s="19"/>
      <c r="D3081" s="10"/>
      <c r="E3081" s="10"/>
      <c r="F3081" s="47"/>
      <c r="G3081" s="10"/>
      <c r="H3081" s="20"/>
      <c r="I3081" s="20"/>
      <c r="J3081" s="10"/>
      <c r="K3081" s="10"/>
      <c r="L3081" s="10"/>
      <c r="M3081" s="10"/>
      <c r="N3081" s="10"/>
      <c r="O3081" s="21"/>
    </row>
    <row r="3082" spans="1:15" x14ac:dyDescent="0.35">
      <c r="A3082" s="15">
        <f t="shared" si="47"/>
        <v>3080</v>
      </c>
      <c r="B3082" s="16"/>
      <c r="C3082" s="19"/>
      <c r="D3082" s="10"/>
      <c r="E3082" s="10"/>
      <c r="F3082" s="47"/>
      <c r="G3082" s="10"/>
      <c r="H3082" s="20"/>
      <c r="I3082" s="20"/>
      <c r="J3082" s="10"/>
      <c r="K3082" s="10"/>
      <c r="L3082" s="10"/>
      <c r="M3082" s="10"/>
      <c r="N3082" s="10"/>
      <c r="O3082" s="21"/>
    </row>
    <row r="3083" spans="1:15" x14ac:dyDescent="0.35">
      <c r="A3083" s="15">
        <f t="shared" ref="A3083:A3146" si="48">+A3082+1</f>
        <v>3081</v>
      </c>
      <c r="B3083" s="16"/>
      <c r="C3083" s="19"/>
      <c r="D3083" s="10"/>
      <c r="E3083" s="10"/>
      <c r="F3083" s="47"/>
      <c r="G3083" s="10"/>
      <c r="H3083" s="20"/>
      <c r="I3083" s="20"/>
      <c r="J3083" s="10"/>
      <c r="K3083" s="10"/>
      <c r="L3083" s="10"/>
      <c r="M3083" s="10"/>
      <c r="N3083" s="10"/>
      <c r="O3083" s="21"/>
    </row>
    <row r="3084" spans="1:15" x14ac:dyDescent="0.35">
      <c r="A3084" s="15">
        <f t="shared" si="48"/>
        <v>3082</v>
      </c>
      <c r="B3084" s="16"/>
      <c r="C3084" s="19"/>
      <c r="D3084" s="10"/>
      <c r="E3084" s="10"/>
      <c r="F3084" s="47"/>
      <c r="G3084" s="10"/>
      <c r="H3084" s="20"/>
      <c r="I3084" s="20"/>
      <c r="J3084" s="10"/>
      <c r="K3084" s="10"/>
      <c r="L3084" s="10"/>
      <c r="M3084" s="10"/>
      <c r="N3084" s="10"/>
      <c r="O3084" s="21"/>
    </row>
    <row r="3085" spans="1:15" x14ac:dyDescent="0.35">
      <c r="A3085" s="15">
        <f t="shared" si="48"/>
        <v>3083</v>
      </c>
      <c r="B3085" s="16"/>
      <c r="C3085" s="19"/>
      <c r="D3085" s="10"/>
      <c r="E3085" s="10"/>
      <c r="F3085" s="47"/>
      <c r="G3085" s="10"/>
      <c r="H3085" s="20"/>
      <c r="I3085" s="20"/>
      <c r="J3085" s="10"/>
      <c r="K3085" s="10"/>
      <c r="L3085" s="10"/>
      <c r="M3085" s="10"/>
      <c r="N3085" s="10"/>
      <c r="O3085" s="21"/>
    </row>
    <row r="3086" spans="1:15" x14ac:dyDescent="0.35">
      <c r="A3086" s="15">
        <f t="shared" si="48"/>
        <v>3084</v>
      </c>
      <c r="B3086" s="16"/>
      <c r="C3086" s="19"/>
      <c r="D3086" s="10"/>
      <c r="E3086" s="10"/>
      <c r="F3086" s="47"/>
      <c r="G3086" s="10"/>
      <c r="H3086" s="20"/>
      <c r="I3086" s="20"/>
      <c r="J3086" s="10"/>
      <c r="K3086" s="10"/>
      <c r="L3086" s="10"/>
      <c r="M3086" s="10"/>
      <c r="N3086" s="10"/>
      <c r="O3086" s="21"/>
    </row>
    <row r="3087" spans="1:15" x14ac:dyDescent="0.35">
      <c r="A3087" s="15">
        <f t="shared" si="48"/>
        <v>3085</v>
      </c>
      <c r="B3087" s="16"/>
      <c r="C3087" s="19"/>
      <c r="D3087" s="10"/>
      <c r="E3087" s="10"/>
      <c r="F3087" s="47"/>
      <c r="G3087" s="10"/>
      <c r="H3087" s="20"/>
      <c r="I3087" s="20"/>
      <c r="J3087" s="10"/>
      <c r="K3087" s="10"/>
      <c r="L3087" s="10"/>
      <c r="M3087" s="10"/>
      <c r="N3087" s="10"/>
      <c r="O3087" s="21"/>
    </row>
    <row r="3088" spans="1:15" x14ac:dyDescent="0.35">
      <c r="A3088" s="15">
        <f t="shared" si="48"/>
        <v>3086</v>
      </c>
      <c r="B3088" s="16"/>
      <c r="C3088" s="19"/>
      <c r="D3088" s="10"/>
      <c r="E3088" s="10"/>
      <c r="F3088" s="47"/>
      <c r="G3088" s="10"/>
      <c r="H3088" s="20"/>
      <c r="I3088" s="20"/>
      <c r="J3088" s="10"/>
      <c r="K3088" s="10"/>
      <c r="L3088" s="10"/>
      <c r="M3088" s="10"/>
      <c r="N3088" s="10"/>
      <c r="O3088" s="21"/>
    </row>
    <row r="3089" spans="1:15" x14ac:dyDescent="0.35">
      <c r="A3089" s="15">
        <f t="shared" si="48"/>
        <v>3087</v>
      </c>
      <c r="B3089" s="16"/>
      <c r="C3089" s="19"/>
      <c r="D3089" s="10"/>
      <c r="E3089" s="10"/>
      <c r="F3089" s="47"/>
      <c r="G3089" s="10"/>
      <c r="H3089" s="20"/>
      <c r="I3089" s="20"/>
      <c r="J3089" s="10"/>
      <c r="K3089" s="10"/>
      <c r="L3089" s="10"/>
      <c r="M3089" s="10"/>
      <c r="N3089" s="10"/>
      <c r="O3089" s="21"/>
    </row>
    <row r="3090" spans="1:15" x14ac:dyDescent="0.35">
      <c r="A3090" s="15">
        <f t="shared" si="48"/>
        <v>3088</v>
      </c>
      <c r="B3090" s="16"/>
      <c r="C3090" s="19"/>
      <c r="D3090" s="10"/>
      <c r="E3090" s="10"/>
      <c r="F3090" s="47"/>
      <c r="G3090" s="10"/>
      <c r="H3090" s="20"/>
      <c r="I3090" s="20"/>
      <c r="J3090" s="10"/>
      <c r="K3090" s="10"/>
      <c r="L3090" s="10"/>
      <c r="M3090" s="10"/>
      <c r="N3090" s="10"/>
      <c r="O3090" s="21"/>
    </row>
    <row r="3091" spans="1:15" x14ac:dyDescent="0.35">
      <c r="A3091" s="15">
        <f t="shared" si="48"/>
        <v>3089</v>
      </c>
      <c r="B3091" s="16"/>
      <c r="C3091" s="19"/>
      <c r="D3091" s="10"/>
      <c r="E3091" s="10"/>
      <c r="F3091" s="47"/>
      <c r="G3091" s="10"/>
      <c r="H3091" s="20"/>
      <c r="I3091" s="20"/>
      <c r="J3091" s="10"/>
      <c r="K3091" s="10"/>
      <c r="L3091" s="10"/>
      <c r="M3091" s="10"/>
      <c r="N3091" s="10"/>
      <c r="O3091" s="21"/>
    </row>
    <row r="3092" spans="1:15" x14ac:dyDescent="0.35">
      <c r="A3092" s="15">
        <f t="shared" si="48"/>
        <v>3090</v>
      </c>
      <c r="B3092" s="16"/>
      <c r="C3092" s="19"/>
      <c r="D3092" s="10"/>
      <c r="E3092" s="10"/>
      <c r="F3092" s="47"/>
      <c r="G3092" s="10"/>
      <c r="H3092" s="20"/>
      <c r="I3092" s="20"/>
      <c r="J3092" s="10"/>
      <c r="K3092" s="10"/>
      <c r="L3092" s="10"/>
      <c r="M3092" s="10"/>
      <c r="N3092" s="10"/>
      <c r="O3092" s="21"/>
    </row>
    <row r="3093" spans="1:15" x14ac:dyDescent="0.35">
      <c r="A3093" s="15">
        <f t="shared" si="48"/>
        <v>3091</v>
      </c>
      <c r="B3093" s="16"/>
      <c r="C3093" s="19"/>
      <c r="D3093" s="10"/>
      <c r="E3093" s="10"/>
      <c r="F3093" s="47"/>
      <c r="G3093" s="10"/>
      <c r="H3093" s="20"/>
      <c r="I3093" s="20"/>
      <c r="J3093" s="10"/>
      <c r="K3093" s="10"/>
      <c r="L3093" s="10"/>
      <c r="M3093" s="10"/>
      <c r="N3093" s="10"/>
      <c r="O3093" s="21"/>
    </row>
    <row r="3094" spans="1:15" x14ac:dyDescent="0.35">
      <c r="A3094" s="15">
        <f t="shared" si="48"/>
        <v>3092</v>
      </c>
      <c r="B3094" s="16"/>
      <c r="C3094" s="19"/>
      <c r="D3094" s="10"/>
      <c r="E3094" s="10"/>
      <c r="F3094" s="47"/>
      <c r="G3094" s="10"/>
      <c r="H3094" s="20"/>
      <c r="I3094" s="20"/>
      <c r="J3094" s="10"/>
      <c r="K3094" s="10"/>
      <c r="L3094" s="10"/>
      <c r="M3094" s="10"/>
      <c r="N3094" s="10"/>
      <c r="O3094" s="21"/>
    </row>
    <row r="3095" spans="1:15" x14ac:dyDescent="0.35">
      <c r="A3095" s="15">
        <f t="shared" si="48"/>
        <v>3093</v>
      </c>
      <c r="B3095" s="16"/>
      <c r="C3095" s="19"/>
      <c r="D3095" s="10"/>
      <c r="E3095" s="10"/>
      <c r="F3095" s="47"/>
      <c r="G3095" s="10"/>
      <c r="H3095" s="20"/>
      <c r="I3095" s="20"/>
      <c r="J3095" s="10"/>
      <c r="K3095" s="10"/>
      <c r="L3095" s="10"/>
      <c r="M3095" s="10"/>
      <c r="N3095" s="10"/>
      <c r="O3095" s="21"/>
    </row>
    <row r="3096" spans="1:15" x14ac:dyDescent="0.35">
      <c r="A3096" s="15">
        <f t="shared" si="48"/>
        <v>3094</v>
      </c>
      <c r="B3096" s="16"/>
      <c r="C3096" s="19"/>
      <c r="D3096" s="10"/>
      <c r="E3096" s="10"/>
      <c r="F3096" s="47"/>
      <c r="G3096" s="10"/>
      <c r="H3096" s="20"/>
      <c r="I3096" s="20"/>
      <c r="J3096" s="10"/>
      <c r="K3096" s="10"/>
      <c r="L3096" s="10"/>
      <c r="M3096" s="10"/>
      <c r="N3096" s="10"/>
      <c r="O3096" s="21"/>
    </row>
    <row r="3097" spans="1:15" x14ac:dyDescent="0.35">
      <c r="A3097" s="15">
        <f t="shared" si="48"/>
        <v>3095</v>
      </c>
      <c r="B3097" s="16"/>
      <c r="C3097" s="19"/>
      <c r="D3097" s="10"/>
      <c r="E3097" s="10"/>
      <c r="F3097" s="47"/>
      <c r="G3097" s="10"/>
      <c r="H3097" s="20"/>
      <c r="I3097" s="20"/>
      <c r="J3097" s="10"/>
      <c r="K3097" s="10"/>
      <c r="L3097" s="10"/>
      <c r="M3097" s="10"/>
      <c r="N3097" s="10"/>
      <c r="O3097" s="21"/>
    </row>
    <row r="3098" spans="1:15" x14ac:dyDescent="0.35">
      <c r="A3098" s="15">
        <f t="shared" si="48"/>
        <v>3096</v>
      </c>
      <c r="B3098" s="16"/>
      <c r="C3098" s="19"/>
      <c r="D3098" s="10"/>
      <c r="E3098" s="10"/>
      <c r="F3098" s="47"/>
      <c r="G3098" s="10"/>
      <c r="H3098" s="20"/>
      <c r="I3098" s="20"/>
      <c r="J3098" s="10"/>
      <c r="K3098" s="10"/>
      <c r="L3098" s="10"/>
      <c r="M3098" s="10"/>
      <c r="N3098" s="10"/>
      <c r="O3098" s="21"/>
    </row>
    <row r="3099" spans="1:15" x14ac:dyDescent="0.35">
      <c r="A3099" s="15">
        <f t="shared" si="48"/>
        <v>3097</v>
      </c>
      <c r="B3099" s="16"/>
      <c r="C3099" s="19"/>
      <c r="D3099" s="10"/>
      <c r="E3099" s="10"/>
      <c r="F3099" s="47"/>
      <c r="G3099" s="10"/>
      <c r="H3099" s="20"/>
      <c r="I3099" s="20"/>
      <c r="J3099" s="10"/>
      <c r="K3099" s="10"/>
      <c r="L3099" s="10"/>
      <c r="M3099" s="10"/>
      <c r="N3099" s="10"/>
      <c r="O3099" s="21"/>
    </row>
    <row r="3100" spans="1:15" x14ac:dyDescent="0.35">
      <c r="A3100" s="15">
        <f t="shared" si="48"/>
        <v>3098</v>
      </c>
      <c r="B3100" s="16"/>
      <c r="C3100" s="19"/>
      <c r="D3100" s="10"/>
      <c r="E3100" s="10"/>
      <c r="F3100" s="47"/>
      <c r="G3100" s="10"/>
      <c r="H3100" s="20"/>
      <c r="I3100" s="20"/>
      <c r="J3100" s="10"/>
      <c r="K3100" s="10"/>
      <c r="L3100" s="10"/>
      <c r="M3100" s="10"/>
      <c r="N3100" s="10"/>
      <c r="O3100" s="21"/>
    </row>
    <row r="3101" spans="1:15" x14ac:dyDescent="0.35">
      <c r="A3101" s="15">
        <f t="shared" si="48"/>
        <v>3099</v>
      </c>
      <c r="B3101" s="16"/>
      <c r="C3101" s="19"/>
      <c r="D3101" s="10"/>
      <c r="E3101" s="10"/>
      <c r="F3101" s="47"/>
      <c r="G3101" s="10"/>
      <c r="H3101" s="20"/>
      <c r="I3101" s="20"/>
      <c r="J3101" s="10"/>
      <c r="K3101" s="10"/>
      <c r="L3101" s="10"/>
      <c r="M3101" s="10"/>
      <c r="N3101" s="10"/>
      <c r="O3101" s="21"/>
    </row>
    <row r="3102" spans="1:15" x14ac:dyDescent="0.35">
      <c r="A3102" s="15">
        <f t="shared" si="48"/>
        <v>3100</v>
      </c>
      <c r="B3102" s="16"/>
      <c r="C3102" s="19"/>
      <c r="D3102" s="10"/>
      <c r="E3102" s="10"/>
      <c r="F3102" s="47"/>
      <c r="G3102" s="10"/>
      <c r="H3102" s="20"/>
      <c r="I3102" s="20"/>
      <c r="J3102" s="10"/>
      <c r="K3102" s="10"/>
      <c r="L3102" s="10"/>
      <c r="M3102" s="10"/>
      <c r="N3102" s="10"/>
      <c r="O3102" s="21"/>
    </row>
    <row r="3103" spans="1:15" x14ac:dyDescent="0.35">
      <c r="A3103" s="15">
        <f t="shared" si="48"/>
        <v>3101</v>
      </c>
      <c r="B3103" s="16"/>
      <c r="C3103" s="19"/>
      <c r="D3103" s="10"/>
      <c r="E3103" s="10"/>
      <c r="F3103" s="47"/>
      <c r="G3103" s="10"/>
      <c r="H3103" s="20"/>
      <c r="I3103" s="20"/>
      <c r="J3103" s="10"/>
      <c r="K3103" s="10"/>
      <c r="L3103" s="10"/>
      <c r="M3103" s="10"/>
      <c r="N3103" s="10"/>
      <c r="O3103" s="21"/>
    </row>
    <row r="3104" spans="1:15" x14ac:dyDescent="0.35">
      <c r="A3104" s="15">
        <f t="shared" si="48"/>
        <v>3102</v>
      </c>
      <c r="B3104" s="16"/>
      <c r="C3104" s="19"/>
      <c r="D3104" s="10"/>
      <c r="E3104" s="10"/>
      <c r="F3104" s="47"/>
      <c r="G3104" s="10"/>
      <c r="H3104" s="20"/>
      <c r="I3104" s="20"/>
      <c r="J3104" s="10"/>
      <c r="K3104" s="10"/>
      <c r="L3104" s="10"/>
      <c r="M3104" s="10"/>
      <c r="N3104" s="10"/>
      <c r="O3104" s="21"/>
    </row>
    <row r="3105" spans="1:15" x14ac:dyDescent="0.35">
      <c r="A3105" s="15">
        <f t="shared" si="48"/>
        <v>3103</v>
      </c>
      <c r="B3105" s="16"/>
      <c r="C3105" s="19"/>
      <c r="D3105" s="10"/>
      <c r="E3105" s="10"/>
      <c r="F3105" s="47"/>
      <c r="G3105" s="10"/>
      <c r="H3105" s="20"/>
      <c r="I3105" s="20"/>
      <c r="J3105" s="10"/>
      <c r="K3105" s="10"/>
      <c r="L3105" s="10"/>
      <c r="M3105" s="10"/>
      <c r="N3105" s="10"/>
      <c r="O3105" s="21"/>
    </row>
    <row r="3106" spans="1:15" x14ac:dyDescent="0.35">
      <c r="A3106" s="15">
        <f t="shared" si="48"/>
        <v>3104</v>
      </c>
      <c r="B3106" s="16"/>
      <c r="C3106" s="19"/>
      <c r="D3106" s="10"/>
      <c r="E3106" s="10"/>
      <c r="F3106" s="47"/>
      <c r="G3106" s="10"/>
      <c r="H3106" s="20"/>
      <c r="I3106" s="20"/>
      <c r="J3106" s="10"/>
      <c r="K3106" s="10"/>
      <c r="L3106" s="10"/>
      <c r="M3106" s="10"/>
      <c r="N3106" s="10"/>
      <c r="O3106" s="21"/>
    </row>
    <row r="3107" spans="1:15" x14ac:dyDescent="0.35">
      <c r="A3107" s="15">
        <f t="shared" si="48"/>
        <v>3105</v>
      </c>
      <c r="B3107" s="16"/>
      <c r="C3107" s="19"/>
      <c r="D3107" s="10"/>
      <c r="E3107" s="10"/>
      <c r="F3107" s="47"/>
      <c r="G3107" s="10"/>
      <c r="H3107" s="20"/>
      <c r="I3107" s="20"/>
      <c r="J3107" s="10"/>
      <c r="K3107" s="10"/>
      <c r="L3107" s="10"/>
      <c r="M3107" s="10"/>
      <c r="N3107" s="10"/>
      <c r="O3107" s="21"/>
    </row>
    <row r="3108" spans="1:15" x14ac:dyDescent="0.35">
      <c r="A3108" s="15">
        <f t="shared" si="48"/>
        <v>3106</v>
      </c>
      <c r="B3108" s="16"/>
      <c r="C3108" s="19"/>
      <c r="D3108" s="10"/>
      <c r="E3108" s="10"/>
      <c r="F3108" s="47"/>
      <c r="G3108" s="10"/>
      <c r="H3108" s="20"/>
      <c r="I3108" s="20"/>
      <c r="J3108" s="10"/>
      <c r="K3108" s="10"/>
      <c r="L3108" s="10"/>
      <c r="M3108" s="10"/>
      <c r="N3108" s="10"/>
      <c r="O3108" s="21"/>
    </row>
    <row r="3109" spans="1:15" x14ac:dyDescent="0.35">
      <c r="A3109" s="15">
        <f t="shared" si="48"/>
        <v>3107</v>
      </c>
      <c r="B3109" s="16"/>
      <c r="C3109" s="19"/>
      <c r="D3109" s="10"/>
      <c r="E3109" s="10"/>
      <c r="F3109" s="47"/>
      <c r="G3109" s="10"/>
      <c r="H3109" s="20"/>
      <c r="I3109" s="20"/>
      <c r="J3109" s="10"/>
      <c r="K3109" s="10"/>
      <c r="L3109" s="10"/>
      <c r="M3109" s="10"/>
      <c r="N3109" s="10"/>
      <c r="O3109" s="21"/>
    </row>
    <row r="3110" spans="1:15" x14ac:dyDescent="0.35">
      <c r="A3110" s="15">
        <f t="shared" si="48"/>
        <v>3108</v>
      </c>
      <c r="B3110" s="16"/>
      <c r="C3110" s="19"/>
      <c r="D3110" s="10"/>
      <c r="E3110" s="10"/>
      <c r="F3110" s="47"/>
      <c r="G3110" s="10"/>
      <c r="H3110" s="20"/>
      <c r="I3110" s="20"/>
      <c r="J3110" s="10"/>
      <c r="K3110" s="10"/>
      <c r="L3110" s="10"/>
      <c r="M3110" s="10"/>
      <c r="N3110" s="10"/>
      <c r="O3110" s="21"/>
    </row>
    <row r="3111" spans="1:15" x14ac:dyDescent="0.35">
      <c r="A3111" s="15">
        <f t="shared" si="48"/>
        <v>3109</v>
      </c>
      <c r="B3111" s="16"/>
      <c r="C3111" s="19"/>
      <c r="D3111" s="10"/>
      <c r="E3111" s="10"/>
      <c r="F3111" s="47"/>
      <c r="G3111" s="10"/>
      <c r="H3111" s="20"/>
      <c r="I3111" s="20"/>
      <c r="J3111" s="10"/>
      <c r="K3111" s="10"/>
      <c r="L3111" s="10"/>
      <c r="M3111" s="10"/>
      <c r="N3111" s="10"/>
      <c r="O3111" s="21"/>
    </row>
    <row r="3112" spans="1:15" x14ac:dyDescent="0.35">
      <c r="A3112" s="15">
        <f t="shared" si="48"/>
        <v>3110</v>
      </c>
      <c r="B3112" s="16"/>
      <c r="C3112" s="19"/>
      <c r="D3112" s="10"/>
      <c r="E3112" s="10"/>
      <c r="F3112" s="47"/>
      <c r="G3112" s="10"/>
      <c r="H3112" s="20"/>
      <c r="I3112" s="20"/>
      <c r="J3112" s="10"/>
      <c r="K3112" s="10"/>
      <c r="L3112" s="10"/>
      <c r="M3112" s="10"/>
      <c r="N3112" s="10"/>
      <c r="O3112" s="21"/>
    </row>
    <row r="3113" spans="1:15" x14ac:dyDescent="0.35">
      <c r="A3113" s="15">
        <f t="shared" si="48"/>
        <v>3111</v>
      </c>
      <c r="B3113" s="16"/>
      <c r="C3113" s="19"/>
      <c r="D3113" s="10"/>
      <c r="E3113" s="10"/>
      <c r="F3113" s="47"/>
      <c r="G3113" s="10"/>
      <c r="H3113" s="20"/>
      <c r="I3113" s="20"/>
      <c r="J3113" s="10"/>
      <c r="K3113" s="10"/>
      <c r="L3113" s="10"/>
      <c r="M3113" s="10"/>
      <c r="N3113" s="10"/>
      <c r="O3113" s="21"/>
    </row>
    <row r="3114" spans="1:15" x14ac:dyDescent="0.35">
      <c r="A3114" s="15">
        <f t="shared" si="48"/>
        <v>3112</v>
      </c>
      <c r="B3114" s="16"/>
      <c r="C3114" s="19"/>
      <c r="D3114" s="10"/>
      <c r="E3114" s="10"/>
      <c r="F3114" s="47"/>
      <c r="G3114" s="10"/>
      <c r="H3114" s="20"/>
      <c r="I3114" s="20"/>
      <c r="J3114" s="10"/>
      <c r="K3114" s="10"/>
      <c r="L3114" s="10"/>
      <c r="M3114" s="10"/>
      <c r="N3114" s="10"/>
      <c r="O3114" s="21"/>
    </row>
    <row r="3115" spans="1:15" x14ac:dyDescent="0.35">
      <c r="A3115" s="15">
        <f t="shared" si="48"/>
        <v>3113</v>
      </c>
      <c r="B3115" s="16"/>
      <c r="C3115" s="19"/>
      <c r="D3115" s="10"/>
      <c r="E3115" s="10"/>
      <c r="F3115" s="47"/>
      <c r="G3115" s="10"/>
      <c r="H3115" s="20"/>
      <c r="I3115" s="20"/>
      <c r="J3115" s="10"/>
      <c r="K3115" s="10"/>
      <c r="L3115" s="10"/>
      <c r="M3115" s="10"/>
      <c r="N3115" s="10"/>
      <c r="O3115" s="21"/>
    </row>
    <row r="3116" spans="1:15" x14ac:dyDescent="0.35">
      <c r="A3116" s="15">
        <f t="shared" si="48"/>
        <v>3114</v>
      </c>
      <c r="B3116" s="16"/>
      <c r="C3116" s="19"/>
      <c r="D3116" s="10"/>
      <c r="E3116" s="10"/>
      <c r="F3116" s="47"/>
      <c r="G3116" s="10"/>
      <c r="H3116" s="20"/>
      <c r="I3116" s="20"/>
      <c r="J3116" s="10"/>
      <c r="K3116" s="10"/>
      <c r="L3116" s="10"/>
      <c r="M3116" s="10"/>
      <c r="N3116" s="10"/>
      <c r="O3116" s="21"/>
    </row>
    <row r="3117" spans="1:15" x14ac:dyDescent="0.35">
      <c r="A3117" s="15">
        <f t="shared" si="48"/>
        <v>3115</v>
      </c>
      <c r="B3117" s="16"/>
      <c r="C3117" s="19"/>
      <c r="D3117" s="10"/>
      <c r="E3117" s="10"/>
      <c r="F3117" s="47"/>
      <c r="G3117" s="10"/>
      <c r="H3117" s="20"/>
      <c r="I3117" s="20"/>
      <c r="J3117" s="10"/>
      <c r="K3117" s="10"/>
      <c r="L3117" s="10"/>
      <c r="M3117" s="10"/>
      <c r="N3117" s="10"/>
      <c r="O3117" s="21"/>
    </row>
    <row r="3118" spans="1:15" x14ac:dyDescent="0.35">
      <c r="A3118" s="15">
        <f t="shared" si="48"/>
        <v>3116</v>
      </c>
      <c r="B3118" s="16"/>
      <c r="C3118" s="19"/>
      <c r="D3118" s="10"/>
      <c r="E3118" s="10"/>
      <c r="F3118" s="47"/>
      <c r="G3118" s="10"/>
      <c r="H3118" s="20"/>
      <c r="I3118" s="20"/>
      <c r="J3118" s="10"/>
      <c r="K3118" s="10"/>
      <c r="L3118" s="10"/>
      <c r="M3118" s="10"/>
      <c r="N3118" s="10"/>
      <c r="O3118" s="21"/>
    </row>
    <row r="3119" spans="1:15" x14ac:dyDescent="0.35">
      <c r="A3119" s="15">
        <f t="shared" si="48"/>
        <v>3117</v>
      </c>
      <c r="B3119" s="16"/>
      <c r="C3119" s="19"/>
      <c r="D3119" s="10"/>
      <c r="E3119" s="10"/>
      <c r="F3119" s="47"/>
      <c r="G3119" s="10"/>
      <c r="H3119" s="20"/>
      <c r="I3119" s="20"/>
      <c r="J3119" s="10"/>
      <c r="K3119" s="10"/>
      <c r="L3119" s="10"/>
      <c r="M3119" s="10"/>
      <c r="N3119" s="10"/>
      <c r="O3119" s="21"/>
    </row>
    <row r="3120" spans="1:15" x14ac:dyDescent="0.35">
      <c r="A3120" s="15">
        <f t="shared" si="48"/>
        <v>3118</v>
      </c>
      <c r="B3120" s="16"/>
      <c r="C3120" s="19"/>
      <c r="D3120" s="10"/>
      <c r="E3120" s="10"/>
      <c r="F3120" s="47"/>
      <c r="G3120" s="10"/>
      <c r="H3120" s="20"/>
      <c r="I3120" s="20"/>
      <c r="J3120" s="10"/>
      <c r="K3120" s="10"/>
      <c r="L3120" s="10"/>
      <c r="M3120" s="10"/>
      <c r="N3120" s="10"/>
      <c r="O3120" s="21"/>
    </row>
    <row r="3121" spans="1:15" x14ac:dyDescent="0.35">
      <c r="A3121" s="15">
        <f t="shared" si="48"/>
        <v>3119</v>
      </c>
      <c r="B3121" s="16"/>
      <c r="C3121" s="19"/>
      <c r="D3121" s="10"/>
      <c r="E3121" s="10"/>
      <c r="F3121" s="47"/>
      <c r="G3121" s="10"/>
      <c r="H3121" s="20"/>
      <c r="I3121" s="20"/>
      <c r="J3121" s="10"/>
      <c r="K3121" s="10"/>
      <c r="L3121" s="10"/>
      <c r="M3121" s="10"/>
      <c r="N3121" s="10"/>
      <c r="O3121" s="21"/>
    </row>
    <row r="3122" spans="1:15" x14ac:dyDescent="0.35">
      <c r="A3122" s="15">
        <f t="shared" si="48"/>
        <v>3120</v>
      </c>
      <c r="B3122" s="16"/>
      <c r="C3122" s="19"/>
      <c r="D3122" s="10"/>
      <c r="E3122" s="10"/>
      <c r="F3122" s="47"/>
      <c r="G3122" s="10"/>
      <c r="H3122" s="20"/>
      <c r="I3122" s="20"/>
      <c r="J3122" s="10"/>
      <c r="K3122" s="10"/>
      <c r="L3122" s="10"/>
      <c r="M3122" s="10"/>
      <c r="N3122" s="10"/>
      <c r="O3122" s="21"/>
    </row>
    <row r="3123" spans="1:15" x14ac:dyDescent="0.35">
      <c r="A3123" s="15">
        <f t="shared" si="48"/>
        <v>3121</v>
      </c>
      <c r="B3123" s="16"/>
      <c r="C3123" s="19"/>
      <c r="D3123" s="10"/>
      <c r="E3123" s="10"/>
      <c r="F3123" s="47"/>
      <c r="G3123" s="10"/>
      <c r="H3123" s="20"/>
      <c r="I3123" s="20"/>
      <c r="J3123" s="10"/>
      <c r="K3123" s="10"/>
      <c r="L3123" s="10"/>
      <c r="M3123" s="10"/>
      <c r="N3123" s="10"/>
      <c r="O3123" s="21"/>
    </row>
    <row r="3124" spans="1:15" x14ac:dyDescent="0.35">
      <c r="A3124" s="15">
        <f t="shared" si="48"/>
        <v>3122</v>
      </c>
      <c r="B3124" s="16"/>
      <c r="C3124" s="19"/>
      <c r="D3124" s="10"/>
      <c r="E3124" s="10"/>
      <c r="F3124" s="47"/>
      <c r="G3124" s="10"/>
      <c r="H3124" s="20"/>
      <c r="I3124" s="20"/>
      <c r="J3124" s="10"/>
      <c r="K3124" s="10"/>
      <c r="L3124" s="10"/>
      <c r="M3124" s="10"/>
      <c r="N3124" s="10"/>
      <c r="O3124" s="21"/>
    </row>
    <row r="3125" spans="1:15" x14ac:dyDescent="0.35">
      <c r="A3125" s="15">
        <f t="shared" si="48"/>
        <v>3123</v>
      </c>
      <c r="B3125" s="16"/>
      <c r="C3125" s="19"/>
      <c r="D3125" s="10"/>
      <c r="E3125" s="10"/>
      <c r="F3125" s="47"/>
      <c r="G3125" s="10"/>
      <c r="H3125" s="20"/>
      <c r="I3125" s="20"/>
      <c r="J3125" s="10"/>
      <c r="K3125" s="10"/>
      <c r="L3125" s="10"/>
      <c r="M3125" s="10"/>
      <c r="N3125" s="10"/>
      <c r="O3125" s="21"/>
    </row>
    <row r="3126" spans="1:15" x14ac:dyDescent="0.35">
      <c r="A3126" s="15">
        <f t="shared" si="48"/>
        <v>3124</v>
      </c>
      <c r="B3126" s="16"/>
      <c r="C3126" s="19"/>
      <c r="D3126" s="10"/>
      <c r="E3126" s="10"/>
      <c r="F3126" s="47"/>
      <c r="G3126" s="10"/>
      <c r="H3126" s="20"/>
      <c r="I3126" s="20"/>
      <c r="J3126" s="10"/>
      <c r="K3126" s="10"/>
      <c r="L3126" s="10"/>
      <c r="M3126" s="10"/>
      <c r="N3126" s="10"/>
      <c r="O3126" s="21"/>
    </row>
    <row r="3127" spans="1:15" x14ac:dyDescent="0.35">
      <c r="A3127" s="15">
        <f t="shared" si="48"/>
        <v>3125</v>
      </c>
      <c r="B3127" s="16"/>
      <c r="C3127" s="19"/>
      <c r="D3127" s="10"/>
      <c r="E3127" s="10"/>
      <c r="F3127" s="47"/>
      <c r="G3127" s="10"/>
      <c r="H3127" s="20"/>
      <c r="I3127" s="20"/>
      <c r="J3127" s="10"/>
      <c r="K3127" s="10"/>
      <c r="L3127" s="10"/>
      <c r="M3127" s="10"/>
      <c r="N3127" s="10"/>
      <c r="O3127" s="21"/>
    </row>
    <row r="3128" spans="1:15" x14ac:dyDescent="0.35">
      <c r="A3128" s="15">
        <f t="shared" si="48"/>
        <v>3126</v>
      </c>
      <c r="B3128" s="16"/>
      <c r="C3128" s="19"/>
      <c r="D3128" s="10"/>
      <c r="E3128" s="10"/>
      <c r="F3128" s="47"/>
      <c r="G3128" s="10"/>
      <c r="H3128" s="20"/>
      <c r="I3128" s="20"/>
      <c r="J3128" s="10"/>
      <c r="K3128" s="10"/>
      <c r="L3128" s="10"/>
      <c r="M3128" s="10"/>
      <c r="N3128" s="10"/>
      <c r="O3128" s="21"/>
    </row>
    <row r="3129" spans="1:15" x14ac:dyDescent="0.35">
      <c r="A3129" s="15">
        <f t="shared" si="48"/>
        <v>3127</v>
      </c>
      <c r="B3129" s="16"/>
      <c r="C3129" s="19"/>
      <c r="D3129" s="10"/>
      <c r="E3129" s="10"/>
      <c r="F3129" s="47"/>
      <c r="G3129" s="10"/>
      <c r="H3129" s="20"/>
      <c r="I3129" s="20"/>
      <c r="J3129" s="10"/>
      <c r="K3129" s="10"/>
      <c r="L3129" s="10"/>
      <c r="M3129" s="10"/>
      <c r="N3129" s="10"/>
      <c r="O3129" s="21"/>
    </row>
    <row r="3130" spans="1:15" x14ac:dyDescent="0.35">
      <c r="A3130" s="15">
        <f t="shared" si="48"/>
        <v>3128</v>
      </c>
      <c r="B3130" s="16"/>
      <c r="C3130" s="19"/>
      <c r="D3130" s="10"/>
      <c r="E3130" s="10"/>
      <c r="F3130" s="47"/>
      <c r="G3130" s="10"/>
      <c r="H3130" s="20"/>
      <c r="I3130" s="20"/>
      <c r="J3130" s="10"/>
      <c r="K3130" s="10"/>
      <c r="L3130" s="10"/>
      <c r="M3130" s="10"/>
      <c r="N3130" s="10"/>
      <c r="O3130" s="21"/>
    </row>
    <row r="3131" spans="1:15" x14ac:dyDescent="0.35">
      <c r="A3131" s="15">
        <f t="shared" si="48"/>
        <v>3129</v>
      </c>
      <c r="B3131" s="16"/>
      <c r="C3131" s="19"/>
      <c r="D3131" s="10"/>
      <c r="E3131" s="10"/>
      <c r="F3131" s="47"/>
      <c r="G3131" s="10"/>
      <c r="H3131" s="20"/>
      <c r="I3131" s="20"/>
      <c r="J3131" s="10"/>
      <c r="K3131" s="10"/>
      <c r="L3131" s="10"/>
      <c r="M3131" s="10"/>
      <c r="N3131" s="10"/>
      <c r="O3131" s="21"/>
    </row>
    <row r="3132" spans="1:15" x14ac:dyDescent="0.35">
      <c r="A3132" s="15">
        <f t="shared" si="48"/>
        <v>3130</v>
      </c>
      <c r="B3132" s="16"/>
      <c r="C3132" s="19"/>
      <c r="D3132" s="10"/>
      <c r="E3132" s="10"/>
      <c r="F3132" s="47"/>
      <c r="G3132" s="10"/>
      <c r="H3132" s="20"/>
      <c r="I3132" s="20"/>
      <c r="J3132" s="10"/>
      <c r="K3132" s="10"/>
      <c r="L3132" s="10"/>
      <c r="M3132" s="10"/>
      <c r="N3132" s="10"/>
      <c r="O3132" s="21"/>
    </row>
    <row r="3133" spans="1:15" x14ac:dyDescent="0.35">
      <c r="A3133" s="15">
        <f t="shared" si="48"/>
        <v>3131</v>
      </c>
      <c r="B3133" s="16"/>
      <c r="C3133" s="19"/>
      <c r="D3133" s="10"/>
      <c r="E3133" s="10"/>
      <c r="F3133" s="47"/>
      <c r="G3133" s="10"/>
      <c r="H3133" s="20"/>
      <c r="I3133" s="20"/>
      <c r="J3133" s="10"/>
      <c r="K3133" s="10"/>
      <c r="L3133" s="10"/>
      <c r="M3133" s="10"/>
      <c r="N3133" s="10"/>
      <c r="O3133" s="21"/>
    </row>
    <row r="3134" spans="1:15" x14ac:dyDescent="0.35">
      <c r="A3134" s="15">
        <f t="shared" si="48"/>
        <v>3132</v>
      </c>
      <c r="B3134" s="16"/>
      <c r="C3134" s="19"/>
      <c r="D3134" s="10"/>
      <c r="E3134" s="10"/>
      <c r="F3134" s="47"/>
      <c r="G3134" s="10"/>
      <c r="H3134" s="20"/>
      <c r="I3134" s="20"/>
      <c r="J3134" s="10"/>
      <c r="K3134" s="10"/>
      <c r="L3134" s="10"/>
      <c r="M3134" s="10"/>
      <c r="N3134" s="10"/>
      <c r="O3134" s="21"/>
    </row>
    <row r="3135" spans="1:15" x14ac:dyDescent="0.35">
      <c r="A3135" s="15">
        <f t="shared" si="48"/>
        <v>3133</v>
      </c>
      <c r="B3135" s="16"/>
      <c r="C3135" s="19"/>
      <c r="D3135" s="10"/>
      <c r="E3135" s="10"/>
      <c r="F3135" s="47"/>
      <c r="G3135" s="10"/>
      <c r="H3135" s="20"/>
      <c r="I3135" s="20"/>
      <c r="J3135" s="10"/>
      <c r="K3135" s="10"/>
      <c r="L3135" s="10"/>
      <c r="M3135" s="10"/>
      <c r="N3135" s="10"/>
      <c r="O3135" s="21"/>
    </row>
    <row r="3136" spans="1:15" x14ac:dyDescent="0.35">
      <c r="A3136" s="15">
        <f t="shared" si="48"/>
        <v>3134</v>
      </c>
      <c r="B3136" s="16"/>
      <c r="C3136" s="19"/>
      <c r="D3136" s="10"/>
      <c r="E3136" s="10"/>
      <c r="F3136" s="47"/>
      <c r="G3136" s="10"/>
      <c r="H3136" s="20"/>
      <c r="I3136" s="20"/>
      <c r="J3136" s="10"/>
      <c r="K3136" s="10"/>
      <c r="L3136" s="10"/>
      <c r="M3136" s="10"/>
      <c r="N3136" s="10"/>
      <c r="O3136" s="21"/>
    </row>
    <row r="3137" spans="1:15" x14ac:dyDescent="0.35">
      <c r="A3137" s="15">
        <f t="shared" si="48"/>
        <v>3135</v>
      </c>
      <c r="B3137" s="16"/>
      <c r="C3137" s="19"/>
      <c r="D3137" s="10"/>
      <c r="E3137" s="10"/>
      <c r="F3137" s="47"/>
      <c r="G3137" s="10"/>
      <c r="H3137" s="20"/>
      <c r="I3137" s="20"/>
      <c r="J3137" s="10"/>
      <c r="K3137" s="10"/>
      <c r="L3137" s="10"/>
      <c r="M3137" s="10"/>
      <c r="N3137" s="10"/>
      <c r="O3137" s="21"/>
    </row>
    <row r="3138" spans="1:15" x14ac:dyDescent="0.35">
      <c r="A3138" s="15">
        <f t="shared" si="48"/>
        <v>3136</v>
      </c>
      <c r="B3138" s="16"/>
      <c r="C3138" s="19"/>
      <c r="D3138" s="10"/>
      <c r="E3138" s="10"/>
      <c r="F3138" s="47"/>
      <c r="G3138" s="10"/>
      <c r="H3138" s="20"/>
      <c r="I3138" s="20"/>
      <c r="J3138" s="10"/>
      <c r="K3138" s="10"/>
      <c r="L3138" s="10"/>
      <c r="M3138" s="10"/>
      <c r="N3138" s="10"/>
      <c r="O3138" s="21"/>
    </row>
    <row r="3139" spans="1:15" x14ac:dyDescent="0.35">
      <c r="A3139" s="15">
        <f t="shared" si="48"/>
        <v>3137</v>
      </c>
      <c r="B3139" s="16"/>
      <c r="C3139" s="19"/>
      <c r="D3139" s="10"/>
      <c r="E3139" s="10"/>
      <c r="F3139" s="47"/>
      <c r="G3139" s="10"/>
      <c r="H3139" s="20"/>
      <c r="I3139" s="20"/>
      <c r="J3139" s="10"/>
      <c r="K3139" s="10"/>
      <c r="L3139" s="10"/>
      <c r="M3139" s="10"/>
      <c r="N3139" s="10"/>
      <c r="O3139" s="21"/>
    </row>
    <row r="3140" spans="1:15" x14ac:dyDescent="0.35">
      <c r="A3140" s="15">
        <f t="shared" si="48"/>
        <v>3138</v>
      </c>
      <c r="B3140" s="16"/>
      <c r="C3140" s="19"/>
      <c r="D3140" s="10"/>
      <c r="E3140" s="10"/>
      <c r="F3140" s="47"/>
      <c r="G3140" s="10"/>
      <c r="H3140" s="20"/>
      <c r="I3140" s="20"/>
      <c r="J3140" s="10"/>
      <c r="K3140" s="10"/>
      <c r="L3140" s="10"/>
      <c r="M3140" s="10"/>
      <c r="N3140" s="10"/>
      <c r="O3140" s="21"/>
    </row>
    <row r="3141" spans="1:15" x14ac:dyDescent="0.35">
      <c r="A3141" s="15">
        <f t="shared" si="48"/>
        <v>3139</v>
      </c>
      <c r="B3141" s="16"/>
      <c r="C3141" s="19"/>
      <c r="D3141" s="10"/>
      <c r="E3141" s="10"/>
      <c r="F3141" s="47"/>
      <c r="G3141" s="10"/>
      <c r="H3141" s="20"/>
      <c r="I3141" s="20"/>
      <c r="J3141" s="10"/>
      <c r="K3141" s="10"/>
      <c r="L3141" s="10"/>
      <c r="M3141" s="10"/>
      <c r="N3141" s="10"/>
      <c r="O3141" s="21"/>
    </row>
    <row r="3142" spans="1:15" x14ac:dyDescent="0.35">
      <c r="A3142" s="15">
        <f t="shared" si="48"/>
        <v>3140</v>
      </c>
      <c r="B3142" s="16"/>
      <c r="C3142" s="19"/>
      <c r="D3142" s="10"/>
      <c r="E3142" s="10"/>
      <c r="F3142" s="47"/>
      <c r="G3142" s="10"/>
      <c r="H3142" s="20"/>
      <c r="I3142" s="20"/>
      <c r="J3142" s="10"/>
      <c r="K3142" s="10"/>
      <c r="L3142" s="10"/>
      <c r="M3142" s="10"/>
      <c r="N3142" s="10"/>
      <c r="O3142" s="21"/>
    </row>
    <row r="3143" spans="1:15" x14ac:dyDescent="0.35">
      <c r="A3143" s="15">
        <f t="shared" si="48"/>
        <v>3141</v>
      </c>
      <c r="B3143" s="16"/>
      <c r="C3143" s="19"/>
      <c r="D3143" s="10"/>
      <c r="E3143" s="10"/>
      <c r="F3143" s="47"/>
      <c r="G3143" s="10"/>
      <c r="H3143" s="20"/>
      <c r="I3143" s="20"/>
      <c r="J3143" s="10"/>
      <c r="K3143" s="10"/>
      <c r="L3143" s="10"/>
      <c r="M3143" s="10"/>
      <c r="N3143" s="10"/>
      <c r="O3143" s="21"/>
    </row>
    <row r="3144" spans="1:15" x14ac:dyDescent="0.35">
      <c r="A3144" s="15">
        <f t="shared" si="48"/>
        <v>3142</v>
      </c>
      <c r="B3144" s="16"/>
      <c r="C3144" s="19"/>
      <c r="D3144" s="10"/>
      <c r="E3144" s="10"/>
      <c r="F3144" s="47"/>
      <c r="G3144" s="10"/>
      <c r="H3144" s="20"/>
      <c r="I3144" s="20"/>
      <c r="J3144" s="10"/>
      <c r="K3144" s="10"/>
      <c r="L3144" s="10"/>
      <c r="M3144" s="10"/>
      <c r="N3144" s="10"/>
      <c r="O3144" s="21"/>
    </row>
    <row r="3145" spans="1:15" x14ac:dyDescent="0.35">
      <c r="A3145" s="15">
        <f t="shared" si="48"/>
        <v>3143</v>
      </c>
      <c r="B3145" s="16"/>
      <c r="C3145" s="19"/>
      <c r="D3145" s="10"/>
      <c r="E3145" s="10"/>
      <c r="F3145" s="47"/>
      <c r="G3145" s="10"/>
      <c r="H3145" s="20"/>
      <c r="I3145" s="20"/>
      <c r="J3145" s="10"/>
      <c r="K3145" s="10"/>
      <c r="L3145" s="10"/>
      <c r="M3145" s="10"/>
      <c r="N3145" s="10"/>
      <c r="O3145" s="21"/>
    </row>
    <row r="3146" spans="1:15" x14ac:dyDescent="0.35">
      <c r="A3146" s="15">
        <f t="shared" si="48"/>
        <v>3144</v>
      </c>
      <c r="B3146" s="16"/>
      <c r="C3146" s="19"/>
      <c r="D3146" s="10"/>
      <c r="E3146" s="10"/>
      <c r="F3146" s="47"/>
      <c r="G3146" s="10"/>
      <c r="H3146" s="20"/>
      <c r="I3146" s="20"/>
      <c r="J3146" s="10"/>
      <c r="K3146" s="10"/>
      <c r="L3146" s="10"/>
      <c r="M3146" s="10"/>
      <c r="N3146" s="10"/>
      <c r="O3146" s="21"/>
    </row>
    <row r="3147" spans="1:15" x14ac:dyDescent="0.35">
      <c r="A3147" s="15">
        <f t="shared" ref="A3147:A3210" si="49">+A3146+1</f>
        <v>3145</v>
      </c>
      <c r="B3147" s="16"/>
      <c r="C3147" s="19"/>
      <c r="D3147" s="10"/>
      <c r="E3147" s="10"/>
      <c r="F3147" s="47"/>
      <c r="G3147" s="10"/>
      <c r="H3147" s="20"/>
      <c r="I3147" s="20"/>
      <c r="J3147" s="10"/>
      <c r="K3147" s="10"/>
      <c r="L3147" s="10"/>
      <c r="M3147" s="10"/>
      <c r="N3147" s="10"/>
      <c r="O3147" s="21"/>
    </row>
    <row r="3148" spans="1:15" x14ac:dyDescent="0.35">
      <c r="A3148" s="15">
        <f t="shared" si="49"/>
        <v>3146</v>
      </c>
      <c r="B3148" s="16"/>
      <c r="C3148" s="19"/>
      <c r="D3148" s="10"/>
      <c r="E3148" s="10"/>
      <c r="F3148" s="47"/>
      <c r="G3148" s="10"/>
      <c r="H3148" s="20"/>
      <c r="I3148" s="20"/>
      <c r="J3148" s="10"/>
      <c r="K3148" s="10"/>
      <c r="L3148" s="10"/>
      <c r="M3148" s="10"/>
      <c r="N3148" s="10"/>
      <c r="O3148" s="21"/>
    </row>
    <row r="3149" spans="1:15" x14ac:dyDescent="0.35">
      <c r="A3149" s="15">
        <f t="shared" si="49"/>
        <v>3147</v>
      </c>
      <c r="B3149" s="16"/>
      <c r="C3149" s="19"/>
      <c r="D3149" s="10"/>
      <c r="E3149" s="10"/>
      <c r="F3149" s="47"/>
      <c r="G3149" s="10"/>
      <c r="H3149" s="20"/>
      <c r="I3149" s="20"/>
      <c r="J3149" s="10"/>
      <c r="K3149" s="10"/>
      <c r="L3149" s="10"/>
      <c r="M3149" s="10"/>
      <c r="N3149" s="10"/>
      <c r="O3149" s="21"/>
    </row>
    <row r="3150" spans="1:15" x14ac:dyDescent="0.35">
      <c r="A3150" s="15">
        <f t="shared" si="49"/>
        <v>3148</v>
      </c>
      <c r="B3150" s="16"/>
      <c r="C3150" s="19"/>
      <c r="D3150" s="10"/>
      <c r="E3150" s="10"/>
      <c r="F3150" s="47"/>
      <c r="G3150" s="10"/>
      <c r="H3150" s="20"/>
      <c r="I3150" s="20"/>
      <c r="J3150" s="10"/>
      <c r="K3150" s="10"/>
      <c r="L3150" s="10"/>
      <c r="M3150" s="10"/>
      <c r="N3150" s="10"/>
      <c r="O3150" s="21"/>
    </row>
    <row r="3151" spans="1:15" x14ac:dyDescent="0.35">
      <c r="A3151" s="15">
        <f t="shared" si="49"/>
        <v>3149</v>
      </c>
      <c r="B3151" s="16"/>
      <c r="C3151" s="19"/>
      <c r="D3151" s="10"/>
      <c r="E3151" s="10"/>
      <c r="F3151" s="47"/>
      <c r="G3151" s="10"/>
      <c r="H3151" s="20"/>
      <c r="I3151" s="20"/>
      <c r="J3151" s="10"/>
      <c r="K3151" s="10"/>
      <c r="L3151" s="10"/>
      <c r="M3151" s="10"/>
      <c r="N3151" s="10"/>
      <c r="O3151" s="21"/>
    </row>
    <row r="3152" spans="1:15" x14ac:dyDescent="0.35">
      <c r="A3152" s="15">
        <f t="shared" si="49"/>
        <v>3150</v>
      </c>
      <c r="B3152" s="16"/>
      <c r="C3152" s="19"/>
      <c r="D3152" s="10"/>
      <c r="E3152" s="10"/>
      <c r="F3152" s="47"/>
      <c r="G3152" s="10"/>
      <c r="H3152" s="20"/>
      <c r="I3152" s="20"/>
      <c r="J3152" s="10"/>
      <c r="K3152" s="10"/>
      <c r="L3152" s="10"/>
      <c r="M3152" s="10"/>
      <c r="N3152" s="10"/>
      <c r="O3152" s="21"/>
    </row>
    <row r="3153" spans="1:15" x14ac:dyDescent="0.35">
      <c r="A3153" s="15">
        <f t="shared" si="49"/>
        <v>3151</v>
      </c>
      <c r="B3153" s="16"/>
      <c r="C3153" s="19"/>
      <c r="D3153" s="10"/>
      <c r="E3153" s="10"/>
      <c r="F3153" s="47"/>
      <c r="G3153" s="10"/>
      <c r="H3153" s="20"/>
      <c r="I3153" s="20"/>
      <c r="J3153" s="10"/>
      <c r="K3153" s="10"/>
      <c r="L3153" s="10"/>
      <c r="M3153" s="10"/>
      <c r="N3153" s="10"/>
      <c r="O3153" s="21"/>
    </row>
    <row r="3154" spans="1:15" x14ac:dyDescent="0.35">
      <c r="A3154" s="15">
        <f t="shared" si="49"/>
        <v>3152</v>
      </c>
      <c r="B3154" s="16"/>
      <c r="C3154" s="19"/>
      <c r="D3154" s="10"/>
      <c r="E3154" s="10"/>
      <c r="F3154" s="47"/>
      <c r="G3154" s="10"/>
      <c r="H3154" s="20"/>
      <c r="I3154" s="20"/>
      <c r="J3154" s="10"/>
      <c r="K3154" s="10"/>
      <c r="L3154" s="10"/>
      <c r="M3154" s="10"/>
      <c r="N3154" s="10"/>
      <c r="O3154" s="21"/>
    </row>
    <row r="3155" spans="1:15" x14ac:dyDescent="0.35">
      <c r="A3155" s="15">
        <f t="shared" si="49"/>
        <v>3153</v>
      </c>
      <c r="B3155" s="16"/>
      <c r="C3155" s="19"/>
      <c r="D3155" s="10"/>
      <c r="E3155" s="10"/>
      <c r="F3155" s="47"/>
      <c r="G3155" s="10"/>
      <c r="H3155" s="20"/>
      <c r="I3155" s="20"/>
      <c r="J3155" s="10"/>
      <c r="K3155" s="10"/>
      <c r="L3155" s="10"/>
      <c r="M3155" s="10"/>
      <c r="N3155" s="10"/>
      <c r="O3155" s="21"/>
    </row>
    <row r="3156" spans="1:15" x14ac:dyDescent="0.35">
      <c r="A3156" s="15">
        <f t="shared" si="49"/>
        <v>3154</v>
      </c>
      <c r="B3156" s="16"/>
      <c r="C3156" s="19"/>
      <c r="D3156" s="10"/>
      <c r="E3156" s="10"/>
      <c r="F3156" s="47"/>
      <c r="G3156" s="10"/>
      <c r="H3156" s="20"/>
      <c r="I3156" s="20"/>
      <c r="J3156" s="10"/>
      <c r="K3156" s="10"/>
      <c r="L3156" s="10"/>
      <c r="M3156" s="10"/>
      <c r="N3156" s="10"/>
      <c r="O3156" s="21"/>
    </row>
    <row r="3157" spans="1:15" x14ac:dyDescent="0.35">
      <c r="A3157" s="15">
        <f t="shared" si="49"/>
        <v>3155</v>
      </c>
      <c r="B3157" s="16"/>
      <c r="C3157" s="19"/>
      <c r="D3157" s="10"/>
      <c r="E3157" s="10"/>
      <c r="F3157" s="47"/>
      <c r="G3157" s="10"/>
      <c r="H3157" s="20"/>
      <c r="I3157" s="20"/>
      <c r="J3157" s="10"/>
      <c r="K3157" s="10"/>
      <c r="L3157" s="10"/>
      <c r="M3157" s="10"/>
      <c r="N3157" s="10"/>
      <c r="O3157" s="21"/>
    </row>
    <row r="3158" spans="1:15" x14ac:dyDescent="0.35">
      <c r="A3158" s="15">
        <f t="shared" si="49"/>
        <v>3156</v>
      </c>
      <c r="B3158" s="16"/>
      <c r="C3158" s="19"/>
      <c r="D3158" s="10"/>
      <c r="E3158" s="10"/>
      <c r="F3158" s="47"/>
      <c r="G3158" s="10"/>
      <c r="H3158" s="20"/>
      <c r="I3158" s="20"/>
      <c r="J3158" s="10"/>
      <c r="K3158" s="10"/>
      <c r="L3158" s="10"/>
      <c r="M3158" s="10"/>
      <c r="N3158" s="10"/>
      <c r="O3158" s="21"/>
    </row>
    <row r="3159" spans="1:15" x14ac:dyDescent="0.35">
      <c r="A3159" s="15">
        <f t="shared" si="49"/>
        <v>3157</v>
      </c>
      <c r="B3159" s="16"/>
      <c r="C3159" s="19"/>
      <c r="D3159" s="10"/>
      <c r="E3159" s="10"/>
      <c r="F3159" s="47"/>
      <c r="G3159" s="10"/>
      <c r="H3159" s="20"/>
      <c r="I3159" s="20"/>
      <c r="J3159" s="10"/>
      <c r="K3159" s="10"/>
      <c r="L3159" s="10"/>
      <c r="M3159" s="10"/>
      <c r="N3159" s="10"/>
      <c r="O3159" s="21"/>
    </row>
    <row r="3160" spans="1:15" x14ac:dyDescent="0.35">
      <c r="A3160" s="15">
        <f t="shared" si="49"/>
        <v>3158</v>
      </c>
      <c r="B3160" s="16"/>
      <c r="C3160" s="19"/>
      <c r="D3160" s="10"/>
      <c r="E3160" s="10"/>
      <c r="F3160" s="47"/>
      <c r="G3160" s="10"/>
      <c r="H3160" s="20"/>
      <c r="I3160" s="20"/>
      <c r="J3160" s="10"/>
      <c r="K3160" s="10"/>
      <c r="L3160" s="10"/>
      <c r="M3160" s="10"/>
      <c r="N3160" s="10"/>
      <c r="O3160" s="21"/>
    </row>
    <row r="3161" spans="1:15" x14ac:dyDescent="0.35">
      <c r="A3161" s="15">
        <f t="shared" si="49"/>
        <v>3159</v>
      </c>
      <c r="B3161" s="16"/>
      <c r="C3161" s="19"/>
      <c r="D3161" s="10"/>
      <c r="E3161" s="10"/>
      <c r="F3161" s="47"/>
      <c r="G3161" s="10"/>
      <c r="H3161" s="20"/>
      <c r="I3161" s="20"/>
      <c r="J3161" s="10"/>
      <c r="K3161" s="10"/>
      <c r="L3161" s="10"/>
      <c r="M3161" s="10"/>
      <c r="N3161" s="10"/>
      <c r="O3161" s="21"/>
    </row>
    <row r="3162" spans="1:15" x14ac:dyDescent="0.35">
      <c r="A3162" s="15">
        <f t="shared" si="49"/>
        <v>3160</v>
      </c>
      <c r="B3162" s="16"/>
      <c r="C3162" s="19"/>
      <c r="D3162" s="10"/>
      <c r="E3162" s="10"/>
      <c r="F3162" s="47"/>
      <c r="G3162" s="10"/>
      <c r="H3162" s="20"/>
      <c r="I3162" s="20"/>
      <c r="J3162" s="10"/>
      <c r="K3162" s="10"/>
      <c r="L3162" s="10"/>
      <c r="M3162" s="10"/>
      <c r="N3162" s="10"/>
      <c r="O3162" s="21"/>
    </row>
    <row r="3163" spans="1:15" x14ac:dyDescent="0.35">
      <c r="A3163" s="15">
        <f t="shared" si="49"/>
        <v>3161</v>
      </c>
      <c r="B3163" s="16"/>
      <c r="C3163" s="19"/>
      <c r="D3163" s="10"/>
      <c r="E3163" s="10"/>
      <c r="F3163" s="47"/>
      <c r="G3163" s="10"/>
      <c r="H3163" s="20"/>
      <c r="I3163" s="20"/>
      <c r="J3163" s="10"/>
      <c r="K3163" s="10"/>
      <c r="L3163" s="10"/>
      <c r="M3163" s="10"/>
      <c r="N3163" s="10"/>
      <c r="O3163" s="21"/>
    </row>
    <row r="3164" spans="1:15" x14ac:dyDescent="0.35">
      <c r="A3164" s="15">
        <f t="shared" si="49"/>
        <v>3162</v>
      </c>
      <c r="B3164" s="16"/>
      <c r="C3164" s="19"/>
      <c r="D3164" s="10"/>
      <c r="E3164" s="10"/>
      <c r="F3164" s="47"/>
      <c r="G3164" s="10"/>
      <c r="H3164" s="20"/>
      <c r="I3164" s="20"/>
      <c r="J3164" s="10"/>
      <c r="K3164" s="10"/>
      <c r="L3164" s="10"/>
      <c r="M3164" s="10"/>
      <c r="N3164" s="10"/>
      <c r="O3164" s="21"/>
    </row>
    <row r="3165" spans="1:15" x14ac:dyDescent="0.35">
      <c r="A3165" s="15">
        <f t="shared" si="49"/>
        <v>3163</v>
      </c>
      <c r="B3165" s="16"/>
      <c r="C3165" s="19"/>
      <c r="D3165" s="10"/>
      <c r="E3165" s="10"/>
      <c r="F3165" s="47"/>
      <c r="G3165" s="10"/>
      <c r="H3165" s="20"/>
      <c r="I3165" s="20"/>
      <c r="J3165" s="10"/>
      <c r="K3165" s="10"/>
      <c r="L3165" s="10"/>
      <c r="M3165" s="10"/>
      <c r="N3165" s="10"/>
      <c r="O3165" s="21"/>
    </row>
    <row r="3166" spans="1:15" x14ac:dyDescent="0.35">
      <c r="A3166" s="15">
        <f t="shared" si="49"/>
        <v>3164</v>
      </c>
      <c r="B3166" s="16"/>
      <c r="C3166" s="19"/>
      <c r="D3166" s="10"/>
      <c r="E3166" s="10"/>
      <c r="F3166" s="47"/>
      <c r="G3166" s="10"/>
      <c r="H3166" s="20"/>
      <c r="I3166" s="20"/>
      <c r="J3166" s="10"/>
      <c r="K3166" s="10"/>
      <c r="L3166" s="10"/>
      <c r="M3166" s="10"/>
      <c r="N3166" s="10"/>
      <c r="O3166" s="21"/>
    </row>
    <row r="3167" spans="1:15" x14ac:dyDescent="0.35">
      <c r="A3167" s="15">
        <f t="shared" si="49"/>
        <v>3165</v>
      </c>
      <c r="B3167" s="16"/>
      <c r="C3167" s="19"/>
      <c r="D3167" s="10"/>
      <c r="E3167" s="10"/>
      <c r="F3167" s="47"/>
      <c r="G3167" s="10"/>
      <c r="H3167" s="20"/>
      <c r="I3167" s="20"/>
      <c r="J3167" s="10"/>
      <c r="K3167" s="10"/>
      <c r="L3167" s="10"/>
      <c r="M3167" s="10"/>
      <c r="N3167" s="10"/>
      <c r="O3167" s="21"/>
    </row>
    <row r="3168" spans="1:15" x14ac:dyDescent="0.35">
      <c r="A3168" s="15">
        <f t="shared" si="49"/>
        <v>3166</v>
      </c>
      <c r="B3168" s="16"/>
      <c r="C3168" s="19"/>
      <c r="D3168" s="10"/>
      <c r="E3168" s="10"/>
      <c r="F3168" s="47"/>
      <c r="G3168" s="10"/>
      <c r="H3168" s="20"/>
      <c r="I3168" s="20"/>
      <c r="J3168" s="10"/>
      <c r="K3168" s="10"/>
      <c r="L3168" s="10"/>
      <c r="M3168" s="10"/>
      <c r="N3168" s="10"/>
      <c r="O3168" s="21"/>
    </row>
    <row r="3169" spans="1:15" x14ac:dyDescent="0.35">
      <c r="A3169" s="15">
        <f t="shared" si="49"/>
        <v>3167</v>
      </c>
      <c r="B3169" s="16"/>
      <c r="C3169" s="19"/>
      <c r="D3169" s="10"/>
      <c r="E3169" s="10"/>
      <c r="F3169" s="47"/>
      <c r="G3169" s="10"/>
      <c r="H3169" s="20"/>
      <c r="I3169" s="20"/>
      <c r="J3169" s="10"/>
      <c r="K3169" s="10"/>
      <c r="L3169" s="10"/>
      <c r="M3169" s="10"/>
      <c r="N3169" s="10"/>
      <c r="O3169" s="21"/>
    </row>
    <row r="3170" spans="1:15" x14ac:dyDescent="0.35">
      <c r="A3170" s="15">
        <f t="shared" si="49"/>
        <v>3168</v>
      </c>
      <c r="B3170" s="16"/>
      <c r="C3170" s="19"/>
      <c r="D3170" s="10"/>
      <c r="E3170" s="10"/>
      <c r="F3170" s="47"/>
      <c r="G3170" s="10"/>
      <c r="H3170" s="20"/>
      <c r="I3170" s="20"/>
      <c r="J3170" s="10"/>
      <c r="K3170" s="10"/>
      <c r="L3170" s="10"/>
      <c r="M3170" s="10"/>
      <c r="N3170" s="10"/>
      <c r="O3170" s="21"/>
    </row>
    <row r="3171" spans="1:15" x14ac:dyDescent="0.35">
      <c r="A3171" s="15">
        <f t="shared" si="49"/>
        <v>3169</v>
      </c>
      <c r="B3171" s="16"/>
      <c r="C3171" s="19"/>
      <c r="D3171" s="10"/>
      <c r="E3171" s="10"/>
      <c r="F3171" s="47"/>
      <c r="G3171" s="10"/>
      <c r="H3171" s="20"/>
      <c r="I3171" s="20"/>
      <c r="J3171" s="10"/>
      <c r="K3171" s="10"/>
      <c r="L3171" s="10"/>
      <c r="M3171" s="10"/>
      <c r="N3171" s="10"/>
      <c r="O3171" s="21"/>
    </row>
    <row r="3172" spans="1:15" x14ac:dyDescent="0.35">
      <c r="A3172" s="15">
        <f t="shared" si="49"/>
        <v>3170</v>
      </c>
      <c r="B3172" s="16"/>
      <c r="C3172" s="19"/>
      <c r="D3172" s="10"/>
      <c r="E3172" s="10"/>
      <c r="F3172" s="47"/>
      <c r="G3172" s="10"/>
      <c r="H3172" s="20"/>
      <c r="I3172" s="20"/>
      <c r="J3172" s="10"/>
      <c r="K3172" s="10"/>
      <c r="L3172" s="10"/>
      <c r="M3172" s="10"/>
      <c r="N3172" s="10"/>
      <c r="O3172" s="21"/>
    </row>
    <row r="3173" spans="1:15" x14ac:dyDescent="0.35">
      <c r="A3173" s="15">
        <f t="shared" si="49"/>
        <v>3171</v>
      </c>
      <c r="B3173" s="16"/>
      <c r="C3173" s="19"/>
      <c r="D3173" s="10"/>
      <c r="E3173" s="10"/>
      <c r="F3173" s="47"/>
      <c r="G3173" s="10"/>
      <c r="H3173" s="20"/>
      <c r="I3173" s="20"/>
      <c r="J3173" s="10"/>
      <c r="K3173" s="10"/>
      <c r="L3173" s="10"/>
      <c r="M3173" s="10"/>
      <c r="N3173" s="10"/>
      <c r="O3173" s="21"/>
    </row>
    <row r="3174" spans="1:15" x14ac:dyDescent="0.35">
      <c r="A3174" s="15">
        <f t="shared" si="49"/>
        <v>3172</v>
      </c>
      <c r="B3174" s="16"/>
      <c r="C3174" s="19"/>
      <c r="D3174" s="10"/>
      <c r="E3174" s="10"/>
      <c r="F3174" s="47"/>
      <c r="G3174" s="10"/>
      <c r="H3174" s="20"/>
      <c r="I3174" s="20"/>
      <c r="J3174" s="10"/>
      <c r="K3174" s="10"/>
      <c r="L3174" s="10"/>
      <c r="M3174" s="10"/>
      <c r="N3174" s="10"/>
      <c r="O3174" s="21"/>
    </row>
    <row r="3175" spans="1:15" x14ac:dyDescent="0.35">
      <c r="A3175" s="15">
        <f t="shared" si="49"/>
        <v>3173</v>
      </c>
      <c r="B3175" s="16"/>
      <c r="C3175" s="19"/>
      <c r="D3175" s="10"/>
      <c r="E3175" s="10"/>
      <c r="F3175" s="47"/>
      <c r="G3175" s="10"/>
      <c r="H3175" s="20"/>
      <c r="I3175" s="20"/>
      <c r="J3175" s="10"/>
      <c r="K3175" s="10"/>
      <c r="L3175" s="10"/>
      <c r="M3175" s="10"/>
      <c r="N3175" s="10"/>
      <c r="O3175" s="21"/>
    </row>
    <row r="3176" spans="1:15" x14ac:dyDescent="0.35">
      <c r="A3176" s="15">
        <f t="shared" si="49"/>
        <v>3174</v>
      </c>
      <c r="B3176" s="16"/>
      <c r="C3176" s="19"/>
      <c r="D3176" s="10"/>
      <c r="E3176" s="10"/>
      <c r="F3176" s="47"/>
      <c r="G3176" s="10"/>
      <c r="H3176" s="20"/>
      <c r="I3176" s="20"/>
      <c r="J3176" s="10"/>
      <c r="K3176" s="10"/>
      <c r="L3176" s="10"/>
      <c r="M3176" s="10"/>
      <c r="N3176" s="10"/>
      <c r="O3176" s="21"/>
    </row>
    <row r="3177" spans="1:15" x14ac:dyDescent="0.35">
      <c r="A3177" s="15">
        <f t="shared" si="49"/>
        <v>3175</v>
      </c>
      <c r="B3177" s="16"/>
      <c r="C3177" s="19"/>
      <c r="D3177" s="10"/>
      <c r="E3177" s="10"/>
      <c r="F3177" s="47"/>
      <c r="G3177" s="10"/>
      <c r="H3177" s="20"/>
      <c r="I3177" s="20"/>
      <c r="J3177" s="10"/>
      <c r="K3177" s="10"/>
      <c r="L3177" s="10"/>
      <c r="M3177" s="10"/>
      <c r="N3177" s="10"/>
      <c r="O3177" s="21"/>
    </row>
    <row r="3178" spans="1:15" x14ac:dyDescent="0.35">
      <c r="A3178" s="15">
        <f t="shared" si="49"/>
        <v>3176</v>
      </c>
      <c r="B3178" s="16"/>
      <c r="C3178" s="19"/>
      <c r="D3178" s="10"/>
      <c r="E3178" s="10"/>
      <c r="F3178" s="47"/>
      <c r="G3178" s="10"/>
      <c r="H3178" s="20"/>
      <c r="I3178" s="20"/>
      <c r="J3178" s="10"/>
      <c r="K3178" s="10"/>
      <c r="L3178" s="10"/>
      <c r="M3178" s="10"/>
      <c r="N3178" s="10"/>
      <c r="O3178" s="21"/>
    </row>
    <row r="3179" spans="1:15" x14ac:dyDescent="0.35">
      <c r="A3179" s="15">
        <f t="shared" si="49"/>
        <v>3177</v>
      </c>
      <c r="B3179" s="16"/>
      <c r="C3179" s="19"/>
      <c r="D3179" s="10"/>
      <c r="E3179" s="10"/>
      <c r="F3179" s="47"/>
      <c r="G3179" s="10"/>
      <c r="H3179" s="20"/>
      <c r="I3179" s="20"/>
      <c r="J3179" s="10"/>
      <c r="K3179" s="10"/>
      <c r="L3179" s="10"/>
      <c r="M3179" s="10"/>
      <c r="N3179" s="10"/>
      <c r="O3179" s="21"/>
    </row>
    <row r="3180" spans="1:15" x14ac:dyDescent="0.35">
      <c r="A3180" s="15">
        <f t="shared" si="49"/>
        <v>3178</v>
      </c>
      <c r="B3180" s="16"/>
      <c r="C3180" s="19"/>
      <c r="D3180" s="10"/>
      <c r="E3180" s="10"/>
      <c r="F3180" s="47"/>
      <c r="G3180" s="10"/>
      <c r="H3180" s="20"/>
      <c r="I3180" s="20"/>
      <c r="J3180" s="10"/>
      <c r="K3180" s="10"/>
      <c r="L3180" s="10"/>
      <c r="M3180" s="10"/>
      <c r="N3180" s="10"/>
      <c r="O3180" s="21"/>
    </row>
    <row r="3181" spans="1:15" x14ac:dyDescent="0.35">
      <c r="A3181" s="15">
        <f t="shared" si="49"/>
        <v>3179</v>
      </c>
      <c r="B3181" s="16"/>
      <c r="C3181" s="19"/>
      <c r="D3181" s="10"/>
      <c r="E3181" s="10"/>
      <c r="F3181" s="47"/>
      <c r="G3181" s="10"/>
      <c r="H3181" s="20"/>
      <c r="I3181" s="20"/>
      <c r="J3181" s="10"/>
      <c r="K3181" s="10"/>
      <c r="L3181" s="10"/>
      <c r="M3181" s="10"/>
      <c r="N3181" s="10"/>
      <c r="O3181" s="21"/>
    </row>
    <row r="3182" spans="1:15" x14ac:dyDescent="0.35">
      <c r="A3182" s="15">
        <f t="shared" si="49"/>
        <v>3180</v>
      </c>
      <c r="B3182" s="16"/>
      <c r="C3182" s="19"/>
      <c r="D3182" s="10"/>
      <c r="E3182" s="10"/>
      <c r="F3182" s="47"/>
      <c r="G3182" s="10"/>
      <c r="H3182" s="20"/>
      <c r="I3182" s="20"/>
      <c r="J3182" s="10"/>
      <c r="K3182" s="10"/>
      <c r="L3182" s="10"/>
      <c r="M3182" s="10"/>
      <c r="N3182" s="10"/>
      <c r="O3182" s="21"/>
    </row>
    <row r="3183" spans="1:15" x14ac:dyDescent="0.35">
      <c r="A3183" s="15">
        <f t="shared" si="49"/>
        <v>3181</v>
      </c>
      <c r="B3183" s="16"/>
      <c r="C3183" s="19"/>
      <c r="D3183" s="10"/>
      <c r="E3183" s="10"/>
      <c r="F3183" s="47"/>
      <c r="G3183" s="10"/>
      <c r="H3183" s="20"/>
      <c r="I3183" s="20"/>
      <c r="J3183" s="10"/>
      <c r="K3183" s="10"/>
      <c r="L3183" s="10"/>
      <c r="M3183" s="10"/>
      <c r="N3183" s="10"/>
      <c r="O3183" s="21"/>
    </row>
    <row r="3184" spans="1:15" x14ac:dyDescent="0.35">
      <c r="A3184" s="15">
        <f t="shared" si="49"/>
        <v>3182</v>
      </c>
      <c r="B3184" s="16"/>
      <c r="C3184" s="19"/>
      <c r="D3184" s="10"/>
      <c r="E3184" s="10"/>
      <c r="F3184" s="47"/>
      <c r="G3184" s="10"/>
      <c r="H3184" s="20"/>
      <c r="I3184" s="20"/>
      <c r="J3184" s="10"/>
      <c r="K3184" s="10"/>
      <c r="L3184" s="10"/>
      <c r="M3184" s="10"/>
      <c r="N3184" s="10"/>
      <c r="O3184" s="21"/>
    </row>
    <row r="3185" spans="1:15" x14ac:dyDescent="0.35">
      <c r="A3185" s="15">
        <f t="shared" si="49"/>
        <v>3183</v>
      </c>
      <c r="B3185" s="16"/>
      <c r="C3185" s="19"/>
      <c r="D3185" s="10"/>
      <c r="E3185" s="10"/>
      <c r="F3185" s="47"/>
      <c r="G3185" s="10"/>
      <c r="H3185" s="20"/>
      <c r="I3185" s="20"/>
      <c r="J3185" s="10"/>
      <c r="K3185" s="10"/>
      <c r="L3185" s="10"/>
      <c r="M3185" s="10"/>
      <c r="N3185" s="10"/>
      <c r="O3185" s="21"/>
    </row>
    <row r="3186" spans="1:15" x14ac:dyDescent="0.35">
      <c r="A3186" s="15">
        <f t="shared" si="49"/>
        <v>3184</v>
      </c>
      <c r="B3186" s="16"/>
      <c r="C3186" s="19"/>
      <c r="D3186" s="10"/>
      <c r="E3186" s="10"/>
      <c r="F3186" s="47"/>
      <c r="G3186" s="10"/>
      <c r="H3186" s="20"/>
      <c r="I3186" s="20"/>
      <c r="J3186" s="10"/>
      <c r="K3186" s="10"/>
      <c r="L3186" s="10"/>
      <c r="M3186" s="10"/>
      <c r="N3186" s="10"/>
      <c r="O3186" s="21"/>
    </row>
    <row r="3187" spans="1:15" x14ac:dyDescent="0.35">
      <c r="A3187" s="15">
        <f t="shared" si="49"/>
        <v>3185</v>
      </c>
      <c r="B3187" s="16"/>
      <c r="C3187" s="19"/>
      <c r="D3187" s="10"/>
      <c r="E3187" s="10"/>
      <c r="F3187" s="47"/>
      <c r="G3187" s="10"/>
      <c r="H3187" s="20"/>
      <c r="I3187" s="20"/>
      <c r="J3187" s="10"/>
      <c r="K3187" s="10"/>
      <c r="L3187" s="10"/>
      <c r="M3187" s="10"/>
      <c r="N3187" s="10"/>
      <c r="O3187" s="21"/>
    </row>
    <row r="3188" spans="1:15" x14ac:dyDescent="0.35">
      <c r="A3188" s="15">
        <f t="shared" si="49"/>
        <v>3186</v>
      </c>
      <c r="B3188" s="16"/>
      <c r="C3188" s="19"/>
      <c r="D3188" s="10"/>
      <c r="E3188" s="10"/>
      <c r="F3188" s="47"/>
      <c r="G3188" s="10"/>
      <c r="H3188" s="20"/>
      <c r="I3188" s="20"/>
      <c r="J3188" s="10"/>
      <c r="K3188" s="10"/>
      <c r="L3188" s="10"/>
      <c r="M3188" s="10"/>
      <c r="N3188" s="10"/>
      <c r="O3188" s="21"/>
    </row>
    <row r="3189" spans="1:15" x14ac:dyDescent="0.35">
      <c r="A3189" s="15">
        <f t="shared" si="49"/>
        <v>3187</v>
      </c>
      <c r="B3189" s="16"/>
      <c r="C3189" s="19"/>
      <c r="D3189" s="10"/>
      <c r="E3189" s="10"/>
      <c r="F3189" s="47"/>
      <c r="G3189" s="10"/>
      <c r="H3189" s="20"/>
      <c r="I3189" s="20"/>
      <c r="J3189" s="10"/>
      <c r="K3189" s="10"/>
      <c r="L3189" s="10"/>
      <c r="M3189" s="10"/>
      <c r="N3189" s="10"/>
      <c r="O3189" s="21"/>
    </row>
    <row r="3190" spans="1:15" x14ac:dyDescent="0.35">
      <c r="A3190" s="15">
        <f t="shared" si="49"/>
        <v>3188</v>
      </c>
      <c r="B3190" s="16"/>
      <c r="C3190" s="19"/>
      <c r="D3190" s="10"/>
      <c r="E3190" s="10"/>
      <c r="F3190" s="47"/>
      <c r="G3190" s="10"/>
      <c r="H3190" s="20"/>
      <c r="I3190" s="20"/>
      <c r="J3190" s="10"/>
      <c r="K3190" s="10"/>
      <c r="L3190" s="10"/>
      <c r="M3190" s="10"/>
      <c r="N3190" s="10"/>
      <c r="O3190" s="21"/>
    </row>
    <row r="3191" spans="1:15" x14ac:dyDescent="0.35">
      <c r="A3191" s="15">
        <f t="shared" si="49"/>
        <v>3189</v>
      </c>
      <c r="B3191" s="16"/>
      <c r="C3191" s="19"/>
      <c r="D3191" s="10"/>
      <c r="E3191" s="10"/>
      <c r="F3191" s="47"/>
      <c r="G3191" s="10"/>
      <c r="H3191" s="20"/>
      <c r="I3191" s="20"/>
      <c r="J3191" s="10"/>
      <c r="K3191" s="10"/>
      <c r="L3191" s="10"/>
      <c r="M3191" s="10"/>
      <c r="N3191" s="10"/>
      <c r="O3191" s="21"/>
    </row>
    <row r="3192" spans="1:15" x14ac:dyDescent="0.35">
      <c r="A3192" s="15">
        <f t="shared" si="49"/>
        <v>3190</v>
      </c>
      <c r="B3192" s="16"/>
      <c r="C3192" s="19"/>
      <c r="D3192" s="10"/>
      <c r="E3192" s="10"/>
      <c r="F3192" s="47"/>
      <c r="G3192" s="10"/>
      <c r="H3192" s="20"/>
      <c r="I3192" s="20"/>
      <c r="J3192" s="10"/>
      <c r="K3192" s="10"/>
      <c r="L3192" s="10"/>
      <c r="M3192" s="10"/>
      <c r="N3192" s="10"/>
      <c r="O3192" s="21"/>
    </row>
    <row r="3193" spans="1:15" x14ac:dyDescent="0.35">
      <c r="A3193" s="15">
        <f t="shared" si="49"/>
        <v>3191</v>
      </c>
      <c r="B3193" s="16"/>
      <c r="C3193" s="19"/>
      <c r="D3193" s="10"/>
      <c r="E3193" s="10"/>
      <c r="F3193" s="47"/>
      <c r="G3193" s="10"/>
      <c r="H3193" s="20"/>
      <c r="I3193" s="20"/>
      <c r="J3193" s="10"/>
      <c r="K3193" s="10"/>
      <c r="L3193" s="10"/>
      <c r="M3193" s="10"/>
      <c r="N3193" s="10"/>
      <c r="O3193" s="21"/>
    </row>
    <row r="3194" spans="1:15" x14ac:dyDescent="0.35">
      <c r="A3194" s="15">
        <f t="shared" si="49"/>
        <v>3192</v>
      </c>
      <c r="B3194" s="16"/>
      <c r="C3194" s="19"/>
      <c r="D3194" s="10"/>
      <c r="E3194" s="10"/>
      <c r="F3194" s="47"/>
      <c r="G3194" s="10"/>
      <c r="H3194" s="20"/>
      <c r="I3194" s="20"/>
      <c r="J3194" s="10"/>
      <c r="K3194" s="10"/>
      <c r="L3194" s="10"/>
      <c r="M3194" s="10"/>
      <c r="N3194" s="10"/>
      <c r="O3194" s="21"/>
    </row>
    <row r="3195" spans="1:15" x14ac:dyDescent="0.35">
      <c r="A3195" s="15">
        <f t="shared" si="49"/>
        <v>3193</v>
      </c>
      <c r="B3195" s="16"/>
      <c r="C3195" s="19"/>
      <c r="D3195" s="10"/>
      <c r="E3195" s="10"/>
      <c r="F3195" s="47"/>
      <c r="G3195" s="10"/>
      <c r="H3195" s="20"/>
      <c r="I3195" s="20"/>
      <c r="J3195" s="10"/>
      <c r="K3195" s="10"/>
      <c r="L3195" s="10"/>
      <c r="M3195" s="10"/>
      <c r="N3195" s="10"/>
      <c r="O3195" s="21"/>
    </row>
    <row r="3196" spans="1:15" x14ac:dyDescent="0.35">
      <c r="A3196" s="15">
        <f t="shared" si="49"/>
        <v>3194</v>
      </c>
      <c r="B3196" s="16"/>
      <c r="C3196" s="19"/>
      <c r="D3196" s="10"/>
      <c r="E3196" s="10"/>
      <c r="F3196" s="47"/>
      <c r="G3196" s="10"/>
      <c r="H3196" s="20"/>
      <c r="I3196" s="20"/>
      <c r="J3196" s="10"/>
      <c r="K3196" s="10"/>
      <c r="L3196" s="10"/>
      <c r="M3196" s="10"/>
      <c r="N3196" s="10"/>
      <c r="O3196" s="21"/>
    </row>
    <row r="3197" spans="1:15" x14ac:dyDescent="0.35">
      <c r="A3197" s="15">
        <f t="shared" si="49"/>
        <v>3195</v>
      </c>
      <c r="B3197" s="16"/>
      <c r="C3197" s="19"/>
      <c r="D3197" s="10"/>
      <c r="E3197" s="10"/>
      <c r="F3197" s="47"/>
      <c r="G3197" s="10"/>
      <c r="H3197" s="20"/>
      <c r="I3197" s="20"/>
      <c r="J3197" s="10"/>
      <c r="K3197" s="10"/>
      <c r="L3197" s="10"/>
      <c r="M3197" s="10"/>
      <c r="N3197" s="10"/>
      <c r="O3197" s="21"/>
    </row>
    <row r="3198" spans="1:15" x14ac:dyDescent="0.35">
      <c r="A3198" s="15">
        <f t="shared" si="49"/>
        <v>3196</v>
      </c>
      <c r="B3198" s="16"/>
      <c r="C3198" s="19"/>
      <c r="D3198" s="10"/>
      <c r="E3198" s="10"/>
      <c r="F3198" s="47"/>
      <c r="G3198" s="10"/>
      <c r="H3198" s="20"/>
      <c r="I3198" s="20"/>
      <c r="J3198" s="10"/>
      <c r="K3198" s="10"/>
      <c r="L3198" s="10"/>
      <c r="M3198" s="10"/>
      <c r="N3198" s="10"/>
      <c r="O3198" s="21"/>
    </row>
    <row r="3199" spans="1:15" x14ac:dyDescent="0.35">
      <c r="A3199" s="15">
        <f t="shared" si="49"/>
        <v>3197</v>
      </c>
      <c r="B3199" s="16"/>
      <c r="C3199" s="19"/>
      <c r="D3199" s="10"/>
      <c r="E3199" s="10"/>
      <c r="F3199" s="47"/>
      <c r="G3199" s="10"/>
      <c r="H3199" s="20"/>
      <c r="I3199" s="20"/>
      <c r="J3199" s="10"/>
      <c r="K3199" s="10"/>
      <c r="L3199" s="10"/>
      <c r="M3199" s="10"/>
      <c r="N3199" s="10"/>
      <c r="O3199" s="21"/>
    </row>
    <row r="3200" spans="1:15" x14ac:dyDescent="0.35">
      <c r="A3200" s="15">
        <f t="shared" si="49"/>
        <v>3198</v>
      </c>
      <c r="B3200" s="16"/>
      <c r="C3200" s="19"/>
      <c r="D3200" s="10"/>
      <c r="E3200" s="10"/>
      <c r="F3200" s="47"/>
      <c r="G3200" s="10"/>
      <c r="H3200" s="20"/>
      <c r="I3200" s="20"/>
      <c r="J3200" s="10"/>
      <c r="K3200" s="10"/>
      <c r="L3200" s="10"/>
      <c r="M3200" s="10"/>
      <c r="N3200" s="10"/>
      <c r="O3200" s="21"/>
    </row>
    <row r="3201" spans="1:15" x14ac:dyDescent="0.35">
      <c r="A3201" s="15">
        <f t="shared" si="49"/>
        <v>3199</v>
      </c>
      <c r="B3201" s="16"/>
      <c r="C3201" s="19"/>
      <c r="D3201" s="10"/>
      <c r="E3201" s="10"/>
      <c r="F3201" s="47"/>
      <c r="G3201" s="10"/>
      <c r="H3201" s="20"/>
      <c r="I3201" s="20"/>
      <c r="J3201" s="10"/>
      <c r="K3201" s="10"/>
      <c r="L3201" s="10"/>
      <c r="M3201" s="10"/>
      <c r="N3201" s="10"/>
      <c r="O3201" s="21"/>
    </row>
    <row r="3202" spans="1:15" x14ac:dyDescent="0.35">
      <c r="A3202" s="15">
        <f t="shared" si="49"/>
        <v>3200</v>
      </c>
      <c r="B3202" s="16"/>
      <c r="C3202" s="19"/>
      <c r="D3202" s="10"/>
      <c r="E3202" s="10"/>
      <c r="F3202" s="47"/>
      <c r="G3202" s="10"/>
      <c r="H3202" s="20"/>
      <c r="I3202" s="20"/>
      <c r="J3202" s="10"/>
      <c r="K3202" s="10"/>
      <c r="L3202" s="10"/>
      <c r="M3202" s="10"/>
      <c r="N3202" s="10"/>
      <c r="O3202" s="21"/>
    </row>
    <row r="3203" spans="1:15" x14ac:dyDescent="0.35">
      <c r="A3203" s="15">
        <f t="shared" si="49"/>
        <v>3201</v>
      </c>
      <c r="B3203" s="16"/>
      <c r="C3203" s="19"/>
      <c r="D3203" s="10"/>
      <c r="E3203" s="10"/>
      <c r="F3203" s="47"/>
      <c r="G3203" s="10"/>
      <c r="H3203" s="20"/>
      <c r="I3203" s="20"/>
      <c r="J3203" s="10"/>
      <c r="K3203" s="10"/>
      <c r="L3203" s="10"/>
      <c r="M3203" s="10"/>
      <c r="N3203" s="10"/>
      <c r="O3203" s="21"/>
    </row>
    <row r="3204" spans="1:15" x14ac:dyDescent="0.35">
      <c r="A3204" s="15">
        <f t="shared" si="49"/>
        <v>3202</v>
      </c>
      <c r="B3204" s="16"/>
      <c r="C3204" s="19"/>
      <c r="D3204" s="10"/>
      <c r="E3204" s="10"/>
      <c r="F3204" s="47"/>
      <c r="G3204" s="10"/>
      <c r="H3204" s="20"/>
      <c r="I3204" s="20"/>
      <c r="J3204" s="10"/>
      <c r="K3204" s="10"/>
      <c r="L3204" s="10"/>
      <c r="M3204" s="10"/>
      <c r="N3204" s="10"/>
      <c r="O3204" s="21"/>
    </row>
    <row r="3205" spans="1:15" x14ac:dyDescent="0.35">
      <c r="A3205" s="15">
        <f t="shared" si="49"/>
        <v>3203</v>
      </c>
      <c r="B3205" s="16"/>
      <c r="C3205" s="19"/>
      <c r="D3205" s="10"/>
      <c r="E3205" s="10"/>
      <c r="F3205" s="47"/>
      <c r="G3205" s="10"/>
      <c r="H3205" s="20"/>
      <c r="I3205" s="20"/>
      <c r="J3205" s="10"/>
      <c r="K3205" s="10"/>
      <c r="L3205" s="10"/>
      <c r="M3205" s="10"/>
      <c r="N3205" s="10"/>
      <c r="O3205" s="21"/>
    </row>
    <row r="3206" spans="1:15" x14ac:dyDescent="0.35">
      <c r="A3206" s="15">
        <f t="shared" si="49"/>
        <v>3204</v>
      </c>
      <c r="B3206" s="16"/>
      <c r="C3206" s="19"/>
      <c r="D3206" s="10"/>
      <c r="E3206" s="10"/>
      <c r="F3206" s="47"/>
      <c r="G3206" s="10"/>
      <c r="H3206" s="20"/>
      <c r="I3206" s="20"/>
      <c r="J3206" s="10"/>
      <c r="K3206" s="10"/>
      <c r="L3206" s="10"/>
      <c r="M3206" s="10"/>
      <c r="N3206" s="10"/>
      <c r="O3206" s="21"/>
    </row>
    <row r="3207" spans="1:15" x14ac:dyDescent="0.35">
      <c r="A3207" s="15">
        <f t="shared" si="49"/>
        <v>3205</v>
      </c>
      <c r="B3207" s="16"/>
      <c r="C3207" s="19"/>
      <c r="D3207" s="10"/>
      <c r="E3207" s="10"/>
      <c r="F3207" s="47"/>
      <c r="G3207" s="10"/>
      <c r="H3207" s="20"/>
      <c r="I3207" s="20"/>
      <c r="J3207" s="10"/>
      <c r="K3207" s="10"/>
      <c r="L3207" s="10"/>
      <c r="M3207" s="10"/>
      <c r="N3207" s="10"/>
      <c r="O3207" s="21"/>
    </row>
    <row r="3208" spans="1:15" x14ac:dyDescent="0.35">
      <c r="A3208" s="15">
        <f t="shared" si="49"/>
        <v>3206</v>
      </c>
      <c r="B3208" s="16"/>
      <c r="C3208" s="19"/>
      <c r="D3208" s="10"/>
      <c r="E3208" s="10"/>
      <c r="F3208" s="47"/>
      <c r="G3208" s="10"/>
      <c r="H3208" s="20"/>
      <c r="I3208" s="20"/>
      <c r="J3208" s="10"/>
      <c r="K3208" s="10"/>
      <c r="L3208" s="10"/>
      <c r="M3208" s="10"/>
      <c r="N3208" s="10"/>
      <c r="O3208" s="21"/>
    </row>
    <row r="3209" spans="1:15" x14ac:dyDescent="0.35">
      <c r="A3209" s="15">
        <f t="shared" si="49"/>
        <v>3207</v>
      </c>
      <c r="B3209" s="16"/>
      <c r="C3209" s="19"/>
      <c r="D3209" s="10"/>
      <c r="E3209" s="10"/>
      <c r="F3209" s="47"/>
      <c r="G3209" s="10"/>
      <c r="H3209" s="20"/>
      <c r="I3209" s="20"/>
      <c r="J3209" s="10"/>
      <c r="K3209" s="10"/>
      <c r="L3209" s="10"/>
      <c r="M3209" s="10"/>
      <c r="N3209" s="10"/>
      <c r="O3209" s="21"/>
    </row>
    <row r="3210" spans="1:15" x14ac:dyDescent="0.35">
      <c r="A3210" s="15">
        <f t="shared" si="49"/>
        <v>3208</v>
      </c>
      <c r="B3210" s="16"/>
      <c r="C3210" s="19"/>
      <c r="D3210" s="10"/>
      <c r="E3210" s="10"/>
      <c r="F3210" s="47"/>
      <c r="G3210" s="10"/>
      <c r="H3210" s="20"/>
      <c r="I3210" s="20"/>
      <c r="J3210" s="10"/>
      <c r="K3210" s="10"/>
      <c r="L3210" s="10"/>
      <c r="M3210" s="10"/>
      <c r="N3210" s="10"/>
      <c r="O3210" s="21"/>
    </row>
    <row r="3211" spans="1:15" x14ac:dyDescent="0.35">
      <c r="A3211" s="15">
        <f t="shared" ref="A3211:A3274" si="50">+A3210+1</f>
        <v>3209</v>
      </c>
      <c r="B3211" s="16"/>
      <c r="C3211" s="19"/>
      <c r="D3211" s="10"/>
      <c r="E3211" s="10"/>
      <c r="F3211" s="47"/>
      <c r="G3211" s="10"/>
      <c r="H3211" s="20"/>
      <c r="I3211" s="20"/>
      <c r="J3211" s="10"/>
      <c r="K3211" s="10"/>
      <c r="L3211" s="10"/>
      <c r="M3211" s="10"/>
      <c r="N3211" s="10"/>
      <c r="O3211" s="21"/>
    </row>
    <row r="3212" spans="1:15" x14ac:dyDescent="0.35">
      <c r="A3212" s="15">
        <f t="shared" si="50"/>
        <v>3210</v>
      </c>
      <c r="B3212" s="16"/>
      <c r="C3212" s="19"/>
      <c r="D3212" s="10"/>
      <c r="E3212" s="10"/>
      <c r="F3212" s="47"/>
      <c r="G3212" s="10"/>
      <c r="H3212" s="20"/>
      <c r="I3212" s="20"/>
      <c r="J3212" s="10"/>
      <c r="K3212" s="10"/>
      <c r="L3212" s="10"/>
      <c r="M3212" s="10"/>
      <c r="N3212" s="10"/>
      <c r="O3212" s="21"/>
    </row>
    <row r="3213" spans="1:15" x14ac:dyDescent="0.35">
      <c r="A3213" s="15">
        <f t="shared" si="50"/>
        <v>3211</v>
      </c>
      <c r="B3213" s="16"/>
      <c r="C3213" s="19"/>
      <c r="D3213" s="10"/>
      <c r="E3213" s="10"/>
      <c r="F3213" s="47"/>
      <c r="G3213" s="10"/>
      <c r="H3213" s="20"/>
      <c r="I3213" s="20"/>
      <c r="J3213" s="10"/>
      <c r="K3213" s="10"/>
      <c r="L3213" s="10"/>
      <c r="M3213" s="10"/>
      <c r="N3213" s="10"/>
      <c r="O3213" s="21"/>
    </row>
    <row r="3214" spans="1:15" x14ac:dyDescent="0.35">
      <c r="A3214" s="15">
        <f t="shared" si="50"/>
        <v>3212</v>
      </c>
      <c r="B3214" s="16"/>
      <c r="C3214" s="19"/>
      <c r="D3214" s="10"/>
      <c r="E3214" s="10"/>
      <c r="F3214" s="47"/>
      <c r="G3214" s="10"/>
      <c r="H3214" s="20"/>
      <c r="I3214" s="20"/>
      <c r="J3214" s="10"/>
      <c r="K3214" s="10"/>
      <c r="L3214" s="10"/>
      <c r="M3214" s="10"/>
      <c r="N3214" s="10"/>
      <c r="O3214" s="21"/>
    </row>
    <row r="3215" spans="1:15" x14ac:dyDescent="0.35">
      <c r="A3215" s="15">
        <f t="shared" si="50"/>
        <v>3213</v>
      </c>
      <c r="B3215" s="16"/>
      <c r="C3215" s="19"/>
      <c r="D3215" s="10"/>
      <c r="E3215" s="10"/>
      <c r="F3215" s="47"/>
      <c r="G3215" s="10"/>
      <c r="H3215" s="20"/>
      <c r="I3215" s="20"/>
      <c r="J3215" s="10"/>
      <c r="K3215" s="10"/>
      <c r="L3215" s="10"/>
      <c r="M3215" s="10"/>
      <c r="N3215" s="10"/>
      <c r="O3215" s="21"/>
    </row>
    <row r="3216" spans="1:15" x14ac:dyDescent="0.35">
      <c r="A3216" s="15">
        <f t="shared" si="50"/>
        <v>3214</v>
      </c>
      <c r="B3216" s="16"/>
      <c r="C3216" s="19"/>
      <c r="D3216" s="10"/>
      <c r="E3216" s="10"/>
      <c r="F3216" s="47"/>
      <c r="G3216" s="10"/>
      <c r="H3216" s="20"/>
      <c r="I3216" s="20"/>
      <c r="J3216" s="10"/>
      <c r="K3216" s="10"/>
      <c r="L3216" s="10"/>
      <c r="M3216" s="10"/>
      <c r="N3216" s="10"/>
      <c r="O3216" s="21"/>
    </row>
    <row r="3217" spans="1:15" x14ac:dyDescent="0.35">
      <c r="A3217" s="15">
        <f t="shared" si="50"/>
        <v>3215</v>
      </c>
      <c r="B3217" s="16"/>
      <c r="C3217" s="19"/>
      <c r="D3217" s="10"/>
      <c r="E3217" s="10"/>
      <c r="F3217" s="47"/>
      <c r="G3217" s="10"/>
      <c r="H3217" s="20"/>
      <c r="I3217" s="20"/>
      <c r="J3217" s="10"/>
      <c r="K3217" s="10"/>
      <c r="L3217" s="10"/>
      <c r="M3217" s="10"/>
      <c r="N3217" s="10"/>
      <c r="O3217" s="21"/>
    </row>
    <row r="3218" spans="1:15" x14ac:dyDescent="0.35">
      <c r="A3218" s="15">
        <f t="shared" si="50"/>
        <v>3216</v>
      </c>
      <c r="B3218" s="16"/>
      <c r="C3218" s="19"/>
      <c r="D3218" s="10"/>
      <c r="E3218" s="10"/>
      <c r="F3218" s="47"/>
      <c r="G3218" s="10"/>
      <c r="H3218" s="20"/>
      <c r="I3218" s="20"/>
      <c r="J3218" s="10"/>
      <c r="K3218" s="10"/>
      <c r="L3218" s="10"/>
      <c r="M3218" s="10"/>
      <c r="N3218" s="10"/>
      <c r="O3218" s="21"/>
    </row>
    <row r="3219" spans="1:15" x14ac:dyDescent="0.35">
      <c r="A3219" s="15">
        <f t="shared" si="50"/>
        <v>3217</v>
      </c>
      <c r="B3219" s="16"/>
      <c r="C3219" s="19"/>
      <c r="D3219" s="10"/>
      <c r="E3219" s="10"/>
      <c r="F3219" s="47"/>
      <c r="G3219" s="10"/>
      <c r="H3219" s="20"/>
      <c r="I3219" s="20"/>
      <c r="J3219" s="10"/>
      <c r="K3219" s="10"/>
      <c r="L3219" s="10"/>
      <c r="M3219" s="10"/>
      <c r="N3219" s="10"/>
      <c r="O3219" s="21"/>
    </row>
    <row r="3220" spans="1:15" x14ac:dyDescent="0.35">
      <c r="A3220" s="15">
        <f t="shared" si="50"/>
        <v>3218</v>
      </c>
      <c r="B3220" s="16"/>
      <c r="C3220" s="19"/>
      <c r="D3220" s="10"/>
      <c r="E3220" s="10"/>
      <c r="F3220" s="47"/>
      <c r="G3220" s="10"/>
      <c r="H3220" s="20"/>
      <c r="I3220" s="20"/>
      <c r="J3220" s="10"/>
      <c r="K3220" s="10"/>
      <c r="L3220" s="10"/>
      <c r="M3220" s="10"/>
      <c r="N3220" s="10"/>
      <c r="O3220" s="21"/>
    </row>
    <row r="3221" spans="1:15" x14ac:dyDescent="0.35">
      <c r="A3221" s="15">
        <f t="shared" si="50"/>
        <v>3219</v>
      </c>
      <c r="B3221" s="16"/>
      <c r="C3221" s="19"/>
      <c r="D3221" s="10"/>
      <c r="E3221" s="10"/>
      <c r="F3221" s="47"/>
      <c r="G3221" s="10"/>
      <c r="H3221" s="20"/>
      <c r="I3221" s="20"/>
      <c r="J3221" s="10"/>
      <c r="K3221" s="10"/>
      <c r="L3221" s="10"/>
      <c r="M3221" s="10"/>
      <c r="N3221" s="10"/>
      <c r="O3221" s="21"/>
    </row>
    <row r="3222" spans="1:15" x14ac:dyDescent="0.35">
      <c r="A3222" s="15">
        <f t="shared" si="50"/>
        <v>3220</v>
      </c>
      <c r="B3222" s="16"/>
      <c r="C3222" s="19"/>
      <c r="D3222" s="10"/>
      <c r="E3222" s="10"/>
      <c r="F3222" s="47"/>
      <c r="G3222" s="10"/>
      <c r="H3222" s="20"/>
      <c r="I3222" s="20"/>
      <c r="J3222" s="10"/>
      <c r="K3222" s="10"/>
      <c r="L3222" s="10"/>
      <c r="M3222" s="10"/>
      <c r="N3222" s="10"/>
      <c r="O3222" s="21"/>
    </row>
    <row r="3223" spans="1:15" x14ac:dyDescent="0.35">
      <c r="A3223" s="15">
        <f t="shared" si="50"/>
        <v>3221</v>
      </c>
      <c r="B3223" s="16"/>
      <c r="C3223" s="19"/>
      <c r="D3223" s="10"/>
      <c r="E3223" s="10"/>
      <c r="F3223" s="47"/>
      <c r="G3223" s="10"/>
      <c r="H3223" s="20"/>
      <c r="I3223" s="20"/>
      <c r="J3223" s="10"/>
      <c r="K3223" s="10"/>
      <c r="L3223" s="10"/>
      <c r="M3223" s="10"/>
      <c r="N3223" s="10"/>
      <c r="O3223" s="21"/>
    </row>
    <row r="3224" spans="1:15" x14ac:dyDescent="0.35">
      <c r="A3224" s="15">
        <f t="shared" si="50"/>
        <v>3222</v>
      </c>
      <c r="B3224" s="16"/>
      <c r="C3224" s="19"/>
      <c r="D3224" s="10"/>
      <c r="E3224" s="10"/>
      <c r="F3224" s="47"/>
      <c r="G3224" s="10"/>
      <c r="H3224" s="20"/>
      <c r="I3224" s="20"/>
      <c r="J3224" s="10"/>
      <c r="K3224" s="10"/>
      <c r="L3224" s="10"/>
      <c r="M3224" s="10"/>
      <c r="N3224" s="10"/>
      <c r="O3224" s="21"/>
    </row>
    <row r="3225" spans="1:15" x14ac:dyDescent="0.35">
      <c r="A3225" s="15">
        <f t="shared" si="50"/>
        <v>3223</v>
      </c>
      <c r="B3225" s="16"/>
      <c r="C3225" s="19"/>
      <c r="D3225" s="10"/>
      <c r="E3225" s="10"/>
      <c r="F3225" s="47"/>
      <c r="G3225" s="10"/>
      <c r="H3225" s="20"/>
      <c r="I3225" s="20"/>
      <c r="J3225" s="10"/>
      <c r="K3225" s="10"/>
      <c r="L3225" s="10"/>
      <c r="M3225" s="10"/>
      <c r="N3225" s="10"/>
      <c r="O3225" s="21"/>
    </row>
    <row r="3226" spans="1:15" x14ac:dyDescent="0.35">
      <c r="A3226" s="15">
        <f t="shared" si="50"/>
        <v>3224</v>
      </c>
      <c r="B3226" s="16"/>
      <c r="C3226" s="19"/>
      <c r="D3226" s="10"/>
      <c r="E3226" s="10"/>
      <c r="F3226" s="47"/>
      <c r="G3226" s="10"/>
      <c r="H3226" s="20"/>
      <c r="I3226" s="20"/>
      <c r="J3226" s="10"/>
      <c r="K3226" s="10"/>
      <c r="L3226" s="10"/>
      <c r="M3226" s="10"/>
      <c r="N3226" s="10"/>
      <c r="O3226" s="21"/>
    </row>
    <row r="3227" spans="1:15" x14ac:dyDescent="0.35">
      <c r="A3227" s="15">
        <f t="shared" si="50"/>
        <v>3225</v>
      </c>
      <c r="B3227" s="16"/>
      <c r="C3227" s="19"/>
      <c r="D3227" s="10"/>
      <c r="E3227" s="10"/>
      <c r="F3227" s="47"/>
      <c r="G3227" s="10"/>
      <c r="H3227" s="20"/>
      <c r="I3227" s="20"/>
      <c r="J3227" s="10"/>
      <c r="K3227" s="10"/>
      <c r="L3227" s="10"/>
      <c r="M3227" s="10"/>
      <c r="N3227" s="10"/>
      <c r="O3227" s="21"/>
    </row>
    <row r="3228" spans="1:15" x14ac:dyDescent="0.35">
      <c r="A3228" s="15">
        <f t="shared" si="50"/>
        <v>3226</v>
      </c>
      <c r="B3228" s="16"/>
      <c r="C3228" s="19"/>
      <c r="D3228" s="10"/>
      <c r="E3228" s="10"/>
      <c r="F3228" s="47"/>
      <c r="G3228" s="10"/>
      <c r="H3228" s="20"/>
      <c r="I3228" s="20"/>
      <c r="J3228" s="10"/>
      <c r="K3228" s="10"/>
      <c r="L3228" s="10"/>
      <c r="M3228" s="10"/>
      <c r="N3228" s="10"/>
      <c r="O3228" s="21"/>
    </row>
    <row r="3229" spans="1:15" x14ac:dyDescent="0.35">
      <c r="A3229" s="15">
        <f t="shared" si="50"/>
        <v>3227</v>
      </c>
      <c r="B3229" s="16"/>
      <c r="C3229" s="19"/>
      <c r="D3229" s="10"/>
      <c r="E3229" s="10"/>
      <c r="F3229" s="47"/>
      <c r="G3229" s="10"/>
      <c r="H3229" s="20"/>
      <c r="I3229" s="20"/>
      <c r="J3229" s="10"/>
      <c r="K3229" s="10"/>
      <c r="L3229" s="10"/>
      <c r="M3229" s="10"/>
      <c r="N3229" s="10"/>
      <c r="O3229" s="21"/>
    </row>
    <row r="3230" spans="1:15" x14ac:dyDescent="0.35">
      <c r="A3230" s="15">
        <f t="shared" si="50"/>
        <v>3228</v>
      </c>
      <c r="B3230" s="16"/>
      <c r="C3230" s="19"/>
      <c r="D3230" s="10"/>
      <c r="E3230" s="10"/>
      <c r="F3230" s="47"/>
      <c r="G3230" s="10"/>
      <c r="H3230" s="20"/>
      <c r="I3230" s="20"/>
      <c r="J3230" s="10"/>
      <c r="K3230" s="10"/>
      <c r="L3230" s="10"/>
      <c r="M3230" s="10"/>
      <c r="N3230" s="10"/>
      <c r="O3230" s="21"/>
    </row>
    <row r="3231" spans="1:15" x14ac:dyDescent="0.35">
      <c r="A3231" s="15">
        <f t="shared" si="50"/>
        <v>3229</v>
      </c>
      <c r="B3231" s="16"/>
      <c r="C3231" s="19"/>
      <c r="D3231" s="10"/>
      <c r="E3231" s="10"/>
      <c r="F3231" s="47"/>
      <c r="G3231" s="10"/>
      <c r="H3231" s="20"/>
      <c r="I3231" s="20"/>
      <c r="J3231" s="10"/>
      <c r="K3231" s="10"/>
      <c r="L3231" s="10"/>
      <c r="M3231" s="10"/>
      <c r="N3231" s="10"/>
      <c r="O3231" s="21"/>
    </row>
    <row r="3232" spans="1:15" x14ac:dyDescent="0.35">
      <c r="A3232" s="15">
        <f t="shared" si="50"/>
        <v>3230</v>
      </c>
      <c r="B3232" s="16"/>
      <c r="C3232" s="19"/>
      <c r="D3232" s="10"/>
      <c r="E3232" s="10"/>
      <c r="F3232" s="47"/>
      <c r="G3232" s="10"/>
      <c r="H3232" s="20"/>
      <c r="I3232" s="20"/>
      <c r="J3232" s="10"/>
      <c r="K3232" s="10"/>
      <c r="L3232" s="10"/>
      <c r="M3232" s="10"/>
      <c r="N3232" s="10"/>
      <c r="O3232" s="21"/>
    </row>
    <row r="3233" spans="1:15" x14ac:dyDescent="0.35">
      <c r="A3233" s="15">
        <f t="shared" si="50"/>
        <v>3231</v>
      </c>
      <c r="B3233" s="16"/>
      <c r="C3233" s="19"/>
      <c r="D3233" s="10"/>
      <c r="E3233" s="10"/>
      <c r="F3233" s="47"/>
      <c r="G3233" s="10"/>
      <c r="H3233" s="20"/>
      <c r="I3233" s="20"/>
      <c r="J3233" s="10"/>
      <c r="K3233" s="10"/>
      <c r="L3233" s="10"/>
      <c r="M3233" s="10"/>
      <c r="N3233" s="10"/>
      <c r="O3233" s="21"/>
    </row>
    <row r="3234" spans="1:15" x14ac:dyDescent="0.35">
      <c r="A3234" s="15">
        <f t="shared" si="50"/>
        <v>3232</v>
      </c>
      <c r="B3234" s="16"/>
      <c r="C3234" s="19"/>
      <c r="D3234" s="10"/>
      <c r="E3234" s="10"/>
      <c r="F3234" s="47"/>
      <c r="G3234" s="10"/>
      <c r="H3234" s="20"/>
      <c r="I3234" s="20"/>
      <c r="J3234" s="10"/>
      <c r="K3234" s="10"/>
      <c r="L3234" s="10"/>
      <c r="M3234" s="10"/>
      <c r="N3234" s="10"/>
      <c r="O3234" s="21"/>
    </row>
    <row r="3235" spans="1:15" x14ac:dyDescent="0.35">
      <c r="A3235" s="15">
        <f t="shared" si="50"/>
        <v>3233</v>
      </c>
      <c r="B3235" s="16"/>
      <c r="C3235" s="19"/>
      <c r="D3235" s="10"/>
      <c r="E3235" s="10"/>
      <c r="F3235" s="47"/>
      <c r="G3235" s="10"/>
      <c r="H3235" s="20"/>
      <c r="I3235" s="20"/>
      <c r="J3235" s="10"/>
      <c r="K3235" s="10"/>
      <c r="L3235" s="10"/>
      <c r="M3235" s="10"/>
      <c r="N3235" s="10"/>
      <c r="O3235" s="21"/>
    </row>
    <row r="3236" spans="1:15" x14ac:dyDescent="0.35">
      <c r="A3236" s="15">
        <f t="shared" si="50"/>
        <v>3234</v>
      </c>
      <c r="B3236" s="16"/>
      <c r="C3236" s="19"/>
      <c r="D3236" s="10"/>
      <c r="E3236" s="10"/>
      <c r="F3236" s="47"/>
      <c r="G3236" s="10"/>
      <c r="H3236" s="20"/>
      <c r="I3236" s="20"/>
      <c r="J3236" s="10"/>
      <c r="K3236" s="10"/>
      <c r="L3236" s="10"/>
      <c r="M3236" s="10"/>
      <c r="N3236" s="10"/>
      <c r="O3236" s="21"/>
    </row>
    <row r="3237" spans="1:15" x14ac:dyDescent="0.35">
      <c r="A3237" s="15">
        <f t="shared" si="50"/>
        <v>3235</v>
      </c>
      <c r="B3237" s="16"/>
      <c r="C3237" s="19"/>
      <c r="D3237" s="10"/>
      <c r="E3237" s="10"/>
      <c r="F3237" s="47"/>
      <c r="G3237" s="10"/>
      <c r="H3237" s="20"/>
      <c r="I3237" s="20"/>
      <c r="J3237" s="10"/>
      <c r="K3237" s="10"/>
      <c r="L3237" s="10"/>
      <c r="M3237" s="10"/>
      <c r="N3237" s="10"/>
      <c r="O3237" s="21"/>
    </row>
    <row r="3238" spans="1:15" x14ac:dyDescent="0.35">
      <c r="A3238" s="15">
        <f t="shared" si="50"/>
        <v>3236</v>
      </c>
      <c r="B3238" s="16"/>
      <c r="C3238" s="19"/>
      <c r="D3238" s="10"/>
      <c r="E3238" s="10"/>
      <c r="F3238" s="47"/>
      <c r="G3238" s="10"/>
      <c r="H3238" s="20"/>
      <c r="I3238" s="20"/>
      <c r="J3238" s="10"/>
      <c r="K3238" s="10"/>
      <c r="L3238" s="10"/>
      <c r="M3238" s="10"/>
      <c r="N3238" s="10"/>
      <c r="O3238" s="21"/>
    </row>
    <row r="3239" spans="1:15" x14ac:dyDescent="0.35">
      <c r="A3239" s="15">
        <f t="shared" si="50"/>
        <v>3237</v>
      </c>
      <c r="B3239" s="16"/>
      <c r="C3239" s="19"/>
      <c r="D3239" s="10"/>
      <c r="E3239" s="10"/>
      <c r="F3239" s="47"/>
      <c r="G3239" s="10"/>
      <c r="H3239" s="20"/>
      <c r="I3239" s="20"/>
      <c r="J3239" s="10"/>
      <c r="K3239" s="10"/>
      <c r="L3239" s="10"/>
      <c r="M3239" s="10"/>
      <c r="N3239" s="10"/>
      <c r="O3239" s="21"/>
    </row>
    <row r="3240" spans="1:15" x14ac:dyDescent="0.35">
      <c r="A3240" s="15">
        <f t="shared" si="50"/>
        <v>3238</v>
      </c>
      <c r="B3240" s="16"/>
      <c r="C3240" s="19"/>
      <c r="D3240" s="10"/>
      <c r="E3240" s="10"/>
      <c r="F3240" s="47"/>
      <c r="G3240" s="10"/>
      <c r="H3240" s="20"/>
      <c r="I3240" s="20"/>
      <c r="J3240" s="10"/>
      <c r="K3240" s="10"/>
      <c r="L3240" s="10"/>
      <c r="M3240" s="10"/>
      <c r="N3240" s="10"/>
      <c r="O3240" s="21"/>
    </row>
    <row r="3241" spans="1:15" x14ac:dyDescent="0.35">
      <c r="A3241" s="15">
        <f t="shared" si="50"/>
        <v>3239</v>
      </c>
      <c r="B3241" s="16"/>
      <c r="C3241" s="19"/>
      <c r="D3241" s="10"/>
      <c r="E3241" s="10"/>
      <c r="F3241" s="47"/>
      <c r="G3241" s="10"/>
      <c r="H3241" s="20"/>
      <c r="I3241" s="20"/>
      <c r="J3241" s="10"/>
      <c r="K3241" s="10"/>
      <c r="L3241" s="10"/>
      <c r="M3241" s="10"/>
      <c r="N3241" s="10"/>
      <c r="O3241" s="21"/>
    </row>
    <row r="3242" spans="1:15" x14ac:dyDescent="0.35">
      <c r="A3242" s="15">
        <f t="shared" si="50"/>
        <v>3240</v>
      </c>
      <c r="B3242" s="16"/>
      <c r="C3242" s="19"/>
      <c r="D3242" s="10"/>
      <c r="E3242" s="10"/>
      <c r="F3242" s="47"/>
      <c r="G3242" s="10"/>
      <c r="H3242" s="20"/>
      <c r="I3242" s="20"/>
      <c r="J3242" s="10"/>
      <c r="K3242" s="10"/>
      <c r="L3242" s="10"/>
      <c r="M3242" s="10"/>
      <c r="N3242" s="10"/>
      <c r="O3242" s="21"/>
    </row>
    <row r="3243" spans="1:15" x14ac:dyDescent="0.35">
      <c r="A3243" s="15">
        <f t="shared" si="50"/>
        <v>3241</v>
      </c>
      <c r="B3243" s="16"/>
      <c r="C3243" s="19"/>
      <c r="D3243" s="10"/>
      <c r="E3243" s="10"/>
      <c r="F3243" s="47"/>
      <c r="G3243" s="10"/>
      <c r="H3243" s="20"/>
      <c r="I3243" s="20"/>
      <c r="J3243" s="10"/>
      <c r="K3243" s="10"/>
      <c r="L3243" s="10"/>
      <c r="M3243" s="10"/>
      <c r="N3243" s="10"/>
      <c r="O3243" s="21"/>
    </row>
    <row r="3244" spans="1:15" x14ac:dyDescent="0.35">
      <c r="A3244" s="15">
        <f t="shared" si="50"/>
        <v>3242</v>
      </c>
      <c r="B3244" s="16"/>
      <c r="C3244" s="19"/>
      <c r="D3244" s="10"/>
      <c r="E3244" s="10"/>
      <c r="F3244" s="47"/>
      <c r="G3244" s="10"/>
      <c r="H3244" s="20"/>
      <c r="I3244" s="20"/>
      <c r="J3244" s="10"/>
      <c r="K3244" s="10"/>
      <c r="L3244" s="10"/>
      <c r="M3244" s="10"/>
      <c r="N3244" s="10"/>
      <c r="O3244" s="21"/>
    </row>
    <row r="3245" spans="1:15" x14ac:dyDescent="0.35">
      <c r="A3245" s="15">
        <f t="shared" si="50"/>
        <v>3243</v>
      </c>
      <c r="B3245" s="16"/>
      <c r="C3245" s="19"/>
      <c r="D3245" s="10"/>
      <c r="E3245" s="10"/>
      <c r="F3245" s="47"/>
      <c r="G3245" s="10"/>
      <c r="H3245" s="20"/>
      <c r="I3245" s="20"/>
      <c r="J3245" s="10"/>
      <c r="K3245" s="10"/>
      <c r="L3245" s="10"/>
      <c r="M3245" s="10"/>
      <c r="N3245" s="10"/>
      <c r="O3245" s="21"/>
    </row>
    <row r="3246" spans="1:15" x14ac:dyDescent="0.35">
      <c r="A3246" s="15">
        <f t="shared" si="50"/>
        <v>3244</v>
      </c>
      <c r="B3246" s="16"/>
      <c r="C3246" s="19"/>
      <c r="D3246" s="10"/>
      <c r="E3246" s="10"/>
      <c r="F3246" s="47"/>
      <c r="G3246" s="10"/>
      <c r="H3246" s="20"/>
      <c r="I3246" s="20"/>
      <c r="J3246" s="10"/>
      <c r="K3246" s="10"/>
      <c r="L3246" s="10"/>
      <c r="M3246" s="10"/>
      <c r="N3246" s="10"/>
      <c r="O3246" s="21"/>
    </row>
    <row r="3247" spans="1:15" x14ac:dyDescent="0.35">
      <c r="A3247" s="15">
        <f t="shared" si="50"/>
        <v>3245</v>
      </c>
      <c r="B3247" s="16"/>
      <c r="C3247" s="19"/>
      <c r="D3247" s="10"/>
      <c r="E3247" s="10"/>
      <c r="F3247" s="47"/>
      <c r="G3247" s="10"/>
      <c r="H3247" s="20"/>
      <c r="I3247" s="20"/>
      <c r="J3247" s="10"/>
      <c r="K3247" s="10"/>
      <c r="L3247" s="10"/>
      <c r="M3247" s="10"/>
      <c r="N3247" s="10"/>
      <c r="O3247" s="21"/>
    </row>
    <row r="3248" spans="1:15" x14ac:dyDescent="0.35">
      <c r="A3248" s="15">
        <f t="shared" si="50"/>
        <v>3246</v>
      </c>
      <c r="B3248" s="16"/>
      <c r="C3248" s="19"/>
      <c r="D3248" s="10"/>
      <c r="E3248" s="10"/>
      <c r="F3248" s="47"/>
      <c r="G3248" s="10"/>
      <c r="H3248" s="20"/>
      <c r="I3248" s="20"/>
      <c r="J3248" s="10"/>
      <c r="K3248" s="10"/>
      <c r="L3248" s="10"/>
      <c r="M3248" s="10"/>
      <c r="N3248" s="10"/>
      <c r="O3248" s="21"/>
    </row>
    <row r="3249" spans="1:15" x14ac:dyDescent="0.35">
      <c r="A3249" s="15">
        <f t="shared" si="50"/>
        <v>3247</v>
      </c>
      <c r="B3249" s="16"/>
      <c r="C3249" s="19"/>
      <c r="D3249" s="10"/>
      <c r="E3249" s="10"/>
      <c r="F3249" s="47"/>
      <c r="G3249" s="10"/>
      <c r="H3249" s="20"/>
      <c r="I3249" s="20"/>
      <c r="J3249" s="10"/>
      <c r="K3249" s="10"/>
      <c r="L3249" s="10"/>
      <c r="M3249" s="10"/>
      <c r="N3249" s="10"/>
      <c r="O3249" s="21"/>
    </row>
    <row r="3250" spans="1:15" x14ac:dyDescent="0.35">
      <c r="A3250" s="15">
        <f t="shared" si="50"/>
        <v>3248</v>
      </c>
      <c r="B3250" s="16"/>
      <c r="C3250" s="19"/>
      <c r="D3250" s="10"/>
      <c r="E3250" s="10"/>
      <c r="F3250" s="47"/>
      <c r="G3250" s="10"/>
      <c r="H3250" s="20"/>
      <c r="I3250" s="20"/>
      <c r="J3250" s="10"/>
      <c r="K3250" s="10"/>
      <c r="L3250" s="10"/>
      <c r="M3250" s="10"/>
      <c r="N3250" s="10"/>
      <c r="O3250" s="21"/>
    </row>
    <row r="3251" spans="1:15" x14ac:dyDescent="0.35">
      <c r="A3251" s="15">
        <f t="shared" si="50"/>
        <v>3249</v>
      </c>
      <c r="B3251" s="16"/>
      <c r="C3251" s="19"/>
      <c r="D3251" s="10"/>
      <c r="E3251" s="10"/>
      <c r="F3251" s="47"/>
      <c r="G3251" s="10"/>
      <c r="H3251" s="20"/>
      <c r="I3251" s="20"/>
      <c r="J3251" s="10"/>
      <c r="K3251" s="10"/>
      <c r="L3251" s="10"/>
      <c r="M3251" s="10"/>
      <c r="N3251" s="10"/>
      <c r="O3251" s="21"/>
    </row>
    <row r="3252" spans="1:15" x14ac:dyDescent="0.35">
      <c r="A3252" s="15">
        <f t="shared" si="50"/>
        <v>3250</v>
      </c>
      <c r="B3252" s="16"/>
      <c r="C3252" s="19"/>
      <c r="D3252" s="10"/>
      <c r="E3252" s="10"/>
      <c r="F3252" s="47"/>
      <c r="G3252" s="10"/>
      <c r="H3252" s="20"/>
      <c r="I3252" s="20"/>
      <c r="J3252" s="10"/>
      <c r="K3252" s="10"/>
      <c r="L3252" s="10"/>
      <c r="M3252" s="10"/>
      <c r="N3252" s="10"/>
      <c r="O3252" s="21"/>
    </row>
    <row r="3253" spans="1:15" x14ac:dyDescent="0.35">
      <c r="A3253" s="15">
        <f t="shared" si="50"/>
        <v>3251</v>
      </c>
      <c r="B3253" s="16"/>
      <c r="C3253" s="19"/>
      <c r="D3253" s="10"/>
      <c r="E3253" s="10"/>
      <c r="F3253" s="47"/>
      <c r="G3253" s="10"/>
      <c r="H3253" s="20"/>
      <c r="I3253" s="20"/>
      <c r="J3253" s="10"/>
      <c r="K3253" s="10"/>
      <c r="L3253" s="10"/>
      <c r="M3253" s="10"/>
      <c r="N3253" s="10"/>
      <c r="O3253" s="21"/>
    </row>
    <row r="3254" spans="1:15" x14ac:dyDescent="0.35">
      <c r="A3254" s="15">
        <f t="shared" si="50"/>
        <v>3252</v>
      </c>
      <c r="B3254" s="16"/>
      <c r="C3254" s="19"/>
      <c r="D3254" s="10"/>
      <c r="E3254" s="10"/>
      <c r="F3254" s="47"/>
      <c r="G3254" s="10"/>
      <c r="H3254" s="20"/>
      <c r="I3254" s="20"/>
      <c r="J3254" s="10"/>
      <c r="K3254" s="10"/>
      <c r="L3254" s="10"/>
      <c r="M3254" s="10"/>
      <c r="N3254" s="10"/>
      <c r="O3254" s="21"/>
    </row>
    <row r="3255" spans="1:15" x14ac:dyDescent="0.35">
      <c r="A3255" s="15">
        <f t="shared" si="50"/>
        <v>3253</v>
      </c>
      <c r="B3255" s="16"/>
      <c r="C3255" s="19"/>
      <c r="D3255" s="10"/>
      <c r="E3255" s="10"/>
      <c r="F3255" s="47"/>
      <c r="G3255" s="10"/>
      <c r="H3255" s="20"/>
      <c r="I3255" s="20"/>
      <c r="J3255" s="10"/>
      <c r="K3255" s="10"/>
      <c r="L3255" s="10"/>
      <c r="M3255" s="10"/>
      <c r="N3255" s="10"/>
      <c r="O3255" s="21"/>
    </row>
    <row r="3256" spans="1:15" x14ac:dyDescent="0.35">
      <c r="A3256" s="15">
        <f t="shared" si="50"/>
        <v>3254</v>
      </c>
      <c r="B3256" s="16"/>
      <c r="C3256" s="19"/>
      <c r="D3256" s="10"/>
      <c r="E3256" s="10"/>
      <c r="F3256" s="47"/>
      <c r="G3256" s="10"/>
      <c r="H3256" s="20"/>
      <c r="I3256" s="20"/>
      <c r="J3256" s="10"/>
      <c r="K3256" s="10"/>
      <c r="L3256" s="10"/>
      <c r="M3256" s="10"/>
      <c r="N3256" s="10"/>
      <c r="O3256" s="21"/>
    </row>
    <row r="3257" spans="1:15" x14ac:dyDescent="0.35">
      <c r="A3257" s="15">
        <f t="shared" si="50"/>
        <v>3255</v>
      </c>
      <c r="B3257" s="16"/>
      <c r="C3257" s="19"/>
      <c r="D3257" s="10"/>
      <c r="E3257" s="10"/>
      <c r="F3257" s="47"/>
      <c r="G3257" s="10"/>
      <c r="H3257" s="20"/>
      <c r="I3257" s="20"/>
      <c r="J3257" s="10"/>
      <c r="K3257" s="10"/>
      <c r="L3257" s="10"/>
      <c r="M3257" s="10"/>
      <c r="N3257" s="10"/>
      <c r="O3257" s="21"/>
    </row>
    <row r="3258" spans="1:15" x14ac:dyDescent="0.35">
      <c r="A3258" s="15">
        <f t="shared" si="50"/>
        <v>3256</v>
      </c>
      <c r="B3258" s="16"/>
      <c r="C3258" s="19"/>
      <c r="D3258" s="10"/>
      <c r="E3258" s="10"/>
      <c r="F3258" s="47"/>
      <c r="G3258" s="10"/>
      <c r="H3258" s="20"/>
      <c r="I3258" s="20"/>
      <c r="J3258" s="10"/>
      <c r="K3258" s="10"/>
      <c r="L3258" s="10"/>
      <c r="M3258" s="10"/>
      <c r="N3258" s="10"/>
      <c r="O3258" s="21"/>
    </row>
    <row r="3259" spans="1:15" x14ac:dyDescent="0.35">
      <c r="A3259" s="15">
        <f t="shared" si="50"/>
        <v>3257</v>
      </c>
      <c r="B3259" s="16"/>
      <c r="C3259" s="19"/>
      <c r="D3259" s="10"/>
      <c r="E3259" s="10"/>
      <c r="F3259" s="47"/>
      <c r="G3259" s="10"/>
      <c r="H3259" s="20"/>
      <c r="I3259" s="20"/>
      <c r="J3259" s="10"/>
      <c r="K3259" s="10"/>
      <c r="L3259" s="10"/>
      <c r="M3259" s="10"/>
      <c r="N3259" s="10"/>
      <c r="O3259" s="21"/>
    </row>
    <row r="3260" spans="1:15" x14ac:dyDescent="0.35">
      <c r="A3260" s="15">
        <f t="shared" si="50"/>
        <v>3258</v>
      </c>
      <c r="B3260" s="16"/>
      <c r="C3260" s="19"/>
      <c r="D3260" s="10"/>
      <c r="E3260" s="10"/>
      <c r="F3260" s="47"/>
      <c r="G3260" s="10"/>
      <c r="H3260" s="20"/>
      <c r="I3260" s="20"/>
      <c r="J3260" s="10"/>
      <c r="K3260" s="10"/>
      <c r="L3260" s="10"/>
      <c r="M3260" s="10"/>
      <c r="N3260" s="10"/>
      <c r="O3260" s="21"/>
    </row>
    <row r="3261" spans="1:15" x14ac:dyDescent="0.35">
      <c r="A3261" s="15">
        <f t="shared" si="50"/>
        <v>3259</v>
      </c>
      <c r="B3261" s="16"/>
      <c r="C3261" s="19"/>
      <c r="D3261" s="10"/>
      <c r="E3261" s="10"/>
      <c r="F3261" s="47"/>
      <c r="G3261" s="10"/>
      <c r="H3261" s="20"/>
      <c r="I3261" s="20"/>
      <c r="J3261" s="10"/>
      <c r="K3261" s="10"/>
      <c r="L3261" s="10"/>
      <c r="M3261" s="10"/>
      <c r="N3261" s="10"/>
      <c r="O3261" s="21"/>
    </row>
    <row r="3262" spans="1:15" x14ac:dyDescent="0.35">
      <c r="A3262" s="15">
        <f t="shared" si="50"/>
        <v>3260</v>
      </c>
      <c r="B3262" s="16"/>
      <c r="C3262" s="19"/>
      <c r="D3262" s="10"/>
      <c r="E3262" s="10"/>
      <c r="F3262" s="47"/>
      <c r="G3262" s="10"/>
      <c r="H3262" s="20"/>
      <c r="I3262" s="20"/>
      <c r="J3262" s="10"/>
      <c r="K3262" s="10"/>
      <c r="L3262" s="10"/>
      <c r="M3262" s="10"/>
      <c r="N3262" s="10"/>
      <c r="O3262" s="21"/>
    </row>
    <row r="3263" spans="1:15" x14ac:dyDescent="0.35">
      <c r="A3263" s="15">
        <f t="shared" si="50"/>
        <v>3261</v>
      </c>
      <c r="B3263" s="16"/>
      <c r="C3263" s="19"/>
      <c r="D3263" s="10"/>
      <c r="E3263" s="10"/>
      <c r="F3263" s="47"/>
      <c r="G3263" s="10"/>
      <c r="H3263" s="20"/>
      <c r="I3263" s="20"/>
      <c r="J3263" s="10"/>
      <c r="K3263" s="10"/>
      <c r="L3263" s="10"/>
      <c r="M3263" s="10"/>
      <c r="N3263" s="10"/>
      <c r="O3263" s="21"/>
    </row>
    <row r="3264" spans="1:15" x14ac:dyDescent="0.35">
      <c r="A3264" s="15">
        <f t="shared" si="50"/>
        <v>3262</v>
      </c>
      <c r="B3264" s="16"/>
      <c r="C3264" s="19"/>
      <c r="D3264" s="10"/>
      <c r="E3264" s="10"/>
      <c r="F3264" s="47"/>
      <c r="G3264" s="10"/>
      <c r="H3264" s="20"/>
      <c r="I3264" s="20"/>
      <c r="J3264" s="10"/>
      <c r="K3264" s="10"/>
      <c r="L3264" s="10"/>
      <c r="M3264" s="10"/>
      <c r="N3264" s="10"/>
      <c r="O3264" s="21"/>
    </row>
    <row r="3265" spans="1:15" x14ac:dyDescent="0.35">
      <c r="A3265" s="15">
        <f t="shared" si="50"/>
        <v>3263</v>
      </c>
      <c r="B3265" s="16"/>
      <c r="C3265" s="19"/>
      <c r="D3265" s="10"/>
      <c r="E3265" s="10"/>
      <c r="F3265" s="47"/>
      <c r="G3265" s="10"/>
      <c r="H3265" s="20"/>
      <c r="I3265" s="20"/>
      <c r="J3265" s="10"/>
      <c r="K3265" s="10"/>
      <c r="L3265" s="10"/>
      <c r="M3265" s="10"/>
      <c r="N3265" s="10"/>
      <c r="O3265" s="21"/>
    </row>
    <row r="3266" spans="1:15" x14ac:dyDescent="0.35">
      <c r="A3266" s="15">
        <f t="shared" si="50"/>
        <v>3264</v>
      </c>
      <c r="B3266" s="16"/>
      <c r="C3266" s="19"/>
      <c r="D3266" s="10"/>
      <c r="E3266" s="10"/>
      <c r="F3266" s="47"/>
      <c r="G3266" s="10"/>
      <c r="H3266" s="20"/>
      <c r="I3266" s="20"/>
      <c r="J3266" s="10"/>
      <c r="K3266" s="10"/>
      <c r="L3266" s="10"/>
      <c r="M3266" s="10"/>
      <c r="N3266" s="10"/>
      <c r="O3266" s="21"/>
    </row>
    <row r="3267" spans="1:15" x14ac:dyDescent="0.35">
      <c r="A3267" s="15">
        <f t="shared" si="50"/>
        <v>3265</v>
      </c>
      <c r="B3267" s="16"/>
      <c r="C3267" s="19"/>
      <c r="D3267" s="10"/>
      <c r="E3267" s="10"/>
      <c r="F3267" s="47"/>
      <c r="G3267" s="10"/>
      <c r="H3267" s="20"/>
      <c r="I3267" s="20"/>
      <c r="J3267" s="10"/>
      <c r="K3267" s="10"/>
      <c r="L3267" s="10"/>
      <c r="M3267" s="10"/>
      <c r="N3267" s="10"/>
      <c r="O3267" s="21"/>
    </row>
    <row r="3268" spans="1:15" x14ac:dyDescent="0.35">
      <c r="A3268" s="15">
        <f t="shared" si="50"/>
        <v>3266</v>
      </c>
      <c r="B3268" s="16"/>
      <c r="C3268" s="19"/>
      <c r="D3268" s="10"/>
      <c r="E3268" s="10"/>
      <c r="F3268" s="47"/>
      <c r="G3268" s="10"/>
      <c r="H3268" s="20"/>
      <c r="I3268" s="20"/>
      <c r="J3268" s="10"/>
      <c r="K3268" s="10"/>
      <c r="L3268" s="10"/>
      <c r="M3268" s="10"/>
      <c r="N3268" s="10"/>
      <c r="O3268" s="21"/>
    </row>
    <row r="3269" spans="1:15" x14ac:dyDescent="0.35">
      <c r="A3269" s="15">
        <f t="shared" si="50"/>
        <v>3267</v>
      </c>
      <c r="B3269" s="16"/>
      <c r="C3269" s="19"/>
      <c r="D3269" s="10"/>
      <c r="E3269" s="10"/>
      <c r="F3269" s="47"/>
      <c r="G3269" s="10"/>
      <c r="H3269" s="20"/>
      <c r="I3269" s="20"/>
      <c r="J3269" s="10"/>
      <c r="K3269" s="10"/>
      <c r="L3269" s="10"/>
      <c r="M3269" s="10"/>
      <c r="N3269" s="10"/>
      <c r="O3269" s="21"/>
    </row>
    <row r="3270" spans="1:15" x14ac:dyDescent="0.35">
      <c r="A3270" s="15">
        <f t="shared" si="50"/>
        <v>3268</v>
      </c>
      <c r="B3270" s="16"/>
      <c r="C3270" s="19"/>
      <c r="D3270" s="10"/>
      <c r="E3270" s="10"/>
      <c r="F3270" s="47"/>
      <c r="G3270" s="10"/>
      <c r="H3270" s="20"/>
      <c r="I3270" s="20"/>
      <c r="J3270" s="10"/>
      <c r="K3270" s="10"/>
      <c r="L3270" s="10"/>
      <c r="M3270" s="10"/>
      <c r="N3270" s="10"/>
      <c r="O3270" s="21"/>
    </row>
    <row r="3271" spans="1:15" x14ac:dyDescent="0.35">
      <c r="A3271" s="15">
        <f t="shared" si="50"/>
        <v>3269</v>
      </c>
      <c r="B3271" s="16"/>
      <c r="C3271" s="19"/>
      <c r="D3271" s="10"/>
      <c r="E3271" s="10"/>
      <c r="F3271" s="47"/>
      <c r="G3271" s="10"/>
      <c r="H3271" s="20"/>
      <c r="I3271" s="20"/>
      <c r="J3271" s="10"/>
      <c r="K3271" s="10"/>
      <c r="L3271" s="10"/>
      <c r="M3271" s="10"/>
      <c r="N3271" s="10"/>
      <c r="O3271" s="21"/>
    </row>
    <row r="3272" spans="1:15" x14ac:dyDescent="0.35">
      <c r="A3272" s="15">
        <f t="shared" si="50"/>
        <v>3270</v>
      </c>
      <c r="B3272" s="16"/>
      <c r="C3272" s="19"/>
      <c r="D3272" s="10"/>
      <c r="E3272" s="10"/>
      <c r="F3272" s="47"/>
      <c r="G3272" s="10"/>
      <c r="H3272" s="20"/>
      <c r="I3272" s="20"/>
      <c r="J3272" s="10"/>
      <c r="K3272" s="10"/>
      <c r="L3272" s="10"/>
      <c r="M3272" s="10"/>
      <c r="N3272" s="10"/>
      <c r="O3272" s="21"/>
    </row>
    <row r="3273" spans="1:15" x14ac:dyDescent="0.35">
      <c r="A3273" s="15">
        <f t="shared" si="50"/>
        <v>3271</v>
      </c>
      <c r="B3273" s="16"/>
      <c r="C3273" s="19"/>
      <c r="D3273" s="10"/>
      <c r="E3273" s="10"/>
      <c r="F3273" s="47"/>
      <c r="G3273" s="10"/>
      <c r="H3273" s="20"/>
      <c r="I3273" s="20"/>
      <c r="J3273" s="10"/>
      <c r="K3273" s="10"/>
      <c r="L3273" s="10"/>
      <c r="M3273" s="10"/>
      <c r="N3273" s="10"/>
      <c r="O3273" s="21"/>
    </row>
    <row r="3274" spans="1:15" x14ac:dyDescent="0.35">
      <c r="A3274" s="15">
        <f t="shared" si="50"/>
        <v>3272</v>
      </c>
      <c r="B3274" s="16"/>
      <c r="C3274" s="19"/>
      <c r="D3274" s="10"/>
      <c r="E3274" s="10"/>
      <c r="F3274" s="47"/>
      <c r="G3274" s="10"/>
      <c r="H3274" s="20"/>
      <c r="I3274" s="20"/>
      <c r="J3274" s="10"/>
      <c r="K3274" s="10"/>
      <c r="L3274" s="10"/>
      <c r="M3274" s="10"/>
      <c r="N3274" s="10"/>
      <c r="O3274" s="21"/>
    </row>
    <row r="3275" spans="1:15" x14ac:dyDescent="0.35">
      <c r="A3275" s="15">
        <f t="shared" ref="A3275:A3338" si="51">+A3274+1</f>
        <v>3273</v>
      </c>
      <c r="B3275" s="16"/>
      <c r="C3275" s="19"/>
      <c r="D3275" s="10"/>
      <c r="E3275" s="10"/>
      <c r="F3275" s="47"/>
      <c r="G3275" s="10"/>
      <c r="H3275" s="20"/>
      <c r="I3275" s="20"/>
      <c r="J3275" s="10"/>
      <c r="K3275" s="10"/>
      <c r="L3275" s="10"/>
      <c r="M3275" s="10"/>
      <c r="N3275" s="10"/>
      <c r="O3275" s="21"/>
    </row>
    <row r="3276" spans="1:15" x14ac:dyDescent="0.35">
      <c r="A3276" s="15">
        <f t="shared" si="51"/>
        <v>3274</v>
      </c>
      <c r="B3276" s="16"/>
      <c r="C3276" s="19"/>
      <c r="D3276" s="10"/>
      <c r="E3276" s="10"/>
      <c r="F3276" s="47"/>
      <c r="G3276" s="10"/>
      <c r="H3276" s="20"/>
      <c r="I3276" s="20"/>
      <c r="J3276" s="10"/>
      <c r="K3276" s="10"/>
      <c r="L3276" s="10"/>
      <c r="M3276" s="10"/>
      <c r="N3276" s="10"/>
      <c r="O3276" s="21"/>
    </row>
    <row r="3277" spans="1:15" x14ac:dyDescent="0.35">
      <c r="A3277" s="15">
        <f t="shared" si="51"/>
        <v>3275</v>
      </c>
      <c r="B3277" s="16"/>
      <c r="C3277" s="19"/>
      <c r="D3277" s="10"/>
      <c r="E3277" s="10"/>
      <c r="F3277" s="47"/>
      <c r="G3277" s="10"/>
      <c r="H3277" s="20"/>
      <c r="I3277" s="20"/>
      <c r="J3277" s="10"/>
      <c r="K3277" s="10"/>
      <c r="L3277" s="10"/>
      <c r="M3277" s="10"/>
      <c r="N3277" s="10"/>
      <c r="O3277" s="21"/>
    </row>
    <row r="3278" spans="1:15" x14ac:dyDescent="0.35">
      <c r="A3278" s="15">
        <f t="shared" si="51"/>
        <v>3276</v>
      </c>
      <c r="B3278" s="16"/>
      <c r="C3278" s="19"/>
      <c r="D3278" s="10"/>
      <c r="E3278" s="10"/>
      <c r="F3278" s="47"/>
      <c r="G3278" s="10"/>
      <c r="H3278" s="20"/>
      <c r="I3278" s="20"/>
      <c r="J3278" s="10"/>
      <c r="K3278" s="10"/>
      <c r="L3278" s="10"/>
      <c r="M3278" s="10"/>
      <c r="N3278" s="10"/>
      <c r="O3278" s="21"/>
    </row>
    <row r="3279" spans="1:15" x14ac:dyDescent="0.35">
      <c r="A3279" s="15">
        <f t="shared" si="51"/>
        <v>3277</v>
      </c>
      <c r="B3279" s="16"/>
      <c r="C3279" s="19"/>
      <c r="D3279" s="10"/>
      <c r="E3279" s="10"/>
      <c r="F3279" s="47"/>
      <c r="G3279" s="10"/>
      <c r="H3279" s="20"/>
      <c r="I3279" s="20"/>
      <c r="J3279" s="10"/>
      <c r="K3279" s="10"/>
      <c r="L3279" s="10"/>
      <c r="M3279" s="10"/>
      <c r="N3279" s="10"/>
      <c r="O3279" s="21"/>
    </row>
    <row r="3280" spans="1:15" x14ac:dyDescent="0.35">
      <c r="A3280" s="15">
        <f t="shared" si="51"/>
        <v>3278</v>
      </c>
      <c r="B3280" s="16"/>
      <c r="C3280" s="19"/>
      <c r="D3280" s="10"/>
      <c r="E3280" s="10"/>
      <c r="F3280" s="47"/>
      <c r="G3280" s="10"/>
      <c r="H3280" s="20"/>
      <c r="I3280" s="20"/>
      <c r="J3280" s="10"/>
      <c r="K3280" s="10"/>
      <c r="L3280" s="10"/>
      <c r="M3280" s="10"/>
      <c r="N3280" s="10"/>
      <c r="O3280" s="21"/>
    </row>
    <row r="3281" spans="1:15" x14ac:dyDescent="0.35">
      <c r="A3281" s="15">
        <f t="shared" si="51"/>
        <v>3279</v>
      </c>
      <c r="B3281" s="16"/>
      <c r="C3281" s="19"/>
      <c r="D3281" s="10"/>
      <c r="E3281" s="10"/>
      <c r="F3281" s="47"/>
      <c r="G3281" s="10"/>
      <c r="H3281" s="20"/>
      <c r="I3281" s="20"/>
      <c r="J3281" s="10"/>
      <c r="K3281" s="10"/>
      <c r="L3281" s="10"/>
      <c r="M3281" s="10"/>
      <c r="N3281" s="10"/>
      <c r="O3281" s="21"/>
    </row>
    <row r="3282" spans="1:15" x14ac:dyDescent="0.35">
      <c r="A3282" s="15">
        <f t="shared" si="51"/>
        <v>3280</v>
      </c>
      <c r="B3282" s="16"/>
      <c r="C3282" s="19"/>
      <c r="D3282" s="10"/>
      <c r="E3282" s="10"/>
      <c r="F3282" s="47"/>
      <c r="G3282" s="10"/>
      <c r="H3282" s="20"/>
      <c r="I3282" s="20"/>
      <c r="J3282" s="10"/>
      <c r="K3282" s="10"/>
      <c r="L3282" s="10"/>
      <c r="M3282" s="10"/>
      <c r="N3282" s="10"/>
      <c r="O3282" s="21"/>
    </row>
    <row r="3283" spans="1:15" x14ac:dyDescent="0.35">
      <c r="A3283" s="15">
        <f t="shared" si="51"/>
        <v>3281</v>
      </c>
      <c r="B3283" s="16"/>
      <c r="C3283" s="19"/>
      <c r="D3283" s="10"/>
      <c r="E3283" s="10"/>
      <c r="F3283" s="47"/>
      <c r="G3283" s="10"/>
      <c r="H3283" s="20"/>
      <c r="I3283" s="20"/>
      <c r="J3283" s="10"/>
      <c r="K3283" s="10"/>
      <c r="L3283" s="10"/>
      <c r="M3283" s="10"/>
      <c r="N3283" s="10"/>
      <c r="O3283" s="21"/>
    </row>
    <row r="3284" spans="1:15" x14ac:dyDescent="0.35">
      <c r="A3284" s="15">
        <f t="shared" si="51"/>
        <v>3282</v>
      </c>
      <c r="B3284" s="16"/>
      <c r="C3284" s="19"/>
      <c r="D3284" s="10"/>
      <c r="E3284" s="10"/>
      <c r="F3284" s="47"/>
      <c r="G3284" s="10"/>
      <c r="H3284" s="20"/>
      <c r="I3284" s="20"/>
      <c r="J3284" s="10"/>
      <c r="K3284" s="10"/>
      <c r="L3284" s="10"/>
      <c r="M3284" s="10"/>
      <c r="N3284" s="10"/>
      <c r="O3284" s="21"/>
    </row>
    <row r="3285" spans="1:15" x14ac:dyDescent="0.35">
      <c r="A3285" s="15">
        <f t="shared" si="51"/>
        <v>3283</v>
      </c>
      <c r="B3285" s="16"/>
      <c r="C3285" s="19"/>
      <c r="D3285" s="10"/>
      <c r="E3285" s="10"/>
      <c r="F3285" s="47"/>
      <c r="G3285" s="10"/>
      <c r="H3285" s="20"/>
      <c r="I3285" s="20"/>
      <c r="J3285" s="10"/>
      <c r="K3285" s="10"/>
      <c r="L3285" s="10"/>
      <c r="M3285" s="10"/>
      <c r="N3285" s="10"/>
      <c r="O3285" s="21"/>
    </row>
    <row r="3286" spans="1:15" x14ac:dyDescent="0.35">
      <c r="A3286" s="15">
        <f t="shared" si="51"/>
        <v>3284</v>
      </c>
      <c r="B3286" s="16"/>
      <c r="C3286" s="19"/>
      <c r="D3286" s="10"/>
      <c r="E3286" s="10"/>
      <c r="F3286" s="47"/>
      <c r="G3286" s="10"/>
      <c r="H3286" s="20"/>
      <c r="I3286" s="20"/>
      <c r="J3286" s="10"/>
      <c r="K3286" s="10"/>
      <c r="L3286" s="10"/>
      <c r="M3286" s="10"/>
      <c r="N3286" s="10"/>
      <c r="O3286" s="21"/>
    </row>
    <row r="3287" spans="1:15" x14ac:dyDescent="0.35">
      <c r="A3287" s="15">
        <f t="shared" si="51"/>
        <v>3285</v>
      </c>
      <c r="B3287" s="16"/>
      <c r="C3287" s="19"/>
      <c r="D3287" s="10"/>
      <c r="E3287" s="10"/>
      <c r="F3287" s="47"/>
      <c r="G3287" s="10"/>
      <c r="H3287" s="20"/>
      <c r="I3287" s="20"/>
      <c r="J3287" s="10"/>
      <c r="K3287" s="10"/>
      <c r="L3287" s="10"/>
      <c r="M3287" s="10"/>
      <c r="N3287" s="10"/>
      <c r="O3287" s="21"/>
    </row>
    <row r="3288" spans="1:15" x14ac:dyDescent="0.35">
      <c r="A3288" s="15">
        <f t="shared" si="51"/>
        <v>3286</v>
      </c>
      <c r="B3288" s="16"/>
      <c r="C3288" s="19"/>
      <c r="D3288" s="10"/>
      <c r="E3288" s="10"/>
      <c r="F3288" s="47"/>
      <c r="G3288" s="10"/>
      <c r="H3288" s="20"/>
      <c r="I3288" s="20"/>
      <c r="J3288" s="10"/>
      <c r="K3288" s="10"/>
      <c r="L3288" s="10"/>
      <c r="M3288" s="10"/>
      <c r="N3288" s="10"/>
      <c r="O3288" s="21"/>
    </row>
    <row r="3289" spans="1:15" x14ac:dyDescent="0.35">
      <c r="A3289" s="15">
        <f t="shared" si="51"/>
        <v>3287</v>
      </c>
      <c r="B3289" s="16"/>
      <c r="C3289" s="19"/>
      <c r="D3289" s="10"/>
      <c r="E3289" s="10"/>
      <c r="F3289" s="47"/>
      <c r="G3289" s="10"/>
      <c r="H3289" s="20"/>
      <c r="I3289" s="20"/>
      <c r="J3289" s="10"/>
      <c r="K3289" s="10"/>
      <c r="L3289" s="10"/>
      <c r="M3289" s="10"/>
      <c r="N3289" s="10"/>
      <c r="O3289" s="21"/>
    </row>
    <row r="3290" spans="1:15" x14ac:dyDescent="0.35">
      <c r="A3290" s="15">
        <f t="shared" si="51"/>
        <v>3288</v>
      </c>
      <c r="B3290" s="16"/>
      <c r="C3290" s="19"/>
      <c r="D3290" s="10"/>
      <c r="E3290" s="10"/>
      <c r="F3290" s="47"/>
      <c r="G3290" s="10"/>
      <c r="H3290" s="20"/>
      <c r="I3290" s="20"/>
      <c r="J3290" s="10"/>
      <c r="K3290" s="10"/>
      <c r="L3290" s="10"/>
      <c r="M3290" s="10"/>
      <c r="N3290" s="10"/>
      <c r="O3290" s="21"/>
    </row>
    <row r="3291" spans="1:15" x14ac:dyDescent="0.35">
      <c r="A3291" s="15">
        <f t="shared" si="51"/>
        <v>3289</v>
      </c>
      <c r="B3291" s="16"/>
      <c r="C3291" s="19"/>
      <c r="D3291" s="10"/>
      <c r="E3291" s="10"/>
      <c r="F3291" s="47"/>
      <c r="G3291" s="10"/>
      <c r="H3291" s="20"/>
      <c r="I3291" s="20"/>
      <c r="J3291" s="10"/>
      <c r="K3291" s="10"/>
      <c r="L3291" s="10"/>
      <c r="M3291" s="10"/>
      <c r="N3291" s="10"/>
      <c r="O3291" s="21"/>
    </row>
    <row r="3292" spans="1:15" x14ac:dyDescent="0.35">
      <c r="A3292" s="15">
        <f t="shared" si="51"/>
        <v>3290</v>
      </c>
      <c r="B3292" s="16"/>
      <c r="C3292" s="19"/>
      <c r="D3292" s="10"/>
      <c r="E3292" s="10"/>
      <c r="F3292" s="47"/>
      <c r="G3292" s="10"/>
      <c r="H3292" s="20"/>
      <c r="I3292" s="20"/>
      <c r="J3292" s="10"/>
      <c r="K3292" s="10"/>
      <c r="L3292" s="10"/>
      <c r="M3292" s="10"/>
      <c r="N3292" s="10"/>
      <c r="O3292" s="21"/>
    </row>
    <row r="3293" spans="1:15" x14ac:dyDescent="0.35">
      <c r="A3293" s="15">
        <f t="shared" si="51"/>
        <v>3291</v>
      </c>
      <c r="B3293" s="16"/>
      <c r="C3293" s="19"/>
      <c r="D3293" s="10"/>
      <c r="E3293" s="10"/>
      <c r="F3293" s="47"/>
      <c r="G3293" s="10"/>
      <c r="H3293" s="20"/>
      <c r="I3293" s="20"/>
      <c r="J3293" s="10"/>
      <c r="K3293" s="10"/>
      <c r="L3293" s="10"/>
      <c r="M3293" s="10"/>
      <c r="N3293" s="10"/>
      <c r="O3293" s="21"/>
    </row>
    <row r="3294" spans="1:15" x14ac:dyDescent="0.35">
      <c r="A3294" s="15">
        <f t="shared" si="51"/>
        <v>3292</v>
      </c>
      <c r="B3294" s="16"/>
      <c r="C3294" s="19"/>
      <c r="D3294" s="10"/>
      <c r="E3294" s="10"/>
      <c r="F3294" s="47"/>
      <c r="G3294" s="10"/>
      <c r="H3294" s="20"/>
      <c r="I3294" s="20"/>
      <c r="J3294" s="10"/>
      <c r="K3294" s="10"/>
      <c r="L3294" s="10"/>
      <c r="M3294" s="10"/>
      <c r="N3294" s="10"/>
      <c r="O3294" s="21"/>
    </row>
    <row r="3295" spans="1:15" x14ac:dyDescent="0.35">
      <c r="A3295" s="15">
        <f t="shared" si="51"/>
        <v>3293</v>
      </c>
      <c r="B3295" s="16"/>
      <c r="C3295" s="19"/>
      <c r="D3295" s="10"/>
      <c r="E3295" s="10"/>
      <c r="F3295" s="47"/>
      <c r="G3295" s="10"/>
      <c r="H3295" s="20"/>
      <c r="I3295" s="20"/>
      <c r="J3295" s="10"/>
      <c r="K3295" s="10"/>
      <c r="L3295" s="10"/>
      <c r="M3295" s="10"/>
      <c r="N3295" s="10"/>
      <c r="O3295" s="21"/>
    </row>
    <row r="3296" spans="1:15" x14ac:dyDescent="0.35">
      <c r="A3296" s="15">
        <f t="shared" si="51"/>
        <v>3294</v>
      </c>
      <c r="B3296" s="16"/>
      <c r="C3296" s="19"/>
      <c r="D3296" s="10"/>
      <c r="E3296" s="10"/>
      <c r="F3296" s="47"/>
      <c r="G3296" s="10"/>
      <c r="H3296" s="20"/>
      <c r="I3296" s="20"/>
      <c r="J3296" s="10"/>
      <c r="K3296" s="10"/>
      <c r="L3296" s="10"/>
      <c r="M3296" s="10"/>
      <c r="N3296" s="10"/>
      <c r="O3296" s="21"/>
    </row>
    <row r="3297" spans="1:15" x14ac:dyDescent="0.35">
      <c r="A3297" s="15">
        <f t="shared" si="51"/>
        <v>3295</v>
      </c>
      <c r="B3297" s="16"/>
      <c r="C3297" s="19"/>
      <c r="D3297" s="10"/>
      <c r="E3297" s="10"/>
      <c r="F3297" s="47"/>
      <c r="G3297" s="10"/>
      <c r="H3297" s="20"/>
      <c r="I3297" s="20"/>
      <c r="J3297" s="10"/>
      <c r="K3297" s="10"/>
      <c r="L3297" s="10"/>
      <c r="M3297" s="10"/>
      <c r="N3297" s="10"/>
      <c r="O3297" s="21"/>
    </row>
    <row r="3298" spans="1:15" x14ac:dyDescent="0.35">
      <c r="A3298" s="15">
        <f t="shared" si="51"/>
        <v>3296</v>
      </c>
      <c r="B3298" s="16"/>
      <c r="C3298" s="19"/>
      <c r="D3298" s="10"/>
      <c r="E3298" s="10"/>
      <c r="F3298" s="47"/>
      <c r="G3298" s="10"/>
      <c r="H3298" s="20"/>
      <c r="I3298" s="20"/>
      <c r="J3298" s="10"/>
      <c r="K3298" s="10"/>
      <c r="L3298" s="10"/>
      <c r="M3298" s="10"/>
      <c r="N3298" s="10"/>
      <c r="O3298" s="21"/>
    </row>
    <row r="3299" spans="1:15" x14ac:dyDescent="0.35">
      <c r="A3299" s="15">
        <f t="shared" si="51"/>
        <v>3297</v>
      </c>
      <c r="B3299" s="16"/>
      <c r="C3299" s="19"/>
      <c r="D3299" s="10"/>
      <c r="E3299" s="10"/>
      <c r="F3299" s="47"/>
      <c r="G3299" s="10"/>
      <c r="H3299" s="20"/>
      <c r="I3299" s="20"/>
      <c r="J3299" s="10"/>
      <c r="K3299" s="10"/>
      <c r="L3299" s="10"/>
      <c r="M3299" s="10"/>
      <c r="N3299" s="10"/>
      <c r="O3299" s="21"/>
    </row>
    <row r="3300" spans="1:15" x14ac:dyDescent="0.35">
      <c r="A3300" s="15">
        <f t="shared" si="51"/>
        <v>3298</v>
      </c>
      <c r="B3300" s="16"/>
      <c r="C3300" s="19"/>
      <c r="D3300" s="10"/>
      <c r="E3300" s="10"/>
      <c r="F3300" s="47"/>
      <c r="G3300" s="10"/>
      <c r="H3300" s="20"/>
      <c r="I3300" s="20"/>
      <c r="J3300" s="10"/>
      <c r="K3300" s="10"/>
      <c r="L3300" s="10"/>
      <c r="M3300" s="10"/>
      <c r="N3300" s="10"/>
      <c r="O3300" s="21"/>
    </row>
    <row r="3301" spans="1:15" x14ac:dyDescent="0.35">
      <c r="A3301" s="15">
        <f t="shared" si="51"/>
        <v>3299</v>
      </c>
      <c r="B3301" s="16"/>
      <c r="C3301" s="19"/>
      <c r="D3301" s="10"/>
      <c r="E3301" s="10"/>
      <c r="F3301" s="47"/>
      <c r="G3301" s="10"/>
      <c r="H3301" s="20"/>
      <c r="I3301" s="20"/>
      <c r="J3301" s="10"/>
      <c r="K3301" s="10"/>
      <c r="L3301" s="10"/>
      <c r="M3301" s="10"/>
      <c r="N3301" s="10"/>
      <c r="O3301" s="21"/>
    </row>
    <row r="3302" spans="1:15" x14ac:dyDescent="0.35">
      <c r="A3302" s="15">
        <f t="shared" si="51"/>
        <v>3300</v>
      </c>
      <c r="B3302" s="16"/>
      <c r="C3302" s="19"/>
      <c r="D3302" s="10"/>
      <c r="E3302" s="10"/>
      <c r="F3302" s="47"/>
      <c r="G3302" s="10"/>
      <c r="H3302" s="20"/>
      <c r="I3302" s="20"/>
      <c r="J3302" s="10"/>
      <c r="K3302" s="10"/>
      <c r="L3302" s="10"/>
      <c r="M3302" s="10"/>
      <c r="N3302" s="10"/>
      <c r="O3302" s="21"/>
    </row>
    <row r="3303" spans="1:15" x14ac:dyDescent="0.35">
      <c r="A3303" s="15">
        <f t="shared" si="51"/>
        <v>3301</v>
      </c>
      <c r="B3303" s="16"/>
      <c r="C3303" s="19"/>
      <c r="D3303" s="10"/>
      <c r="E3303" s="10"/>
      <c r="F3303" s="47"/>
      <c r="G3303" s="10"/>
      <c r="H3303" s="20"/>
      <c r="I3303" s="20"/>
      <c r="J3303" s="10"/>
      <c r="K3303" s="10"/>
      <c r="L3303" s="10"/>
      <c r="M3303" s="10"/>
      <c r="N3303" s="10"/>
      <c r="O3303" s="21"/>
    </row>
    <row r="3304" spans="1:15" x14ac:dyDescent="0.35">
      <c r="A3304" s="15">
        <f t="shared" si="51"/>
        <v>3302</v>
      </c>
      <c r="B3304" s="16"/>
      <c r="C3304" s="19"/>
      <c r="D3304" s="10"/>
      <c r="E3304" s="10"/>
      <c r="F3304" s="47"/>
      <c r="G3304" s="10"/>
      <c r="H3304" s="20"/>
      <c r="I3304" s="20"/>
      <c r="J3304" s="10"/>
      <c r="K3304" s="10"/>
      <c r="L3304" s="10"/>
      <c r="M3304" s="10"/>
      <c r="N3304" s="10"/>
      <c r="O3304" s="21"/>
    </row>
    <row r="3305" spans="1:15" x14ac:dyDescent="0.35">
      <c r="A3305" s="15">
        <f t="shared" si="51"/>
        <v>3303</v>
      </c>
      <c r="B3305" s="16"/>
      <c r="C3305" s="19"/>
      <c r="D3305" s="10"/>
      <c r="E3305" s="10"/>
      <c r="F3305" s="47"/>
      <c r="G3305" s="10"/>
      <c r="H3305" s="20"/>
      <c r="I3305" s="20"/>
      <c r="J3305" s="10"/>
      <c r="K3305" s="10"/>
      <c r="L3305" s="10"/>
      <c r="M3305" s="10"/>
      <c r="N3305" s="10"/>
      <c r="O3305" s="21"/>
    </row>
    <row r="3306" spans="1:15" x14ac:dyDescent="0.35">
      <c r="A3306" s="15">
        <f t="shared" si="51"/>
        <v>3304</v>
      </c>
      <c r="B3306" s="16"/>
      <c r="C3306" s="19"/>
      <c r="D3306" s="10"/>
      <c r="E3306" s="10"/>
      <c r="F3306" s="47"/>
      <c r="G3306" s="10"/>
      <c r="H3306" s="20"/>
      <c r="I3306" s="20"/>
      <c r="J3306" s="10"/>
      <c r="K3306" s="10"/>
      <c r="L3306" s="10"/>
      <c r="M3306" s="10"/>
      <c r="N3306" s="10"/>
      <c r="O3306" s="21"/>
    </row>
    <row r="3307" spans="1:15" x14ac:dyDescent="0.35">
      <c r="A3307" s="15">
        <f t="shared" si="51"/>
        <v>3305</v>
      </c>
      <c r="B3307" s="16"/>
      <c r="C3307" s="19"/>
      <c r="D3307" s="10"/>
      <c r="E3307" s="10"/>
      <c r="F3307" s="47"/>
      <c r="G3307" s="10"/>
      <c r="H3307" s="20"/>
      <c r="I3307" s="20"/>
      <c r="J3307" s="10"/>
      <c r="K3307" s="10"/>
      <c r="L3307" s="10"/>
      <c r="M3307" s="10"/>
      <c r="N3307" s="10"/>
      <c r="O3307" s="21"/>
    </row>
    <row r="3308" spans="1:15" x14ac:dyDescent="0.35">
      <c r="A3308" s="15">
        <f t="shared" si="51"/>
        <v>3306</v>
      </c>
      <c r="B3308" s="16"/>
      <c r="C3308" s="19"/>
      <c r="D3308" s="10"/>
      <c r="E3308" s="10"/>
      <c r="F3308" s="47"/>
      <c r="G3308" s="10"/>
      <c r="H3308" s="20"/>
      <c r="I3308" s="20"/>
      <c r="J3308" s="10"/>
      <c r="K3308" s="10"/>
      <c r="L3308" s="10"/>
      <c r="M3308" s="10"/>
      <c r="N3308" s="10"/>
      <c r="O3308" s="21"/>
    </row>
    <row r="3309" spans="1:15" x14ac:dyDescent="0.35">
      <c r="A3309" s="15">
        <f t="shared" si="51"/>
        <v>3307</v>
      </c>
      <c r="B3309" s="16"/>
      <c r="C3309" s="19"/>
      <c r="D3309" s="10"/>
      <c r="E3309" s="10"/>
      <c r="F3309" s="47"/>
      <c r="G3309" s="10"/>
      <c r="H3309" s="20"/>
      <c r="I3309" s="20"/>
      <c r="J3309" s="10"/>
      <c r="K3309" s="10"/>
      <c r="L3309" s="10"/>
      <c r="M3309" s="10"/>
      <c r="N3309" s="10"/>
      <c r="O3309" s="21"/>
    </row>
    <row r="3310" spans="1:15" x14ac:dyDescent="0.35">
      <c r="A3310" s="15">
        <f t="shared" si="51"/>
        <v>3308</v>
      </c>
      <c r="B3310" s="16"/>
      <c r="C3310" s="19"/>
      <c r="D3310" s="10"/>
      <c r="E3310" s="10"/>
      <c r="F3310" s="47"/>
      <c r="G3310" s="10"/>
      <c r="H3310" s="20"/>
      <c r="I3310" s="20"/>
      <c r="J3310" s="10"/>
      <c r="K3310" s="10"/>
      <c r="L3310" s="10"/>
      <c r="M3310" s="10"/>
      <c r="N3310" s="10"/>
      <c r="O3310" s="21"/>
    </row>
    <row r="3311" spans="1:15" x14ac:dyDescent="0.35">
      <c r="A3311" s="15">
        <f t="shared" si="51"/>
        <v>3309</v>
      </c>
      <c r="B3311" s="16"/>
      <c r="C3311" s="19"/>
      <c r="D3311" s="10"/>
      <c r="E3311" s="10"/>
      <c r="F3311" s="47"/>
      <c r="G3311" s="10"/>
      <c r="H3311" s="20"/>
      <c r="I3311" s="20"/>
      <c r="J3311" s="10"/>
      <c r="K3311" s="10"/>
      <c r="L3311" s="10"/>
      <c r="M3311" s="10"/>
      <c r="N3311" s="10"/>
      <c r="O3311" s="21"/>
    </row>
    <row r="3312" spans="1:15" x14ac:dyDescent="0.35">
      <c r="A3312" s="15">
        <f t="shared" si="51"/>
        <v>3310</v>
      </c>
      <c r="B3312" s="16"/>
      <c r="C3312" s="19"/>
      <c r="D3312" s="10"/>
      <c r="E3312" s="10"/>
      <c r="F3312" s="47"/>
      <c r="G3312" s="10"/>
      <c r="H3312" s="20"/>
      <c r="I3312" s="20"/>
      <c r="J3312" s="10"/>
      <c r="K3312" s="10"/>
      <c r="L3312" s="10"/>
      <c r="M3312" s="10"/>
      <c r="N3312" s="10"/>
      <c r="O3312" s="21"/>
    </row>
    <row r="3313" spans="1:15" x14ac:dyDescent="0.35">
      <c r="A3313" s="15">
        <f t="shared" si="51"/>
        <v>3311</v>
      </c>
      <c r="B3313" s="16"/>
      <c r="C3313" s="19"/>
      <c r="D3313" s="10"/>
      <c r="E3313" s="10"/>
      <c r="F3313" s="47"/>
      <c r="G3313" s="10"/>
      <c r="H3313" s="20"/>
      <c r="I3313" s="20"/>
      <c r="J3313" s="10"/>
      <c r="K3313" s="10"/>
      <c r="L3313" s="10"/>
      <c r="M3313" s="10"/>
      <c r="N3313" s="10"/>
      <c r="O3313" s="21"/>
    </row>
    <row r="3314" spans="1:15" x14ac:dyDescent="0.35">
      <c r="A3314" s="15">
        <f t="shared" si="51"/>
        <v>3312</v>
      </c>
      <c r="B3314" s="16"/>
      <c r="C3314" s="19"/>
      <c r="D3314" s="10"/>
      <c r="E3314" s="10"/>
      <c r="F3314" s="47"/>
      <c r="G3314" s="10"/>
      <c r="H3314" s="20"/>
      <c r="I3314" s="20"/>
      <c r="J3314" s="10"/>
      <c r="K3314" s="10"/>
      <c r="L3314" s="10"/>
      <c r="M3314" s="10"/>
      <c r="N3314" s="10"/>
      <c r="O3314" s="21"/>
    </row>
    <row r="3315" spans="1:15" x14ac:dyDescent="0.35">
      <c r="A3315" s="15">
        <f t="shared" si="51"/>
        <v>3313</v>
      </c>
      <c r="B3315" s="16"/>
      <c r="C3315" s="19"/>
      <c r="D3315" s="10"/>
      <c r="E3315" s="10"/>
      <c r="F3315" s="47"/>
      <c r="G3315" s="10"/>
      <c r="H3315" s="20"/>
      <c r="I3315" s="20"/>
      <c r="J3315" s="10"/>
      <c r="K3315" s="10"/>
      <c r="L3315" s="10"/>
      <c r="M3315" s="10"/>
      <c r="N3315" s="10"/>
      <c r="O3315" s="21"/>
    </row>
    <row r="3316" spans="1:15" x14ac:dyDescent="0.35">
      <c r="A3316" s="15">
        <f t="shared" si="51"/>
        <v>3314</v>
      </c>
      <c r="B3316" s="16"/>
      <c r="C3316" s="19"/>
      <c r="D3316" s="10"/>
      <c r="E3316" s="10"/>
      <c r="F3316" s="47"/>
      <c r="G3316" s="10"/>
      <c r="H3316" s="20"/>
      <c r="I3316" s="20"/>
      <c r="J3316" s="10"/>
      <c r="K3316" s="10"/>
      <c r="L3316" s="10"/>
      <c r="M3316" s="10"/>
      <c r="N3316" s="10"/>
      <c r="O3316" s="21"/>
    </row>
    <row r="3317" spans="1:15" x14ac:dyDescent="0.35">
      <c r="A3317" s="15">
        <f t="shared" si="51"/>
        <v>3315</v>
      </c>
      <c r="B3317" s="16"/>
      <c r="C3317" s="19"/>
      <c r="D3317" s="10"/>
      <c r="E3317" s="10"/>
      <c r="F3317" s="47"/>
      <c r="G3317" s="10"/>
      <c r="H3317" s="20"/>
      <c r="I3317" s="20"/>
      <c r="J3317" s="10"/>
      <c r="K3317" s="10"/>
      <c r="L3317" s="10"/>
      <c r="M3317" s="10"/>
      <c r="N3317" s="10"/>
      <c r="O3317" s="21"/>
    </row>
    <row r="3318" spans="1:15" x14ac:dyDescent="0.35">
      <c r="A3318" s="15">
        <f t="shared" si="51"/>
        <v>3316</v>
      </c>
      <c r="B3318" s="16"/>
      <c r="C3318" s="19"/>
      <c r="D3318" s="10"/>
      <c r="E3318" s="10"/>
      <c r="F3318" s="47"/>
      <c r="G3318" s="10"/>
      <c r="H3318" s="20"/>
      <c r="I3318" s="20"/>
      <c r="J3318" s="10"/>
      <c r="K3318" s="10"/>
      <c r="L3318" s="10"/>
      <c r="M3318" s="10"/>
      <c r="N3318" s="10"/>
      <c r="O3318" s="21"/>
    </row>
    <row r="3319" spans="1:15" x14ac:dyDescent="0.35">
      <c r="A3319" s="15">
        <f t="shared" si="51"/>
        <v>3317</v>
      </c>
      <c r="B3319" s="16"/>
      <c r="C3319" s="19"/>
      <c r="D3319" s="10"/>
      <c r="E3319" s="10"/>
      <c r="F3319" s="47"/>
      <c r="G3319" s="10"/>
      <c r="H3319" s="20"/>
      <c r="I3319" s="20"/>
      <c r="J3319" s="10"/>
      <c r="K3319" s="10"/>
      <c r="L3319" s="10"/>
      <c r="M3319" s="10"/>
      <c r="N3319" s="10"/>
      <c r="O3319" s="21"/>
    </row>
    <row r="3320" spans="1:15" x14ac:dyDescent="0.35">
      <c r="A3320" s="15">
        <f t="shared" si="51"/>
        <v>3318</v>
      </c>
      <c r="B3320" s="16"/>
      <c r="C3320" s="19"/>
      <c r="D3320" s="10"/>
      <c r="E3320" s="10"/>
      <c r="F3320" s="47"/>
      <c r="G3320" s="10"/>
      <c r="H3320" s="20"/>
      <c r="I3320" s="20"/>
      <c r="J3320" s="10"/>
      <c r="K3320" s="10"/>
      <c r="L3320" s="10"/>
      <c r="M3320" s="10"/>
      <c r="N3320" s="10"/>
      <c r="O3320" s="21"/>
    </row>
    <row r="3321" spans="1:15" x14ac:dyDescent="0.35">
      <c r="A3321" s="15">
        <f t="shared" si="51"/>
        <v>3319</v>
      </c>
      <c r="B3321" s="16"/>
      <c r="C3321" s="19"/>
      <c r="D3321" s="10"/>
      <c r="E3321" s="10"/>
      <c r="F3321" s="47"/>
      <c r="G3321" s="10"/>
      <c r="H3321" s="20"/>
      <c r="I3321" s="20"/>
      <c r="J3321" s="10"/>
      <c r="K3321" s="10"/>
      <c r="L3321" s="10"/>
      <c r="M3321" s="10"/>
      <c r="N3321" s="10"/>
      <c r="O3321" s="21"/>
    </row>
    <row r="3322" spans="1:15" x14ac:dyDescent="0.35">
      <c r="A3322" s="15">
        <f t="shared" si="51"/>
        <v>3320</v>
      </c>
      <c r="B3322" s="16"/>
      <c r="C3322" s="19"/>
      <c r="D3322" s="10"/>
      <c r="E3322" s="10"/>
      <c r="F3322" s="47"/>
      <c r="G3322" s="10"/>
      <c r="H3322" s="20"/>
      <c r="I3322" s="20"/>
      <c r="J3322" s="10"/>
      <c r="K3322" s="10"/>
      <c r="L3322" s="10"/>
      <c r="M3322" s="10"/>
      <c r="N3322" s="10"/>
      <c r="O3322" s="21"/>
    </row>
    <row r="3323" spans="1:15" x14ac:dyDescent="0.35">
      <c r="A3323" s="15">
        <f t="shared" si="51"/>
        <v>3321</v>
      </c>
      <c r="B3323" s="16"/>
      <c r="C3323" s="19"/>
      <c r="D3323" s="10"/>
      <c r="E3323" s="10"/>
      <c r="F3323" s="47"/>
      <c r="G3323" s="10"/>
      <c r="H3323" s="20"/>
      <c r="I3323" s="20"/>
      <c r="J3323" s="10"/>
      <c r="K3323" s="10"/>
      <c r="L3323" s="10"/>
      <c r="M3323" s="10"/>
      <c r="N3323" s="10"/>
      <c r="O3323" s="21"/>
    </row>
    <row r="3324" spans="1:15" x14ac:dyDescent="0.35">
      <c r="A3324" s="15">
        <f t="shared" si="51"/>
        <v>3322</v>
      </c>
      <c r="B3324" s="16"/>
      <c r="C3324" s="19"/>
      <c r="D3324" s="10"/>
      <c r="E3324" s="10"/>
      <c r="F3324" s="47"/>
      <c r="G3324" s="10"/>
      <c r="H3324" s="20"/>
      <c r="I3324" s="20"/>
      <c r="J3324" s="10"/>
      <c r="K3324" s="10"/>
      <c r="L3324" s="10"/>
      <c r="M3324" s="10"/>
      <c r="N3324" s="10"/>
      <c r="O3324" s="21"/>
    </row>
    <row r="3325" spans="1:15" x14ac:dyDescent="0.35">
      <c r="A3325" s="15">
        <f t="shared" si="51"/>
        <v>3323</v>
      </c>
      <c r="B3325" s="16"/>
      <c r="C3325" s="19"/>
      <c r="D3325" s="10"/>
      <c r="E3325" s="10"/>
      <c r="F3325" s="47"/>
      <c r="G3325" s="10"/>
      <c r="H3325" s="20"/>
      <c r="I3325" s="20"/>
      <c r="J3325" s="10"/>
      <c r="K3325" s="10"/>
      <c r="L3325" s="10"/>
      <c r="M3325" s="10"/>
      <c r="N3325" s="10"/>
      <c r="O3325" s="21"/>
    </row>
    <row r="3326" spans="1:15" x14ac:dyDescent="0.35">
      <c r="A3326" s="15">
        <f t="shared" si="51"/>
        <v>3324</v>
      </c>
      <c r="B3326" s="16"/>
      <c r="C3326" s="19"/>
      <c r="D3326" s="10"/>
      <c r="E3326" s="10"/>
      <c r="F3326" s="47"/>
      <c r="G3326" s="10"/>
      <c r="H3326" s="20"/>
      <c r="I3326" s="20"/>
      <c r="J3326" s="10"/>
      <c r="K3326" s="10"/>
      <c r="L3326" s="10"/>
      <c r="M3326" s="10"/>
      <c r="N3326" s="10"/>
      <c r="O3326" s="21"/>
    </row>
    <row r="3327" spans="1:15" x14ac:dyDescent="0.35">
      <c r="A3327" s="15">
        <f t="shared" si="51"/>
        <v>3325</v>
      </c>
      <c r="B3327" s="16"/>
      <c r="C3327" s="19"/>
      <c r="D3327" s="10"/>
      <c r="E3327" s="10"/>
      <c r="F3327" s="47"/>
      <c r="G3327" s="10"/>
      <c r="H3327" s="20"/>
      <c r="I3327" s="20"/>
      <c r="J3327" s="10"/>
      <c r="K3327" s="10"/>
      <c r="L3327" s="10"/>
      <c r="M3327" s="10"/>
      <c r="N3327" s="10"/>
      <c r="O3327" s="21"/>
    </row>
    <row r="3328" spans="1:15" x14ac:dyDescent="0.35">
      <c r="A3328" s="15">
        <f t="shared" si="51"/>
        <v>3326</v>
      </c>
      <c r="B3328" s="16"/>
      <c r="C3328" s="19"/>
      <c r="D3328" s="10"/>
      <c r="E3328" s="10"/>
      <c r="F3328" s="47"/>
      <c r="G3328" s="10"/>
      <c r="H3328" s="20"/>
      <c r="I3328" s="20"/>
      <c r="J3328" s="10"/>
      <c r="K3328" s="10"/>
      <c r="L3328" s="10"/>
      <c r="M3328" s="10"/>
      <c r="N3328" s="10"/>
      <c r="O3328" s="21"/>
    </row>
    <row r="3329" spans="1:15" x14ac:dyDescent="0.35">
      <c r="A3329" s="15">
        <f t="shared" si="51"/>
        <v>3327</v>
      </c>
      <c r="B3329" s="16"/>
      <c r="C3329" s="19"/>
      <c r="D3329" s="10"/>
      <c r="E3329" s="10"/>
      <c r="F3329" s="47"/>
      <c r="G3329" s="10"/>
      <c r="H3329" s="20"/>
      <c r="I3329" s="20"/>
      <c r="J3329" s="10"/>
      <c r="K3329" s="10"/>
      <c r="L3329" s="10"/>
      <c r="M3329" s="10"/>
      <c r="N3329" s="10"/>
      <c r="O3329" s="21"/>
    </row>
    <row r="3330" spans="1:15" x14ac:dyDescent="0.35">
      <c r="A3330" s="15">
        <f t="shared" si="51"/>
        <v>3328</v>
      </c>
      <c r="B3330" s="16"/>
      <c r="C3330" s="19"/>
      <c r="D3330" s="10"/>
      <c r="E3330" s="10"/>
      <c r="F3330" s="47"/>
      <c r="G3330" s="10"/>
      <c r="H3330" s="20"/>
      <c r="I3330" s="20"/>
      <c r="J3330" s="10"/>
      <c r="K3330" s="10"/>
      <c r="L3330" s="10"/>
      <c r="M3330" s="10"/>
      <c r="N3330" s="10"/>
      <c r="O3330" s="21"/>
    </row>
    <row r="3331" spans="1:15" x14ac:dyDescent="0.35">
      <c r="A3331" s="15">
        <f t="shared" si="51"/>
        <v>3329</v>
      </c>
      <c r="B3331" s="16"/>
      <c r="C3331" s="19"/>
      <c r="D3331" s="10"/>
      <c r="E3331" s="10"/>
      <c r="F3331" s="47"/>
      <c r="G3331" s="10"/>
      <c r="H3331" s="20"/>
      <c r="I3331" s="20"/>
      <c r="J3331" s="10"/>
      <c r="K3331" s="10"/>
      <c r="L3331" s="10"/>
      <c r="M3331" s="10"/>
      <c r="N3331" s="10"/>
      <c r="O3331" s="21"/>
    </row>
    <row r="3332" spans="1:15" x14ac:dyDescent="0.35">
      <c r="A3332" s="15">
        <f t="shared" si="51"/>
        <v>3330</v>
      </c>
      <c r="B3332" s="16"/>
      <c r="C3332" s="19"/>
      <c r="D3332" s="10"/>
      <c r="E3332" s="10"/>
      <c r="F3332" s="47"/>
      <c r="G3332" s="10"/>
      <c r="H3332" s="20"/>
      <c r="I3332" s="20"/>
      <c r="J3332" s="10"/>
      <c r="K3332" s="10"/>
      <c r="L3332" s="10"/>
      <c r="M3332" s="10"/>
      <c r="N3332" s="10"/>
      <c r="O3332" s="21"/>
    </row>
    <row r="3333" spans="1:15" x14ac:dyDescent="0.35">
      <c r="A3333" s="15">
        <f t="shared" si="51"/>
        <v>3331</v>
      </c>
      <c r="B3333" s="16"/>
      <c r="C3333" s="19"/>
      <c r="D3333" s="10"/>
      <c r="E3333" s="10"/>
      <c r="F3333" s="47"/>
      <c r="G3333" s="10"/>
      <c r="H3333" s="20"/>
      <c r="I3333" s="20"/>
      <c r="J3333" s="10"/>
      <c r="K3333" s="10"/>
      <c r="L3333" s="10"/>
      <c r="M3333" s="10"/>
      <c r="N3333" s="10"/>
      <c r="O3333" s="21"/>
    </row>
    <row r="3334" spans="1:15" x14ac:dyDescent="0.35">
      <c r="A3334" s="15">
        <f t="shared" si="51"/>
        <v>3332</v>
      </c>
      <c r="B3334" s="16"/>
      <c r="C3334" s="19"/>
      <c r="D3334" s="10"/>
      <c r="E3334" s="10"/>
      <c r="F3334" s="47"/>
      <c r="G3334" s="10"/>
      <c r="H3334" s="20"/>
      <c r="I3334" s="20"/>
      <c r="J3334" s="10"/>
      <c r="K3334" s="10"/>
      <c r="L3334" s="10"/>
      <c r="M3334" s="10"/>
      <c r="N3334" s="10"/>
      <c r="O3334" s="21"/>
    </row>
    <row r="3335" spans="1:15" x14ac:dyDescent="0.35">
      <c r="A3335" s="15">
        <f t="shared" si="51"/>
        <v>3333</v>
      </c>
      <c r="B3335" s="16"/>
      <c r="C3335" s="19"/>
      <c r="D3335" s="10"/>
      <c r="E3335" s="10"/>
      <c r="F3335" s="47"/>
      <c r="G3335" s="10"/>
      <c r="H3335" s="20"/>
      <c r="I3335" s="20"/>
      <c r="J3335" s="10"/>
      <c r="K3335" s="10"/>
      <c r="L3335" s="10"/>
      <c r="M3335" s="10"/>
      <c r="N3335" s="10"/>
      <c r="O3335" s="21"/>
    </row>
    <row r="3336" spans="1:15" x14ac:dyDescent="0.35">
      <c r="A3336" s="15">
        <f t="shared" si="51"/>
        <v>3334</v>
      </c>
      <c r="B3336" s="16"/>
      <c r="C3336" s="19"/>
      <c r="D3336" s="10"/>
      <c r="E3336" s="10"/>
      <c r="F3336" s="47"/>
      <c r="G3336" s="10"/>
      <c r="H3336" s="20"/>
      <c r="I3336" s="20"/>
      <c r="J3336" s="10"/>
      <c r="K3336" s="10"/>
      <c r="L3336" s="10"/>
      <c r="M3336" s="10"/>
      <c r="N3336" s="10"/>
      <c r="O3336" s="21"/>
    </row>
    <row r="3337" spans="1:15" x14ac:dyDescent="0.35">
      <c r="A3337" s="15">
        <f t="shared" si="51"/>
        <v>3335</v>
      </c>
      <c r="B3337" s="16"/>
      <c r="C3337" s="19"/>
      <c r="D3337" s="10"/>
      <c r="E3337" s="10"/>
      <c r="F3337" s="47"/>
      <c r="G3337" s="10"/>
      <c r="H3337" s="20"/>
      <c r="I3337" s="20"/>
      <c r="J3337" s="10"/>
      <c r="K3337" s="10"/>
      <c r="L3337" s="10"/>
      <c r="M3337" s="10"/>
      <c r="N3337" s="10"/>
      <c r="O3337" s="21"/>
    </row>
    <row r="3338" spans="1:15" x14ac:dyDescent="0.35">
      <c r="A3338" s="15">
        <f t="shared" si="51"/>
        <v>3336</v>
      </c>
      <c r="B3338" s="16"/>
      <c r="C3338" s="19"/>
      <c r="D3338" s="10"/>
      <c r="E3338" s="10"/>
      <c r="F3338" s="47"/>
      <c r="G3338" s="10"/>
      <c r="H3338" s="20"/>
      <c r="I3338" s="20"/>
      <c r="J3338" s="10"/>
      <c r="K3338" s="10"/>
      <c r="L3338" s="10"/>
      <c r="M3338" s="10"/>
      <c r="N3338" s="10"/>
      <c r="O3338" s="21"/>
    </row>
    <row r="3339" spans="1:15" x14ac:dyDescent="0.35">
      <c r="A3339" s="15">
        <f t="shared" ref="A3339:A3402" si="52">+A3338+1</f>
        <v>3337</v>
      </c>
      <c r="B3339" s="16"/>
      <c r="C3339" s="19"/>
      <c r="D3339" s="10"/>
      <c r="E3339" s="10"/>
      <c r="F3339" s="47"/>
      <c r="G3339" s="10"/>
      <c r="H3339" s="20"/>
      <c r="I3339" s="20"/>
      <c r="J3339" s="10"/>
      <c r="K3339" s="10"/>
      <c r="L3339" s="10"/>
      <c r="M3339" s="10"/>
      <c r="N3339" s="10"/>
      <c r="O3339" s="21"/>
    </row>
    <row r="3340" spans="1:15" x14ac:dyDescent="0.35">
      <c r="A3340" s="15">
        <f t="shared" si="52"/>
        <v>3338</v>
      </c>
      <c r="B3340" s="16"/>
      <c r="C3340" s="19"/>
      <c r="D3340" s="10"/>
      <c r="E3340" s="10"/>
      <c r="F3340" s="47"/>
      <c r="G3340" s="10"/>
      <c r="H3340" s="20"/>
      <c r="I3340" s="20"/>
      <c r="J3340" s="10"/>
      <c r="K3340" s="10"/>
      <c r="L3340" s="10"/>
      <c r="M3340" s="10"/>
      <c r="N3340" s="10"/>
      <c r="O3340" s="21"/>
    </row>
    <row r="3341" spans="1:15" x14ac:dyDescent="0.35">
      <c r="A3341" s="15">
        <f t="shared" si="52"/>
        <v>3339</v>
      </c>
      <c r="B3341" s="16"/>
      <c r="C3341" s="19"/>
      <c r="D3341" s="10"/>
      <c r="E3341" s="10"/>
      <c r="F3341" s="47"/>
      <c r="G3341" s="10"/>
      <c r="H3341" s="20"/>
      <c r="I3341" s="20"/>
      <c r="J3341" s="10"/>
      <c r="K3341" s="10"/>
      <c r="L3341" s="10"/>
      <c r="M3341" s="10"/>
      <c r="N3341" s="10"/>
      <c r="O3341" s="21"/>
    </row>
    <row r="3342" spans="1:15" x14ac:dyDescent="0.35">
      <c r="A3342" s="15">
        <f t="shared" si="52"/>
        <v>3340</v>
      </c>
      <c r="B3342" s="16"/>
      <c r="C3342" s="19"/>
      <c r="D3342" s="10"/>
      <c r="E3342" s="10"/>
      <c r="F3342" s="47"/>
      <c r="G3342" s="10"/>
      <c r="H3342" s="20"/>
      <c r="I3342" s="20"/>
      <c r="J3342" s="10"/>
      <c r="K3342" s="10"/>
      <c r="L3342" s="10"/>
      <c r="M3342" s="10"/>
      <c r="N3342" s="10"/>
      <c r="O3342" s="21"/>
    </row>
    <row r="3343" spans="1:15" x14ac:dyDescent="0.35">
      <c r="A3343" s="15">
        <f t="shared" si="52"/>
        <v>3341</v>
      </c>
      <c r="B3343" s="16"/>
      <c r="C3343" s="19"/>
      <c r="D3343" s="10"/>
      <c r="E3343" s="10"/>
      <c r="F3343" s="47"/>
      <c r="G3343" s="10"/>
      <c r="H3343" s="20"/>
      <c r="I3343" s="20"/>
      <c r="J3343" s="10"/>
      <c r="K3343" s="10"/>
      <c r="L3343" s="10"/>
      <c r="M3343" s="10"/>
      <c r="N3343" s="10"/>
      <c r="O3343" s="21"/>
    </row>
    <row r="3344" spans="1:15" x14ac:dyDescent="0.35">
      <c r="A3344" s="15">
        <f t="shared" si="52"/>
        <v>3342</v>
      </c>
      <c r="B3344" s="16"/>
      <c r="C3344" s="19"/>
      <c r="D3344" s="10"/>
      <c r="E3344" s="10"/>
      <c r="F3344" s="47"/>
      <c r="G3344" s="10"/>
      <c r="H3344" s="20"/>
      <c r="I3344" s="20"/>
      <c r="J3344" s="10"/>
      <c r="K3344" s="10"/>
      <c r="L3344" s="10"/>
      <c r="M3344" s="10"/>
      <c r="N3344" s="10"/>
      <c r="O3344" s="21"/>
    </row>
    <row r="3345" spans="1:15" x14ac:dyDescent="0.35">
      <c r="A3345" s="15">
        <f t="shared" si="52"/>
        <v>3343</v>
      </c>
      <c r="B3345" s="16"/>
      <c r="C3345" s="19"/>
      <c r="D3345" s="10"/>
      <c r="E3345" s="10"/>
      <c r="F3345" s="47"/>
      <c r="G3345" s="10"/>
      <c r="H3345" s="20"/>
      <c r="I3345" s="20"/>
      <c r="J3345" s="10"/>
      <c r="K3345" s="10"/>
      <c r="L3345" s="10"/>
      <c r="M3345" s="10"/>
      <c r="N3345" s="10"/>
      <c r="O3345" s="21"/>
    </row>
    <row r="3346" spans="1:15" x14ac:dyDescent="0.35">
      <c r="A3346" s="15">
        <f t="shared" si="52"/>
        <v>3344</v>
      </c>
      <c r="B3346" s="16"/>
      <c r="C3346" s="19"/>
      <c r="D3346" s="10"/>
      <c r="E3346" s="10"/>
      <c r="F3346" s="47"/>
      <c r="G3346" s="10"/>
      <c r="H3346" s="20"/>
      <c r="I3346" s="20"/>
      <c r="J3346" s="10"/>
      <c r="K3346" s="10"/>
      <c r="L3346" s="10"/>
      <c r="M3346" s="10"/>
      <c r="N3346" s="10"/>
      <c r="O3346" s="21"/>
    </row>
    <row r="3347" spans="1:15" x14ac:dyDescent="0.35">
      <c r="A3347" s="15">
        <f t="shared" si="52"/>
        <v>3345</v>
      </c>
      <c r="B3347" s="16"/>
      <c r="C3347" s="19"/>
      <c r="D3347" s="10"/>
      <c r="E3347" s="10"/>
      <c r="F3347" s="47"/>
      <c r="G3347" s="10"/>
      <c r="H3347" s="20"/>
      <c r="I3347" s="20"/>
      <c r="J3347" s="10"/>
      <c r="K3347" s="10"/>
      <c r="L3347" s="10"/>
      <c r="M3347" s="10"/>
      <c r="N3347" s="10"/>
      <c r="O3347" s="21"/>
    </row>
    <row r="3348" spans="1:15" x14ac:dyDescent="0.35">
      <c r="A3348" s="15">
        <f t="shared" si="52"/>
        <v>3346</v>
      </c>
      <c r="B3348" s="16"/>
      <c r="C3348" s="19"/>
      <c r="D3348" s="10"/>
      <c r="E3348" s="10"/>
      <c r="F3348" s="47"/>
      <c r="G3348" s="10"/>
      <c r="H3348" s="20"/>
      <c r="I3348" s="20"/>
      <c r="J3348" s="10"/>
      <c r="K3348" s="10"/>
      <c r="L3348" s="10"/>
      <c r="M3348" s="10"/>
      <c r="N3348" s="10"/>
      <c r="O3348" s="21"/>
    </row>
    <row r="3349" spans="1:15" x14ac:dyDescent="0.35">
      <c r="A3349" s="15">
        <f t="shared" si="52"/>
        <v>3347</v>
      </c>
      <c r="B3349" s="16"/>
      <c r="C3349" s="19"/>
      <c r="D3349" s="10"/>
      <c r="E3349" s="10"/>
      <c r="F3349" s="47"/>
      <c r="G3349" s="10"/>
      <c r="H3349" s="20"/>
      <c r="I3349" s="20"/>
      <c r="J3349" s="10"/>
      <c r="K3349" s="10"/>
      <c r="L3349" s="10"/>
      <c r="M3349" s="10"/>
      <c r="N3349" s="10"/>
      <c r="O3349" s="21"/>
    </row>
    <row r="3350" spans="1:15" x14ac:dyDescent="0.35">
      <c r="A3350" s="15">
        <f t="shared" si="52"/>
        <v>3348</v>
      </c>
      <c r="B3350" s="16"/>
      <c r="C3350" s="19"/>
      <c r="D3350" s="10"/>
      <c r="E3350" s="10"/>
      <c r="F3350" s="47"/>
      <c r="G3350" s="10"/>
      <c r="H3350" s="20"/>
      <c r="I3350" s="20"/>
      <c r="J3350" s="10"/>
      <c r="K3350" s="10"/>
      <c r="L3350" s="10"/>
      <c r="M3350" s="10"/>
      <c r="N3350" s="10"/>
      <c r="O3350" s="21"/>
    </row>
    <row r="3351" spans="1:15" x14ac:dyDescent="0.35">
      <c r="A3351" s="15">
        <f t="shared" si="52"/>
        <v>3349</v>
      </c>
      <c r="B3351" s="16"/>
      <c r="C3351" s="19"/>
      <c r="D3351" s="10"/>
      <c r="E3351" s="10"/>
      <c r="F3351" s="47"/>
      <c r="G3351" s="10"/>
      <c r="H3351" s="20"/>
      <c r="I3351" s="20"/>
      <c r="J3351" s="10"/>
      <c r="K3351" s="10"/>
      <c r="L3351" s="10"/>
      <c r="M3351" s="10"/>
      <c r="N3351" s="10"/>
      <c r="O3351" s="21"/>
    </row>
    <row r="3352" spans="1:15" x14ac:dyDescent="0.35">
      <c r="A3352" s="15">
        <f t="shared" si="52"/>
        <v>3350</v>
      </c>
      <c r="B3352" s="16"/>
      <c r="C3352" s="19"/>
      <c r="D3352" s="10"/>
      <c r="E3352" s="10"/>
      <c r="F3352" s="47"/>
      <c r="G3352" s="10"/>
      <c r="H3352" s="20"/>
      <c r="I3352" s="20"/>
      <c r="J3352" s="10"/>
      <c r="K3352" s="10"/>
      <c r="L3352" s="10"/>
      <c r="M3352" s="10"/>
      <c r="N3352" s="10"/>
      <c r="O3352" s="21"/>
    </row>
    <row r="3353" spans="1:15" x14ac:dyDescent="0.35">
      <c r="A3353" s="15">
        <f t="shared" si="52"/>
        <v>3351</v>
      </c>
      <c r="B3353" s="16"/>
      <c r="C3353" s="19"/>
      <c r="D3353" s="10"/>
      <c r="E3353" s="10"/>
      <c r="F3353" s="47"/>
      <c r="G3353" s="10"/>
      <c r="H3353" s="20"/>
      <c r="I3353" s="20"/>
      <c r="J3353" s="10"/>
      <c r="K3353" s="10"/>
      <c r="L3353" s="10"/>
      <c r="M3353" s="10"/>
      <c r="N3353" s="10"/>
      <c r="O3353" s="21"/>
    </row>
    <row r="3354" spans="1:15" x14ac:dyDescent="0.35">
      <c r="A3354" s="15">
        <f t="shared" si="52"/>
        <v>3352</v>
      </c>
      <c r="B3354" s="16"/>
      <c r="C3354" s="19"/>
      <c r="D3354" s="10"/>
      <c r="E3354" s="10"/>
      <c r="F3354" s="47"/>
      <c r="G3354" s="10"/>
      <c r="H3354" s="20"/>
      <c r="I3354" s="20"/>
      <c r="J3354" s="10"/>
      <c r="K3354" s="10"/>
      <c r="L3354" s="10"/>
      <c r="M3354" s="10"/>
      <c r="N3354" s="10"/>
      <c r="O3354" s="21"/>
    </row>
    <row r="3355" spans="1:15" x14ac:dyDescent="0.35">
      <c r="A3355" s="15">
        <f t="shared" si="52"/>
        <v>3353</v>
      </c>
      <c r="B3355" s="16"/>
      <c r="C3355" s="19"/>
      <c r="D3355" s="10"/>
      <c r="E3355" s="10"/>
      <c r="F3355" s="47"/>
      <c r="G3355" s="10"/>
      <c r="H3355" s="20"/>
      <c r="I3355" s="20"/>
      <c r="J3355" s="10"/>
      <c r="K3355" s="10"/>
      <c r="L3355" s="10"/>
      <c r="M3355" s="10"/>
      <c r="N3355" s="10"/>
      <c r="O3355" s="21"/>
    </row>
    <row r="3356" spans="1:15" x14ac:dyDescent="0.35">
      <c r="A3356" s="15">
        <f t="shared" si="52"/>
        <v>3354</v>
      </c>
      <c r="B3356" s="16"/>
      <c r="C3356" s="19"/>
      <c r="D3356" s="10"/>
      <c r="E3356" s="10"/>
      <c r="F3356" s="47"/>
      <c r="G3356" s="10"/>
      <c r="H3356" s="20"/>
      <c r="I3356" s="20"/>
      <c r="J3356" s="10"/>
      <c r="K3356" s="10"/>
      <c r="L3356" s="10"/>
      <c r="M3356" s="10"/>
      <c r="N3356" s="10"/>
      <c r="O3356" s="21"/>
    </row>
    <row r="3357" spans="1:15" x14ac:dyDescent="0.35">
      <c r="A3357" s="15">
        <f t="shared" si="52"/>
        <v>3355</v>
      </c>
      <c r="B3357" s="16"/>
      <c r="C3357" s="19"/>
      <c r="D3357" s="10"/>
      <c r="E3357" s="10"/>
      <c r="F3357" s="47"/>
      <c r="G3357" s="10"/>
      <c r="H3357" s="20"/>
      <c r="I3357" s="20"/>
      <c r="J3357" s="10"/>
      <c r="K3357" s="10"/>
      <c r="L3357" s="10"/>
      <c r="M3357" s="10"/>
      <c r="N3357" s="10"/>
      <c r="O3357" s="21"/>
    </row>
    <row r="3358" spans="1:15" x14ac:dyDescent="0.35">
      <c r="A3358" s="15">
        <f t="shared" si="52"/>
        <v>3356</v>
      </c>
      <c r="B3358" s="16"/>
      <c r="C3358" s="19"/>
      <c r="D3358" s="10"/>
      <c r="E3358" s="10"/>
      <c r="F3358" s="47"/>
      <c r="G3358" s="10"/>
      <c r="H3358" s="20"/>
      <c r="I3358" s="20"/>
      <c r="J3358" s="10"/>
      <c r="K3358" s="10"/>
      <c r="L3358" s="10"/>
      <c r="M3358" s="10"/>
      <c r="N3358" s="10"/>
      <c r="O3358" s="21"/>
    </row>
    <row r="3359" spans="1:15" x14ac:dyDescent="0.35">
      <c r="A3359" s="15">
        <f t="shared" si="52"/>
        <v>3357</v>
      </c>
      <c r="B3359" s="16"/>
      <c r="C3359" s="19"/>
      <c r="D3359" s="10"/>
      <c r="E3359" s="10"/>
      <c r="F3359" s="47"/>
      <c r="G3359" s="10"/>
      <c r="H3359" s="20"/>
      <c r="I3359" s="20"/>
      <c r="J3359" s="10"/>
      <c r="K3359" s="10"/>
      <c r="L3359" s="10"/>
      <c r="M3359" s="10"/>
      <c r="N3359" s="10"/>
      <c r="O3359" s="21"/>
    </row>
    <row r="3360" spans="1:15" x14ac:dyDescent="0.35">
      <c r="A3360" s="15">
        <f t="shared" si="52"/>
        <v>3358</v>
      </c>
      <c r="B3360" s="16"/>
      <c r="C3360" s="19"/>
      <c r="D3360" s="10"/>
      <c r="E3360" s="10"/>
      <c r="F3360" s="47"/>
      <c r="G3360" s="10"/>
      <c r="H3360" s="20"/>
      <c r="I3360" s="20"/>
      <c r="J3360" s="10"/>
      <c r="K3360" s="10"/>
      <c r="L3360" s="10"/>
      <c r="M3360" s="10"/>
      <c r="N3360" s="10"/>
      <c r="O3360" s="21"/>
    </row>
    <row r="3361" spans="1:15" x14ac:dyDescent="0.35">
      <c r="A3361" s="15">
        <f t="shared" si="52"/>
        <v>3359</v>
      </c>
      <c r="B3361" s="16"/>
      <c r="C3361" s="19"/>
      <c r="D3361" s="10"/>
      <c r="E3361" s="10"/>
      <c r="F3361" s="47"/>
      <c r="G3361" s="10"/>
      <c r="H3361" s="20"/>
      <c r="I3361" s="20"/>
      <c r="J3361" s="10"/>
      <c r="K3361" s="10"/>
      <c r="L3361" s="10"/>
      <c r="M3361" s="10"/>
      <c r="N3361" s="10"/>
      <c r="O3361" s="21"/>
    </row>
    <row r="3362" spans="1:15" x14ac:dyDescent="0.35">
      <c r="A3362" s="15">
        <f t="shared" si="52"/>
        <v>3360</v>
      </c>
      <c r="B3362" s="16"/>
      <c r="C3362" s="19"/>
      <c r="D3362" s="10"/>
      <c r="E3362" s="10"/>
      <c r="F3362" s="47"/>
      <c r="G3362" s="10"/>
      <c r="H3362" s="20"/>
      <c r="I3362" s="20"/>
      <c r="J3362" s="10"/>
      <c r="K3362" s="10"/>
      <c r="L3362" s="10"/>
      <c r="M3362" s="10"/>
      <c r="N3362" s="10"/>
      <c r="O3362" s="21"/>
    </row>
    <row r="3363" spans="1:15" x14ac:dyDescent="0.35">
      <c r="A3363" s="15">
        <f t="shared" si="52"/>
        <v>3361</v>
      </c>
      <c r="B3363" s="16"/>
      <c r="C3363" s="19"/>
      <c r="D3363" s="10"/>
      <c r="E3363" s="10"/>
      <c r="F3363" s="47"/>
      <c r="G3363" s="10"/>
      <c r="H3363" s="20"/>
      <c r="I3363" s="20"/>
      <c r="J3363" s="10"/>
      <c r="K3363" s="10"/>
      <c r="L3363" s="10"/>
      <c r="M3363" s="10"/>
      <c r="N3363" s="10"/>
      <c r="O3363" s="21"/>
    </row>
    <row r="3364" spans="1:15" x14ac:dyDescent="0.35">
      <c r="A3364" s="15">
        <f t="shared" si="52"/>
        <v>3362</v>
      </c>
      <c r="B3364" s="16"/>
      <c r="C3364" s="19"/>
      <c r="D3364" s="10"/>
      <c r="E3364" s="10"/>
      <c r="F3364" s="47"/>
      <c r="G3364" s="10"/>
      <c r="H3364" s="20"/>
      <c r="I3364" s="20"/>
      <c r="J3364" s="10"/>
      <c r="K3364" s="10"/>
      <c r="L3364" s="10"/>
      <c r="M3364" s="10"/>
      <c r="N3364" s="10"/>
      <c r="O3364" s="21"/>
    </row>
    <row r="3365" spans="1:15" x14ac:dyDescent="0.35">
      <c r="A3365" s="15">
        <f t="shared" si="52"/>
        <v>3363</v>
      </c>
      <c r="B3365" s="16"/>
      <c r="C3365" s="19"/>
      <c r="D3365" s="10"/>
      <c r="E3365" s="10"/>
      <c r="F3365" s="47"/>
      <c r="G3365" s="10"/>
      <c r="H3365" s="20"/>
      <c r="I3365" s="20"/>
      <c r="J3365" s="10"/>
      <c r="K3365" s="10"/>
      <c r="L3365" s="10"/>
      <c r="M3365" s="10"/>
      <c r="N3365" s="10"/>
      <c r="O3365" s="21"/>
    </row>
    <row r="3366" spans="1:15" x14ac:dyDescent="0.35">
      <c r="A3366" s="15">
        <f t="shared" si="52"/>
        <v>3364</v>
      </c>
      <c r="B3366" s="16"/>
      <c r="C3366" s="19"/>
      <c r="D3366" s="10"/>
      <c r="E3366" s="10"/>
      <c r="F3366" s="47"/>
      <c r="G3366" s="10"/>
      <c r="H3366" s="20"/>
      <c r="I3366" s="20"/>
      <c r="J3366" s="10"/>
      <c r="K3366" s="10"/>
      <c r="L3366" s="10"/>
      <c r="M3366" s="10"/>
      <c r="N3366" s="10"/>
      <c r="O3366" s="21"/>
    </row>
    <row r="3367" spans="1:15" x14ac:dyDescent="0.35">
      <c r="A3367" s="15">
        <f t="shared" si="52"/>
        <v>3365</v>
      </c>
      <c r="B3367" s="16"/>
      <c r="C3367" s="19"/>
      <c r="D3367" s="10"/>
      <c r="E3367" s="10"/>
      <c r="F3367" s="47"/>
      <c r="G3367" s="10"/>
      <c r="H3367" s="20"/>
      <c r="I3367" s="20"/>
      <c r="J3367" s="10"/>
      <c r="K3367" s="10"/>
      <c r="L3367" s="10"/>
      <c r="M3367" s="10"/>
      <c r="N3367" s="10"/>
      <c r="O3367" s="21"/>
    </row>
    <row r="3368" spans="1:15" x14ac:dyDescent="0.35">
      <c r="A3368" s="15">
        <f t="shared" si="52"/>
        <v>3366</v>
      </c>
      <c r="B3368" s="16"/>
      <c r="C3368" s="19"/>
      <c r="D3368" s="10"/>
      <c r="E3368" s="10"/>
      <c r="F3368" s="47"/>
      <c r="G3368" s="10"/>
      <c r="H3368" s="20"/>
      <c r="I3368" s="20"/>
      <c r="J3368" s="10"/>
      <c r="K3368" s="10"/>
      <c r="L3368" s="10"/>
      <c r="M3368" s="10"/>
      <c r="N3368" s="10"/>
      <c r="O3368" s="21"/>
    </row>
    <row r="3369" spans="1:15" x14ac:dyDescent="0.35">
      <c r="A3369" s="15">
        <f t="shared" si="52"/>
        <v>3367</v>
      </c>
      <c r="B3369" s="16"/>
      <c r="C3369" s="19"/>
      <c r="D3369" s="10"/>
      <c r="E3369" s="10"/>
      <c r="F3369" s="47"/>
      <c r="G3369" s="10"/>
      <c r="H3369" s="20"/>
      <c r="I3369" s="20"/>
      <c r="J3369" s="10"/>
      <c r="K3369" s="10"/>
      <c r="L3369" s="10"/>
      <c r="M3369" s="10"/>
      <c r="N3369" s="10"/>
      <c r="O3369" s="21"/>
    </row>
    <row r="3370" spans="1:15" x14ac:dyDescent="0.35">
      <c r="A3370" s="15">
        <f t="shared" si="52"/>
        <v>3368</v>
      </c>
      <c r="B3370" s="16"/>
      <c r="C3370" s="19"/>
      <c r="D3370" s="10"/>
      <c r="E3370" s="10"/>
      <c r="F3370" s="47"/>
      <c r="G3370" s="10"/>
      <c r="H3370" s="20"/>
      <c r="I3370" s="20"/>
      <c r="J3370" s="10"/>
      <c r="K3370" s="10"/>
      <c r="L3370" s="10"/>
      <c r="M3370" s="10"/>
      <c r="N3370" s="10"/>
      <c r="O3370" s="21"/>
    </row>
    <row r="3371" spans="1:15" x14ac:dyDescent="0.35">
      <c r="A3371" s="15">
        <f t="shared" si="52"/>
        <v>3369</v>
      </c>
      <c r="B3371" s="16"/>
      <c r="C3371" s="19"/>
      <c r="D3371" s="10"/>
      <c r="E3371" s="10"/>
      <c r="F3371" s="47"/>
      <c r="G3371" s="10"/>
      <c r="H3371" s="20"/>
      <c r="I3371" s="20"/>
      <c r="J3371" s="10"/>
      <c r="K3371" s="10"/>
      <c r="L3371" s="10"/>
      <c r="M3371" s="10"/>
      <c r="N3371" s="10"/>
      <c r="O3371" s="21"/>
    </row>
    <row r="3372" spans="1:15" x14ac:dyDescent="0.35">
      <c r="A3372" s="15">
        <f t="shared" si="52"/>
        <v>3370</v>
      </c>
      <c r="B3372" s="16"/>
      <c r="C3372" s="19"/>
      <c r="D3372" s="10"/>
      <c r="E3372" s="10"/>
      <c r="F3372" s="47"/>
      <c r="G3372" s="10"/>
      <c r="H3372" s="20"/>
      <c r="I3372" s="20"/>
      <c r="J3372" s="10"/>
      <c r="K3372" s="10"/>
      <c r="L3372" s="10"/>
      <c r="M3372" s="10"/>
      <c r="N3372" s="10"/>
      <c r="O3372" s="21"/>
    </row>
    <row r="3373" spans="1:15" x14ac:dyDescent="0.35">
      <c r="A3373" s="15">
        <f t="shared" si="52"/>
        <v>3371</v>
      </c>
      <c r="B3373" s="16"/>
      <c r="C3373" s="19"/>
      <c r="D3373" s="10"/>
      <c r="E3373" s="10"/>
      <c r="F3373" s="47"/>
      <c r="G3373" s="10"/>
      <c r="H3373" s="20"/>
      <c r="I3373" s="20"/>
      <c r="J3373" s="10"/>
      <c r="K3373" s="10"/>
      <c r="L3373" s="10"/>
      <c r="M3373" s="10"/>
      <c r="N3373" s="10"/>
      <c r="O3373" s="21"/>
    </row>
    <row r="3374" spans="1:15" x14ac:dyDescent="0.35">
      <c r="A3374" s="15">
        <f t="shared" si="52"/>
        <v>3372</v>
      </c>
      <c r="B3374" s="16"/>
      <c r="C3374" s="19"/>
      <c r="D3374" s="10"/>
      <c r="E3374" s="10"/>
      <c r="F3374" s="47"/>
      <c r="G3374" s="10"/>
      <c r="H3374" s="20"/>
      <c r="I3374" s="20"/>
      <c r="J3374" s="10"/>
      <c r="K3374" s="10"/>
      <c r="L3374" s="10"/>
      <c r="M3374" s="10"/>
      <c r="N3374" s="10"/>
      <c r="O3374" s="21"/>
    </row>
    <row r="3375" spans="1:15" x14ac:dyDescent="0.35">
      <c r="A3375" s="15">
        <f t="shared" si="52"/>
        <v>3373</v>
      </c>
      <c r="B3375" s="16"/>
      <c r="C3375" s="19"/>
      <c r="D3375" s="10"/>
      <c r="E3375" s="10"/>
      <c r="F3375" s="47"/>
      <c r="G3375" s="10"/>
      <c r="H3375" s="20"/>
      <c r="I3375" s="20"/>
      <c r="J3375" s="10"/>
      <c r="K3375" s="10"/>
      <c r="L3375" s="10"/>
      <c r="M3375" s="10"/>
      <c r="N3375" s="10"/>
      <c r="O3375" s="21"/>
    </row>
    <row r="3376" spans="1:15" x14ac:dyDescent="0.35">
      <c r="A3376" s="15">
        <f t="shared" si="52"/>
        <v>3374</v>
      </c>
      <c r="B3376" s="16"/>
      <c r="C3376" s="19"/>
      <c r="D3376" s="10"/>
      <c r="E3376" s="10"/>
      <c r="F3376" s="47"/>
      <c r="G3376" s="10"/>
      <c r="H3376" s="20"/>
      <c r="I3376" s="20"/>
      <c r="J3376" s="10"/>
      <c r="K3376" s="10"/>
      <c r="L3376" s="10"/>
      <c r="M3376" s="10"/>
      <c r="N3376" s="10"/>
      <c r="O3376" s="21"/>
    </row>
    <row r="3377" spans="1:15" x14ac:dyDescent="0.35">
      <c r="A3377" s="15">
        <f t="shared" si="52"/>
        <v>3375</v>
      </c>
      <c r="B3377" s="16"/>
      <c r="C3377" s="19"/>
      <c r="D3377" s="10"/>
      <c r="E3377" s="10"/>
      <c r="F3377" s="47"/>
      <c r="G3377" s="10"/>
      <c r="H3377" s="20"/>
      <c r="I3377" s="20"/>
      <c r="J3377" s="10"/>
      <c r="K3377" s="10"/>
      <c r="L3377" s="10"/>
      <c r="M3377" s="10"/>
      <c r="N3377" s="10"/>
      <c r="O3377" s="21"/>
    </row>
    <row r="3378" spans="1:15" x14ac:dyDescent="0.35">
      <c r="A3378" s="15">
        <f t="shared" si="52"/>
        <v>3376</v>
      </c>
      <c r="B3378" s="16"/>
      <c r="C3378" s="19"/>
      <c r="D3378" s="10"/>
      <c r="E3378" s="10"/>
      <c r="F3378" s="47"/>
      <c r="G3378" s="10"/>
      <c r="H3378" s="20"/>
      <c r="I3378" s="20"/>
      <c r="J3378" s="10"/>
      <c r="K3378" s="10"/>
      <c r="L3378" s="10"/>
      <c r="M3378" s="10"/>
      <c r="N3378" s="10"/>
      <c r="O3378" s="21"/>
    </row>
    <row r="3379" spans="1:15" x14ac:dyDescent="0.35">
      <c r="A3379" s="15">
        <f t="shared" si="52"/>
        <v>3377</v>
      </c>
      <c r="B3379" s="16"/>
      <c r="C3379" s="19"/>
      <c r="D3379" s="10"/>
      <c r="E3379" s="10"/>
      <c r="F3379" s="47"/>
      <c r="G3379" s="10"/>
      <c r="H3379" s="20"/>
      <c r="I3379" s="20"/>
      <c r="J3379" s="10"/>
      <c r="K3379" s="10"/>
      <c r="L3379" s="10"/>
      <c r="M3379" s="10"/>
      <c r="N3379" s="10"/>
      <c r="O3379" s="21"/>
    </row>
    <row r="3380" spans="1:15" x14ac:dyDescent="0.35">
      <c r="A3380" s="15">
        <f t="shared" si="52"/>
        <v>3378</v>
      </c>
      <c r="B3380" s="16"/>
      <c r="C3380" s="19"/>
      <c r="D3380" s="10"/>
      <c r="E3380" s="10"/>
      <c r="F3380" s="47"/>
      <c r="G3380" s="10"/>
      <c r="H3380" s="20"/>
      <c r="I3380" s="20"/>
      <c r="J3380" s="10"/>
      <c r="K3380" s="10"/>
      <c r="L3380" s="10"/>
      <c r="M3380" s="10"/>
      <c r="N3380" s="10"/>
      <c r="O3380" s="21"/>
    </row>
    <row r="3381" spans="1:15" x14ac:dyDescent="0.35">
      <c r="A3381" s="15">
        <f t="shared" si="52"/>
        <v>3379</v>
      </c>
      <c r="B3381" s="16"/>
      <c r="C3381" s="19"/>
      <c r="D3381" s="10"/>
      <c r="E3381" s="10"/>
      <c r="F3381" s="47"/>
      <c r="G3381" s="10"/>
      <c r="H3381" s="20"/>
      <c r="I3381" s="20"/>
      <c r="J3381" s="10"/>
      <c r="K3381" s="10"/>
      <c r="L3381" s="10"/>
      <c r="M3381" s="10"/>
      <c r="N3381" s="10"/>
      <c r="O3381" s="21"/>
    </row>
    <row r="3382" spans="1:15" x14ac:dyDescent="0.35">
      <c r="A3382" s="15">
        <f t="shared" si="52"/>
        <v>3380</v>
      </c>
      <c r="B3382" s="16"/>
      <c r="C3382" s="19"/>
      <c r="D3382" s="10"/>
      <c r="E3382" s="10"/>
      <c r="F3382" s="47"/>
      <c r="G3382" s="10"/>
      <c r="H3382" s="20"/>
      <c r="I3382" s="20"/>
      <c r="J3382" s="10"/>
      <c r="K3382" s="10"/>
      <c r="L3382" s="10"/>
      <c r="M3382" s="10"/>
      <c r="N3382" s="10"/>
      <c r="O3382" s="21"/>
    </row>
    <row r="3383" spans="1:15" x14ac:dyDescent="0.35">
      <c r="A3383" s="15">
        <f t="shared" si="52"/>
        <v>3381</v>
      </c>
      <c r="B3383" s="16"/>
      <c r="C3383" s="19"/>
      <c r="D3383" s="10"/>
      <c r="E3383" s="10"/>
      <c r="F3383" s="47"/>
      <c r="G3383" s="10"/>
      <c r="H3383" s="20"/>
      <c r="I3383" s="20"/>
      <c r="J3383" s="10"/>
      <c r="K3383" s="10"/>
      <c r="L3383" s="10"/>
      <c r="M3383" s="10"/>
      <c r="N3383" s="10"/>
      <c r="O3383" s="21"/>
    </row>
    <row r="3384" spans="1:15" x14ac:dyDescent="0.35">
      <c r="A3384" s="15">
        <f t="shared" si="52"/>
        <v>3382</v>
      </c>
      <c r="B3384" s="16"/>
      <c r="C3384" s="19"/>
      <c r="D3384" s="10"/>
      <c r="E3384" s="10"/>
      <c r="F3384" s="47"/>
      <c r="G3384" s="10"/>
      <c r="H3384" s="20"/>
      <c r="I3384" s="20"/>
      <c r="J3384" s="10"/>
      <c r="K3384" s="10"/>
      <c r="L3384" s="10"/>
      <c r="M3384" s="10"/>
      <c r="N3384" s="10"/>
      <c r="O3384" s="21"/>
    </row>
    <row r="3385" spans="1:15" x14ac:dyDescent="0.35">
      <c r="A3385" s="15">
        <f t="shared" si="52"/>
        <v>3383</v>
      </c>
      <c r="B3385" s="16"/>
      <c r="C3385" s="19"/>
      <c r="D3385" s="10"/>
      <c r="E3385" s="10"/>
      <c r="F3385" s="47"/>
      <c r="G3385" s="10"/>
      <c r="H3385" s="20"/>
      <c r="I3385" s="20"/>
      <c r="J3385" s="10"/>
      <c r="K3385" s="10"/>
      <c r="L3385" s="10"/>
      <c r="M3385" s="10"/>
      <c r="N3385" s="10"/>
      <c r="O3385" s="21"/>
    </row>
    <row r="3386" spans="1:15" x14ac:dyDescent="0.35">
      <c r="A3386" s="15">
        <f t="shared" si="52"/>
        <v>3384</v>
      </c>
      <c r="B3386" s="16"/>
      <c r="C3386" s="19"/>
      <c r="D3386" s="10"/>
      <c r="E3386" s="10"/>
      <c r="F3386" s="47"/>
      <c r="G3386" s="10"/>
      <c r="H3386" s="20"/>
      <c r="I3386" s="20"/>
      <c r="J3386" s="10"/>
      <c r="K3386" s="10"/>
      <c r="L3386" s="10"/>
      <c r="M3386" s="10"/>
      <c r="N3386" s="10"/>
      <c r="O3386" s="21"/>
    </row>
    <row r="3387" spans="1:15" x14ac:dyDescent="0.35">
      <c r="A3387" s="15">
        <f t="shared" si="52"/>
        <v>3385</v>
      </c>
      <c r="B3387" s="16"/>
      <c r="C3387" s="19"/>
      <c r="D3387" s="10"/>
      <c r="E3387" s="10"/>
      <c r="F3387" s="47"/>
      <c r="G3387" s="10"/>
      <c r="H3387" s="20"/>
      <c r="I3387" s="20"/>
      <c r="J3387" s="10"/>
      <c r="K3387" s="10"/>
      <c r="L3387" s="10"/>
      <c r="M3387" s="10"/>
      <c r="N3387" s="10"/>
      <c r="O3387" s="21"/>
    </row>
    <row r="3388" spans="1:15" x14ac:dyDescent="0.35">
      <c r="A3388" s="15">
        <f t="shared" si="52"/>
        <v>3386</v>
      </c>
      <c r="B3388" s="16"/>
      <c r="C3388" s="19"/>
      <c r="D3388" s="10"/>
      <c r="E3388" s="10"/>
      <c r="F3388" s="47"/>
      <c r="G3388" s="10"/>
      <c r="H3388" s="20"/>
      <c r="I3388" s="20"/>
      <c r="J3388" s="10"/>
      <c r="K3388" s="10"/>
      <c r="L3388" s="10"/>
      <c r="M3388" s="10"/>
      <c r="N3388" s="10"/>
      <c r="O3388" s="21"/>
    </row>
    <row r="3389" spans="1:15" x14ac:dyDescent="0.35">
      <c r="A3389" s="15">
        <f t="shared" si="52"/>
        <v>3387</v>
      </c>
      <c r="B3389" s="16"/>
      <c r="C3389" s="19"/>
      <c r="D3389" s="10"/>
      <c r="E3389" s="10"/>
      <c r="F3389" s="47"/>
      <c r="G3389" s="10"/>
      <c r="H3389" s="20"/>
      <c r="I3389" s="20"/>
      <c r="J3389" s="10"/>
      <c r="K3389" s="10"/>
      <c r="L3389" s="10"/>
      <c r="M3389" s="10"/>
      <c r="N3389" s="10"/>
      <c r="O3389" s="21"/>
    </row>
    <row r="3390" spans="1:15" x14ac:dyDescent="0.35">
      <c r="A3390" s="15">
        <f t="shared" si="52"/>
        <v>3388</v>
      </c>
      <c r="B3390" s="16"/>
      <c r="C3390" s="19"/>
      <c r="D3390" s="10"/>
      <c r="E3390" s="10"/>
      <c r="F3390" s="47"/>
      <c r="G3390" s="10"/>
      <c r="H3390" s="20"/>
      <c r="I3390" s="20"/>
      <c r="J3390" s="10"/>
      <c r="K3390" s="10"/>
      <c r="L3390" s="10"/>
      <c r="M3390" s="10"/>
      <c r="N3390" s="10"/>
      <c r="O3390" s="21"/>
    </row>
    <row r="3391" spans="1:15" x14ac:dyDescent="0.35">
      <c r="A3391" s="15">
        <f t="shared" si="52"/>
        <v>3389</v>
      </c>
      <c r="B3391" s="16"/>
      <c r="C3391" s="19"/>
      <c r="D3391" s="10"/>
      <c r="E3391" s="10"/>
      <c r="F3391" s="47"/>
      <c r="G3391" s="10"/>
      <c r="H3391" s="20"/>
      <c r="I3391" s="20"/>
      <c r="J3391" s="10"/>
      <c r="K3391" s="10"/>
      <c r="L3391" s="10"/>
      <c r="M3391" s="10"/>
      <c r="N3391" s="10"/>
      <c r="O3391" s="21"/>
    </row>
    <row r="3392" spans="1:15" x14ac:dyDescent="0.35">
      <c r="A3392" s="15">
        <f t="shared" si="52"/>
        <v>3390</v>
      </c>
      <c r="B3392" s="16"/>
      <c r="C3392" s="19"/>
      <c r="D3392" s="10"/>
      <c r="E3392" s="10"/>
      <c r="F3392" s="47"/>
      <c r="G3392" s="10"/>
      <c r="H3392" s="20"/>
      <c r="I3392" s="20"/>
      <c r="J3392" s="10"/>
      <c r="K3392" s="10"/>
      <c r="L3392" s="10"/>
      <c r="M3392" s="10"/>
      <c r="N3392" s="10"/>
      <c r="O3392" s="21"/>
    </row>
    <row r="3393" spans="1:15" x14ac:dyDescent="0.35">
      <c r="A3393" s="15">
        <f t="shared" si="52"/>
        <v>3391</v>
      </c>
      <c r="B3393" s="16"/>
      <c r="C3393" s="19"/>
      <c r="D3393" s="10"/>
      <c r="E3393" s="10"/>
      <c r="F3393" s="47"/>
      <c r="G3393" s="10"/>
      <c r="H3393" s="20"/>
      <c r="I3393" s="20"/>
      <c r="J3393" s="10"/>
      <c r="K3393" s="10"/>
      <c r="L3393" s="10"/>
      <c r="M3393" s="10"/>
      <c r="N3393" s="10"/>
      <c r="O3393" s="21"/>
    </row>
    <row r="3394" spans="1:15" x14ac:dyDescent="0.35">
      <c r="A3394" s="15">
        <f t="shared" si="52"/>
        <v>3392</v>
      </c>
      <c r="B3394" s="16"/>
      <c r="C3394" s="19"/>
      <c r="D3394" s="10"/>
      <c r="E3394" s="10"/>
      <c r="F3394" s="47"/>
      <c r="G3394" s="10"/>
      <c r="H3394" s="20"/>
      <c r="I3394" s="20"/>
      <c r="J3394" s="10"/>
      <c r="K3394" s="10"/>
      <c r="L3394" s="10"/>
      <c r="M3394" s="10"/>
      <c r="N3394" s="10"/>
      <c r="O3394" s="21"/>
    </row>
    <row r="3395" spans="1:15" x14ac:dyDescent="0.35">
      <c r="A3395" s="15">
        <f t="shared" si="52"/>
        <v>3393</v>
      </c>
      <c r="B3395" s="16"/>
      <c r="C3395" s="19"/>
      <c r="D3395" s="10"/>
      <c r="E3395" s="10"/>
      <c r="F3395" s="47"/>
      <c r="G3395" s="10"/>
      <c r="H3395" s="20"/>
      <c r="I3395" s="20"/>
      <c r="J3395" s="10"/>
      <c r="K3395" s="10"/>
      <c r="L3395" s="10"/>
      <c r="M3395" s="10"/>
      <c r="N3395" s="10"/>
      <c r="O3395" s="21"/>
    </row>
    <row r="3396" spans="1:15" x14ac:dyDescent="0.35">
      <c r="A3396" s="15">
        <f t="shared" si="52"/>
        <v>3394</v>
      </c>
      <c r="B3396" s="16"/>
      <c r="C3396" s="19"/>
      <c r="D3396" s="10"/>
      <c r="E3396" s="10"/>
      <c r="F3396" s="47"/>
      <c r="G3396" s="10"/>
      <c r="H3396" s="20"/>
      <c r="I3396" s="20"/>
      <c r="J3396" s="10"/>
      <c r="K3396" s="10"/>
      <c r="L3396" s="10"/>
      <c r="M3396" s="10"/>
      <c r="N3396" s="10"/>
      <c r="O3396" s="21"/>
    </row>
    <row r="3397" spans="1:15" x14ac:dyDescent="0.35">
      <c r="A3397" s="15">
        <f t="shared" si="52"/>
        <v>3395</v>
      </c>
      <c r="B3397" s="16"/>
      <c r="C3397" s="19"/>
      <c r="D3397" s="10"/>
      <c r="E3397" s="10"/>
      <c r="F3397" s="47"/>
      <c r="G3397" s="10"/>
      <c r="H3397" s="20"/>
      <c r="I3397" s="20"/>
      <c r="J3397" s="10"/>
      <c r="K3397" s="10"/>
      <c r="L3397" s="10"/>
      <c r="M3397" s="10"/>
      <c r="N3397" s="10"/>
      <c r="O3397" s="21"/>
    </row>
    <row r="3398" spans="1:15" x14ac:dyDescent="0.35">
      <c r="A3398" s="15">
        <f t="shared" si="52"/>
        <v>3396</v>
      </c>
      <c r="B3398" s="16"/>
      <c r="C3398" s="19"/>
      <c r="D3398" s="10"/>
      <c r="E3398" s="10"/>
      <c r="F3398" s="47"/>
      <c r="G3398" s="10"/>
      <c r="H3398" s="20"/>
      <c r="I3398" s="20"/>
      <c r="J3398" s="10"/>
      <c r="K3398" s="10"/>
      <c r="L3398" s="10"/>
      <c r="M3398" s="10"/>
      <c r="N3398" s="10"/>
      <c r="O3398" s="21"/>
    </row>
    <row r="3399" spans="1:15" x14ac:dyDescent="0.35">
      <c r="A3399" s="15">
        <f t="shared" si="52"/>
        <v>3397</v>
      </c>
      <c r="B3399" s="16"/>
      <c r="C3399" s="19"/>
      <c r="D3399" s="10"/>
      <c r="E3399" s="10"/>
      <c r="F3399" s="47"/>
      <c r="G3399" s="10"/>
      <c r="H3399" s="20"/>
      <c r="I3399" s="20"/>
      <c r="J3399" s="10"/>
      <c r="K3399" s="10"/>
      <c r="L3399" s="10"/>
      <c r="M3399" s="10"/>
      <c r="N3399" s="10"/>
      <c r="O3399" s="21"/>
    </row>
    <row r="3400" spans="1:15" x14ac:dyDescent="0.35">
      <c r="A3400" s="15">
        <f t="shared" si="52"/>
        <v>3398</v>
      </c>
      <c r="B3400" s="16"/>
      <c r="C3400" s="19"/>
      <c r="D3400" s="10"/>
      <c r="E3400" s="10"/>
      <c r="F3400" s="47"/>
      <c r="G3400" s="10"/>
      <c r="H3400" s="20"/>
      <c r="I3400" s="20"/>
      <c r="J3400" s="10"/>
      <c r="K3400" s="10"/>
      <c r="L3400" s="10"/>
      <c r="M3400" s="10"/>
      <c r="N3400" s="10"/>
      <c r="O3400" s="21"/>
    </row>
    <row r="3401" spans="1:15" x14ac:dyDescent="0.35">
      <c r="A3401" s="15">
        <f t="shared" si="52"/>
        <v>3399</v>
      </c>
      <c r="B3401" s="16"/>
      <c r="C3401" s="19"/>
      <c r="D3401" s="10"/>
      <c r="E3401" s="10"/>
      <c r="F3401" s="47"/>
      <c r="G3401" s="10"/>
      <c r="H3401" s="20"/>
      <c r="I3401" s="20"/>
      <c r="J3401" s="10"/>
      <c r="K3401" s="10"/>
      <c r="L3401" s="10"/>
      <c r="M3401" s="10"/>
      <c r="N3401" s="10"/>
      <c r="O3401" s="21"/>
    </row>
    <row r="3402" spans="1:15" x14ac:dyDescent="0.35">
      <c r="A3402" s="15">
        <f t="shared" si="52"/>
        <v>3400</v>
      </c>
      <c r="B3402" s="16"/>
      <c r="C3402" s="19"/>
      <c r="D3402" s="10"/>
      <c r="E3402" s="10"/>
      <c r="F3402" s="47"/>
      <c r="G3402" s="10"/>
      <c r="H3402" s="20"/>
      <c r="I3402" s="20"/>
      <c r="J3402" s="10"/>
      <c r="K3402" s="10"/>
      <c r="L3402" s="10"/>
      <c r="M3402" s="10"/>
      <c r="N3402" s="10"/>
      <c r="O3402" s="21"/>
    </row>
    <row r="3403" spans="1:15" x14ac:dyDescent="0.35">
      <c r="A3403" s="15">
        <f t="shared" ref="A3403:A3466" si="53">+A3402+1</f>
        <v>3401</v>
      </c>
      <c r="B3403" s="16"/>
      <c r="C3403" s="19"/>
      <c r="D3403" s="10"/>
      <c r="E3403" s="10"/>
      <c r="F3403" s="47"/>
      <c r="G3403" s="10"/>
      <c r="H3403" s="20"/>
      <c r="I3403" s="20"/>
      <c r="J3403" s="10"/>
      <c r="K3403" s="10"/>
      <c r="L3403" s="10"/>
      <c r="M3403" s="10"/>
      <c r="N3403" s="10"/>
      <c r="O3403" s="21"/>
    </row>
    <row r="3404" spans="1:15" x14ac:dyDescent="0.35">
      <c r="A3404" s="15">
        <f t="shared" si="53"/>
        <v>3402</v>
      </c>
      <c r="B3404" s="16"/>
      <c r="C3404" s="19"/>
      <c r="D3404" s="10"/>
      <c r="E3404" s="10"/>
      <c r="F3404" s="47"/>
      <c r="G3404" s="10"/>
      <c r="H3404" s="20"/>
      <c r="I3404" s="20"/>
      <c r="J3404" s="10"/>
      <c r="K3404" s="10"/>
      <c r="L3404" s="10"/>
      <c r="M3404" s="10"/>
      <c r="N3404" s="10"/>
      <c r="O3404" s="21"/>
    </row>
    <row r="3405" spans="1:15" x14ac:dyDescent="0.35">
      <c r="A3405" s="15">
        <f t="shared" si="53"/>
        <v>3403</v>
      </c>
      <c r="B3405" s="16"/>
      <c r="C3405" s="19"/>
      <c r="D3405" s="10"/>
      <c r="E3405" s="10"/>
      <c r="F3405" s="47"/>
      <c r="G3405" s="10"/>
      <c r="H3405" s="20"/>
      <c r="I3405" s="20"/>
      <c r="J3405" s="10"/>
      <c r="K3405" s="10"/>
      <c r="L3405" s="10"/>
      <c r="M3405" s="10"/>
      <c r="N3405" s="10"/>
      <c r="O3405" s="21"/>
    </row>
    <row r="3406" spans="1:15" x14ac:dyDescent="0.35">
      <c r="A3406" s="15">
        <f t="shared" si="53"/>
        <v>3404</v>
      </c>
      <c r="B3406" s="16"/>
      <c r="C3406" s="19"/>
      <c r="D3406" s="10"/>
      <c r="E3406" s="10"/>
      <c r="F3406" s="47"/>
      <c r="G3406" s="10"/>
      <c r="H3406" s="20"/>
      <c r="I3406" s="20"/>
      <c r="J3406" s="10"/>
      <c r="K3406" s="10"/>
      <c r="L3406" s="10"/>
      <c r="M3406" s="10"/>
      <c r="N3406" s="10"/>
      <c r="O3406" s="21"/>
    </row>
    <row r="3407" spans="1:15" x14ac:dyDescent="0.35">
      <c r="A3407" s="15">
        <f t="shared" si="53"/>
        <v>3405</v>
      </c>
      <c r="B3407" s="16"/>
      <c r="C3407" s="19"/>
      <c r="D3407" s="10"/>
      <c r="E3407" s="10"/>
      <c r="F3407" s="47"/>
      <c r="G3407" s="10"/>
      <c r="H3407" s="20"/>
      <c r="I3407" s="20"/>
      <c r="J3407" s="10"/>
      <c r="K3407" s="10"/>
      <c r="L3407" s="10"/>
      <c r="M3407" s="10"/>
      <c r="N3407" s="10"/>
      <c r="O3407" s="21"/>
    </row>
    <row r="3408" spans="1:15" x14ac:dyDescent="0.35">
      <c r="A3408" s="15">
        <f t="shared" si="53"/>
        <v>3406</v>
      </c>
      <c r="B3408" s="16"/>
      <c r="C3408" s="19"/>
      <c r="D3408" s="10"/>
      <c r="E3408" s="10"/>
      <c r="F3408" s="47"/>
      <c r="G3408" s="10"/>
      <c r="H3408" s="20"/>
      <c r="I3408" s="20"/>
      <c r="J3408" s="10"/>
      <c r="K3408" s="10"/>
      <c r="L3408" s="10"/>
      <c r="M3408" s="10"/>
      <c r="N3408" s="10"/>
      <c r="O3408" s="21"/>
    </row>
    <row r="3409" spans="1:15" x14ac:dyDescent="0.35">
      <c r="A3409" s="15">
        <f t="shared" si="53"/>
        <v>3407</v>
      </c>
      <c r="B3409" s="16"/>
      <c r="C3409" s="19"/>
      <c r="D3409" s="10"/>
      <c r="E3409" s="10"/>
      <c r="F3409" s="47"/>
      <c r="G3409" s="10"/>
      <c r="H3409" s="20"/>
      <c r="I3409" s="20"/>
      <c r="J3409" s="10"/>
      <c r="K3409" s="10"/>
      <c r="L3409" s="10"/>
      <c r="M3409" s="10"/>
      <c r="N3409" s="10"/>
      <c r="O3409" s="21"/>
    </row>
    <row r="3410" spans="1:15" x14ac:dyDescent="0.35">
      <c r="A3410" s="15">
        <f t="shared" si="53"/>
        <v>3408</v>
      </c>
      <c r="B3410" s="16"/>
      <c r="C3410" s="19"/>
      <c r="D3410" s="10"/>
      <c r="E3410" s="10"/>
      <c r="F3410" s="47"/>
      <c r="G3410" s="10"/>
      <c r="H3410" s="20"/>
      <c r="I3410" s="20"/>
      <c r="J3410" s="10"/>
      <c r="K3410" s="10"/>
      <c r="L3410" s="10"/>
      <c r="M3410" s="10"/>
      <c r="N3410" s="10"/>
      <c r="O3410" s="21"/>
    </row>
    <row r="3411" spans="1:15" x14ac:dyDescent="0.35">
      <c r="A3411" s="15">
        <f t="shared" si="53"/>
        <v>3409</v>
      </c>
      <c r="B3411" s="16"/>
      <c r="C3411" s="19"/>
      <c r="D3411" s="10"/>
      <c r="E3411" s="10"/>
      <c r="F3411" s="47"/>
      <c r="G3411" s="10"/>
      <c r="H3411" s="20"/>
      <c r="I3411" s="20"/>
      <c r="J3411" s="10"/>
      <c r="K3411" s="10"/>
      <c r="L3411" s="10"/>
      <c r="M3411" s="10"/>
      <c r="N3411" s="10"/>
      <c r="O3411" s="21"/>
    </row>
    <row r="3412" spans="1:15" x14ac:dyDescent="0.35">
      <c r="A3412" s="15">
        <f t="shared" si="53"/>
        <v>3410</v>
      </c>
      <c r="B3412" s="16"/>
      <c r="C3412" s="19"/>
      <c r="D3412" s="10"/>
      <c r="E3412" s="10"/>
      <c r="F3412" s="47"/>
      <c r="G3412" s="10"/>
      <c r="H3412" s="20"/>
      <c r="I3412" s="20"/>
      <c r="J3412" s="10"/>
      <c r="K3412" s="10"/>
      <c r="L3412" s="10"/>
      <c r="M3412" s="10"/>
      <c r="N3412" s="10"/>
      <c r="O3412" s="21"/>
    </row>
    <row r="3413" spans="1:15" x14ac:dyDescent="0.35">
      <c r="A3413" s="15">
        <f t="shared" si="53"/>
        <v>3411</v>
      </c>
      <c r="B3413" s="16"/>
      <c r="C3413" s="19"/>
      <c r="D3413" s="10"/>
      <c r="E3413" s="10"/>
      <c r="F3413" s="47"/>
      <c r="G3413" s="10"/>
      <c r="H3413" s="20"/>
      <c r="I3413" s="20"/>
      <c r="J3413" s="10"/>
      <c r="K3413" s="10"/>
      <c r="L3413" s="10"/>
      <c r="M3413" s="10"/>
      <c r="N3413" s="10"/>
      <c r="O3413" s="21"/>
    </row>
    <row r="3414" spans="1:15" x14ac:dyDescent="0.35">
      <c r="A3414" s="15">
        <f t="shared" si="53"/>
        <v>3412</v>
      </c>
      <c r="B3414" s="16"/>
      <c r="C3414" s="19"/>
      <c r="D3414" s="10"/>
      <c r="E3414" s="10"/>
      <c r="F3414" s="47"/>
      <c r="G3414" s="10"/>
      <c r="H3414" s="20"/>
      <c r="I3414" s="20"/>
      <c r="J3414" s="10"/>
      <c r="K3414" s="10"/>
      <c r="L3414" s="10"/>
      <c r="M3414" s="10"/>
      <c r="N3414" s="10"/>
      <c r="O3414" s="21"/>
    </row>
    <row r="3415" spans="1:15" x14ac:dyDescent="0.35">
      <c r="A3415" s="15">
        <f t="shared" si="53"/>
        <v>3413</v>
      </c>
      <c r="B3415" s="16"/>
      <c r="C3415" s="19"/>
      <c r="D3415" s="10"/>
      <c r="E3415" s="10"/>
      <c r="F3415" s="47"/>
      <c r="G3415" s="10"/>
      <c r="H3415" s="20"/>
      <c r="I3415" s="20"/>
      <c r="J3415" s="10"/>
      <c r="K3415" s="10"/>
      <c r="L3415" s="10"/>
      <c r="M3415" s="10"/>
      <c r="N3415" s="10"/>
      <c r="O3415" s="21"/>
    </row>
    <row r="3416" spans="1:15" x14ac:dyDescent="0.35">
      <c r="A3416" s="15">
        <f t="shared" si="53"/>
        <v>3414</v>
      </c>
      <c r="B3416" s="16"/>
      <c r="C3416" s="19"/>
      <c r="D3416" s="10"/>
      <c r="E3416" s="10"/>
      <c r="F3416" s="47"/>
      <c r="G3416" s="10"/>
      <c r="H3416" s="20"/>
      <c r="I3416" s="20"/>
      <c r="J3416" s="10"/>
      <c r="K3416" s="10"/>
      <c r="L3416" s="10"/>
      <c r="M3416" s="10"/>
      <c r="N3416" s="10"/>
      <c r="O3416" s="21"/>
    </row>
    <row r="3417" spans="1:15" x14ac:dyDescent="0.35">
      <c r="A3417" s="15">
        <f t="shared" si="53"/>
        <v>3415</v>
      </c>
      <c r="B3417" s="16"/>
      <c r="C3417" s="19"/>
      <c r="D3417" s="10"/>
      <c r="E3417" s="10"/>
      <c r="F3417" s="47"/>
      <c r="G3417" s="10"/>
      <c r="H3417" s="20"/>
      <c r="I3417" s="20"/>
      <c r="J3417" s="10"/>
      <c r="K3417" s="10"/>
      <c r="L3417" s="10"/>
      <c r="M3417" s="10"/>
      <c r="N3417" s="10"/>
      <c r="O3417" s="21"/>
    </row>
    <row r="3418" spans="1:15" x14ac:dyDescent="0.35">
      <c r="A3418" s="15">
        <f t="shared" si="53"/>
        <v>3416</v>
      </c>
      <c r="B3418" s="16"/>
      <c r="C3418" s="19"/>
      <c r="D3418" s="10"/>
      <c r="E3418" s="10"/>
      <c r="F3418" s="47"/>
      <c r="G3418" s="10"/>
      <c r="H3418" s="20"/>
      <c r="I3418" s="20"/>
      <c r="J3418" s="10"/>
      <c r="K3418" s="10"/>
      <c r="L3418" s="10"/>
      <c r="M3418" s="10"/>
      <c r="N3418" s="10"/>
      <c r="O3418" s="21"/>
    </row>
    <row r="3419" spans="1:15" x14ac:dyDescent="0.35">
      <c r="A3419" s="15">
        <f t="shared" si="53"/>
        <v>3417</v>
      </c>
      <c r="B3419" s="16"/>
      <c r="C3419" s="19"/>
      <c r="D3419" s="10"/>
      <c r="E3419" s="10"/>
      <c r="F3419" s="47"/>
      <c r="G3419" s="10"/>
      <c r="H3419" s="20"/>
      <c r="I3419" s="20"/>
      <c r="J3419" s="10"/>
      <c r="K3419" s="10"/>
      <c r="L3419" s="10"/>
      <c r="M3419" s="10"/>
      <c r="N3419" s="10"/>
      <c r="O3419" s="21"/>
    </row>
    <row r="3420" spans="1:15" x14ac:dyDescent="0.35">
      <c r="A3420" s="15">
        <f t="shared" si="53"/>
        <v>3418</v>
      </c>
      <c r="B3420" s="16"/>
      <c r="C3420" s="19"/>
      <c r="D3420" s="10"/>
      <c r="E3420" s="10"/>
      <c r="F3420" s="47"/>
      <c r="G3420" s="10"/>
      <c r="H3420" s="20"/>
      <c r="I3420" s="20"/>
      <c r="J3420" s="10"/>
      <c r="K3420" s="10"/>
      <c r="L3420" s="10"/>
      <c r="M3420" s="10"/>
      <c r="N3420" s="10"/>
      <c r="O3420" s="21"/>
    </row>
    <row r="3421" spans="1:15" x14ac:dyDescent="0.35">
      <c r="A3421" s="15">
        <f t="shared" si="53"/>
        <v>3419</v>
      </c>
      <c r="B3421" s="16"/>
      <c r="C3421" s="19"/>
      <c r="D3421" s="10"/>
      <c r="E3421" s="10"/>
      <c r="F3421" s="47"/>
      <c r="G3421" s="10"/>
      <c r="H3421" s="20"/>
      <c r="I3421" s="20"/>
      <c r="J3421" s="10"/>
      <c r="K3421" s="10"/>
      <c r="L3421" s="10"/>
      <c r="M3421" s="10"/>
      <c r="N3421" s="10"/>
      <c r="O3421" s="21"/>
    </row>
    <row r="3422" spans="1:15" x14ac:dyDescent="0.35">
      <c r="A3422" s="15">
        <f t="shared" si="53"/>
        <v>3420</v>
      </c>
      <c r="B3422" s="16"/>
      <c r="C3422" s="19"/>
      <c r="D3422" s="10"/>
      <c r="E3422" s="10"/>
      <c r="F3422" s="47"/>
      <c r="G3422" s="10"/>
      <c r="H3422" s="20"/>
      <c r="I3422" s="20"/>
      <c r="J3422" s="10"/>
      <c r="K3422" s="10"/>
      <c r="L3422" s="10"/>
      <c r="M3422" s="10"/>
      <c r="N3422" s="10"/>
      <c r="O3422" s="21"/>
    </row>
    <row r="3423" spans="1:15" x14ac:dyDescent="0.35">
      <c r="A3423" s="15">
        <f t="shared" si="53"/>
        <v>3421</v>
      </c>
      <c r="B3423" s="16"/>
      <c r="C3423" s="19"/>
      <c r="D3423" s="10"/>
      <c r="E3423" s="10"/>
      <c r="F3423" s="47"/>
      <c r="G3423" s="10"/>
      <c r="H3423" s="20"/>
      <c r="I3423" s="20"/>
      <c r="J3423" s="10"/>
      <c r="K3423" s="10"/>
      <c r="L3423" s="10"/>
      <c r="M3423" s="10"/>
      <c r="N3423" s="10"/>
      <c r="O3423" s="21"/>
    </row>
    <row r="3424" spans="1:15" x14ac:dyDescent="0.35">
      <c r="A3424" s="15">
        <f t="shared" si="53"/>
        <v>3422</v>
      </c>
      <c r="B3424" s="16"/>
      <c r="C3424" s="19"/>
      <c r="D3424" s="10"/>
      <c r="E3424" s="10"/>
      <c r="F3424" s="47"/>
      <c r="G3424" s="10"/>
      <c r="H3424" s="20"/>
      <c r="I3424" s="20"/>
      <c r="J3424" s="10"/>
      <c r="K3424" s="10"/>
      <c r="L3424" s="10"/>
      <c r="M3424" s="10"/>
      <c r="N3424" s="10"/>
      <c r="O3424" s="21"/>
    </row>
    <row r="3425" spans="1:15" x14ac:dyDescent="0.35">
      <c r="A3425" s="15">
        <f t="shared" si="53"/>
        <v>3423</v>
      </c>
      <c r="B3425" s="16"/>
      <c r="C3425" s="19"/>
      <c r="D3425" s="10"/>
      <c r="E3425" s="10"/>
      <c r="F3425" s="47"/>
      <c r="G3425" s="10"/>
      <c r="H3425" s="20"/>
      <c r="I3425" s="20"/>
      <c r="J3425" s="10"/>
      <c r="K3425" s="10"/>
      <c r="L3425" s="10"/>
      <c r="M3425" s="10"/>
      <c r="N3425" s="10"/>
      <c r="O3425" s="21"/>
    </row>
    <row r="3426" spans="1:15" x14ac:dyDescent="0.35">
      <c r="A3426" s="15">
        <f t="shared" si="53"/>
        <v>3424</v>
      </c>
      <c r="B3426" s="16"/>
      <c r="C3426" s="19"/>
      <c r="D3426" s="10"/>
      <c r="E3426" s="10"/>
      <c r="F3426" s="47"/>
      <c r="G3426" s="10"/>
      <c r="H3426" s="20"/>
      <c r="I3426" s="20"/>
      <c r="J3426" s="10"/>
      <c r="K3426" s="10"/>
      <c r="L3426" s="10"/>
      <c r="M3426" s="10"/>
      <c r="N3426" s="10"/>
      <c r="O3426" s="21"/>
    </row>
    <row r="3427" spans="1:15" x14ac:dyDescent="0.35">
      <c r="A3427" s="15">
        <f t="shared" si="53"/>
        <v>3425</v>
      </c>
      <c r="B3427" s="16"/>
      <c r="C3427" s="19"/>
      <c r="D3427" s="10"/>
      <c r="E3427" s="10"/>
      <c r="F3427" s="47"/>
      <c r="G3427" s="10"/>
      <c r="H3427" s="20"/>
      <c r="I3427" s="20"/>
      <c r="J3427" s="10"/>
      <c r="K3427" s="10"/>
      <c r="L3427" s="10"/>
      <c r="M3427" s="10"/>
      <c r="N3427" s="10"/>
      <c r="O3427" s="21"/>
    </row>
    <row r="3428" spans="1:15" x14ac:dyDescent="0.35">
      <c r="A3428" s="15">
        <f t="shared" si="53"/>
        <v>3426</v>
      </c>
      <c r="B3428" s="16"/>
      <c r="C3428" s="19"/>
      <c r="D3428" s="10"/>
      <c r="E3428" s="10"/>
      <c r="F3428" s="47"/>
      <c r="G3428" s="10"/>
      <c r="H3428" s="20"/>
      <c r="I3428" s="20"/>
      <c r="J3428" s="10"/>
      <c r="K3428" s="10"/>
      <c r="L3428" s="10"/>
      <c r="M3428" s="10"/>
      <c r="N3428" s="10"/>
      <c r="O3428" s="21"/>
    </row>
    <row r="3429" spans="1:15" x14ac:dyDescent="0.35">
      <c r="A3429" s="15">
        <f t="shared" si="53"/>
        <v>3427</v>
      </c>
      <c r="B3429" s="16"/>
      <c r="C3429" s="19"/>
      <c r="D3429" s="10"/>
      <c r="E3429" s="10"/>
      <c r="F3429" s="47"/>
      <c r="G3429" s="10"/>
      <c r="H3429" s="20"/>
      <c r="I3429" s="20"/>
      <c r="J3429" s="10"/>
      <c r="K3429" s="10"/>
      <c r="L3429" s="10"/>
      <c r="M3429" s="10"/>
      <c r="N3429" s="10"/>
      <c r="O3429" s="21"/>
    </row>
    <row r="3430" spans="1:15" x14ac:dyDescent="0.35">
      <c r="A3430" s="15">
        <f t="shared" si="53"/>
        <v>3428</v>
      </c>
      <c r="B3430" s="16"/>
      <c r="C3430" s="19"/>
      <c r="D3430" s="10"/>
      <c r="E3430" s="10"/>
      <c r="F3430" s="47"/>
      <c r="G3430" s="10"/>
      <c r="H3430" s="20"/>
      <c r="I3430" s="20"/>
      <c r="J3430" s="10"/>
      <c r="K3430" s="10"/>
      <c r="L3430" s="10"/>
      <c r="M3430" s="10"/>
      <c r="N3430" s="10"/>
      <c r="O3430" s="21"/>
    </row>
    <row r="3431" spans="1:15" x14ac:dyDescent="0.35">
      <c r="A3431" s="15">
        <f t="shared" si="53"/>
        <v>3429</v>
      </c>
      <c r="B3431" s="16"/>
      <c r="C3431" s="19"/>
      <c r="D3431" s="10"/>
      <c r="E3431" s="10"/>
      <c r="F3431" s="47"/>
      <c r="G3431" s="10"/>
      <c r="H3431" s="20"/>
      <c r="I3431" s="20"/>
      <c r="J3431" s="10"/>
      <c r="K3431" s="10"/>
      <c r="L3431" s="10"/>
      <c r="M3431" s="10"/>
      <c r="N3431" s="10"/>
      <c r="O3431" s="21"/>
    </row>
    <row r="3432" spans="1:15" x14ac:dyDescent="0.35">
      <c r="A3432" s="15">
        <f t="shared" si="53"/>
        <v>3430</v>
      </c>
      <c r="B3432" s="16"/>
      <c r="C3432" s="19"/>
      <c r="D3432" s="10"/>
      <c r="E3432" s="10"/>
      <c r="F3432" s="47"/>
      <c r="G3432" s="10"/>
      <c r="H3432" s="20"/>
      <c r="I3432" s="20"/>
      <c r="J3432" s="10"/>
      <c r="K3432" s="10"/>
      <c r="L3432" s="10"/>
      <c r="M3432" s="10"/>
      <c r="N3432" s="10"/>
      <c r="O3432" s="21"/>
    </row>
    <row r="3433" spans="1:15" x14ac:dyDescent="0.35">
      <c r="A3433" s="15">
        <f t="shared" si="53"/>
        <v>3431</v>
      </c>
      <c r="B3433" s="16"/>
      <c r="C3433" s="19"/>
      <c r="D3433" s="10"/>
      <c r="E3433" s="10"/>
      <c r="F3433" s="47"/>
      <c r="G3433" s="10"/>
      <c r="H3433" s="20"/>
      <c r="I3433" s="20"/>
      <c r="J3433" s="10"/>
      <c r="K3433" s="10"/>
      <c r="L3433" s="10"/>
      <c r="M3433" s="10"/>
      <c r="N3433" s="10"/>
      <c r="O3433" s="21"/>
    </row>
    <row r="3434" spans="1:15" x14ac:dyDescent="0.35">
      <c r="A3434" s="15">
        <f t="shared" si="53"/>
        <v>3432</v>
      </c>
      <c r="B3434" s="16"/>
      <c r="C3434" s="19"/>
      <c r="D3434" s="10"/>
      <c r="E3434" s="10"/>
      <c r="F3434" s="47"/>
      <c r="G3434" s="10"/>
      <c r="H3434" s="20"/>
      <c r="I3434" s="20"/>
      <c r="J3434" s="10"/>
      <c r="K3434" s="10"/>
      <c r="L3434" s="10"/>
      <c r="M3434" s="10"/>
      <c r="N3434" s="10"/>
      <c r="O3434" s="21"/>
    </row>
    <row r="3435" spans="1:15" x14ac:dyDescent="0.35">
      <c r="A3435" s="15">
        <f t="shared" si="53"/>
        <v>3433</v>
      </c>
      <c r="B3435" s="16"/>
      <c r="C3435" s="19"/>
      <c r="D3435" s="10"/>
      <c r="E3435" s="10"/>
      <c r="F3435" s="47"/>
      <c r="G3435" s="10"/>
      <c r="H3435" s="20"/>
      <c r="I3435" s="20"/>
      <c r="J3435" s="10"/>
      <c r="K3435" s="10"/>
      <c r="L3435" s="10"/>
      <c r="M3435" s="10"/>
      <c r="N3435" s="10"/>
      <c r="O3435" s="21"/>
    </row>
    <row r="3436" spans="1:15" x14ac:dyDescent="0.35">
      <c r="A3436" s="15">
        <f t="shared" si="53"/>
        <v>3434</v>
      </c>
      <c r="B3436" s="16"/>
      <c r="C3436" s="19"/>
      <c r="D3436" s="10"/>
      <c r="E3436" s="10"/>
      <c r="F3436" s="47"/>
      <c r="G3436" s="10"/>
      <c r="H3436" s="20"/>
      <c r="I3436" s="20"/>
      <c r="J3436" s="10"/>
      <c r="K3436" s="10"/>
      <c r="L3436" s="10"/>
      <c r="M3436" s="10"/>
      <c r="N3436" s="10"/>
      <c r="O3436" s="21"/>
    </row>
    <row r="3437" spans="1:15" x14ac:dyDescent="0.35">
      <c r="A3437" s="15">
        <f t="shared" si="53"/>
        <v>3435</v>
      </c>
      <c r="B3437" s="16"/>
      <c r="C3437" s="19"/>
      <c r="D3437" s="10"/>
      <c r="E3437" s="10"/>
      <c r="F3437" s="47"/>
      <c r="G3437" s="10"/>
      <c r="H3437" s="20"/>
      <c r="I3437" s="20"/>
      <c r="J3437" s="10"/>
      <c r="K3437" s="10"/>
      <c r="L3437" s="10"/>
      <c r="M3437" s="10"/>
      <c r="N3437" s="10"/>
      <c r="O3437" s="21"/>
    </row>
    <row r="3438" spans="1:15" x14ac:dyDescent="0.35">
      <c r="A3438" s="15">
        <f t="shared" si="53"/>
        <v>3436</v>
      </c>
      <c r="B3438" s="16"/>
      <c r="C3438" s="19"/>
      <c r="D3438" s="10"/>
      <c r="E3438" s="10"/>
      <c r="F3438" s="47"/>
      <c r="G3438" s="10"/>
      <c r="H3438" s="20"/>
      <c r="I3438" s="20"/>
      <c r="J3438" s="10"/>
      <c r="K3438" s="10"/>
      <c r="L3438" s="10"/>
      <c r="M3438" s="10"/>
      <c r="N3438" s="10"/>
      <c r="O3438" s="21"/>
    </row>
    <row r="3439" spans="1:15" x14ac:dyDescent="0.35">
      <c r="A3439" s="15">
        <f t="shared" si="53"/>
        <v>3437</v>
      </c>
      <c r="B3439" s="16"/>
      <c r="C3439" s="19"/>
      <c r="D3439" s="10"/>
      <c r="E3439" s="10"/>
      <c r="F3439" s="47"/>
      <c r="G3439" s="10"/>
      <c r="H3439" s="20"/>
      <c r="I3439" s="20"/>
      <c r="J3439" s="10"/>
      <c r="K3439" s="10"/>
      <c r="L3439" s="10"/>
      <c r="M3439" s="10"/>
      <c r="N3439" s="10"/>
      <c r="O3439" s="21"/>
    </row>
    <row r="3440" spans="1:15" x14ac:dyDescent="0.35">
      <c r="A3440" s="15">
        <f t="shared" si="53"/>
        <v>3438</v>
      </c>
      <c r="B3440" s="16"/>
      <c r="C3440" s="19"/>
      <c r="D3440" s="10"/>
      <c r="E3440" s="10"/>
      <c r="F3440" s="47"/>
      <c r="G3440" s="10"/>
      <c r="H3440" s="20"/>
      <c r="I3440" s="20"/>
      <c r="J3440" s="10"/>
      <c r="K3440" s="10"/>
      <c r="L3440" s="10"/>
      <c r="M3440" s="10"/>
      <c r="N3440" s="10"/>
      <c r="O3440" s="21"/>
    </row>
    <row r="3441" spans="1:15" x14ac:dyDescent="0.35">
      <c r="A3441" s="15">
        <f t="shared" si="53"/>
        <v>3439</v>
      </c>
      <c r="B3441" s="16"/>
      <c r="C3441" s="19"/>
      <c r="D3441" s="10"/>
      <c r="E3441" s="10"/>
      <c r="F3441" s="47"/>
      <c r="G3441" s="10"/>
      <c r="H3441" s="20"/>
      <c r="I3441" s="20"/>
      <c r="J3441" s="10"/>
      <c r="K3441" s="10"/>
      <c r="L3441" s="10"/>
      <c r="M3441" s="10"/>
      <c r="N3441" s="10"/>
      <c r="O3441" s="21"/>
    </row>
    <row r="3442" spans="1:15" x14ac:dyDescent="0.35">
      <c r="A3442" s="15">
        <f t="shared" si="53"/>
        <v>3440</v>
      </c>
      <c r="B3442" s="16"/>
      <c r="C3442" s="19"/>
      <c r="D3442" s="10"/>
      <c r="E3442" s="10"/>
      <c r="F3442" s="47"/>
      <c r="G3442" s="10"/>
      <c r="H3442" s="20"/>
      <c r="I3442" s="20"/>
      <c r="J3442" s="10"/>
      <c r="K3442" s="10"/>
      <c r="L3442" s="10"/>
      <c r="M3442" s="10"/>
      <c r="N3442" s="10"/>
      <c r="O3442" s="21"/>
    </row>
    <row r="3443" spans="1:15" x14ac:dyDescent="0.35">
      <c r="A3443" s="15">
        <f t="shared" si="53"/>
        <v>3441</v>
      </c>
      <c r="B3443" s="16"/>
      <c r="C3443" s="19"/>
      <c r="D3443" s="10"/>
      <c r="E3443" s="10"/>
      <c r="F3443" s="47"/>
      <c r="G3443" s="10"/>
      <c r="H3443" s="20"/>
      <c r="I3443" s="20"/>
      <c r="J3443" s="10"/>
      <c r="K3443" s="10"/>
      <c r="L3443" s="10"/>
      <c r="M3443" s="10"/>
      <c r="N3443" s="10"/>
      <c r="O3443" s="21"/>
    </row>
    <row r="3444" spans="1:15" x14ac:dyDescent="0.35">
      <c r="A3444" s="15">
        <f t="shared" si="53"/>
        <v>3442</v>
      </c>
      <c r="B3444" s="16"/>
      <c r="C3444" s="19"/>
      <c r="D3444" s="10"/>
      <c r="E3444" s="10"/>
      <c r="F3444" s="47"/>
      <c r="G3444" s="10"/>
      <c r="H3444" s="20"/>
      <c r="I3444" s="20"/>
      <c r="J3444" s="10"/>
      <c r="K3444" s="10"/>
      <c r="L3444" s="10"/>
      <c r="M3444" s="10"/>
      <c r="N3444" s="10"/>
      <c r="O3444" s="21"/>
    </row>
    <row r="3445" spans="1:15" x14ac:dyDescent="0.35">
      <c r="A3445" s="15">
        <f t="shared" si="53"/>
        <v>3443</v>
      </c>
      <c r="B3445" s="16"/>
      <c r="C3445" s="19"/>
      <c r="D3445" s="10"/>
      <c r="E3445" s="10"/>
      <c r="F3445" s="47"/>
      <c r="G3445" s="10"/>
      <c r="H3445" s="20"/>
      <c r="I3445" s="20"/>
      <c r="J3445" s="10"/>
      <c r="K3445" s="10"/>
      <c r="L3445" s="10"/>
      <c r="M3445" s="10"/>
      <c r="N3445" s="10"/>
      <c r="O3445" s="21"/>
    </row>
    <row r="3446" spans="1:15" x14ac:dyDescent="0.35">
      <c r="A3446" s="15">
        <f t="shared" si="53"/>
        <v>3444</v>
      </c>
      <c r="B3446" s="16"/>
      <c r="C3446" s="19"/>
      <c r="D3446" s="10"/>
      <c r="E3446" s="10"/>
      <c r="F3446" s="47"/>
      <c r="G3446" s="10"/>
      <c r="H3446" s="20"/>
      <c r="I3446" s="20"/>
      <c r="J3446" s="10"/>
      <c r="K3446" s="10"/>
      <c r="L3446" s="10"/>
      <c r="M3446" s="10"/>
      <c r="N3446" s="10"/>
      <c r="O3446" s="21"/>
    </row>
    <row r="3447" spans="1:15" x14ac:dyDescent="0.35">
      <c r="A3447" s="15">
        <f t="shared" si="53"/>
        <v>3445</v>
      </c>
      <c r="B3447" s="16"/>
      <c r="C3447" s="19"/>
      <c r="D3447" s="10"/>
      <c r="E3447" s="10"/>
      <c r="F3447" s="47"/>
      <c r="G3447" s="10"/>
      <c r="H3447" s="20"/>
      <c r="I3447" s="20"/>
      <c r="J3447" s="10"/>
      <c r="K3447" s="10"/>
      <c r="L3447" s="10"/>
      <c r="M3447" s="10"/>
      <c r="N3447" s="10"/>
      <c r="O3447" s="21"/>
    </row>
    <row r="3448" spans="1:15" x14ac:dyDescent="0.35">
      <c r="A3448" s="15">
        <f t="shared" si="53"/>
        <v>3446</v>
      </c>
      <c r="B3448" s="16"/>
      <c r="C3448" s="19"/>
      <c r="D3448" s="10"/>
      <c r="E3448" s="10"/>
      <c r="F3448" s="47"/>
      <c r="G3448" s="10"/>
      <c r="H3448" s="20"/>
      <c r="I3448" s="20"/>
      <c r="J3448" s="10"/>
      <c r="K3448" s="10"/>
      <c r="L3448" s="10"/>
      <c r="M3448" s="10"/>
      <c r="N3448" s="10"/>
      <c r="O3448" s="21"/>
    </row>
    <row r="3449" spans="1:15" x14ac:dyDescent="0.35">
      <c r="A3449" s="15">
        <f t="shared" si="53"/>
        <v>3447</v>
      </c>
      <c r="B3449" s="16"/>
      <c r="C3449" s="19"/>
      <c r="D3449" s="10"/>
      <c r="E3449" s="10"/>
      <c r="F3449" s="47"/>
      <c r="G3449" s="10"/>
      <c r="H3449" s="20"/>
      <c r="I3449" s="20"/>
      <c r="J3449" s="10"/>
      <c r="K3449" s="10"/>
      <c r="L3449" s="10"/>
      <c r="M3449" s="10"/>
      <c r="N3449" s="10"/>
      <c r="O3449" s="21"/>
    </row>
    <row r="3450" spans="1:15" x14ac:dyDescent="0.35">
      <c r="A3450" s="15">
        <f t="shared" si="53"/>
        <v>3448</v>
      </c>
      <c r="B3450" s="16"/>
      <c r="C3450" s="19"/>
      <c r="D3450" s="10"/>
      <c r="E3450" s="10"/>
      <c r="F3450" s="47"/>
      <c r="G3450" s="10"/>
      <c r="H3450" s="20"/>
      <c r="I3450" s="20"/>
      <c r="J3450" s="10"/>
      <c r="K3450" s="10"/>
      <c r="L3450" s="10"/>
      <c r="M3450" s="10"/>
      <c r="N3450" s="10"/>
      <c r="O3450" s="21"/>
    </row>
    <row r="3451" spans="1:15" x14ac:dyDescent="0.35">
      <c r="A3451" s="15">
        <f t="shared" si="53"/>
        <v>3449</v>
      </c>
      <c r="B3451" s="16"/>
      <c r="C3451" s="19"/>
      <c r="D3451" s="10"/>
      <c r="E3451" s="10"/>
      <c r="F3451" s="47"/>
      <c r="G3451" s="10"/>
      <c r="H3451" s="20"/>
      <c r="I3451" s="20"/>
      <c r="J3451" s="10"/>
      <c r="K3451" s="10"/>
      <c r="L3451" s="10"/>
      <c r="M3451" s="10"/>
      <c r="N3451" s="10"/>
      <c r="O3451" s="21"/>
    </row>
    <row r="3452" spans="1:15" x14ac:dyDescent="0.35">
      <c r="A3452" s="15">
        <f t="shared" si="53"/>
        <v>3450</v>
      </c>
      <c r="B3452" s="16"/>
      <c r="C3452" s="19"/>
      <c r="D3452" s="10"/>
      <c r="E3452" s="10"/>
      <c r="F3452" s="47"/>
      <c r="G3452" s="10"/>
      <c r="H3452" s="20"/>
      <c r="I3452" s="20"/>
      <c r="J3452" s="10"/>
      <c r="K3452" s="10"/>
      <c r="L3452" s="10"/>
      <c r="M3452" s="10"/>
      <c r="N3452" s="10"/>
      <c r="O3452" s="21"/>
    </row>
    <row r="3453" spans="1:15" x14ac:dyDescent="0.35">
      <c r="A3453" s="15">
        <f t="shared" si="53"/>
        <v>3451</v>
      </c>
      <c r="B3453" s="16"/>
      <c r="C3453" s="19"/>
      <c r="D3453" s="10"/>
      <c r="E3453" s="10"/>
      <c r="F3453" s="47"/>
      <c r="G3453" s="10"/>
      <c r="H3453" s="20"/>
      <c r="I3453" s="20"/>
      <c r="J3453" s="10"/>
      <c r="K3453" s="10"/>
      <c r="L3453" s="10"/>
      <c r="M3453" s="10"/>
      <c r="N3453" s="10"/>
      <c r="O3453" s="21"/>
    </row>
    <row r="3454" spans="1:15" x14ac:dyDescent="0.35">
      <c r="A3454" s="15">
        <f t="shared" si="53"/>
        <v>3452</v>
      </c>
      <c r="B3454" s="16"/>
      <c r="C3454" s="19"/>
      <c r="D3454" s="10"/>
      <c r="E3454" s="10"/>
      <c r="F3454" s="47"/>
      <c r="G3454" s="10"/>
      <c r="H3454" s="20"/>
      <c r="I3454" s="20"/>
      <c r="J3454" s="10"/>
      <c r="K3454" s="10"/>
      <c r="L3454" s="10"/>
      <c r="M3454" s="10"/>
      <c r="N3454" s="10"/>
      <c r="O3454" s="21"/>
    </row>
    <row r="3455" spans="1:15" x14ac:dyDescent="0.35">
      <c r="A3455" s="15">
        <f t="shared" si="53"/>
        <v>3453</v>
      </c>
      <c r="B3455" s="16"/>
      <c r="C3455" s="19"/>
      <c r="D3455" s="10"/>
      <c r="E3455" s="10"/>
      <c r="F3455" s="47"/>
      <c r="G3455" s="10"/>
      <c r="H3455" s="20"/>
      <c r="I3455" s="20"/>
      <c r="J3455" s="10"/>
      <c r="K3455" s="10"/>
      <c r="L3455" s="10"/>
      <c r="M3455" s="10"/>
      <c r="N3455" s="10"/>
      <c r="O3455" s="21"/>
    </row>
    <row r="3456" spans="1:15" x14ac:dyDescent="0.35">
      <c r="A3456" s="15">
        <f t="shared" si="53"/>
        <v>3454</v>
      </c>
      <c r="B3456" s="16"/>
      <c r="C3456" s="19"/>
      <c r="D3456" s="10"/>
      <c r="E3456" s="10"/>
      <c r="F3456" s="47"/>
      <c r="G3456" s="10"/>
      <c r="H3456" s="20"/>
      <c r="I3456" s="20"/>
      <c r="J3456" s="10"/>
      <c r="K3456" s="10"/>
      <c r="L3456" s="10"/>
      <c r="M3456" s="10"/>
      <c r="N3456" s="10"/>
      <c r="O3456" s="21"/>
    </row>
    <row r="3457" spans="1:15" x14ac:dyDescent="0.35">
      <c r="A3457" s="15">
        <f t="shared" si="53"/>
        <v>3455</v>
      </c>
      <c r="B3457" s="16"/>
      <c r="C3457" s="19"/>
      <c r="D3457" s="10"/>
      <c r="E3457" s="10"/>
      <c r="F3457" s="47"/>
      <c r="G3457" s="10"/>
      <c r="H3457" s="20"/>
      <c r="I3457" s="20"/>
      <c r="J3457" s="10"/>
      <c r="K3457" s="10"/>
      <c r="L3457" s="10"/>
      <c r="M3457" s="10"/>
      <c r="N3457" s="10"/>
      <c r="O3457" s="21"/>
    </row>
    <row r="3458" spans="1:15" x14ac:dyDescent="0.35">
      <c r="A3458" s="15">
        <f t="shared" si="53"/>
        <v>3456</v>
      </c>
      <c r="B3458" s="16"/>
      <c r="C3458" s="19"/>
      <c r="D3458" s="10"/>
      <c r="E3458" s="10"/>
      <c r="F3458" s="47"/>
      <c r="G3458" s="10"/>
      <c r="H3458" s="20"/>
      <c r="I3458" s="20"/>
      <c r="J3458" s="10"/>
      <c r="K3458" s="10"/>
      <c r="L3458" s="10"/>
      <c r="M3458" s="10"/>
      <c r="N3458" s="10"/>
      <c r="O3458" s="21"/>
    </row>
    <row r="3459" spans="1:15" x14ac:dyDescent="0.35">
      <c r="A3459" s="15">
        <f t="shared" si="53"/>
        <v>3457</v>
      </c>
      <c r="B3459" s="16"/>
      <c r="C3459" s="19"/>
      <c r="D3459" s="10"/>
      <c r="E3459" s="10"/>
      <c r="F3459" s="47"/>
      <c r="G3459" s="10"/>
      <c r="H3459" s="20"/>
      <c r="I3459" s="20"/>
      <c r="J3459" s="10"/>
      <c r="K3459" s="10"/>
      <c r="L3459" s="10"/>
      <c r="M3459" s="10"/>
      <c r="N3459" s="10"/>
      <c r="O3459" s="21"/>
    </row>
    <row r="3460" spans="1:15" x14ac:dyDescent="0.35">
      <c r="A3460" s="15">
        <f t="shared" si="53"/>
        <v>3458</v>
      </c>
      <c r="B3460" s="16"/>
      <c r="C3460" s="19"/>
      <c r="D3460" s="10"/>
      <c r="E3460" s="10"/>
      <c r="F3460" s="47"/>
      <c r="G3460" s="10"/>
      <c r="H3460" s="20"/>
      <c r="I3460" s="20"/>
      <c r="J3460" s="10"/>
      <c r="K3460" s="10"/>
      <c r="L3460" s="10"/>
      <c r="M3460" s="10"/>
      <c r="N3460" s="10"/>
      <c r="O3460" s="21"/>
    </row>
    <row r="3461" spans="1:15" x14ac:dyDescent="0.35">
      <c r="A3461" s="15">
        <f t="shared" si="53"/>
        <v>3459</v>
      </c>
      <c r="B3461" s="16"/>
      <c r="C3461" s="19"/>
      <c r="D3461" s="10"/>
      <c r="E3461" s="10"/>
      <c r="F3461" s="47"/>
      <c r="G3461" s="10"/>
      <c r="H3461" s="20"/>
      <c r="I3461" s="20"/>
      <c r="J3461" s="10"/>
      <c r="K3461" s="10"/>
      <c r="L3461" s="10"/>
      <c r="M3461" s="10"/>
      <c r="N3461" s="10"/>
      <c r="O3461" s="21"/>
    </row>
    <row r="3462" spans="1:15" x14ac:dyDescent="0.35">
      <c r="A3462" s="15">
        <f t="shared" si="53"/>
        <v>3460</v>
      </c>
      <c r="B3462" s="16"/>
      <c r="C3462" s="19"/>
      <c r="D3462" s="10"/>
      <c r="E3462" s="10"/>
      <c r="F3462" s="47"/>
      <c r="G3462" s="10"/>
      <c r="H3462" s="20"/>
      <c r="I3462" s="20"/>
      <c r="J3462" s="10"/>
      <c r="K3462" s="10"/>
      <c r="L3462" s="10"/>
      <c r="M3462" s="10"/>
      <c r="N3462" s="10"/>
      <c r="O3462" s="21"/>
    </row>
    <row r="3463" spans="1:15" x14ac:dyDescent="0.35">
      <c r="A3463" s="15">
        <f t="shared" si="53"/>
        <v>3461</v>
      </c>
      <c r="B3463" s="16"/>
      <c r="C3463" s="19"/>
      <c r="D3463" s="10"/>
      <c r="E3463" s="10"/>
      <c r="F3463" s="47"/>
      <c r="G3463" s="10"/>
      <c r="H3463" s="20"/>
      <c r="I3463" s="20"/>
      <c r="J3463" s="10"/>
      <c r="K3463" s="10"/>
      <c r="L3463" s="10"/>
      <c r="M3463" s="10"/>
      <c r="N3463" s="10"/>
      <c r="O3463" s="21"/>
    </row>
    <row r="3464" spans="1:15" x14ac:dyDescent="0.35">
      <c r="A3464" s="15">
        <f t="shared" si="53"/>
        <v>3462</v>
      </c>
      <c r="B3464" s="16"/>
      <c r="C3464" s="19"/>
      <c r="D3464" s="10"/>
      <c r="E3464" s="10"/>
      <c r="F3464" s="47"/>
      <c r="G3464" s="10"/>
      <c r="H3464" s="20"/>
      <c r="I3464" s="20"/>
      <c r="J3464" s="10"/>
      <c r="K3464" s="10"/>
      <c r="L3464" s="10"/>
      <c r="M3464" s="10"/>
      <c r="N3464" s="10"/>
      <c r="O3464" s="21"/>
    </row>
    <row r="3465" spans="1:15" x14ac:dyDescent="0.35">
      <c r="A3465" s="15">
        <f t="shared" si="53"/>
        <v>3463</v>
      </c>
      <c r="B3465" s="16"/>
      <c r="C3465" s="19"/>
      <c r="D3465" s="10"/>
      <c r="E3465" s="10"/>
      <c r="F3465" s="47"/>
      <c r="G3465" s="10"/>
      <c r="H3465" s="20"/>
      <c r="I3465" s="20"/>
      <c r="J3465" s="10"/>
      <c r="K3465" s="10"/>
      <c r="L3465" s="10"/>
      <c r="M3465" s="10"/>
      <c r="N3465" s="10"/>
      <c r="O3465" s="21"/>
    </row>
    <row r="3466" spans="1:15" x14ac:dyDescent="0.35">
      <c r="A3466" s="15">
        <f t="shared" si="53"/>
        <v>3464</v>
      </c>
      <c r="B3466" s="16"/>
      <c r="C3466" s="19"/>
      <c r="D3466" s="10"/>
      <c r="E3466" s="10"/>
      <c r="F3466" s="47"/>
      <c r="G3466" s="10"/>
      <c r="H3466" s="20"/>
      <c r="I3466" s="20"/>
      <c r="J3466" s="10"/>
      <c r="K3466" s="10"/>
      <c r="L3466" s="10"/>
      <c r="M3466" s="10"/>
      <c r="N3466" s="10"/>
      <c r="O3466" s="21"/>
    </row>
    <row r="3467" spans="1:15" x14ac:dyDescent="0.35">
      <c r="A3467" s="15">
        <f t="shared" ref="A3467:A3530" si="54">+A3466+1</f>
        <v>3465</v>
      </c>
      <c r="B3467" s="16"/>
      <c r="C3467" s="19"/>
      <c r="D3467" s="10"/>
      <c r="E3467" s="10"/>
      <c r="F3467" s="47"/>
      <c r="G3467" s="10"/>
      <c r="H3467" s="20"/>
      <c r="I3467" s="20"/>
      <c r="J3467" s="10"/>
      <c r="K3467" s="10"/>
      <c r="L3467" s="10"/>
      <c r="M3467" s="10"/>
      <c r="N3467" s="10"/>
      <c r="O3467" s="21"/>
    </row>
    <row r="3468" spans="1:15" x14ac:dyDescent="0.35">
      <c r="A3468" s="15">
        <f t="shared" si="54"/>
        <v>3466</v>
      </c>
      <c r="B3468" s="16"/>
      <c r="C3468" s="19"/>
      <c r="D3468" s="10"/>
      <c r="E3468" s="10"/>
      <c r="F3468" s="47"/>
      <c r="G3468" s="10"/>
      <c r="H3468" s="20"/>
      <c r="I3468" s="20"/>
      <c r="J3468" s="10"/>
      <c r="K3468" s="10"/>
      <c r="L3468" s="10"/>
      <c r="M3468" s="10"/>
      <c r="N3468" s="10"/>
      <c r="O3468" s="21"/>
    </row>
    <row r="3469" spans="1:15" x14ac:dyDescent="0.35">
      <c r="A3469" s="15">
        <f t="shared" si="54"/>
        <v>3467</v>
      </c>
      <c r="B3469" s="16"/>
      <c r="C3469" s="19"/>
      <c r="D3469" s="10"/>
      <c r="E3469" s="10"/>
      <c r="F3469" s="47"/>
      <c r="G3469" s="10"/>
      <c r="H3469" s="20"/>
      <c r="I3469" s="20"/>
      <c r="J3469" s="10"/>
      <c r="K3469" s="10"/>
      <c r="L3469" s="10"/>
      <c r="M3469" s="10"/>
      <c r="N3469" s="10"/>
      <c r="O3469" s="21"/>
    </row>
    <row r="3470" spans="1:15" x14ac:dyDescent="0.35">
      <c r="A3470" s="15">
        <f t="shared" si="54"/>
        <v>3468</v>
      </c>
      <c r="B3470" s="16"/>
      <c r="C3470" s="19"/>
      <c r="D3470" s="10"/>
      <c r="E3470" s="10"/>
      <c r="F3470" s="47"/>
      <c r="G3470" s="10"/>
      <c r="H3470" s="20"/>
      <c r="I3470" s="20"/>
      <c r="J3470" s="10"/>
      <c r="K3470" s="10"/>
      <c r="L3470" s="10"/>
      <c r="M3470" s="10"/>
      <c r="N3470" s="10"/>
      <c r="O3470" s="21"/>
    </row>
    <row r="3471" spans="1:15" x14ac:dyDescent="0.35">
      <c r="A3471" s="15">
        <f t="shared" si="54"/>
        <v>3469</v>
      </c>
      <c r="B3471" s="16"/>
      <c r="C3471" s="19"/>
      <c r="D3471" s="10"/>
      <c r="E3471" s="10"/>
      <c r="F3471" s="47"/>
      <c r="G3471" s="10"/>
      <c r="H3471" s="20"/>
      <c r="I3471" s="20"/>
      <c r="J3471" s="10"/>
      <c r="K3471" s="10"/>
      <c r="L3471" s="10"/>
      <c r="M3471" s="10"/>
      <c r="N3471" s="10"/>
      <c r="O3471" s="21"/>
    </row>
    <row r="3472" spans="1:15" x14ac:dyDescent="0.35">
      <c r="A3472" s="15">
        <f t="shared" si="54"/>
        <v>3470</v>
      </c>
      <c r="B3472" s="16"/>
      <c r="C3472" s="19"/>
      <c r="D3472" s="10"/>
      <c r="E3472" s="10"/>
      <c r="F3472" s="47"/>
      <c r="G3472" s="10"/>
      <c r="H3472" s="20"/>
      <c r="I3472" s="20"/>
      <c r="J3472" s="10"/>
      <c r="K3472" s="10"/>
      <c r="L3472" s="10"/>
      <c r="M3472" s="10"/>
      <c r="N3472" s="10"/>
      <c r="O3472" s="21"/>
    </row>
    <row r="3473" spans="1:15" x14ac:dyDescent="0.35">
      <c r="A3473" s="15">
        <f t="shared" si="54"/>
        <v>3471</v>
      </c>
      <c r="B3473" s="16"/>
      <c r="C3473" s="19"/>
      <c r="D3473" s="10"/>
      <c r="E3473" s="10"/>
      <c r="F3473" s="47"/>
      <c r="G3473" s="10"/>
      <c r="H3473" s="20"/>
      <c r="I3473" s="20"/>
      <c r="J3473" s="10"/>
      <c r="K3473" s="10"/>
      <c r="L3473" s="10"/>
      <c r="M3473" s="10"/>
      <c r="N3473" s="10"/>
      <c r="O3473" s="21"/>
    </row>
    <row r="3474" spans="1:15" x14ac:dyDescent="0.35">
      <c r="A3474" s="15">
        <f t="shared" si="54"/>
        <v>3472</v>
      </c>
      <c r="B3474" s="16"/>
      <c r="C3474" s="19"/>
      <c r="D3474" s="10"/>
      <c r="E3474" s="10"/>
      <c r="F3474" s="47"/>
      <c r="G3474" s="10"/>
      <c r="H3474" s="20"/>
      <c r="I3474" s="20"/>
      <c r="J3474" s="10"/>
      <c r="K3474" s="10"/>
      <c r="L3474" s="10"/>
      <c r="M3474" s="10"/>
      <c r="N3474" s="10"/>
      <c r="O3474" s="21"/>
    </row>
    <row r="3475" spans="1:15" x14ac:dyDescent="0.35">
      <c r="A3475" s="15">
        <f t="shared" si="54"/>
        <v>3473</v>
      </c>
      <c r="B3475" s="16"/>
      <c r="C3475" s="19"/>
      <c r="D3475" s="10"/>
      <c r="E3475" s="10"/>
      <c r="F3475" s="47"/>
      <c r="G3475" s="10"/>
      <c r="H3475" s="20"/>
      <c r="I3475" s="20"/>
      <c r="J3475" s="10"/>
      <c r="K3475" s="10"/>
      <c r="L3475" s="10"/>
      <c r="M3475" s="10"/>
      <c r="N3475" s="10"/>
      <c r="O3475" s="21"/>
    </row>
    <row r="3476" spans="1:15" x14ac:dyDescent="0.35">
      <c r="A3476" s="15">
        <f t="shared" si="54"/>
        <v>3474</v>
      </c>
      <c r="B3476" s="16"/>
      <c r="C3476" s="19"/>
      <c r="D3476" s="10"/>
      <c r="E3476" s="10"/>
      <c r="F3476" s="47"/>
      <c r="G3476" s="10"/>
      <c r="H3476" s="20"/>
      <c r="I3476" s="20"/>
      <c r="J3476" s="10"/>
      <c r="K3476" s="10"/>
      <c r="L3476" s="10"/>
      <c r="M3476" s="10"/>
      <c r="N3476" s="10"/>
      <c r="O3476" s="21"/>
    </row>
    <row r="3477" spans="1:15" x14ac:dyDescent="0.35">
      <c r="A3477" s="15">
        <f t="shared" si="54"/>
        <v>3475</v>
      </c>
      <c r="B3477" s="16"/>
      <c r="C3477" s="19"/>
      <c r="D3477" s="10"/>
      <c r="E3477" s="10"/>
      <c r="F3477" s="47"/>
      <c r="G3477" s="10"/>
      <c r="H3477" s="20"/>
      <c r="I3477" s="20"/>
      <c r="J3477" s="10"/>
      <c r="K3477" s="10"/>
      <c r="L3477" s="10"/>
      <c r="M3477" s="10"/>
      <c r="N3477" s="10"/>
      <c r="O3477" s="21"/>
    </row>
    <row r="3478" spans="1:15" x14ac:dyDescent="0.35">
      <c r="A3478" s="15">
        <f t="shared" si="54"/>
        <v>3476</v>
      </c>
      <c r="B3478" s="16"/>
      <c r="C3478" s="19"/>
      <c r="D3478" s="10"/>
      <c r="E3478" s="10"/>
      <c r="F3478" s="47"/>
      <c r="G3478" s="10"/>
      <c r="H3478" s="20"/>
      <c r="I3478" s="20"/>
      <c r="J3478" s="10"/>
      <c r="K3478" s="10"/>
      <c r="L3478" s="10"/>
      <c r="M3478" s="10"/>
      <c r="N3478" s="10"/>
      <c r="O3478" s="21"/>
    </row>
    <row r="3479" spans="1:15" x14ac:dyDescent="0.35">
      <c r="A3479" s="15">
        <f t="shared" si="54"/>
        <v>3477</v>
      </c>
      <c r="B3479" s="16"/>
      <c r="C3479" s="19"/>
      <c r="D3479" s="10"/>
      <c r="E3479" s="10"/>
      <c r="F3479" s="47"/>
      <c r="G3479" s="10"/>
      <c r="H3479" s="20"/>
      <c r="I3479" s="20"/>
      <c r="J3479" s="10"/>
      <c r="K3479" s="10"/>
      <c r="L3479" s="10"/>
      <c r="M3479" s="10"/>
      <c r="N3479" s="10"/>
      <c r="O3479" s="21"/>
    </row>
    <row r="3480" spans="1:15" x14ac:dyDescent="0.35">
      <c r="A3480" s="15">
        <f t="shared" si="54"/>
        <v>3478</v>
      </c>
      <c r="B3480" s="16"/>
      <c r="C3480" s="19"/>
      <c r="D3480" s="10"/>
      <c r="E3480" s="10"/>
      <c r="F3480" s="47"/>
      <c r="G3480" s="10"/>
      <c r="H3480" s="20"/>
      <c r="I3480" s="20"/>
      <c r="J3480" s="10"/>
      <c r="K3480" s="10"/>
      <c r="L3480" s="10"/>
      <c r="M3480" s="10"/>
      <c r="N3480" s="10"/>
      <c r="O3480" s="21"/>
    </row>
    <row r="3481" spans="1:15" x14ac:dyDescent="0.35">
      <c r="A3481" s="15">
        <f t="shared" si="54"/>
        <v>3479</v>
      </c>
      <c r="B3481" s="16"/>
      <c r="C3481" s="19"/>
      <c r="D3481" s="10"/>
      <c r="E3481" s="10"/>
      <c r="F3481" s="47"/>
      <c r="G3481" s="10"/>
      <c r="H3481" s="20"/>
      <c r="I3481" s="20"/>
      <c r="J3481" s="10"/>
      <c r="K3481" s="10"/>
      <c r="L3481" s="10"/>
      <c r="M3481" s="10"/>
      <c r="N3481" s="10"/>
      <c r="O3481" s="21"/>
    </row>
    <row r="3482" spans="1:15" x14ac:dyDescent="0.35">
      <c r="A3482" s="15">
        <f t="shared" si="54"/>
        <v>3480</v>
      </c>
      <c r="B3482" s="16"/>
      <c r="C3482" s="19"/>
      <c r="D3482" s="10"/>
      <c r="E3482" s="10"/>
      <c r="F3482" s="47"/>
      <c r="G3482" s="10"/>
      <c r="H3482" s="20"/>
      <c r="I3482" s="20"/>
      <c r="J3482" s="10"/>
      <c r="K3482" s="10"/>
      <c r="L3482" s="10"/>
      <c r="M3482" s="10"/>
      <c r="N3482" s="10"/>
      <c r="O3482" s="21"/>
    </row>
    <row r="3483" spans="1:15" x14ac:dyDescent="0.35">
      <c r="A3483" s="15">
        <f t="shared" si="54"/>
        <v>3481</v>
      </c>
      <c r="B3483" s="16"/>
      <c r="C3483" s="19"/>
      <c r="D3483" s="10"/>
      <c r="E3483" s="10"/>
      <c r="F3483" s="47"/>
      <c r="G3483" s="10"/>
      <c r="H3483" s="20"/>
      <c r="I3483" s="20"/>
      <c r="J3483" s="10"/>
      <c r="K3483" s="10"/>
      <c r="L3483" s="10"/>
      <c r="M3483" s="10"/>
      <c r="N3483" s="10"/>
      <c r="O3483" s="21"/>
    </row>
    <row r="3484" spans="1:15" x14ac:dyDescent="0.35">
      <c r="A3484" s="15">
        <f t="shared" si="54"/>
        <v>3482</v>
      </c>
      <c r="B3484" s="16"/>
      <c r="C3484" s="19"/>
      <c r="D3484" s="10"/>
      <c r="E3484" s="10"/>
      <c r="F3484" s="47"/>
      <c r="G3484" s="10"/>
      <c r="H3484" s="20"/>
      <c r="I3484" s="20"/>
      <c r="J3484" s="10"/>
      <c r="K3484" s="10"/>
      <c r="L3484" s="10"/>
      <c r="M3484" s="10"/>
      <c r="N3484" s="10"/>
      <c r="O3484" s="21"/>
    </row>
    <row r="3485" spans="1:15" x14ac:dyDescent="0.35">
      <c r="A3485" s="15">
        <f t="shared" si="54"/>
        <v>3483</v>
      </c>
      <c r="B3485" s="16"/>
      <c r="C3485" s="19"/>
      <c r="D3485" s="10"/>
      <c r="E3485" s="10"/>
      <c r="F3485" s="47"/>
      <c r="G3485" s="10"/>
      <c r="H3485" s="20"/>
      <c r="I3485" s="20"/>
      <c r="J3485" s="10"/>
      <c r="K3485" s="10"/>
      <c r="L3485" s="10"/>
      <c r="M3485" s="10"/>
      <c r="N3485" s="10"/>
      <c r="O3485" s="21"/>
    </row>
    <row r="3486" spans="1:15" x14ac:dyDescent="0.35">
      <c r="A3486" s="15">
        <f t="shared" si="54"/>
        <v>3484</v>
      </c>
      <c r="B3486" s="16"/>
      <c r="C3486" s="19"/>
      <c r="D3486" s="10"/>
      <c r="E3486" s="10"/>
      <c r="F3486" s="47"/>
      <c r="G3486" s="10"/>
      <c r="H3486" s="20"/>
      <c r="I3486" s="20"/>
      <c r="J3486" s="10"/>
      <c r="K3486" s="10"/>
      <c r="L3486" s="10"/>
      <c r="M3486" s="10"/>
      <c r="N3486" s="10"/>
      <c r="O3486" s="21"/>
    </row>
    <row r="3487" spans="1:15" x14ac:dyDescent="0.35">
      <c r="A3487" s="15">
        <f t="shared" si="54"/>
        <v>3485</v>
      </c>
      <c r="B3487" s="16"/>
      <c r="C3487" s="19"/>
      <c r="D3487" s="10"/>
      <c r="E3487" s="10"/>
      <c r="F3487" s="47"/>
      <c r="G3487" s="10"/>
      <c r="H3487" s="20"/>
      <c r="I3487" s="20"/>
      <c r="J3487" s="10"/>
      <c r="K3487" s="10"/>
      <c r="L3487" s="10"/>
      <c r="M3487" s="10"/>
      <c r="N3487" s="10"/>
      <c r="O3487" s="21"/>
    </row>
    <row r="3488" spans="1:15" x14ac:dyDescent="0.35">
      <c r="A3488" s="15">
        <f t="shared" si="54"/>
        <v>3486</v>
      </c>
      <c r="B3488" s="16"/>
      <c r="C3488" s="19"/>
      <c r="D3488" s="10"/>
      <c r="E3488" s="10"/>
      <c r="F3488" s="47"/>
      <c r="G3488" s="10"/>
      <c r="H3488" s="20"/>
      <c r="I3488" s="20"/>
      <c r="J3488" s="10"/>
      <c r="K3488" s="10"/>
      <c r="L3488" s="10"/>
      <c r="M3488" s="10"/>
      <c r="N3488" s="10"/>
      <c r="O3488" s="21"/>
    </row>
    <row r="3489" spans="1:15" x14ac:dyDescent="0.35">
      <c r="A3489" s="15">
        <f t="shared" si="54"/>
        <v>3487</v>
      </c>
      <c r="B3489" s="16"/>
      <c r="C3489" s="19"/>
      <c r="D3489" s="10"/>
      <c r="E3489" s="10"/>
      <c r="F3489" s="47"/>
      <c r="G3489" s="10"/>
      <c r="H3489" s="20"/>
      <c r="I3489" s="20"/>
      <c r="J3489" s="10"/>
      <c r="K3489" s="10"/>
      <c r="L3489" s="10"/>
      <c r="M3489" s="10"/>
      <c r="N3489" s="10"/>
      <c r="O3489" s="21"/>
    </row>
    <row r="3490" spans="1:15" x14ac:dyDescent="0.35">
      <c r="A3490" s="15">
        <f t="shared" si="54"/>
        <v>3488</v>
      </c>
      <c r="B3490" s="16"/>
      <c r="C3490" s="19"/>
      <c r="D3490" s="10"/>
      <c r="E3490" s="10"/>
      <c r="F3490" s="47"/>
      <c r="G3490" s="10"/>
      <c r="H3490" s="20"/>
      <c r="I3490" s="20"/>
      <c r="J3490" s="10"/>
      <c r="K3490" s="10"/>
      <c r="L3490" s="10"/>
      <c r="M3490" s="10"/>
      <c r="N3490" s="10"/>
      <c r="O3490" s="21"/>
    </row>
    <row r="3491" spans="1:15" x14ac:dyDescent="0.35">
      <c r="A3491" s="15">
        <f t="shared" si="54"/>
        <v>3489</v>
      </c>
      <c r="B3491" s="16"/>
      <c r="C3491" s="19"/>
      <c r="D3491" s="10"/>
      <c r="E3491" s="10"/>
      <c r="F3491" s="47"/>
      <c r="G3491" s="10"/>
      <c r="H3491" s="20"/>
      <c r="I3491" s="20"/>
      <c r="J3491" s="10"/>
      <c r="K3491" s="10"/>
      <c r="L3491" s="10"/>
      <c r="M3491" s="10"/>
      <c r="N3491" s="10"/>
      <c r="O3491" s="21"/>
    </row>
    <row r="3492" spans="1:15" x14ac:dyDescent="0.35">
      <c r="A3492" s="15">
        <f t="shared" si="54"/>
        <v>3490</v>
      </c>
      <c r="B3492" s="16"/>
      <c r="C3492" s="19"/>
      <c r="D3492" s="10"/>
      <c r="E3492" s="10"/>
      <c r="F3492" s="47"/>
      <c r="G3492" s="10"/>
      <c r="H3492" s="20"/>
      <c r="I3492" s="20"/>
      <c r="J3492" s="10"/>
      <c r="K3492" s="10"/>
      <c r="L3492" s="10"/>
      <c r="M3492" s="10"/>
      <c r="N3492" s="10"/>
      <c r="O3492" s="21"/>
    </row>
    <row r="3493" spans="1:15" x14ac:dyDescent="0.35">
      <c r="A3493" s="15">
        <f t="shared" si="54"/>
        <v>3491</v>
      </c>
      <c r="B3493" s="16"/>
      <c r="C3493" s="19"/>
      <c r="D3493" s="10"/>
      <c r="E3493" s="10"/>
      <c r="F3493" s="47"/>
      <c r="G3493" s="10"/>
      <c r="H3493" s="20"/>
      <c r="I3493" s="20"/>
      <c r="J3493" s="10"/>
      <c r="K3493" s="10"/>
      <c r="L3493" s="10"/>
      <c r="M3493" s="10"/>
      <c r="N3493" s="10"/>
      <c r="O3493" s="21"/>
    </row>
    <row r="3494" spans="1:15" x14ac:dyDescent="0.35">
      <c r="A3494" s="15">
        <f t="shared" si="54"/>
        <v>3492</v>
      </c>
      <c r="B3494" s="16"/>
      <c r="C3494" s="19"/>
      <c r="D3494" s="10"/>
      <c r="E3494" s="10"/>
      <c r="F3494" s="47"/>
      <c r="G3494" s="10"/>
      <c r="H3494" s="20"/>
      <c r="I3494" s="20"/>
      <c r="J3494" s="10"/>
      <c r="K3494" s="10"/>
      <c r="L3494" s="10"/>
      <c r="M3494" s="10"/>
      <c r="N3494" s="10"/>
      <c r="O3494" s="21"/>
    </row>
    <row r="3495" spans="1:15" x14ac:dyDescent="0.35">
      <c r="A3495" s="15">
        <f t="shared" si="54"/>
        <v>3493</v>
      </c>
      <c r="B3495" s="16"/>
      <c r="C3495" s="19"/>
      <c r="D3495" s="10"/>
      <c r="E3495" s="10"/>
      <c r="F3495" s="47"/>
      <c r="G3495" s="10"/>
      <c r="H3495" s="20"/>
      <c r="I3495" s="20"/>
      <c r="J3495" s="10"/>
      <c r="K3495" s="10"/>
      <c r="L3495" s="10"/>
      <c r="M3495" s="10"/>
      <c r="N3495" s="10"/>
      <c r="O3495" s="21"/>
    </row>
    <row r="3496" spans="1:15" x14ac:dyDescent="0.35">
      <c r="A3496" s="15">
        <f t="shared" si="54"/>
        <v>3494</v>
      </c>
      <c r="B3496" s="16"/>
      <c r="C3496" s="19"/>
      <c r="D3496" s="10"/>
      <c r="E3496" s="10"/>
      <c r="F3496" s="47"/>
      <c r="G3496" s="10"/>
      <c r="H3496" s="20"/>
      <c r="I3496" s="20"/>
      <c r="J3496" s="10"/>
      <c r="K3496" s="10"/>
      <c r="L3496" s="10"/>
      <c r="M3496" s="10"/>
      <c r="N3496" s="10"/>
      <c r="O3496" s="21"/>
    </row>
    <row r="3497" spans="1:15" x14ac:dyDescent="0.35">
      <c r="A3497" s="15">
        <f t="shared" si="54"/>
        <v>3495</v>
      </c>
      <c r="B3497" s="16"/>
      <c r="C3497" s="19"/>
      <c r="D3497" s="10"/>
      <c r="E3497" s="10"/>
      <c r="F3497" s="47"/>
      <c r="G3497" s="10"/>
      <c r="H3497" s="20"/>
      <c r="I3497" s="20"/>
      <c r="J3497" s="10"/>
      <c r="K3497" s="10"/>
      <c r="L3497" s="10"/>
      <c r="M3497" s="10"/>
      <c r="N3497" s="10"/>
      <c r="O3497" s="21"/>
    </row>
    <row r="3498" spans="1:15" x14ac:dyDescent="0.35">
      <c r="A3498" s="15">
        <f t="shared" si="54"/>
        <v>3496</v>
      </c>
      <c r="B3498" s="16"/>
      <c r="C3498" s="19"/>
      <c r="D3498" s="10"/>
      <c r="E3498" s="10"/>
      <c r="F3498" s="47"/>
      <c r="G3498" s="10"/>
      <c r="H3498" s="20"/>
      <c r="I3498" s="20"/>
      <c r="J3498" s="10"/>
      <c r="K3498" s="10"/>
      <c r="L3498" s="10"/>
      <c r="M3498" s="10"/>
      <c r="N3498" s="10"/>
      <c r="O3498" s="21"/>
    </row>
    <row r="3499" spans="1:15" x14ac:dyDescent="0.35">
      <c r="A3499" s="15">
        <f t="shared" si="54"/>
        <v>3497</v>
      </c>
      <c r="B3499" s="16"/>
      <c r="C3499" s="19"/>
      <c r="D3499" s="10"/>
      <c r="E3499" s="10"/>
      <c r="F3499" s="47"/>
      <c r="G3499" s="10"/>
      <c r="H3499" s="20"/>
      <c r="I3499" s="20"/>
      <c r="J3499" s="10"/>
      <c r="K3499" s="10"/>
      <c r="L3499" s="10"/>
      <c r="M3499" s="10"/>
      <c r="N3499" s="10"/>
      <c r="O3499" s="21"/>
    </row>
    <row r="3500" spans="1:15" x14ac:dyDescent="0.35">
      <c r="A3500" s="15">
        <f t="shared" si="54"/>
        <v>3498</v>
      </c>
      <c r="B3500" s="16"/>
      <c r="C3500" s="19"/>
      <c r="D3500" s="10"/>
      <c r="E3500" s="10"/>
      <c r="F3500" s="47"/>
      <c r="G3500" s="10"/>
      <c r="H3500" s="20"/>
      <c r="I3500" s="20"/>
      <c r="J3500" s="10"/>
      <c r="K3500" s="10"/>
      <c r="L3500" s="10"/>
      <c r="M3500" s="10"/>
      <c r="N3500" s="10"/>
      <c r="O3500" s="21"/>
    </row>
    <row r="3501" spans="1:15" x14ac:dyDescent="0.35">
      <c r="A3501" s="15">
        <f t="shared" si="54"/>
        <v>3499</v>
      </c>
      <c r="B3501" s="16"/>
      <c r="C3501" s="19"/>
      <c r="D3501" s="10"/>
      <c r="E3501" s="10"/>
      <c r="F3501" s="47"/>
      <c r="G3501" s="10"/>
      <c r="H3501" s="20"/>
      <c r="I3501" s="20"/>
      <c r="J3501" s="10"/>
      <c r="K3501" s="10"/>
      <c r="L3501" s="10"/>
      <c r="M3501" s="10"/>
      <c r="N3501" s="10"/>
      <c r="O3501" s="21"/>
    </row>
    <row r="3502" spans="1:15" x14ac:dyDescent="0.35">
      <c r="A3502" s="15">
        <f t="shared" si="54"/>
        <v>3500</v>
      </c>
      <c r="B3502" s="16"/>
      <c r="C3502" s="19"/>
      <c r="D3502" s="10"/>
      <c r="E3502" s="10"/>
      <c r="F3502" s="47"/>
      <c r="G3502" s="10"/>
      <c r="H3502" s="20"/>
      <c r="I3502" s="20"/>
      <c r="J3502" s="10"/>
      <c r="K3502" s="10"/>
      <c r="L3502" s="10"/>
      <c r="M3502" s="10"/>
      <c r="N3502" s="10"/>
      <c r="O3502" s="21"/>
    </row>
    <row r="3503" spans="1:15" x14ac:dyDescent="0.35">
      <c r="A3503" s="15">
        <f t="shared" si="54"/>
        <v>3501</v>
      </c>
      <c r="B3503" s="16"/>
      <c r="C3503" s="19"/>
      <c r="D3503" s="10"/>
      <c r="E3503" s="10"/>
      <c r="F3503" s="47"/>
      <c r="G3503" s="10"/>
      <c r="H3503" s="20"/>
      <c r="I3503" s="20"/>
      <c r="J3503" s="10"/>
      <c r="K3503" s="10"/>
      <c r="L3503" s="10"/>
      <c r="M3503" s="10"/>
      <c r="N3503" s="10"/>
      <c r="O3503" s="21"/>
    </row>
    <row r="3504" spans="1:15" x14ac:dyDescent="0.35">
      <c r="A3504" s="15">
        <f t="shared" si="54"/>
        <v>3502</v>
      </c>
      <c r="B3504" s="16"/>
      <c r="C3504" s="19"/>
      <c r="D3504" s="10"/>
      <c r="E3504" s="10"/>
      <c r="F3504" s="47"/>
      <c r="G3504" s="10"/>
      <c r="H3504" s="20"/>
      <c r="I3504" s="20"/>
      <c r="J3504" s="10"/>
      <c r="K3504" s="10"/>
      <c r="L3504" s="10"/>
      <c r="M3504" s="10"/>
      <c r="N3504" s="10"/>
      <c r="O3504" s="21"/>
    </row>
    <row r="3505" spans="1:15" x14ac:dyDescent="0.35">
      <c r="A3505" s="15">
        <f t="shared" si="54"/>
        <v>3503</v>
      </c>
      <c r="B3505" s="16"/>
      <c r="C3505" s="19"/>
      <c r="D3505" s="10"/>
      <c r="E3505" s="10"/>
      <c r="F3505" s="47"/>
      <c r="G3505" s="10"/>
      <c r="H3505" s="20"/>
      <c r="I3505" s="20"/>
      <c r="J3505" s="10"/>
      <c r="K3505" s="10"/>
      <c r="L3505" s="10"/>
      <c r="M3505" s="10"/>
      <c r="N3505" s="10"/>
      <c r="O3505" s="21"/>
    </row>
    <row r="3506" spans="1:15" x14ac:dyDescent="0.35">
      <c r="A3506" s="15">
        <f t="shared" si="54"/>
        <v>3504</v>
      </c>
      <c r="B3506" s="16"/>
      <c r="C3506" s="19"/>
      <c r="D3506" s="10"/>
      <c r="E3506" s="10"/>
      <c r="F3506" s="47"/>
      <c r="G3506" s="10"/>
      <c r="H3506" s="20"/>
      <c r="I3506" s="20"/>
      <c r="J3506" s="10"/>
      <c r="K3506" s="10"/>
      <c r="L3506" s="10"/>
      <c r="M3506" s="10"/>
      <c r="N3506" s="10"/>
      <c r="O3506" s="21"/>
    </row>
    <row r="3507" spans="1:15" x14ac:dyDescent="0.35">
      <c r="A3507" s="15">
        <f t="shared" si="54"/>
        <v>3505</v>
      </c>
      <c r="B3507" s="16"/>
      <c r="C3507" s="19"/>
      <c r="D3507" s="10"/>
      <c r="E3507" s="10"/>
      <c r="F3507" s="47"/>
      <c r="G3507" s="10"/>
      <c r="H3507" s="20"/>
      <c r="I3507" s="20"/>
      <c r="J3507" s="10"/>
      <c r="K3507" s="10"/>
      <c r="L3507" s="10"/>
      <c r="M3507" s="10"/>
      <c r="N3507" s="10"/>
      <c r="O3507" s="21"/>
    </row>
    <row r="3508" spans="1:15" x14ac:dyDescent="0.35">
      <c r="A3508" s="15">
        <f t="shared" si="54"/>
        <v>3506</v>
      </c>
      <c r="B3508" s="16"/>
      <c r="C3508" s="19"/>
      <c r="D3508" s="10"/>
      <c r="E3508" s="10"/>
      <c r="F3508" s="47"/>
      <c r="G3508" s="10"/>
      <c r="H3508" s="20"/>
      <c r="I3508" s="20"/>
      <c r="J3508" s="10"/>
      <c r="K3508" s="10"/>
      <c r="L3508" s="10"/>
      <c r="M3508" s="10"/>
      <c r="N3508" s="10"/>
      <c r="O3508" s="21"/>
    </row>
    <row r="3509" spans="1:15" x14ac:dyDescent="0.35">
      <c r="A3509" s="15">
        <f t="shared" si="54"/>
        <v>3507</v>
      </c>
      <c r="B3509" s="16"/>
      <c r="C3509" s="19"/>
      <c r="D3509" s="10"/>
      <c r="E3509" s="10"/>
      <c r="F3509" s="47"/>
      <c r="G3509" s="10"/>
      <c r="H3509" s="20"/>
      <c r="I3509" s="20"/>
      <c r="J3509" s="10"/>
      <c r="K3509" s="10"/>
      <c r="L3509" s="10"/>
      <c r="M3509" s="10"/>
      <c r="N3509" s="10"/>
      <c r="O3509" s="21"/>
    </row>
    <row r="3510" spans="1:15" x14ac:dyDescent="0.35">
      <c r="A3510" s="15">
        <f t="shared" si="54"/>
        <v>3508</v>
      </c>
      <c r="B3510" s="16"/>
      <c r="C3510" s="19"/>
      <c r="D3510" s="10"/>
      <c r="E3510" s="10"/>
      <c r="F3510" s="47"/>
      <c r="G3510" s="10"/>
      <c r="H3510" s="20"/>
      <c r="I3510" s="20"/>
      <c r="J3510" s="10"/>
      <c r="K3510" s="10"/>
      <c r="L3510" s="10"/>
      <c r="M3510" s="10"/>
      <c r="N3510" s="10"/>
      <c r="O3510" s="21"/>
    </row>
    <row r="3511" spans="1:15" x14ac:dyDescent="0.35">
      <c r="A3511" s="15">
        <f t="shared" si="54"/>
        <v>3509</v>
      </c>
      <c r="B3511" s="16"/>
      <c r="C3511" s="19"/>
      <c r="D3511" s="10"/>
      <c r="E3511" s="10"/>
      <c r="F3511" s="47"/>
      <c r="G3511" s="10"/>
      <c r="H3511" s="20"/>
      <c r="I3511" s="20"/>
      <c r="J3511" s="10"/>
      <c r="K3511" s="10"/>
      <c r="L3511" s="10"/>
      <c r="M3511" s="10"/>
      <c r="N3511" s="10"/>
      <c r="O3511" s="21"/>
    </row>
    <row r="3512" spans="1:15" x14ac:dyDescent="0.35">
      <c r="A3512" s="15">
        <f t="shared" si="54"/>
        <v>3510</v>
      </c>
      <c r="B3512" s="16"/>
      <c r="C3512" s="19"/>
      <c r="D3512" s="10"/>
      <c r="E3512" s="10"/>
      <c r="F3512" s="47"/>
      <c r="G3512" s="10"/>
      <c r="H3512" s="20"/>
      <c r="I3512" s="20"/>
      <c r="J3512" s="10"/>
      <c r="K3512" s="10"/>
      <c r="L3512" s="10"/>
      <c r="M3512" s="10"/>
      <c r="N3512" s="10"/>
      <c r="O3512" s="21"/>
    </row>
    <row r="3513" spans="1:15" x14ac:dyDescent="0.35">
      <c r="A3513" s="15">
        <f t="shared" si="54"/>
        <v>3511</v>
      </c>
      <c r="B3513" s="16"/>
      <c r="C3513" s="19"/>
      <c r="D3513" s="10"/>
      <c r="E3513" s="10"/>
      <c r="F3513" s="47"/>
      <c r="G3513" s="10"/>
      <c r="H3513" s="20"/>
      <c r="I3513" s="20"/>
      <c r="J3513" s="10"/>
      <c r="K3513" s="10"/>
      <c r="L3513" s="10"/>
      <c r="M3513" s="10"/>
      <c r="N3513" s="10"/>
      <c r="O3513" s="21"/>
    </row>
    <row r="3514" spans="1:15" x14ac:dyDescent="0.35">
      <c r="A3514" s="15">
        <f t="shared" si="54"/>
        <v>3512</v>
      </c>
      <c r="B3514" s="16"/>
      <c r="C3514" s="19"/>
      <c r="D3514" s="10"/>
      <c r="E3514" s="10"/>
      <c r="F3514" s="47"/>
      <c r="G3514" s="10"/>
      <c r="H3514" s="20"/>
      <c r="I3514" s="20"/>
      <c r="J3514" s="10"/>
      <c r="K3514" s="10"/>
      <c r="L3514" s="10"/>
      <c r="M3514" s="10"/>
      <c r="N3514" s="10"/>
      <c r="O3514" s="21"/>
    </row>
    <row r="3515" spans="1:15" x14ac:dyDescent="0.35">
      <c r="A3515" s="15">
        <f t="shared" si="54"/>
        <v>3513</v>
      </c>
      <c r="B3515" s="16"/>
      <c r="C3515" s="19"/>
      <c r="D3515" s="10"/>
      <c r="E3515" s="10"/>
      <c r="F3515" s="47"/>
      <c r="G3515" s="10"/>
      <c r="H3515" s="20"/>
      <c r="I3515" s="20"/>
      <c r="J3515" s="10"/>
      <c r="K3515" s="10"/>
      <c r="L3515" s="10"/>
      <c r="M3515" s="10"/>
      <c r="N3515" s="10"/>
      <c r="O3515" s="21"/>
    </row>
    <row r="3516" spans="1:15" x14ac:dyDescent="0.35">
      <c r="A3516" s="15">
        <f t="shared" si="54"/>
        <v>3514</v>
      </c>
      <c r="B3516" s="16"/>
      <c r="C3516" s="19"/>
      <c r="D3516" s="10"/>
      <c r="E3516" s="10"/>
      <c r="F3516" s="47"/>
      <c r="G3516" s="10"/>
      <c r="H3516" s="20"/>
      <c r="I3516" s="20"/>
      <c r="J3516" s="10"/>
      <c r="K3516" s="10"/>
      <c r="L3516" s="10"/>
      <c r="M3516" s="10"/>
      <c r="N3516" s="10"/>
      <c r="O3516" s="21"/>
    </row>
    <row r="3517" spans="1:15" x14ac:dyDescent="0.35">
      <c r="A3517" s="15">
        <f t="shared" si="54"/>
        <v>3515</v>
      </c>
      <c r="B3517" s="16"/>
      <c r="C3517" s="19"/>
      <c r="D3517" s="10"/>
      <c r="E3517" s="10"/>
      <c r="F3517" s="47"/>
      <c r="G3517" s="10"/>
      <c r="H3517" s="20"/>
      <c r="I3517" s="20"/>
      <c r="J3517" s="10"/>
      <c r="K3517" s="10"/>
      <c r="L3517" s="10"/>
      <c r="M3517" s="10"/>
      <c r="N3517" s="10"/>
      <c r="O3517" s="21"/>
    </row>
    <row r="3518" spans="1:15" x14ac:dyDescent="0.35">
      <c r="A3518" s="15">
        <f t="shared" si="54"/>
        <v>3516</v>
      </c>
      <c r="B3518" s="16"/>
      <c r="C3518" s="19"/>
      <c r="D3518" s="10"/>
      <c r="E3518" s="10"/>
      <c r="F3518" s="47"/>
      <c r="G3518" s="10"/>
      <c r="H3518" s="20"/>
      <c r="I3518" s="20"/>
      <c r="J3518" s="10"/>
      <c r="K3518" s="10"/>
      <c r="L3518" s="10"/>
      <c r="M3518" s="10"/>
      <c r="N3518" s="10"/>
      <c r="O3518" s="21"/>
    </row>
    <row r="3519" spans="1:15" x14ac:dyDescent="0.35">
      <c r="A3519" s="15">
        <f t="shared" si="54"/>
        <v>3517</v>
      </c>
      <c r="B3519" s="16"/>
      <c r="C3519" s="19"/>
      <c r="D3519" s="10"/>
      <c r="E3519" s="10"/>
      <c r="F3519" s="47"/>
      <c r="G3519" s="10"/>
      <c r="H3519" s="20"/>
      <c r="I3519" s="20"/>
      <c r="J3519" s="10"/>
      <c r="K3519" s="10"/>
      <c r="L3519" s="10"/>
      <c r="M3519" s="10"/>
      <c r="N3519" s="10"/>
      <c r="O3519" s="21"/>
    </row>
    <row r="3520" spans="1:15" x14ac:dyDescent="0.35">
      <c r="A3520" s="15">
        <f t="shared" si="54"/>
        <v>3518</v>
      </c>
      <c r="B3520" s="16"/>
      <c r="C3520" s="19"/>
      <c r="D3520" s="10"/>
      <c r="E3520" s="10"/>
      <c r="F3520" s="47"/>
      <c r="G3520" s="10"/>
      <c r="H3520" s="20"/>
      <c r="I3520" s="20"/>
      <c r="J3520" s="10"/>
      <c r="K3520" s="10"/>
      <c r="L3520" s="10"/>
      <c r="M3520" s="10"/>
      <c r="N3520" s="10"/>
      <c r="O3520" s="21"/>
    </row>
    <row r="3521" spans="1:15" x14ac:dyDescent="0.35">
      <c r="A3521" s="15">
        <f t="shared" si="54"/>
        <v>3519</v>
      </c>
      <c r="B3521" s="16"/>
      <c r="C3521" s="19"/>
      <c r="D3521" s="10"/>
      <c r="E3521" s="10"/>
      <c r="F3521" s="47"/>
      <c r="G3521" s="10"/>
      <c r="H3521" s="20"/>
      <c r="I3521" s="20"/>
      <c r="J3521" s="10"/>
      <c r="K3521" s="10"/>
      <c r="L3521" s="10"/>
      <c r="M3521" s="10"/>
      <c r="N3521" s="10"/>
      <c r="O3521" s="21"/>
    </row>
    <row r="3522" spans="1:15" x14ac:dyDescent="0.35">
      <c r="A3522" s="15">
        <f t="shared" si="54"/>
        <v>3520</v>
      </c>
      <c r="B3522" s="16"/>
      <c r="C3522" s="19"/>
      <c r="D3522" s="10"/>
      <c r="E3522" s="10"/>
      <c r="F3522" s="47"/>
      <c r="G3522" s="10"/>
      <c r="H3522" s="20"/>
      <c r="I3522" s="20"/>
      <c r="J3522" s="10"/>
      <c r="K3522" s="10"/>
      <c r="L3522" s="10"/>
      <c r="M3522" s="10"/>
      <c r="N3522" s="10"/>
      <c r="O3522" s="21"/>
    </row>
    <row r="3523" spans="1:15" x14ac:dyDescent="0.35">
      <c r="A3523" s="15">
        <f t="shared" si="54"/>
        <v>3521</v>
      </c>
      <c r="B3523" s="16"/>
      <c r="C3523" s="19"/>
      <c r="D3523" s="10"/>
      <c r="E3523" s="10"/>
      <c r="F3523" s="47"/>
      <c r="G3523" s="10"/>
      <c r="H3523" s="20"/>
      <c r="I3523" s="20"/>
      <c r="J3523" s="10"/>
      <c r="K3523" s="10"/>
      <c r="L3523" s="10"/>
      <c r="M3523" s="10"/>
      <c r="N3523" s="10"/>
      <c r="O3523" s="21"/>
    </row>
    <row r="3524" spans="1:15" x14ac:dyDescent="0.35">
      <c r="A3524" s="15">
        <f t="shared" si="54"/>
        <v>3522</v>
      </c>
      <c r="B3524" s="16"/>
      <c r="C3524" s="19"/>
      <c r="D3524" s="10"/>
      <c r="E3524" s="10"/>
      <c r="F3524" s="47"/>
      <c r="G3524" s="10"/>
      <c r="H3524" s="20"/>
      <c r="I3524" s="20"/>
      <c r="J3524" s="10"/>
      <c r="K3524" s="10"/>
      <c r="L3524" s="10"/>
      <c r="M3524" s="10"/>
      <c r="N3524" s="10"/>
      <c r="O3524" s="21"/>
    </row>
    <row r="3525" spans="1:15" x14ac:dyDescent="0.35">
      <c r="A3525" s="15">
        <f t="shared" si="54"/>
        <v>3523</v>
      </c>
      <c r="B3525" s="16"/>
      <c r="C3525" s="19"/>
      <c r="D3525" s="10"/>
      <c r="E3525" s="10"/>
      <c r="F3525" s="47"/>
      <c r="G3525" s="10"/>
      <c r="H3525" s="20"/>
      <c r="I3525" s="20"/>
      <c r="J3525" s="10"/>
      <c r="K3525" s="10"/>
      <c r="L3525" s="10"/>
      <c r="M3525" s="10"/>
      <c r="N3525" s="10"/>
      <c r="O3525" s="21"/>
    </row>
    <row r="3526" spans="1:15" x14ac:dyDescent="0.35">
      <c r="A3526" s="15">
        <f t="shared" si="54"/>
        <v>3524</v>
      </c>
      <c r="B3526" s="16"/>
      <c r="C3526" s="19"/>
      <c r="D3526" s="10"/>
      <c r="E3526" s="10"/>
      <c r="F3526" s="47"/>
      <c r="G3526" s="10"/>
      <c r="H3526" s="20"/>
      <c r="I3526" s="20"/>
      <c r="J3526" s="10"/>
      <c r="K3526" s="10"/>
      <c r="L3526" s="10"/>
      <c r="M3526" s="10"/>
      <c r="N3526" s="10"/>
      <c r="O3526" s="21"/>
    </row>
    <row r="3527" spans="1:15" x14ac:dyDescent="0.35">
      <c r="A3527" s="15">
        <f t="shared" si="54"/>
        <v>3525</v>
      </c>
      <c r="B3527" s="16"/>
      <c r="C3527" s="19"/>
      <c r="D3527" s="10"/>
      <c r="E3527" s="10"/>
      <c r="F3527" s="47"/>
      <c r="G3527" s="10"/>
      <c r="H3527" s="20"/>
      <c r="I3527" s="20"/>
      <c r="J3527" s="10"/>
      <c r="K3527" s="10"/>
      <c r="L3527" s="10"/>
      <c r="M3527" s="10"/>
      <c r="N3527" s="10"/>
      <c r="O3527" s="21"/>
    </row>
    <row r="3528" spans="1:15" x14ac:dyDescent="0.35">
      <c r="A3528" s="15">
        <f t="shared" si="54"/>
        <v>3526</v>
      </c>
      <c r="B3528" s="16"/>
      <c r="C3528" s="19"/>
      <c r="D3528" s="10"/>
      <c r="E3528" s="10"/>
      <c r="F3528" s="47"/>
      <c r="G3528" s="10"/>
      <c r="H3528" s="20"/>
      <c r="I3528" s="20"/>
      <c r="J3528" s="10"/>
      <c r="K3528" s="10"/>
      <c r="L3528" s="10"/>
      <c r="M3528" s="10"/>
      <c r="N3528" s="10"/>
      <c r="O3528" s="21"/>
    </row>
    <row r="3529" spans="1:15" x14ac:dyDescent="0.35">
      <c r="A3529" s="15">
        <f t="shared" si="54"/>
        <v>3527</v>
      </c>
      <c r="B3529" s="16"/>
      <c r="C3529" s="19"/>
      <c r="D3529" s="10"/>
      <c r="E3529" s="10"/>
      <c r="F3529" s="47"/>
      <c r="G3529" s="10"/>
      <c r="H3529" s="20"/>
      <c r="I3529" s="20"/>
      <c r="J3529" s="10"/>
      <c r="K3529" s="10"/>
      <c r="L3529" s="10"/>
      <c r="M3529" s="10"/>
      <c r="N3529" s="10"/>
      <c r="O3529" s="21"/>
    </row>
    <row r="3530" spans="1:15" x14ac:dyDescent="0.35">
      <c r="A3530" s="15">
        <f t="shared" si="54"/>
        <v>3528</v>
      </c>
      <c r="B3530" s="16"/>
      <c r="C3530" s="19"/>
      <c r="D3530" s="10"/>
      <c r="E3530" s="10"/>
      <c r="F3530" s="47"/>
      <c r="G3530" s="10"/>
      <c r="H3530" s="20"/>
      <c r="I3530" s="20"/>
      <c r="J3530" s="10"/>
      <c r="K3530" s="10"/>
      <c r="L3530" s="10"/>
      <c r="M3530" s="10"/>
      <c r="N3530" s="10"/>
      <c r="O3530" s="21"/>
    </row>
    <row r="3531" spans="1:15" x14ac:dyDescent="0.35">
      <c r="A3531" s="15">
        <f t="shared" ref="A3531:A3594" si="55">+A3530+1</f>
        <v>3529</v>
      </c>
      <c r="B3531" s="16"/>
      <c r="C3531" s="19"/>
      <c r="D3531" s="10"/>
      <c r="E3531" s="10"/>
      <c r="F3531" s="47"/>
      <c r="G3531" s="10"/>
      <c r="H3531" s="20"/>
      <c r="I3531" s="20"/>
      <c r="J3531" s="10"/>
      <c r="K3531" s="10"/>
      <c r="L3531" s="10"/>
      <c r="M3531" s="10"/>
      <c r="N3531" s="10"/>
      <c r="O3531" s="21"/>
    </row>
    <row r="3532" spans="1:15" x14ac:dyDescent="0.35">
      <c r="A3532" s="15">
        <f t="shared" si="55"/>
        <v>3530</v>
      </c>
      <c r="B3532" s="16"/>
      <c r="C3532" s="19"/>
      <c r="D3532" s="10"/>
      <c r="E3532" s="10"/>
      <c r="F3532" s="47"/>
      <c r="G3532" s="10"/>
      <c r="H3532" s="20"/>
      <c r="I3532" s="20"/>
      <c r="J3532" s="10"/>
      <c r="K3532" s="10"/>
      <c r="L3532" s="10"/>
      <c r="M3532" s="10"/>
      <c r="N3532" s="10"/>
      <c r="O3532" s="21"/>
    </row>
    <row r="3533" spans="1:15" x14ac:dyDescent="0.35">
      <c r="A3533" s="15">
        <f t="shared" si="55"/>
        <v>3531</v>
      </c>
      <c r="B3533" s="16"/>
      <c r="C3533" s="19"/>
      <c r="D3533" s="10"/>
      <c r="E3533" s="10"/>
      <c r="F3533" s="47"/>
      <c r="G3533" s="10"/>
      <c r="H3533" s="20"/>
      <c r="I3533" s="20"/>
      <c r="J3533" s="10"/>
      <c r="K3533" s="10"/>
      <c r="L3533" s="10"/>
      <c r="M3533" s="10"/>
      <c r="N3533" s="10"/>
      <c r="O3533" s="21"/>
    </row>
    <row r="3534" spans="1:15" x14ac:dyDescent="0.35">
      <c r="A3534" s="15">
        <f t="shared" si="55"/>
        <v>3532</v>
      </c>
      <c r="B3534" s="16"/>
      <c r="C3534" s="19"/>
      <c r="D3534" s="10"/>
      <c r="E3534" s="10"/>
      <c r="F3534" s="47"/>
      <c r="G3534" s="10"/>
      <c r="H3534" s="20"/>
      <c r="I3534" s="20"/>
      <c r="J3534" s="10"/>
      <c r="K3534" s="10"/>
      <c r="L3534" s="10"/>
      <c r="M3534" s="10"/>
      <c r="N3534" s="10"/>
      <c r="O3534" s="21"/>
    </row>
    <row r="3535" spans="1:15" x14ac:dyDescent="0.35">
      <c r="A3535" s="15">
        <f t="shared" si="55"/>
        <v>3533</v>
      </c>
      <c r="B3535" s="16"/>
      <c r="C3535" s="19"/>
      <c r="D3535" s="10"/>
      <c r="E3535" s="10"/>
      <c r="F3535" s="47"/>
      <c r="G3535" s="10"/>
      <c r="H3535" s="20"/>
      <c r="I3535" s="20"/>
      <c r="J3535" s="10"/>
      <c r="K3535" s="10"/>
      <c r="L3535" s="10"/>
      <c r="M3535" s="10"/>
      <c r="N3535" s="10"/>
      <c r="O3535" s="21"/>
    </row>
    <row r="3536" spans="1:15" x14ac:dyDescent="0.35">
      <c r="A3536" s="15">
        <f t="shared" si="55"/>
        <v>3534</v>
      </c>
      <c r="B3536" s="16"/>
      <c r="C3536" s="19"/>
      <c r="D3536" s="10"/>
      <c r="E3536" s="10"/>
      <c r="F3536" s="47"/>
      <c r="G3536" s="10"/>
      <c r="H3536" s="20"/>
      <c r="I3536" s="20"/>
      <c r="J3536" s="10"/>
      <c r="K3536" s="10"/>
      <c r="L3536" s="10"/>
      <c r="M3536" s="10"/>
      <c r="N3536" s="10"/>
      <c r="O3536" s="21"/>
    </row>
    <row r="3537" spans="1:15" x14ac:dyDescent="0.35">
      <c r="A3537" s="15">
        <f t="shared" si="55"/>
        <v>3535</v>
      </c>
      <c r="B3537" s="16"/>
      <c r="C3537" s="19"/>
      <c r="D3537" s="10"/>
      <c r="E3537" s="10"/>
      <c r="F3537" s="47"/>
      <c r="G3537" s="10"/>
      <c r="H3537" s="20"/>
      <c r="I3537" s="20"/>
      <c r="J3537" s="10"/>
      <c r="K3537" s="10"/>
      <c r="L3537" s="10"/>
      <c r="M3537" s="10"/>
      <c r="N3537" s="10"/>
      <c r="O3537" s="21"/>
    </row>
    <row r="3538" spans="1:15" x14ac:dyDescent="0.35">
      <c r="A3538" s="15">
        <f t="shared" si="55"/>
        <v>3536</v>
      </c>
      <c r="B3538" s="16"/>
      <c r="C3538" s="19"/>
      <c r="D3538" s="10"/>
      <c r="E3538" s="10"/>
      <c r="F3538" s="47"/>
      <c r="G3538" s="10"/>
      <c r="H3538" s="20"/>
      <c r="I3538" s="20"/>
      <c r="J3538" s="10"/>
      <c r="K3538" s="10"/>
      <c r="L3538" s="10"/>
      <c r="M3538" s="10"/>
      <c r="N3538" s="10"/>
      <c r="O3538" s="21"/>
    </row>
    <row r="3539" spans="1:15" x14ac:dyDescent="0.35">
      <c r="A3539" s="15">
        <f t="shared" si="55"/>
        <v>3537</v>
      </c>
      <c r="B3539" s="16"/>
      <c r="C3539" s="19"/>
      <c r="D3539" s="10"/>
      <c r="E3539" s="10"/>
      <c r="F3539" s="47"/>
      <c r="G3539" s="10"/>
      <c r="H3539" s="20"/>
      <c r="I3539" s="20"/>
      <c r="J3539" s="10"/>
      <c r="K3539" s="10"/>
      <c r="L3539" s="10"/>
      <c r="M3539" s="10"/>
      <c r="N3539" s="10"/>
      <c r="O3539" s="21"/>
    </row>
    <row r="3540" spans="1:15" x14ac:dyDescent="0.35">
      <c r="A3540" s="15">
        <f t="shared" si="55"/>
        <v>3538</v>
      </c>
      <c r="B3540" s="16"/>
      <c r="C3540" s="19"/>
      <c r="D3540" s="10"/>
      <c r="E3540" s="10"/>
      <c r="F3540" s="47"/>
      <c r="G3540" s="10"/>
      <c r="H3540" s="20"/>
      <c r="I3540" s="20"/>
      <c r="J3540" s="10"/>
      <c r="K3540" s="10"/>
      <c r="L3540" s="10"/>
      <c r="M3540" s="10"/>
      <c r="N3540" s="10"/>
      <c r="O3540" s="21"/>
    </row>
    <row r="3541" spans="1:15" x14ac:dyDescent="0.35">
      <c r="A3541" s="15">
        <f t="shared" si="55"/>
        <v>3539</v>
      </c>
      <c r="B3541" s="16"/>
      <c r="C3541" s="19"/>
      <c r="D3541" s="10"/>
      <c r="E3541" s="10"/>
      <c r="F3541" s="47"/>
      <c r="G3541" s="10"/>
      <c r="H3541" s="20"/>
      <c r="I3541" s="20"/>
      <c r="J3541" s="10"/>
      <c r="K3541" s="10"/>
      <c r="L3541" s="10"/>
      <c r="M3541" s="10"/>
      <c r="N3541" s="10"/>
      <c r="O3541" s="21"/>
    </row>
    <row r="3542" spans="1:15" x14ac:dyDescent="0.35">
      <c r="A3542" s="15">
        <f t="shared" si="55"/>
        <v>3540</v>
      </c>
      <c r="B3542" s="16"/>
      <c r="C3542" s="19"/>
      <c r="D3542" s="10"/>
      <c r="E3542" s="10"/>
      <c r="F3542" s="47"/>
      <c r="G3542" s="10"/>
      <c r="H3542" s="20"/>
      <c r="I3542" s="20"/>
      <c r="J3542" s="10"/>
      <c r="K3542" s="10"/>
      <c r="L3542" s="10"/>
      <c r="M3542" s="10"/>
      <c r="N3542" s="10"/>
      <c r="O3542" s="21"/>
    </row>
    <row r="3543" spans="1:15" x14ac:dyDescent="0.35">
      <c r="A3543" s="15">
        <f t="shared" si="55"/>
        <v>3541</v>
      </c>
      <c r="B3543" s="16"/>
      <c r="C3543" s="19"/>
      <c r="D3543" s="10"/>
      <c r="E3543" s="10"/>
      <c r="F3543" s="47"/>
      <c r="G3543" s="10"/>
      <c r="H3543" s="20"/>
      <c r="I3543" s="20"/>
      <c r="J3543" s="10"/>
      <c r="K3543" s="10"/>
      <c r="L3543" s="10"/>
      <c r="M3543" s="10"/>
      <c r="N3543" s="10"/>
      <c r="O3543" s="21"/>
    </row>
    <row r="3544" spans="1:15" x14ac:dyDescent="0.35">
      <c r="A3544" s="15">
        <f t="shared" si="55"/>
        <v>3542</v>
      </c>
      <c r="B3544" s="16"/>
      <c r="C3544" s="19"/>
      <c r="D3544" s="10"/>
      <c r="E3544" s="10"/>
      <c r="F3544" s="47"/>
      <c r="G3544" s="10"/>
      <c r="H3544" s="20"/>
      <c r="I3544" s="20"/>
      <c r="J3544" s="10"/>
      <c r="K3544" s="10"/>
      <c r="L3544" s="10"/>
      <c r="M3544" s="10"/>
      <c r="N3544" s="10"/>
      <c r="O3544" s="21"/>
    </row>
    <row r="3545" spans="1:15" x14ac:dyDescent="0.35">
      <c r="A3545" s="15">
        <f t="shared" si="55"/>
        <v>3543</v>
      </c>
      <c r="B3545" s="16"/>
      <c r="C3545" s="19"/>
      <c r="D3545" s="10"/>
      <c r="E3545" s="10"/>
      <c r="F3545" s="47"/>
      <c r="G3545" s="10"/>
      <c r="H3545" s="20"/>
      <c r="I3545" s="20"/>
      <c r="J3545" s="10"/>
      <c r="K3545" s="10"/>
      <c r="L3545" s="10"/>
      <c r="M3545" s="10"/>
      <c r="N3545" s="10"/>
      <c r="O3545" s="21"/>
    </row>
    <row r="3546" spans="1:15" x14ac:dyDescent="0.35">
      <c r="A3546" s="15">
        <f t="shared" si="55"/>
        <v>3544</v>
      </c>
      <c r="B3546" s="16"/>
      <c r="C3546" s="19"/>
      <c r="D3546" s="10"/>
      <c r="E3546" s="10"/>
      <c r="F3546" s="47"/>
      <c r="G3546" s="10"/>
      <c r="H3546" s="20"/>
      <c r="I3546" s="20"/>
      <c r="J3546" s="10"/>
      <c r="K3546" s="10"/>
      <c r="L3546" s="10"/>
      <c r="M3546" s="10"/>
      <c r="N3546" s="10"/>
      <c r="O3546" s="21"/>
    </row>
    <row r="3547" spans="1:15" x14ac:dyDescent="0.35">
      <c r="A3547" s="15">
        <f t="shared" si="55"/>
        <v>3545</v>
      </c>
      <c r="B3547" s="16"/>
      <c r="C3547" s="19"/>
      <c r="D3547" s="10"/>
      <c r="E3547" s="10"/>
      <c r="F3547" s="47"/>
      <c r="G3547" s="10"/>
      <c r="H3547" s="20"/>
      <c r="I3547" s="20"/>
      <c r="J3547" s="10"/>
      <c r="K3547" s="10"/>
      <c r="L3547" s="10"/>
      <c r="M3547" s="10"/>
      <c r="N3547" s="10"/>
      <c r="O3547" s="21"/>
    </row>
    <row r="3548" spans="1:15" x14ac:dyDescent="0.35">
      <c r="A3548" s="15">
        <f t="shared" si="55"/>
        <v>3546</v>
      </c>
      <c r="B3548" s="16"/>
      <c r="C3548" s="19"/>
      <c r="D3548" s="10"/>
      <c r="E3548" s="10"/>
      <c r="F3548" s="47"/>
      <c r="G3548" s="10"/>
      <c r="H3548" s="20"/>
      <c r="I3548" s="20"/>
      <c r="J3548" s="10"/>
      <c r="K3548" s="10"/>
      <c r="L3548" s="10"/>
      <c r="M3548" s="10"/>
      <c r="N3548" s="10"/>
      <c r="O3548" s="21"/>
    </row>
    <row r="3549" spans="1:15" x14ac:dyDescent="0.35">
      <c r="A3549" s="15">
        <f t="shared" si="55"/>
        <v>3547</v>
      </c>
      <c r="B3549" s="16"/>
      <c r="C3549" s="19"/>
      <c r="D3549" s="10"/>
      <c r="E3549" s="10"/>
      <c r="F3549" s="47"/>
      <c r="G3549" s="10"/>
      <c r="H3549" s="20"/>
      <c r="I3549" s="20"/>
      <c r="J3549" s="10"/>
      <c r="K3549" s="10"/>
      <c r="L3549" s="10"/>
      <c r="M3549" s="10"/>
      <c r="N3549" s="10"/>
      <c r="O3549" s="21"/>
    </row>
    <row r="3550" spans="1:15" x14ac:dyDescent="0.35">
      <c r="A3550" s="15">
        <f t="shared" si="55"/>
        <v>3548</v>
      </c>
      <c r="B3550" s="16"/>
      <c r="C3550" s="19"/>
      <c r="D3550" s="10"/>
      <c r="E3550" s="10"/>
      <c r="F3550" s="47"/>
      <c r="G3550" s="10"/>
      <c r="H3550" s="20"/>
      <c r="I3550" s="20"/>
      <c r="J3550" s="10"/>
      <c r="K3550" s="10"/>
      <c r="L3550" s="10"/>
      <c r="M3550" s="10"/>
      <c r="N3550" s="10"/>
      <c r="O3550" s="21"/>
    </row>
    <row r="3551" spans="1:15" x14ac:dyDescent="0.35">
      <c r="A3551" s="15">
        <f t="shared" si="55"/>
        <v>3549</v>
      </c>
      <c r="B3551" s="16"/>
      <c r="C3551" s="19"/>
      <c r="D3551" s="10"/>
      <c r="E3551" s="10"/>
      <c r="F3551" s="47"/>
      <c r="G3551" s="10"/>
      <c r="H3551" s="20"/>
      <c r="I3551" s="20"/>
      <c r="J3551" s="10"/>
      <c r="K3551" s="10"/>
      <c r="L3551" s="10"/>
      <c r="M3551" s="10"/>
      <c r="N3551" s="10"/>
      <c r="O3551" s="21"/>
    </row>
    <row r="3552" spans="1:15" x14ac:dyDescent="0.35">
      <c r="A3552" s="15">
        <f t="shared" si="55"/>
        <v>3550</v>
      </c>
      <c r="B3552" s="16"/>
      <c r="C3552" s="19"/>
      <c r="D3552" s="10"/>
      <c r="E3552" s="10"/>
      <c r="F3552" s="47"/>
      <c r="G3552" s="10"/>
      <c r="H3552" s="20"/>
      <c r="I3552" s="20"/>
      <c r="J3552" s="10"/>
      <c r="K3552" s="10"/>
      <c r="L3552" s="10"/>
      <c r="M3552" s="10"/>
      <c r="N3552" s="10"/>
      <c r="O3552" s="21"/>
    </row>
    <row r="3553" spans="1:15" x14ac:dyDescent="0.35">
      <c r="A3553" s="15">
        <f t="shared" si="55"/>
        <v>3551</v>
      </c>
      <c r="B3553" s="16"/>
      <c r="C3553" s="19"/>
      <c r="D3553" s="10"/>
      <c r="E3553" s="10"/>
      <c r="F3553" s="47"/>
      <c r="G3553" s="10"/>
      <c r="H3553" s="20"/>
      <c r="I3553" s="20"/>
      <c r="J3553" s="10"/>
      <c r="K3553" s="10"/>
      <c r="L3553" s="10"/>
      <c r="M3553" s="10"/>
      <c r="N3553" s="10"/>
      <c r="O3553" s="21"/>
    </row>
    <row r="3554" spans="1:15" x14ac:dyDescent="0.35">
      <c r="A3554" s="15">
        <f t="shared" si="55"/>
        <v>3552</v>
      </c>
      <c r="B3554" s="16"/>
      <c r="C3554" s="19"/>
      <c r="D3554" s="10"/>
      <c r="E3554" s="10"/>
      <c r="F3554" s="47"/>
      <c r="G3554" s="10"/>
      <c r="H3554" s="20"/>
      <c r="I3554" s="20"/>
      <c r="J3554" s="10"/>
      <c r="K3554" s="10"/>
      <c r="L3554" s="10"/>
      <c r="M3554" s="10"/>
      <c r="N3554" s="10"/>
      <c r="O3554" s="21"/>
    </row>
    <row r="3555" spans="1:15" x14ac:dyDescent="0.35">
      <c r="A3555" s="15">
        <f t="shared" si="55"/>
        <v>3553</v>
      </c>
      <c r="B3555" s="16"/>
      <c r="C3555" s="19"/>
      <c r="D3555" s="10"/>
      <c r="E3555" s="10"/>
      <c r="F3555" s="47"/>
      <c r="G3555" s="10"/>
      <c r="H3555" s="20"/>
      <c r="I3555" s="20"/>
      <c r="J3555" s="10"/>
      <c r="K3555" s="10"/>
      <c r="L3555" s="10"/>
      <c r="M3555" s="10"/>
      <c r="N3555" s="10"/>
      <c r="O3555" s="21"/>
    </row>
    <row r="3556" spans="1:15" x14ac:dyDescent="0.35">
      <c r="A3556" s="15">
        <f t="shared" si="55"/>
        <v>3554</v>
      </c>
      <c r="B3556" s="16"/>
      <c r="C3556" s="19"/>
      <c r="D3556" s="10"/>
      <c r="E3556" s="10"/>
      <c r="F3556" s="47"/>
      <c r="G3556" s="10"/>
      <c r="H3556" s="20"/>
      <c r="I3556" s="20"/>
      <c r="J3556" s="10"/>
      <c r="K3556" s="10"/>
      <c r="L3556" s="10"/>
      <c r="M3556" s="10"/>
      <c r="N3556" s="10"/>
      <c r="O3556" s="21"/>
    </row>
    <row r="3557" spans="1:15" x14ac:dyDescent="0.35">
      <c r="A3557" s="15">
        <f t="shared" si="55"/>
        <v>3555</v>
      </c>
      <c r="B3557" s="16"/>
      <c r="C3557" s="19"/>
      <c r="D3557" s="10"/>
      <c r="E3557" s="10"/>
      <c r="F3557" s="47"/>
      <c r="G3557" s="10"/>
      <c r="H3557" s="20"/>
      <c r="I3557" s="20"/>
      <c r="J3557" s="10"/>
      <c r="K3557" s="10"/>
      <c r="L3557" s="10"/>
      <c r="M3557" s="10"/>
      <c r="N3557" s="10"/>
      <c r="O3557" s="21"/>
    </row>
    <row r="3558" spans="1:15" x14ac:dyDescent="0.35">
      <c r="A3558" s="15">
        <f t="shared" si="55"/>
        <v>3556</v>
      </c>
      <c r="B3558" s="16"/>
      <c r="C3558" s="19"/>
      <c r="D3558" s="10"/>
      <c r="E3558" s="10"/>
      <c r="F3558" s="47"/>
      <c r="G3558" s="10"/>
      <c r="H3558" s="20"/>
      <c r="I3558" s="20"/>
      <c r="J3558" s="10"/>
      <c r="K3558" s="10"/>
      <c r="L3558" s="10"/>
      <c r="M3558" s="10"/>
      <c r="N3558" s="10"/>
      <c r="O3558" s="21"/>
    </row>
    <row r="3559" spans="1:15" x14ac:dyDescent="0.35">
      <c r="A3559" s="15">
        <f t="shared" si="55"/>
        <v>3557</v>
      </c>
      <c r="B3559" s="16"/>
      <c r="C3559" s="19"/>
      <c r="D3559" s="10"/>
      <c r="E3559" s="10"/>
      <c r="F3559" s="47"/>
      <c r="G3559" s="10"/>
      <c r="H3559" s="20"/>
      <c r="I3559" s="20"/>
      <c r="J3559" s="10"/>
      <c r="K3559" s="10"/>
      <c r="L3559" s="10"/>
      <c r="M3559" s="10"/>
      <c r="N3559" s="10"/>
      <c r="O3559" s="21"/>
    </row>
    <row r="3560" spans="1:15" x14ac:dyDescent="0.35">
      <c r="A3560" s="15">
        <f t="shared" si="55"/>
        <v>3558</v>
      </c>
      <c r="B3560" s="16"/>
      <c r="C3560" s="19"/>
      <c r="D3560" s="10"/>
      <c r="E3560" s="10"/>
      <c r="F3560" s="47"/>
      <c r="G3560" s="10"/>
      <c r="H3560" s="20"/>
      <c r="I3560" s="20"/>
      <c r="J3560" s="10"/>
      <c r="K3560" s="10"/>
      <c r="L3560" s="10"/>
      <c r="M3560" s="10"/>
      <c r="N3560" s="10"/>
      <c r="O3560" s="21"/>
    </row>
    <row r="3561" spans="1:15" x14ac:dyDescent="0.35">
      <c r="A3561" s="15">
        <f t="shared" si="55"/>
        <v>3559</v>
      </c>
      <c r="B3561" s="16"/>
      <c r="C3561" s="19"/>
      <c r="D3561" s="10"/>
      <c r="E3561" s="10"/>
      <c r="F3561" s="47"/>
      <c r="G3561" s="10"/>
      <c r="H3561" s="20"/>
      <c r="I3561" s="20"/>
      <c r="J3561" s="10"/>
      <c r="K3561" s="10"/>
      <c r="L3561" s="10"/>
      <c r="M3561" s="10"/>
      <c r="N3561" s="10"/>
      <c r="O3561" s="21"/>
    </row>
    <row r="3562" spans="1:15" x14ac:dyDescent="0.35">
      <c r="A3562" s="15">
        <f t="shared" si="55"/>
        <v>3560</v>
      </c>
      <c r="B3562" s="16"/>
      <c r="C3562" s="19"/>
      <c r="D3562" s="10"/>
      <c r="E3562" s="10"/>
      <c r="F3562" s="47"/>
      <c r="G3562" s="10"/>
      <c r="H3562" s="20"/>
      <c r="I3562" s="20"/>
      <c r="J3562" s="10"/>
      <c r="K3562" s="10"/>
      <c r="L3562" s="10"/>
      <c r="M3562" s="10"/>
      <c r="N3562" s="10"/>
      <c r="O3562" s="21"/>
    </row>
    <row r="3563" spans="1:15" x14ac:dyDescent="0.35">
      <c r="A3563" s="15">
        <f t="shared" si="55"/>
        <v>3561</v>
      </c>
      <c r="B3563" s="16"/>
      <c r="C3563" s="19"/>
      <c r="D3563" s="10"/>
      <c r="E3563" s="10"/>
      <c r="F3563" s="47"/>
      <c r="G3563" s="10"/>
      <c r="H3563" s="20"/>
      <c r="I3563" s="20"/>
      <c r="J3563" s="10"/>
      <c r="K3563" s="10"/>
      <c r="L3563" s="10"/>
      <c r="M3563" s="10"/>
      <c r="N3563" s="10"/>
      <c r="O3563" s="21"/>
    </row>
    <row r="3564" spans="1:15" x14ac:dyDescent="0.35">
      <c r="A3564" s="15">
        <f t="shared" si="55"/>
        <v>3562</v>
      </c>
      <c r="B3564" s="16"/>
      <c r="C3564" s="19"/>
      <c r="D3564" s="10"/>
      <c r="E3564" s="10"/>
      <c r="F3564" s="47"/>
      <c r="G3564" s="10"/>
      <c r="H3564" s="20"/>
      <c r="I3564" s="20"/>
      <c r="J3564" s="10"/>
      <c r="K3564" s="10"/>
      <c r="L3564" s="10"/>
      <c r="M3564" s="10"/>
      <c r="N3564" s="10"/>
      <c r="O3564" s="21"/>
    </row>
    <row r="3565" spans="1:15" x14ac:dyDescent="0.35">
      <c r="A3565" s="15">
        <f t="shared" si="55"/>
        <v>3563</v>
      </c>
      <c r="B3565" s="16"/>
      <c r="C3565" s="19"/>
      <c r="D3565" s="10"/>
      <c r="E3565" s="10"/>
      <c r="F3565" s="47"/>
      <c r="G3565" s="10"/>
      <c r="H3565" s="20"/>
      <c r="I3565" s="20"/>
      <c r="J3565" s="10"/>
      <c r="K3565" s="10"/>
      <c r="L3565" s="10"/>
      <c r="M3565" s="10"/>
      <c r="N3565" s="10"/>
      <c r="O3565" s="21"/>
    </row>
    <row r="3566" spans="1:15" x14ac:dyDescent="0.35">
      <c r="A3566" s="15">
        <f t="shared" si="55"/>
        <v>3564</v>
      </c>
      <c r="B3566" s="16"/>
      <c r="C3566" s="19"/>
      <c r="D3566" s="10"/>
      <c r="E3566" s="10"/>
      <c r="F3566" s="47"/>
      <c r="G3566" s="10"/>
      <c r="H3566" s="20"/>
      <c r="I3566" s="20"/>
      <c r="J3566" s="10"/>
      <c r="K3566" s="10"/>
      <c r="L3566" s="10"/>
      <c r="M3566" s="10"/>
      <c r="N3566" s="10"/>
      <c r="O3566" s="21"/>
    </row>
    <row r="3567" spans="1:15" x14ac:dyDescent="0.35">
      <c r="A3567" s="15">
        <f t="shared" si="55"/>
        <v>3565</v>
      </c>
      <c r="B3567" s="16"/>
      <c r="C3567" s="19"/>
      <c r="D3567" s="10"/>
      <c r="E3567" s="10"/>
      <c r="F3567" s="47"/>
      <c r="G3567" s="10"/>
      <c r="H3567" s="20"/>
      <c r="I3567" s="20"/>
      <c r="J3567" s="10"/>
      <c r="K3567" s="10"/>
      <c r="L3567" s="10"/>
      <c r="M3567" s="10"/>
      <c r="N3567" s="10"/>
      <c r="O3567" s="21"/>
    </row>
    <row r="3568" spans="1:15" x14ac:dyDescent="0.35">
      <c r="A3568" s="15">
        <f t="shared" si="55"/>
        <v>3566</v>
      </c>
      <c r="B3568" s="16"/>
      <c r="C3568" s="19"/>
      <c r="D3568" s="10"/>
      <c r="E3568" s="10"/>
      <c r="F3568" s="47"/>
      <c r="G3568" s="10"/>
      <c r="H3568" s="20"/>
      <c r="I3568" s="20"/>
      <c r="J3568" s="10"/>
      <c r="K3568" s="10"/>
      <c r="L3568" s="10"/>
      <c r="M3568" s="10"/>
      <c r="N3568" s="10"/>
      <c r="O3568" s="21"/>
    </row>
    <row r="3569" spans="1:15" x14ac:dyDescent="0.35">
      <c r="A3569" s="15">
        <f t="shared" si="55"/>
        <v>3567</v>
      </c>
      <c r="B3569" s="16"/>
      <c r="C3569" s="19"/>
      <c r="D3569" s="10"/>
      <c r="E3569" s="10"/>
      <c r="F3569" s="47"/>
      <c r="G3569" s="10"/>
      <c r="H3569" s="20"/>
      <c r="I3569" s="20"/>
      <c r="J3569" s="10"/>
      <c r="K3569" s="10"/>
      <c r="L3569" s="10"/>
      <c r="M3569" s="10"/>
      <c r="N3569" s="10"/>
      <c r="O3569" s="21"/>
    </row>
    <row r="3570" spans="1:15" x14ac:dyDescent="0.35">
      <c r="A3570" s="15">
        <f t="shared" si="55"/>
        <v>3568</v>
      </c>
      <c r="B3570" s="16"/>
      <c r="C3570" s="19"/>
      <c r="D3570" s="10"/>
      <c r="E3570" s="10"/>
      <c r="F3570" s="47"/>
      <c r="G3570" s="10"/>
      <c r="H3570" s="20"/>
      <c r="I3570" s="20"/>
      <c r="J3570" s="10"/>
      <c r="K3570" s="10"/>
      <c r="L3570" s="10"/>
      <c r="M3570" s="10"/>
      <c r="N3570" s="10"/>
      <c r="O3570" s="21"/>
    </row>
    <row r="3571" spans="1:15" x14ac:dyDescent="0.35">
      <c r="A3571" s="15">
        <f t="shared" si="55"/>
        <v>3569</v>
      </c>
      <c r="B3571" s="16"/>
      <c r="C3571" s="19"/>
      <c r="D3571" s="10"/>
      <c r="E3571" s="10"/>
      <c r="F3571" s="47"/>
      <c r="G3571" s="10"/>
      <c r="H3571" s="20"/>
      <c r="I3571" s="20"/>
      <c r="J3571" s="10"/>
      <c r="K3571" s="10"/>
      <c r="L3571" s="10"/>
      <c r="M3571" s="10"/>
      <c r="N3571" s="10"/>
      <c r="O3571" s="21"/>
    </row>
    <row r="3572" spans="1:15" x14ac:dyDescent="0.35">
      <c r="A3572" s="15">
        <f t="shared" si="55"/>
        <v>3570</v>
      </c>
      <c r="B3572" s="16"/>
      <c r="C3572" s="19"/>
      <c r="D3572" s="10"/>
      <c r="E3572" s="10"/>
      <c r="F3572" s="47"/>
      <c r="G3572" s="10"/>
      <c r="H3572" s="20"/>
      <c r="I3572" s="20"/>
      <c r="J3572" s="10"/>
      <c r="K3572" s="10"/>
      <c r="L3572" s="10"/>
      <c r="M3572" s="10"/>
      <c r="N3572" s="10"/>
      <c r="O3572" s="21"/>
    </row>
    <row r="3573" spans="1:15" x14ac:dyDescent="0.35">
      <c r="A3573" s="15">
        <f t="shared" si="55"/>
        <v>3571</v>
      </c>
      <c r="B3573" s="16"/>
      <c r="C3573" s="19"/>
      <c r="D3573" s="10"/>
      <c r="E3573" s="10"/>
      <c r="F3573" s="47"/>
      <c r="G3573" s="10"/>
      <c r="H3573" s="20"/>
      <c r="I3573" s="20"/>
      <c r="J3573" s="10"/>
      <c r="K3573" s="10"/>
      <c r="L3573" s="10"/>
      <c r="M3573" s="10"/>
      <c r="N3573" s="10"/>
      <c r="O3573" s="21"/>
    </row>
    <row r="3574" spans="1:15" x14ac:dyDescent="0.35">
      <c r="A3574" s="15">
        <f t="shared" si="55"/>
        <v>3572</v>
      </c>
      <c r="B3574" s="16"/>
      <c r="C3574" s="19"/>
      <c r="D3574" s="10"/>
      <c r="E3574" s="10"/>
      <c r="F3574" s="47"/>
      <c r="G3574" s="10"/>
      <c r="H3574" s="20"/>
      <c r="I3574" s="20"/>
      <c r="J3574" s="10"/>
      <c r="K3574" s="10"/>
      <c r="L3574" s="10"/>
      <c r="M3574" s="10"/>
      <c r="N3574" s="10"/>
      <c r="O3574" s="21"/>
    </row>
    <row r="3575" spans="1:15" x14ac:dyDescent="0.35">
      <c r="A3575" s="15">
        <f t="shared" si="55"/>
        <v>3573</v>
      </c>
      <c r="B3575" s="16"/>
      <c r="C3575" s="19"/>
      <c r="D3575" s="10"/>
      <c r="E3575" s="10"/>
      <c r="F3575" s="47"/>
      <c r="G3575" s="10"/>
      <c r="H3575" s="20"/>
      <c r="I3575" s="20"/>
      <c r="J3575" s="10"/>
      <c r="K3575" s="10"/>
      <c r="L3575" s="10"/>
      <c r="M3575" s="10"/>
      <c r="N3575" s="10"/>
      <c r="O3575" s="21"/>
    </row>
    <row r="3576" spans="1:15" x14ac:dyDescent="0.35">
      <c r="A3576" s="15">
        <f t="shared" si="55"/>
        <v>3574</v>
      </c>
      <c r="B3576" s="16"/>
      <c r="C3576" s="19"/>
      <c r="D3576" s="10"/>
      <c r="E3576" s="10"/>
      <c r="F3576" s="47"/>
      <c r="G3576" s="10"/>
      <c r="H3576" s="20"/>
      <c r="I3576" s="20"/>
      <c r="J3576" s="10"/>
      <c r="K3576" s="10"/>
      <c r="L3576" s="10"/>
      <c r="M3576" s="10"/>
      <c r="N3576" s="10"/>
      <c r="O3576" s="21"/>
    </row>
    <row r="3577" spans="1:15" x14ac:dyDescent="0.35">
      <c r="A3577" s="15">
        <f t="shared" si="55"/>
        <v>3575</v>
      </c>
      <c r="B3577" s="16"/>
      <c r="C3577" s="19"/>
      <c r="D3577" s="10"/>
      <c r="E3577" s="10"/>
      <c r="F3577" s="47"/>
      <c r="G3577" s="10"/>
      <c r="H3577" s="20"/>
      <c r="I3577" s="20"/>
      <c r="J3577" s="10"/>
      <c r="K3577" s="10"/>
      <c r="L3577" s="10"/>
      <c r="M3577" s="10"/>
      <c r="N3577" s="10"/>
      <c r="O3577" s="21"/>
    </row>
    <row r="3578" spans="1:15" x14ac:dyDescent="0.35">
      <c r="A3578" s="15">
        <f t="shared" si="55"/>
        <v>3576</v>
      </c>
      <c r="B3578" s="16"/>
      <c r="C3578" s="19"/>
      <c r="D3578" s="10"/>
      <c r="E3578" s="10"/>
      <c r="F3578" s="47"/>
      <c r="G3578" s="10"/>
      <c r="H3578" s="20"/>
      <c r="I3578" s="20"/>
      <c r="J3578" s="10"/>
      <c r="K3578" s="10"/>
      <c r="L3578" s="10"/>
      <c r="M3578" s="10"/>
      <c r="N3578" s="10"/>
      <c r="O3578" s="21"/>
    </row>
    <row r="3579" spans="1:15" x14ac:dyDescent="0.35">
      <c r="A3579" s="15">
        <f t="shared" si="55"/>
        <v>3577</v>
      </c>
      <c r="B3579" s="16"/>
      <c r="C3579" s="19"/>
      <c r="D3579" s="10"/>
      <c r="E3579" s="10"/>
      <c r="F3579" s="47"/>
      <c r="G3579" s="10"/>
      <c r="H3579" s="20"/>
      <c r="I3579" s="20"/>
      <c r="J3579" s="10"/>
      <c r="K3579" s="10"/>
      <c r="L3579" s="10"/>
      <c r="M3579" s="10"/>
      <c r="N3579" s="10"/>
      <c r="O3579" s="21"/>
    </row>
    <row r="3580" spans="1:15" x14ac:dyDescent="0.35">
      <c r="A3580" s="15">
        <f t="shared" si="55"/>
        <v>3578</v>
      </c>
      <c r="B3580" s="16"/>
      <c r="C3580" s="19"/>
      <c r="D3580" s="10"/>
      <c r="E3580" s="10"/>
      <c r="F3580" s="47"/>
      <c r="G3580" s="10"/>
      <c r="H3580" s="20"/>
      <c r="I3580" s="20"/>
      <c r="J3580" s="10"/>
      <c r="K3580" s="10"/>
      <c r="L3580" s="10"/>
      <c r="M3580" s="10"/>
      <c r="N3580" s="10"/>
      <c r="O3580" s="21"/>
    </row>
    <row r="3581" spans="1:15" x14ac:dyDescent="0.35">
      <c r="A3581" s="15">
        <f t="shared" si="55"/>
        <v>3579</v>
      </c>
      <c r="B3581" s="16"/>
      <c r="C3581" s="19"/>
      <c r="D3581" s="10"/>
      <c r="E3581" s="10"/>
      <c r="F3581" s="47"/>
      <c r="G3581" s="10"/>
      <c r="H3581" s="20"/>
      <c r="I3581" s="20"/>
      <c r="J3581" s="10"/>
      <c r="K3581" s="10"/>
      <c r="L3581" s="10"/>
      <c r="M3581" s="10"/>
      <c r="N3581" s="10"/>
      <c r="O3581" s="21"/>
    </row>
    <row r="3582" spans="1:15" x14ac:dyDescent="0.35">
      <c r="A3582" s="15">
        <f t="shared" si="55"/>
        <v>3580</v>
      </c>
      <c r="B3582" s="16"/>
      <c r="C3582" s="19"/>
      <c r="D3582" s="10"/>
      <c r="E3582" s="10"/>
      <c r="F3582" s="47"/>
      <c r="G3582" s="10"/>
      <c r="H3582" s="20"/>
      <c r="I3582" s="20"/>
      <c r="J3582" s="10"/>
      <c r="K3582" s="10"/>
      <c r="L3582" s="10"/>
      <c r="M3582" s="10"/>
      <c r="N3582" s="10"/>
      <c r="O3582" s="21"/>
    </row>
    <row r="3583" spans="1:15" x14ac:dyDescent="0.35">
      <c r="A3583" s="15">
        <f t="shared" si="55"/>
        <v>3581</v>
      </c>
      <c r="B3583" s="16"/>
      <c r="C3583" s="19"/>
      <c r="D3583" s="10"/>
      <c r="E3583" s="10"/>
      <c r="F3583" s="47"/>
      <c r="G3583" s="10"/>
      <c r="H3583" s="20"/>
      <c r="I3583" s="20"/>
      <c r="J3583" s="10"/>
      <c r="K3583" s="10"/>
      <c r="L3583" s="10"/>
      <c r="M3583" s="10"/>
      <c r="N3583" s="10"/>
      <c r="O3583" s="21"/>
    </row>
    <row r="3584" spans="1:15" x14ac:dyDescent="0.35">
      <c r="A3584" s="15">
        <f t="shared" si="55"/>
        <v>3582</v>
      </c>
      <c r="B3584" s="16"/>
      <c r="C3584" s="19"/>
      <c r="D3584" s="10"/>
      <c r="E3584" s="10"/>
      <c r="F3584" s="47"/>
      <c r="G3584" s="10"/>
      <c r="H3584" s="20"/>
      <c r="I3584" s="20"/>
      <c r="J3584" s="10"/>
      <c r="K3584" s="10"/>
      <c r="L3584" s="10"/>
      <c r="M3584" s="10"/>
      <c r="N3584" s="10"/>
      <c r="O3584" s="21"/>
    </row>
    <row r="3585" spans="1:15" x14ac:dyDescent="0.35">
      <c r="A3585" s="15">
        <f t="shared" si="55"/>
        <v>3583</v>
      </c>
      <c r="B3585" s="16"/>
      <c r="C3585" s="19"/>
      <c r="D3585" s="10"/>
      <c r="E3585" s="10"/>
      <c r="F3585" s="47"/>
      <c r="G3585" s="10"/>
      <c r="H3585" s="20"/>
      <c r="I3585" s="20"/>
      <c r="J3585" s="10"/>
      <c r="K3585" s="10"/>
      <c r="L3585" s="10"/>
      <c r="M3585" s="10"/>
      <c r="N3585" s="10"/>
      <c r="O3585" s="21"/>
    </row>
    <row r="3586" spans="1:15" x14ac:dyDescent="0.35">
      <c r="A3586" s="15">
        <f t="shared" si="55"/>
        <v>3584</v>
      </c>
      <c r="B3586" s="16"/>
      <c r="C3586" s="19"/>
      <c r="D3586" s="10"/>
      <c r="E3586" s="10"/>
      <c r="F3586" s="47"/>
      <c r="G3586" s="10"/>
      <c r="H3586" s="20"/>
      <c r="I3586" s="20"/>
      <c r="J3586" s="10"/>
      <c r="K3586" s="10"/>
      <c r="L3586" s="10"/>
      <c r="M3586" s="10"/>
      <c r="N3586" s="10"/>
      <c r="O3586" s="21"/>
    </row>
    <row r="3587" spans="1:15" x14ac:dyDescent="0.35">
      <c r="A3587" s="15">
        <f t="shared" si="55"/>
        <v>3585</v>
      </c>
      <c r="B3587" s="16"/>
      <c r="C3587" s="19"/>
      <c r="D3587" s="10"/>
      <c r="E3587" s="10"/>
      <c r="F3587" s="47"/>
      <c r="G3587" s="10"/>
      <c r="H3587" s="20"/>
      <c r="I3587" s="20"/>
      <c r="J3587" s="10"/>
      <c r="K3587" s="10"/>
      <c r="L3587" s="10"/>
      <c r="M3587" s="10"/>
      <c r="N3587" s="10"/>
      <c r="O3587" s="21"/>
    </row>
    <row r="3588" spans="1:15" x14ac:dyDescent="0.35">
      <c r="A3588" s="15">
        <f t="shared" si="55"/>
        <v>3586</v>
      </c>
      <c r="B3588" s="16"/>
      <c r="C3588" s="19"/>
      <c r="D3588" s="10"/>
      <c r="E3588" s="10"/>
      <c r="F3588" s="47"/>
      <c r="G3588" s="10"/>
      <c r="H3588" s="20"/>
      <c r="I3588" s="20"/>
      <c r="J3588" s="10"/>
      <c r="K3588" s="10"/>
      <c r="L3588" s="10"/>
      <c r="M3588" s="10"/>
      <c r="N3588" s="10"/>
      <c r="O3588" s="21"/>
    </row>
    <row r="3589" spans="1:15" x14ac:dyDescent="0.35">
      <c r="A3589" s="15">
        <f t="shared" si="55"/>
        <v>3587</v>
      </c>
      <c r="B3589" s="16"/>
      <c r="C3589" s="19"/>
      <c r="D3589" s="10"/>
      <c r="E3589" s="10"/>
      <c r="F3589" s="47"/>
      <c r="G3589" s="10"/>
      <c r="H3589" s="20"/>
      <c r="I3589" s="20"/>
      <c r="J3589" s="10"/>
      <c r="K3589" s="10"/>
      <c r="L3589" s="10"/>
      <c r="M3589" s="10"/>
      <c r="N3589" s="10"/>
      <c r="O3589" s="21"/>
    </row>
    <row r="3590" spans="1:15" x14ac:dyDescent="0.35">
      <c r="A3590" s="15">
        <f t="shared" si="55"/>
        <v>3588</v>
      </c>
      <c r="B3590" s="16"/>
      <c r="C3590" s="19"/>
      <c r="D3590" s="10"/>
      <c r="E3590" s="10"/>
      <c r="F3590" s="47"/>
      <c r="G3590" s="10"/>
      <c r="H3590" s="20"/>
      <c r="I3590" s="20"/>
      <c r="J3590" s="10"/>
      <c r="K3590" s="10"/>
      <c r="L3590" s="10"/>
      <c r="M3590" s="10"/>
      <c r="N3590" s="10"/>
      <c r="O3590" s="21"/>
    </row>
    <row r="3591" spans="1:15" x14ac:dyDescent="0.35">
      <c r="A3591" s="15">
        <f t="shared" si="55"/>
        <v>3589</v>
      </c>
      <c r="B3591" s="16"/>
      <c r="C3591" s="19"/>
      <c r="D3591" s="10"/>
      <c r="E3591" s="10"/>
      <c r="F3591" s="47"/>
      <c r="G3591" s="10"/>
      <c r="H3591" s="20"/>
      <c r="I3591" s="20"/>
      <c r="J3591" s="10"/>
      <c r="K3591" s="10"/>
      <c r="L3591" s="10"/>
      <c r="M3591" s="10"/>
      <c r="N3591" s="10"/>
      <c r="O3591" s="21"/>
    </row>
    <row r="3592" spans="1:15" x14ac:dyDescent="0.35">
      <c r="A3592" s="15">
        <f t="shared" si="55"/>
        <v>3590</v>
      </c>
      <c r="B3592" s="16"/>
      <c r="C3592" s="19"/>
      <c r="D3592" s="10"/>
      <c r="E3592" s="10"/>
      <c r="F3592" s="47"/>
      <c r="G3592" s="10"/>
      <c r="H3592" s="20"/>
      <c r="I3592" s="20"/>
      <c r="J3592" s="10"/>
      <c r="K3592" s="10"/>
      <c r="L3592" s="10"/>
      <c r="M3592" s="10"/>
      <c r="N3592" s="10"/>
      <c r="O3592" s="21"/>
    </row>
    <row r="3593" spans="1:15" x14ac:dyDescent="0.35">
      <c r="A3593" s="15">
        <f t="shared" si="55"/>
        <v>3591</v>
      </c>
      <c r="B3593" s="16"/>
      <c r="C3593" s="19"/>
      <c r="D3593" s="10"/>
      <c r="E3593" s="10"/>
      <c r="F3593" s="47"/>
      <c r="G3593" s="10"/>
      <c r="H3593" s="20"/>
      <c r="I3593" s="20"/>
      <c r="J3593" s="10"/>
      <c r="K3593" s="10"/>
      <c r="L3593" s="10"/>
      <c r="M3593" s="10"/>
      <c r="N3593" s="10"/>
      <c r="O3593" s="21"/>
    </row>
    <row r="3594" spans="1:15" x14ac:dyDescent="0.35">
      <c r="A3594" s="15">
        <f t="shared" si="55"/>
        <v>3592</v>
      </c>
      <c r="B3594" s="16"/>
      <c r="C3594" s="19"/>
      <c r="D3594" s="10"/>
      <c r="E3594" s="10"/>
      <c r="F3594" s="47"/>
      <c r="G3594" s="10"/>
      <c r="H3594" s="20"/>
      <c r="I3594" s="20"/>
      <c r="J3594" s="10"/>
      <c r="K3594" s="10"/>
      <c r="L3594" s="10"/>
      <c r="M3594" s="10"/>
      <c r="N3594" s="10"/>
      <c r="O3594" s="21"/>
    </row>
    <row r="3595" spans="1:15" x14ac:dyDescent="0.35">
      <c r="A3595" s="15">
        <f t="shared" ref="A3595:A3658" si="56">+A3594+1</f>
        <v>3593</v>
      </c>
      <c r="B3595" s="16"/>
      <c r="C3595" s="19"/>
      <c r="D3595" s="10"/>
      <c r="E3595" s="10"/>
      <c r="F3595" s="47"/>
      <c r="G3595" s="10"/>
      <c r="H3595" s="20"/>
      <c r="I3595" s="20"/>
      <c r="J3595" s="10"/>
      <c r="K3595" s="10"/>
      <c r="L3595" s="10"/>
      <c r="M3595" s="10"/>
      <c r="N3595" s="10"/>
      <c r="O3595" s="21"/>
    </row>
    <row r="3596" spans="1:15" x14ac:dyDescent="0.35">
      <c r="A3596" s="15">
        <f t="shared" si="56"/>
        <v>3594</v>
      </c>
      <c r="B3596" s="16"/>
      <c r="C3596" s="19"/>
      <c r="D3596" s="10"/>
      <c r="E3596" s="10"/>
      <c r="F3596" s="47"/>
      <c r="G3596" s="10"/>
      <c r="H3596" s="20"/>
      <c r="I3596" s="20"/>
      <c r="J3596" s="10"/>
      <c r="K3596" s="10"/>
      <c r="L3596" s="10"/>
      <c r="M3596" s="10"/>
      <c r="N3596" s="10"/>
      <c r="O3596" s="21"/>
    </row>
    <row r="3597" spans="1:15" x14ac:dyDescent="0.35">
      <c r="A3597" s="15">
        <f t="shared" si="56"/>
        <v>3595</v>
      </c>
      <c r="B3597" s="16"/>
      <c r="C3597" s="19"/>
      <c r="D3597" s="10"/>
      <c r="E3597" s="10"/>
      <c r="F3597" s="47"/>
      <c r="G3597" s="10"/>
      <c r="H3597" s="20"/>
      <c r="I3597" s="20"/>
      <c r="J3597" s="10"/>
      <c r="K3597" s="10"/>
      <c r="L3597" s="10"/>
      <c r="M3597" s="10"/>
      <c r="N3597" s="10"/>
      <c r="O3597" s="21"/>
    </row>
    <row r="3598" spans="1:15" x14ac:dyDescent="0.35">
      <c r="A3598" s="15">
        <f t="shared" si="56"/>
        <v>3596</v>
      </c>
      <c r="B3598" s="16"/>
      <c r="C3598" s="19"/>
      <c r="D3598" s="10"/>
      <c r="E3598" s="10"/>
      <c r="F3598" s="47"/>
      <c r="G3598" s="10"/>
      <c r="H3598" s="20"/>
      <c r="I3598" s="20"/>
      <c r="J3598" s="10"/>
      <c r="K3598" s="10"/>
      <c r="L3598" s="10"/>
      <c r="M3598" s="10"/>
      <c r="N3598" s="10"/>
      <c r="O3598" s="21"/>
    </row>
    <row r="3599" spans="1:15" x14ac:dyDescent="0.35">
      <c r="A3599" s="15">
        <f t="shared" si="56"/>
        <v>3597</v>
      </c>
      <c r="B3599" s="16"/>
      <c r="C3599" s="19"/>
      <c r="D3599" s="10"/>
      <c r="E3599" s="10"/>
      <c r="F3599" s="47"/>
      <c r="G3599" s="10"/>
      <c r="H3599" s="20"/>
      <c r="I3599" s="20"/>
      <c r="J3599" s="10"/>
      <c r="K3599" s="10"/>
      <c r="L3599" s="10"/>
      <c r="M3599" s="10"/>
      <c r="N3599" s="10"/>
      <c r="O3599" s="21"/>
    </row>
    <row r="3600" spans="1:15" x14ac:dyDescent="0.35">
      <c r="A3600" s="15">
        <f t="shared" si="56"/>
        <v>3598</v>
      </c>
      <c r="B3600" s="16"/>
      <c r="C3600" s="19"/>
      <c r="D3600" s="10"/>
      <c r="E3600" s="10"/>
      <c r="F3600" s="47"/>
      <c r="G3600" s="10"/>
      <c r="H3600" s="20"/>
      <c r="I3600" s="20"/>
      <c r="J3600" s="10"/>
      <c r="K3600" s="10"/>
      <c r="L3600" s="10"/>
      <c r="M3600" s="10"/>
      <c r="N3600" s="10"/>
      <c r="O3600" s="21"/>
    </row>
    <row r="3601" spans="1:15" x14ac:dyDescent="0.35">
      <c r="A3601" s="15">
        <f t="shared" si="56"/>
        <v>3599</v>
      </c>
      <c r="B3601" s="16"/>
      <c r="C3601" s="19"/>
      <c r="D3601" s="10"/>
      <c r="E3601" s="10"/>
      <c r="F3601" s="47"/>
      <c r="G3601" s="10"/>
      <c r="H3601" s="20"/>
      <c r="I3601" s="20"/>
      <c r="J3601" s="10"/>
      <c r="K3601" s="10"/>
      <c r="L3601" s="10"/>
      <c r="M3601" s="10"/>
      <c r="N3601" s="10"/>
      <c r="O3601" s="21"/>
    </row>
    <row r="3602" spans="1:15" x14ac:dyDescent="0.35">
      <c r="A3602" s="15">
        <f t="shared" si="56"/>
        <v>3600</v>
      </c>
      <c r="B3602" s="16"/>
      <c r="C3602" s="19"/>
      <c r="D3602" s="10"/>
      <c r="E3602" s="10"/>
      <c r="F3602" s="47"/>
      <c r="G3602" s="10"/>
      <c r="H3602" s="20"/>
      <c r="I3602" s="20"/>
      <c r="J3602" s="10"/>
      <c r="K3602" s="10"/>
      <c r="L3602" s="10"/>
      <c r="M3602" s="10"/>
      <c r="N3602" s="10"/>
      <c r="O3602" s="21"/>
    </row>
    <row r="3603" spans="1:15" x14ac:dyDescent="0.35">
      <c r="A3603" s="15">
        <f t="shared" si="56"/>
        <v>3601</v>
      </c>
      <c r="B3603" s="16"/>
      <c r="C3603" s="19"/>
      <c r="D3603" s="10"/>
      <c r="E3603" s="10"/>
      <c r="F3603" s="47"/>
      <c r="G3603" s="10"/>
      <c r="H3603" s="20"/>
      <c r="I3603" s="20"/>
      <c r="J3603" s="10"/>
      <c r="K3603" s="10"/>
      <c r="L3603" s="10"/>
      <c r="M3603" s="10"/>
      <c r="N3603" s="10"/>
      <c r="O3603" s="21"/>
    </row>
    <row r="3604" spans="1:15" x14ac:dyDescent="0.35">
      <c r="A3604" s="15">
        <f t="shared" si="56"/>
        <v>3602</v>
      </c>
      <c r="B3604" s="16"/>
      <c r="C3604" s="19"/>
      <c r="D3604" s="10"/>
      <c r="E3604" s="10"/>
      <c r="F3604" s="47"/>
      <c r="G3604" s="10"/>
      <c r="H3604" s="20"/>
      <c r="I3604" s="20"/>
      <c r="J3604" s="10"/>
      <c r="K3604" s="10"/>
      <c r="L3604" s="10"/>
      <c r="M3604" s="10"/>
      <c r="N3604" s="10"/>
      <c r="O3604" s="21"/>
    </row>
    <row r="3605" spans="1:15" x14ac:dyDescent="0.35">
      <c r="A3605" s="15">
        <f t="shared" si="56"/>
        <v>3603</v>
      </c>
      <c r="B3605" s="16"/>
      <c r="C3605" s="19"/>
      <c r="D3605" s="10"/>
      <c r="E3605" s="10"/>
      <c r="F3605" s="47"/>
      <c r="G3605" s="10"/>
      <c r="H3605" s="20"/>
      <c r="I3605" s="20"/>
      <c r="J3605" s="10"/>
      <c r="K3605" s="10"/>
      <c r="L3605" s="10"/>
      <c r="M3605" s="10"/>
      <c r="N3605" s="10"/>
      <c r="O3605" s="21"/>
    </row>
    <row r="3606" spans="1:15" x14ac:dyDescent="0.35">
      <c r="A3606" s="15">
        <f t="shared" si="56"/>
        <v>3604</v>
      </c>
      <c r="B3606" s="16"/>
      <c r="C3606" s="19"/>
      <c r="D3606" s="10"/>
      <c r="E3606" s="10"/>
      <c r="F3606" s="47"/>
      <c r="G3606" s="10"/>
      <c r="H3606" s="20"/>
      <c r="I3606" s="20"/>
      <c r="J3606" s="10"/>
      <c r="K3606" s="10"/>
      <c r="L3606" s="10"/>
      <c r="M3606" s="10"/>
      <c r="N3606" s="10"/>
      <c r="O3606" s="21"/>
    </row>
    <row r="3607" spans="1:15" x14ac:dyDescent="0.35">
      <c r="A3607" s="15">
        <f t="shared" si="56"/>
        <v>3605</v>
      </c>
      <c r="B3607" s="16"/>
      <c r="C3607" s="19"/>
      <c r="D3607" s="10"/>
      <c r="E3607" s="10"/>
      <c r="F3607" s="47"/>
      <c r="G3607" s="10"/>
      <c r="H3607" s="20"/>
      <c r="I3607" s="20"/>
      <c r="J3607" s="10"/>
      <c r="K3607" s="10"/>
      <c r="L3607" s="10"/>
      <c r="M3607" s="10"/>
      <c r="N3607" s="10"/>
      <c r="O3607" s="21"/>
    </row>
    <row r="3608" spans="1:15" x14ac:dyDescent="0.35">
      <c r="A3608" s="15">
        <f t="shared" si="56"/>
        <v>3606</v>
      </c>
      <c r="B3608" s="16"/>
      <c r="C3608" s="19"/>
      <c r="D3608" s="10"/>
      <c r="E3608" s="10"/>
      <c r="F3608" s="47"/>
      <c r="G3608" s="10"/>
      <c r="H3608" s="20"/>
      <c r="I3608" s="20"/>
      <c r="J3608" s="10"/>
      <c r="K3608" s="10"/>
      <c r="L3608" s="10"/>
      <c r="M3608" s="10"/>
      <c r="N3608" s="10"/>
      <c r="O3608" s="21"/>
    </row>
    <row r="3609" spans="1:15" x14ac:dyDescent="0.35">
      <c r="A3609" s="15">
        <f t="shared" si="56"/>
        <v>3607</v>
      </c>
      <c r="B3609" s="16"/>
      <c r="C3609" s="19"/>
      <c r="D3609" s="10"/>
      <c r="E3609" s="10"/>
      <c r="F3609" s="47"/>
      <c r="G3609" s="10"/>
      <c r="H3609" s="20"/>
      <c r="I3609" s="20"/>
      <c r="J3609" s="10"/>
      <c r="K3609" s="10"/>
      <c r="L3609" s="10"/>
      <c r="M3609" s="10"/>
      <c r="N3609" s="10"/>
      <c r="O3609" s="21"/>
    </row>
    <row r="3610" spans="1:15" x14ac:dyDescent="0.35">
      <c r="A3610" s="15">
        <f t="shared" si="56"/>
        <v>3608</v>
      </c>
      <c r="B3610" s="16"/>
      <c r="C3610" s="19"/>
      <c r="D3610" s="10"/>
      <c r="E3610" s="10"/>
      <c r="F3610" s="47"/>
      <c r="G3610" s="10"/>
      <c r="H3610" s="20"/>
      <c r="I3610" s="20"/>
      <c r="J3610" s="10"/>
      <c r="K3610" s="10"/>
      <c r="L3610" s="10"/>
      <c r="M3610" s="10"/>
      <c r="N3610" s="10"/>
      <c r="O3610" s="21"/>
    </row>
    <row r="3611" spans="1:15" x14ac:dyDescent="0.35">
      <c r="A3611" s="15">
        <f t="shared" si="56"/>
        <v>3609</v>
      </c>
      <c r="B3611" s="16"/>
      <c r="C3611" s="19"/>
      <c r="D3611" s="10"/>
      <c r="E3611" s="10"/>
      <c r="F3611" s="47"/>
      <c r="G3611" s="10"/>
      <c r="H3611" s="20"/>
      <c r="I3611" s="20"/>
      <c r="J3611" s="10"/>
      <c r="K3611" s="10"/>
      <c r="L3611" s="10"/>
      <c r="M3611" s="10"/>
      <c r="N3611" s="10"/>
      <c r="O3611" s="21"/>
    </row>
    <row r="3612" spans="1:15" x14ac:dyDescent="0.35">
      <c r="A3612" s="15">
        <f t="shared" si="56"/>
        <v>3610</v>
      </c>
      <c r="B3612" s="16"/>
      <c r="C3612" s="19"/>
      <c r="D3612" s="10"/>
      <c r="E3612" s="10"/>
      <c r="F3612" s="47"/>
      <c r="G3612" s="10"/>
      <c r="H3612" s="20"/>
      <c r="I3612" s="20"/>
      <c r="J3612" s="10"/>
      <c r="K3612" s="10"/>
      <c r="L3612" s="10"/>
      <c r="M3612" s="10"/>
      <c r="N3612" s="10"/>
      <c r="O3612" s="21"/>
    </row>
    <row r="3613" spans="1:15" x14ac:dyDescent="0.35">
      <c r="A3613" s="15">
        <f t="shared" si="56"/>
        <v>3611</v>
      </c>
      <c r="B3613" s="16"/>
      <c r="C3613" s="19"/>
      <c r="D3613" s="10"/>
      <c r="E3613" s="10"/>
      <c r="F3613" s="47"/>
      <c r="G3613" s="10"/>
      <c r="H3613" s="20"/>
      <c r="I3613" s="20"/>
      <c r="J3613" s="10"/>
      <c r="K3613" s="10"/>
      <c r="L3613" s="10"/>
      <c r="M3613" s="10"/>
      <c r="N3613" s="10"/>
      <c r="O3613" s="21"/>
    </row>
    <row r="3614" spans="1:15" x14ac:dyDescent="0.35">
      <c r="A3614" s="15">
        <f t="shared" si="56"/>
        <v>3612</v>
      </c>
      <c r="B3614" s="16"/>
      <c r="C3614" s="19"/>
      <c r="D3614" s="10"/>
      <c r="E3614" s="10"/>
      <c r="F3614" s="47"/>
      <c r="G3614" s="10"/>
      <c r="H3614" s="20"/>
      <c r="I3614" s="20"/>
      <c r="J3614" s="10"/>
      <c r="K3614" s="10"/>
      <c r="L3614" s="10"/>
      <c r="M3614" s="10"/>
      <c r="N3614" s="10"/>
      <c r="O3614" s="21"/>
    </row>
    <row r="3615" spans="1:15" x14ac:dyDescent="0.35">
      <c r="A3615" s="15">
        <f t="shared" si="56"/>
        <v>3613</v>
      </c>
      <c r="B3615" s="16"/>
      <c r="C3615" s="19"/>
      <c r="D3615" s="10"/>
      <c r="E3615" s="10"/>
      <c r="F3615" s="47"/>
      <c r="G3615" s="10"/>
      <c r="H3615" s="20"/>
      <c r="I3615" s="20"/>
      <c r="J3615" s="10"/>
      <c r="K3615" s="10"/>
      <c r="L3615" s="10"/>
      <c r="M3615" s="10"/>
      <c r="N3615" s="10"/>
      <c r="O3615" s="21"/>
    </row>
    <row r="3616" spans="1:15" x14ac:dyDescent="0.35">
      <c r="A3616" s="15">
        <f t="shared" si="56"/>
        <v>3614</v>
      </c>
      <c r="B3616" s="16"/>
      <c r="C3616" s="19"/>
      <c r="D3616" s="10"/>
      <c r="E3616" s="10"/>
      <c r="F3616" s="47"/>
      <c r="G3616" s="10"/>
      <c r="H3616" s="20"/>
      <c r="I3616" s="20"/>
      <c r="J3616" s="10"/>
      <c r="K3616" s="10"/>
      <c r="L3616" s="10"/>
      <c r="M3616" s="10"/>
      <c r="N3616" s="10"/>
      <c r="O3616" s="21"/>
    </row>
    <row r="3617" spans="1:15" x14ac:dyDescent="0.35">
      <c r="A3617" s="15">
        <f t="shared" si="56"/>
        <v>3615</v>
      </c>
      <c r="B3617" s="16"/>
      <c r="C3617" s="19"/>
      <c r="D3617" s="10"/>
      <c r="E3617" s="10"/>
      <c r="F3617" s="47"/>
      <c r="G3617" s="10"/>
      <c r="H3617" s="20"/>
      <c r="I3617" s="20"/>
      <c r="J3617" s="10"/>
      <c r="K3617" s="10"/>
      <c r="L3617" s="10"/>
      <c r="M3617" s="10"/>
      <c r="N3617" s="10"/>
      <c r="O3617" s="21"/>
    </row>
    <row r="3618" spans="1:15" x14ac:dyDescent="0.35">
      <c r="A3618" s="15">
        <f t="shared" si="56"/>
        <v>3616</v>
      </c>
      <c r="B3618" s="16"/>
      <c r="C3618" s="19"/>
      <c r="D3618" s="10"/>
      <c r="E3618" s="10"/>
      <c r="F3618" s="47"/>
      <c r="G3618" s="10"/>
      <c r="H3618" s="20"/>
      <c r="I3618" s="20"/>
      <c r="J3618" s="10"/>
      <c r="K3618" s="10"/>
      <c r="L3618" s="10"/>
      <c r="M3618" s="10"/>
      <c r="N3618" s="10"/>
      <c r="O3618" s="21"/>
    </row>
    <row r="3619" spans="1:15" x14ac:dyDescent="0.35">
      <c r="A3619" s="15">
        <f t="shared" si="56"/>
        <v>3617</v>
      </c>
      <c r="B3619" s="16"/>
      <c r="C3619" s="19"/>
      <c r="D3619" s="10"/>
      <c r="E3619" s="10"/>
      <c r="F3619" s="47"/>
      <c r="G3619" s="10"/>
      <c r="H3619" s="20"/>
      <c r="I3619" s="20"/>
      <c r="J3619" s="10"/>
      <c r="K3619" s="10"/>
      <c r="L3619" s="10"/>
      <c r="M3619" s="10"/>
      <c r="N3619" s="10"/>
      <c r="O3619" s="21"/>
    </row>
    <row r="3620" spans="1:15" x14ac:dyDescent="0.35">
      <c r="A3620" s="15">
        <f t="shared" si="56"/>
        <v>3618</v>
      </c>
      <c r="B3620" s="16"/>
      <c r="C3620" s="19"/>
      <c r="D3620" s="10"/>
      <c r="E3620" s="10"/>
      <c r="F3620" s="47"/>
      <c r="G3620" s="10"/>
      <c r="H3620" s="20"/>
      <c r="I3620" s="20"/>
      <c r="J3620" s="10"/>
      <c r="K3620" s="10"/>
      <c r="L3620" s="10"/>
      <c r="M3620" s="10"/>
      <c r="N3620" s="10"/>
      <c r="O3620" s="21"/>
    </row>
    <row r="3621" spans="1:15" x14ac:dyDescent="0.35">
      <c r="A3621" s="15">
        <f t="shared" si="56"/>
        <v>3619</v>
      </c>
      <c r="B3621" s="16"/>
      <c r="C3621" s="19"/>
      <c r="D3621" s="10"/>
      <c r="E3621" s="10"/>
      <c r="F3621" s="47"/>
      <c r="G3621" s="10"/>
      <c r="H3621" s="20"/>
      <c r="I3621" s="20"/>
      <c r="J3621" s="10"/>
      <c r="K3621" s="10"/>
      <c r="L3621" s="10"/>
      <c r="M3621" s="10"/>
      <c r="N3621" s="10"/>
      <c r="O3621" s="21"/>
    </row>
    <row r="3622" spans="1:15" x14ac:dyDescent="0.35">
      <c r="A3622" s="15">
        <f t="shared" si="56"/>
        <v>3620</v>
      </c>
      <c r="B3622" s="16"/>
      <c r="C3622" s="19"/>
      <c r="D3622" s="10"/>
      <c r="E3622" s="10"/>
      <c r="F3622" s="47"/>
      <c r="G3622" s="10"/>
      <c r="H3622" s="20"/>
      <c r="I3622" s="20"/>
      <c r="J3622" s="10"/>
      <c r="K3622" s="10"/>
      <c r="L3622" s="10"/>
      <c r="M3622" s="10"/>
      <c r="N3622" s="10"/>
      <c r="O3622" s="21"/>
    </row>
    <row r="3623" spans="1:15" x14ac:dyDescent="0.35">
      <c r="A3623" s="15">
        <f t="shared" si="56"/>
        <v>3621</v>
      </c>
      <c r="B3623" s="16"/>
      <c r="C3623" s="19"/>
      <c r="D3623" s="10"/>
      <c r="E3623" s="10"/>
      <c r="F3623" s="47"/>
      <c r="G3623" s="10"/>
      <c r="H3623" s="20"/>
      <c r="I3623" s="20"/>
      <c r="J3623" s="10"/>
      <c r="K3623" s="10"/>
      <c r="L3623" s="10"/>
      <c r="M3623" s="10"/>
      <c r="N3623" s="10"/>
      <c r="O3623" s="21"/>
    </row>
    <row r="3624" spans="1:15" x14ac:dyDescent="0.35">
      <c r="A3624" s="15">
        <f t="shared" si="56"/>
        <v>3622</v>
      </c>
      <c r="B3624" s="16"/>
      <c r="C3624" s="19"/>
      <c r="D3624" s="10"/>
      <c r="E3624" s="10"/>
      <c r="F3624" s="47"/>
      <c r="G3624" s="10"/>
      <c r="H3624" s="20"/>
      <c r="I3624" s="20"/>
      <c r="J3624" s="10"/>
      <c r="K3624" s="10"/>
      <c r="L3624" s="10"/>
      <c r="M3624" s="10"/>
      <c r="N3624" s="10"/>
      <c r="O3624" s="21"/>
    </row>
    <row r="3625" spans="1:15" x14ac:dyDescent="0.35">
      <c r="A3625" s="15">
        <f t="shared" si="56"/>
        <v>3623</v>
      </c>
      <c r="B3625" s="16"/>
      <c r="C3625" s="19"/>
      <c r="D3625" s="10"/>
      <c r="E3625" s="10"/>
      <c r="F3625" s="47"/>
      <c r="G3625" s="10"/>
      <c r="H3625" s="20"/>
      <c r="I3625" s="20"/>
      <c r="J3625" s="10"/>
      <c r="K3625" s="10"/>
      <c r="L3625" s="10"/>
      <c r="M3625" s="10"/>
      <c r="N3625" s="10"/>
      <c r="O3625" s="21"/>
    </row>
    <row r="3626" spans="1:15" x14ac:dyDescent="0.35">
      <c r="A3626" s="15">
        <f t="shared" si="56"/>
        <v>3624</v>
      </c>
      <c r="B3626" s="16"/>
      <c r="C3626" s="19"/>
      <c r="D3626" s="10"/>
      <c r="E3626" s="10"/>
      <c r="F3626" s="47"/>
      <c r="G3626" s="10"/>
      <c r="H3626" s="20"/>
      <c r="I3626" s="20"/>
      <c r="J3626" s="10"/>
      <c r="K3626" s="10"/>
      <c r="L3626" s="10"/>
      <c r="M3626" s="10"/>
      <c r="N3626" s="10"/>
      <c r="O3626" s="21"/>
    </row>
    <row r="3627" spans="1:15" x14ac:dyDescent="0.35">
      <c r="A3627" s="15">
        <f t="shared" si="56"/>
        <v>3625</v>
      </c>
      <c r="B3627" s="16"/>
      <c r="C3627" s="19"/>
      <c r="D3627" s="10"/>
      <c r="E3627" s="10"/>
      <c r="F3627" s="47"/>
      <c r="G3627" s="10"/>
      <c r="H3627" s="20"/>
      <c r="I3627" s="20"/>
      <c r="J3627" s="10"/>
      <c r="K3627" s="10"/>
      <c r="L3627" s="10"/>
      <c r="M3627" s="10"/>
      <c r="N3627" s="10"/>
      <c r="O3627" s="21"/>
    </row>
    <row r="3628" spans="1:15" x14ac:dyDescent="0.35">
      <c r="A3628" s="15">
        <f t="shared" si="56"/>
        <v>3626</v>
      </c>
      <c r="B3628" s="16"/>
      <c r="C3628" s="19"/>
      <c r="D3628" s="10"/>
      <c r="E3628" s="10"/>
      <c r="F3628" s="47"/>
      <c r="G3628" s="10"/>
      <c r="H3628" s="20"/>
      <c r="I3628" s="20"/>
      <c r="J3628" s="10"/>
      <c r="K3628" s="10"/>
      <c r="L3628" s="10"/>
      <c r="M3628" s="10"/>
      <c r="N3628" s="10"/>
      <c r="O3628" s="21"/>
    </row>
    <row r="3629" spans="1:15" x14ac:dyDescent="0.35">
      <c r="A3629" s="15">
        <f t="shared" si="56"/>
        <v>3627</v>
      </c>
      <c r="B3629" s="16"/>
      <c r="C3629" s="19"/>
      <c r="D3629" s="10"/>
      <c r="E3629" s="10"/>
      <c r="F3629" s="47"/>
      <c r="G3629" s="10"/>
      <c r="H3629" s="20"/>
      <c r="I3629" s="20"/>
      <c r="J3629" s="10"/>
      <c r="K3629" s="10"/>
      <c r="L3629" s="10"/>
      <c r="M3629" s="10"/>
      <c r="N3629" s="10"/>
      <c r="O3629" s="21"/>
    </row>
    <row r="3630" spans="1:15" x14ac:dyDescent="0.35">
      <c r="A3630" s="15">
        <f t="shared" si="56"/>
        <v>3628</v>
      </c>
      <c r="B3630" s="16"/>
      <c r="C3630" s="19"/>
      <c r="D3630" s="10"/>
      <c r="E3630" s="10"/>
      <c r="F3630" s="47"/>
      <c r="G3630" s="10"/>
      <c r="H3630" s="20"/>
      <c r="I3630" s="20"/>
      <c r="J3630" s="10"/>
      <c r="K3630" s="10"/>
      <c r="L3630" s="10"/>
      <c r="M3630" s="10"/>
      <c r="N3630" s="10"/>
      <c r="O3630" s="21"/>
    </row>
    <row r="3631" spans="1:15" x14ac:dyDescent="0.35">
      <c r="A3631" s="15">
        <f t="shared" si="56"/>
        <v>3629</v>
      </c>
      <c r="B3631" s="16"/>
      <c r="C3631" s="19"/>
      <c r="D3631" s="10"/>
      <c r="E3631" s="10"/>
      <c r="F3631" s="47"/>
      <c r="G3631" s="10"/>
      <c r="H3631" s="20"/>
      <c r="I3631" s="20"/>
      <c r="J3631" s="10"/>
      <c r="K3631" s="10"/>
      <c r="L3631" s="10"/>
      <c r="M3631" s="10"/>
      <c r="N3631" s="10"/>
      <c r="O3631" s="21"/>
    </row>
    <row r="3632" spans="1:15" x14ac:dyDescent="0.35">
      <c r="A3632" s="15">
        <f t="shared" si="56"/>
        <v>3630</v>
      </c>
      <c r="B3632" s="16"/>
      <c r="C3632" s="19"/>
      <c r="D3632" s="10"/>
      <c r="E3632" s="10"/>
      <c r="F3632" s="47"/>
      <c r="G3632" s="10"/>
      <c r="H3632" s="20"/>
      <c r="I3632" s="20"/>
      <c r="J3632" s="10"/>
      <c r="K3632" s="10"/>
      <c r="L3632" s="10"/>
      <c r="M3632" s="10"/>
      <c r="N3632" s="10"/>
      <c r="O3632" s="21"/>
    </row>
    <row r="3633" spans="1:15" x14ac:dyDescent="0.35">
      <c r="A3633" s="15">
        <f t="shared" si="56"/>
        <v>3631</v>
      </c>
      <c r="B3633" s="16"/>
      <c r="C3633" s="19"/>
      <c r="D3633" s="10"/>
      <c r="E3633" s="10"/>
      <c r="F3633" s="47"/>
      <c r="G3633" s="10"/>
      <c r="H3633" s="20"/>
      <c r="I3633" s="20"/>
      <c r="J3633" s="10"/>
      <c r="K3633" s="10"/>
      <c r="L3633" s="10"/>
      <c r="M3633" s="10"/>
      <c r="N3633" s="10"/>
      <c r="O3633" s="21"/>
    </row>
    <row r="3634" spans="1:15" x14ac:dyDescent="0.35">
      <c r="A3634" s="15">
        <f t="shared" si="56"/>
        <v>3632</v>
      </c>
      <c r="B3634" s="16"/>
      <c r="C3634" s="19"/>
      <c r="D3634" s="10"/>
      <c r="E3634" s="10"/>
      <c r="F3634" s="47"/>
      <c r="G3634" s="10"/>
      <c r="H3634" s="20"/>
      <c r="I3634" s="20"/>
      <c r="J3634" s="10"/>
      <c r="K3634" s="10"/>
      <c r="L3634" s="10"/>
      <c r="M3634" s="10"/>
      <c r="N3634" s="10"/>
      <c r="O3634" s="21"/>
    </row>
    <row r="3635" spans="1:15" x14ac:dyDescent="0.35">
      <c r="A3635" s="15">
        <f t="shared" si="56"/>
        <v>3633</v>
      </c>
      <c r="B3635" s="16"/>
      <c r="C3635" s="19"/>
      <c r="D3635" s="10"/>
      <c r="E3635" s="10"/>
      <c r="F3635" s="47"/>
      <c r="G3635" s="10"/>
      <c r="H3635" s="20"/>
      <c r="I3635" s="20"/>
      <c r="J3635" s="10"/>
      <c r="K3635" s="10"/>
      <c r="L3635" s="10"/>
      <c r="M3635" s="10"/>
      <c r="N3635" s="10"/>
      <c r="O3635" s="21"/>
    </row>
    <row r="3636" spans="1:15" x14ac:dyDescent="0.35">
      <c r="A3636" s="15">
        <f t="shared" si="56"/>
        <v>3634</v>
      </c>
      <c r="B3636" s="16"/>
      <c r="C3636" s="19"/>
      <c r="D3636" s="10"/>
      <c r="E3636" s="10"/>
      <c r="F3636" s="47"/>
      <c r="G3636" s="10"/>
      <c r="H3636" s="20"/>
      <c r="I3636" s="20"/>
      <c r="J3636" s="10"/>
      <c r="K3636" s="10"/>
      <c r="L3636" s="10"/>
      <c r="M3636" s="10"/>
      <c r="N3636" s="10"/>
      <c r="O3636" s="21"/>
    </row>
    <row r="3637" spans="1:15" x14ac:dyDescent="0.35">
      <c r="A3637" s="15">
        <f t="shared" si="56"/>
        <v>3635</v>
      </c>
      <c r="B3637" s="16"/>
      <c r="C3637" s="19"/>
      <c r="D3637" s="10"/>
      <c r="E3637" s="10"/>
      <c r="F3637" s="47"/>
      <c r="G3637" s="10"/>
      <c r="H3637" s="20"/>
      <c r="I3637" s="20"/>
      <c r="J3637" s="10"/>
      <c r="K3637" s="10"/>
      <c r="L3637" s="10"/>
      <c r="M3637" s="10"/>
      <c r="N3637" s="10"/>
      <c r="O3637" s="21"/>
    </row>
    <row r="3638" spans="1:15" x14ac:dyDescent="0.35">
      <c r="A3638" s="15">
        <f t="shared" si="56"/>
        <v>3636</v>
      </c>
      <c r="B3638" s="16"/>
      <c r="C3638" s="19"/>
      <c r="D3638" s="10"/>
      <c r="E3638" s="10"/>
      <c r="F3638" s="47"/>
      <c r="G3638" s="10"/>
      <c r="H3638" s="20"/>
      <c r="I3638" s="20"/>
      <c r="J3638" s="10"/>
      <c r="K3638" s="10"/>
      <c r="L3638" s="10"/>
      <c r="M3638" s="10"/>
      <c r="N3638" s="10"/>
      <c r="O3638" s="21"/>
    </row>
    <row r="3639" spans="1:15" x14ac:dyDescent="0.35">
      <c r="A3639" s="15">
        <f t="shared" si="56"/>
        <v>3637</v>
      </c>
      <c r="B3639" s="16"/>
      <c r="C3639" s="19"/>
      <c r="D3639" s="10"/>
      <c r="E3639" s="10"/>
      <c r="F3639" s="47"/>
      <c r="G3639" s="10"/>
      <c r="H3639" s="20"/>
      <c r="I3639" s="20"/>
      <c r="J3639" s="10"/>
      <c r="K3639" s="10"/>
      <c r="L3639" s="10"/>
      <c r="M3639" s="10"/>
      <c r="N3639" s="10"/>
      <c r="O3639" s="21"/>
    </row>
    <row r="3640" spans="1:15" x14ac:dyDescent="0.35">
      <c r="A3640" s="15">
        <f t="shared" si="56"/>
        <v>3638</v>
      </c>
      <c r="B3640" s="16"/>
      <c r="C3640" s="19"/>
      <c r="D3640" s="10"/>
      <c r="E3640" s="10"/>
      <c r="F3640" s="47"/>
      <c r="G3640" s="10"/>
      <c r="H3640" s="20"/>
      <c r="I3640" s="20"/>
      <c r="J3640" s="10"/>
      <c r="K3640" s="10"/>
      <c r="L3640" s="10"/>
      <c r="M3640" s="10"/>
      <c r="N3640" s="10"/>
      <c r="O3640" s="21"/>
    </row>
    <row r="3641" spans="1:15" x14ac:dyDescent="0.35">
      <c r="A3641" s="15">
        <f t="shared" si="56"/>
        <v>3639</v>
      </c>
      <c r="B3641" s="16"/>
      <c r="C3641" s="19"/>
      <c r="D3641" s="10"/>
      <c r="E3641" s="10"/>
      <c r="F3641" s="47"/>
      <c r="G3641" s="10"/>
      <c r="H3641" s="20"/>
      <c r="I3641" s="20"/>
      <c r="J3641" s="10"/>
      <c r="K3641" s="10"/>
      <c r="L3641" s="10"/>
      <c r="M3641" s="10"/>
      <c r="N3641" s="10"/>
      <c r="O3641" s="21"/>
    </row>
    <row r="3642" spans="1:15" x14ac:dyDescent="0.35">
      <c r="A3642" s="15">
        <f t="shared" si="56"/>
        <v>3640</v>
      </c>
      <c r="B3642" s="16"/>
      <c r="C3642" s="19"/>
      <c r="D3642" s="10"/>
      <c r="E3642" s="10"/>
      <c r="F3642" s="47"/>
      <c r="G3642" s="10"/>
      <c r="H3642" s="20"/>
      <c r="I3642" s="20"/>
      <c r="J3642" s="10"/>
      <c r="K3642" s="10"/>
      <c r="L3642" s="10"/>
      <c r="M3642" s="10"/>
      <c r="N3642" s="10"/>
      <c r="O3642" s="21"/>
    </row>
    <row r="3643" spans="1:15" x14ac:dyDescent="0.35">
      <c r="A3643" s="15">
        <f t="shared" si="56"/>
        <v>3641</v>
      </c>
      <c r="B3643" s="16"/>
      <c r="C3643" s="19"/>
      <c r="D3643" s="10"/>
      <c r="E3643" s="10"/>
      <c r="F3643" s="47"/>
      <c r="G3643" s="10"/>
      <c r="H3643" s="20"/>
      <c r="I3643" s="20"/>
      <c r="J3643" s="10"/>
      <c r="K3643" s="10"/>
      <c r="L3643" s="10"/>
      <c r="M3643" s="10"/>
      <c r="N3643" s="10"/>
      <c r="O3643" s="21"/>
    </row>
    <row r="3644" spans="1:15" x14ac:dyDescent="0.35">
      <c r="A3644" s="15">
        <f t="shared" si="56"/>
        <v>3642</v>
      </c>
      <c r="B3644" s="16"/>
      <c r="C3644" s="19"/>
      <c r="D3644" s="10"/>
      <c r="E3644" s="10"/>
      <c r="F3644" s="47"/>
      <c r="G3644" s="10"/>
      <c r="H3644" s="20"/>
      <c r="I3644" s="20"/>
      <c r="J3644" s="10"/>
      <c r="K3644" s="10"/>
      <c r="L3644" s="10"/>
      <c r="M3644" s="10"/>
      <c r="N3644" s="10"/>
      <c r="O3644" s="21"/>
    </row>
    <row r="3645" spans="1:15" x14ac:dyDescent="0.35">
      <c r="A3645" s="15">
        <f t="shared" si="56"/>
        <v>3643</v>
      </c>
      <c r="B3645" s="16"/>
      <c r="C3645" s="19"/>
      <c r="D3645" s="10"/>
      <c r="E3645" s="10"/>
      <c r="F3645" s="47"/>
      <c r="G3645" s="10"/>
      <c r="H3645" s="20"/>
      <c r="I3645" s="20"/>
      <c r="J3645" s="10"/>
      <c r="K3645" s="10"/>
      <c r="L3645" s="10"/>
      <c r="M3645" s="10"/>
      <c r="N3645" s="10"/>
      <c r="O3645" s="21"/>
    </row>
    <row r="3646" spans="1:15" x14ac:dyDescent="0.35">
      <c r="A3646" s="15">
        <f t="shared" si="56"/>
        <v>3644</v>
      </c>
      <c r="B3646" s="16"/>
      <c r="C3646" s="19"/>
      <c r="D3646" s="10"/>
      <c r="E3646" s="10"/>
      <c r="F3646" s="47"/>
      <c r="G3646" s="10"/>
      <c r="H3646" s="20"/>
      <c r="I3646" s="20"/>
      <c r="J3646" s="10"/>
      <c r="K3646" s="10"/>
      <c r="L3646" s="10"/>
      <c r="M3646" s="10"/>
      <c r="N3646" s="10"/>
      <c r="O3646" s="21"/>
    </row>
    <row r="3647" spans="1:15" x14ac:dyDescent="0.35">
      <c r="A3647" s="15">
        <f t="shared" si="56"/>
        <v>3645</v>
      </c>
      <c r="B3647" s="16"/>
      <c r="C3647" s="19"/>
      <c r="D3647" s="10"/>
      <c r="E3647" s="10"/>
      <c r="F3647" s="47"/>
      <c r="G3647" s="10"/>
      <c r="H3647" s="20"/>
      <c r="I3647" s="20"/>
      <c r="J3647" s="10"/>
      <c r="K3647" s="10"/>
      <c r="L3647" s="10"/>
      <c r="M3647" s="10"/>
      <c r="N3647" s="10"/>
      <c r="O3647" s="21"/>
    </row>
    <row r="3648" spans="1:15" x14ac:dyDescent="0.35">
      <c r="A3648" s="15">
        <f t="shared" si="56"/>
        <v>3646</v>
      </c>
      <c r="B3648" s="16"/>
      <c r="C3648" s="19"/>
      <c r="D3648" s="10"/>
      <c r="E3648" s="10"/>
      <c r="F3648" s="47"/>
      <c r="G3648" s="10"/>
      <c r="H3648" s="20"/>
      <c r="I3648" s="20"/>
      <c r="J3648" s="10"/>
      <c r="K3648" s="10"/>
      <c r="L3648" s="10"/>
      <c r="M3648" s="10"/>
      <c r="N3648" s="10"/>
      <c r="O3648" s="21"/>
    </row>
    <row r="3649" spans="1:15" x14ac:dyDescent="0.35">
      <c r="A3649" s="15">
        <f t="shared" si="56"/>
        <v>3647</v>
      </c>
      <c r="B3649" s="16"/>
      <c r="C3649" s="19"/>
      <c r="D3649" s="10"/>
      <c r="E3649" s="10"/>
      <c r="F3649" s="47"/>
      <c r="G3649" s="10"/>
      <c r="H3649" s="20"/>
      <c r="I3649" s="20"/>
      <c r="J3649" s="10"/>
      <c r="K3649" s="10"/>
      <c r="L3649" s="10"/>
      <c r="M3649" s="10"/>
      <c r="N3649" s="10"/>
      <c r="O3649" s="21"/>
    </row>
    <row r="3650" spans="1:15" x14ac:dyDescent="0.35">
      <c r="A3650" s="15">
        <f t="shared" si="56"/>
        <v>3648</v>
      </c>
      <c r="B3650" s="16"/>
      <c r="C3650" s="19"/>
      <c r="D3650" s="10"/>
      <c r="E3650" s="10"/>
      <c r="F3650" s="47"/>
      <c r="G3650" s="10"/>
      <c r="H3650" s="20"/>
      <c r="I3650" s="20"/>
      <c r="J3650" s="10"/>
      <c r="K3650" s="10"/>
      <c r="L3650" s="10"/>
      <c r="M3650" s="10"/>
      <c r="N3650" s="10"/>
      <c r="O3650" s="21"/>
    </row>
    <row r="3651" spans="1:15" x14ac:dyDescent="0.35">
      <c r="A3651" s="15">
        <f t="shared" si="56"/>
        <v>3649</v>
      </c>
      <c r="B3651" s="16"/>
      <c r="C3651" s="19"/>
      <c r="D3651" s="10"/>
      <c r="E3651" s="10"/>
      <c r="F3651" s="47"/>
      <c r="G3651" s="10"/>
      <c r="H3651" s="20"/>
      <c r="I3651" s="20"/>
      <c r="J3651" s="10"/>
      <c r="K3651" s="10"/>
      <c r="L3651" s="10"/>
      <c r="M3651" s="10"/>
      <c r="N3651" s="10"/>
      <c r="O3651" s="21"/>
    </row>
    <row r="3652" spans="1:15" x14ac:dyDescent="0.35">
      <c r="A3652" s="15">
        <f t="shared" si="56"/>
        <v>3650</v>
      </c>
      <c r="B3652" s="16"/>
      <c r="C3652" s="19"/>
      <c r="D3652" s="10"/>
      <c r="E3652" s="10"/>
      <c r="F3652" s="47"/>
      <c r="G3652" s="10"/>
      <c r="H3652" s="20"/>
      <c r="I3652" s="20"/>
      <c r="J3652" s="10"/>
      <c r="K3652" s="10"/>
      <c r="L3652" s="10"/>
      <c r="M3652" s="10"/>
      <c r="N3652" s="10"/>
      <c r="O3652" s="21"/>
    </row>
    <row r="3653" spans="1:15" x14ac:dyDescent="0.35">
      <c r="A3653" s="15">
        <f t="shared" si="56"/>
        <v>3651</v>
      </c>
      <c r="B3653" s="16"/>
      <c r="C3653" s="19"/>
      <c r="D3653" s="10"/>
      <c r="E3653" s="10"/>
      <c r="F3653" s="47"/>
      <c r="G3653" s="10"/>
      <c r="H3653" s="20"/>
      <c r="I3653" s="20"/>
      <c r="J3653" s="10"/>
      <c r="K3653" s="10"/>
      <c r="L3653" s="10"/>
      <c r="M3653" s="10"/>
      <c r="N3653" s="10"/>
      <c r="O3653" s="21"/>
    </row>
    <row r="3654" spans="1:15" x14ac:dyDescent="0.35">
      <c r="A3654" s="15">
        <f t="shared" si="56"/>
        <v>3652</v>
      </c>
      <c r="B3654" s="16"/>
      <c r="C3654" s="19"/>
      <c r="D3654" s="10"/>
      <c r="E3654" s="10"/>
      <c r="F3654" s="47"/>
      <c r="G3654" s="10"/>
      <c r="H3654" s="20"/>
      <c r="I3654" s="20"/>
      <c r="J3654" s="10"/>
      <c r="K3654" s="10"/>
      <c r="L3654" s="10"/>
      <c r="M3654" s="10"/>
      <c r="N3654" s="10"/>
      <c r="O3654" s="21"/>
    </row>
    <row r="3655" spans="1:15" x14ac:dyDescent="0.35">
      <c r="A3655" s="15">
        <f t="shared" si="56"/>
        <v>3653</v>
      </c>
      <c r="B3655" s="16"/>
      <c r="C3655" s="19"/>
      <c r="D3655" s="10"/>
      <c r="E3655" s="10"/>
      <c r="F3655" s="47"/>
      <c r="G3655" s="10"/>
      <c r="H3655" s="20"/>
      <c r="I3655" s="20"/>
      <c r="J3655" s="10"/>
      <c r="K3655" s="10"/>
      <c r="L3655" s="10"/>
      <c r="M3655" s="10"/>
      <c r="N3655" s="10"/>
      <c r="O3655" s="21"/>
    </row>
    <row r="3656" spans="1:15" x14ac:dyDescent="0.35">
      <c r="A3656" s="15">
        <f t="shared" si="56"/>
        <v>3654</v>
      </c>
      <c r="B3656" s="16"/>
      <c r="C3656" s="19"/>
      <c r="D3656" s="10"/>
      <c r="E3656" s="10"/>
      <c r="F3656" s="47"/>
      <c r="G3656" s="10"/>
      <c r="H3656" s="20"/>
      <c r="I3656" s="20"/>
      <c r="J3656" s="10"/>
      <c r="K3656" s="10"/>
      <c r="L3656" s="10"/>
      <c r="M3656" s="10"/>
      <c r="N3656" s="10"/>
      <c r="O3656" s="21"/>
    </row>
    <row r="3657" spans="1:15" x14ac:dyDescent="0.35">
      <c r="A3657" s="15">
        <f t="shared" si="56"/>
        <v>3655</v>
      </c>
      <c r="B3657" s="16"/>
      <c r="C3657" s="19"/>
      <c r="D3657" s="10"/>
      <c r="E3657" s="10"/>
      <c r="F3657" s="47"/>
      <c r="G3657" s="10"/>
      <c r="H3657" s="20"/>
      <c r="I3657" s="20"/>
      <c r="J3657" s="10"/>
      <c r="K3657" s="10"/>
      <c r="L3657" s="10"/>
      <c r="M3657" s="10"/>
      <c r="N3657" s="10"/>
      <c r="O3657" s="21"/>
    </row>
    <row r="3658" spans="1:15" x14ac:dyDescent="0.35">
      <c r="A3658" s="15">
        <f t="shared" si="56"/>
        <v>3656</v>
      </c>
      <c r="B3658" s="16"/>
      <c r="C3658" s="19"/>
      <c r="D3658" s="10"/>
      <c r="E3658" s="10"/>
      <c r="F3658" s="47"/>
      <c r="G3658" s="10"/>
      <c r="H3658" s="20"/>
      <c r="I3658" s="20"/>
      <c r="J3658" s="10"/>
      <c r="K3658" s="10"/>
      <c r="L3658" s="10"/>
      <c r="M3658" s="10"/>
      <c r="N3658" s="10"/>
      <c r="O3658" s="21"/>
    </row>
    <row r="3659" spans="1:15" x14ac:dyDescent="0.35">
      <c r="A3659" s="15">
        <f t="shared" ref="A3659:A3722" si="57">+A3658+1</f>
        <v>3657</v>
      </c>
      <c r="B3659" s="16"/>
      <c r="C3659" s="19"/>
      <c r="D3659" s="10"/>
      <c r="E3659" s="10"/>
      <c r="F3659" s="47"/>
      <c r="G3659" s="10"/>
      <c r="H3659" s="20"/>
      <c r="I3659" s="20"/>
      <c r="J3659" s="10"/>
      <c r="K3659" s="10"/>
      <c r="L3659" s="10"/>
      <c r="M3659" s="10"/>
      <c r="N3659" s="10"/>
      <c r="O3659" s="21"/>
    </row>
    <row r="3660" spans="1:15" x14ac:dyDescent="0.35">
      <c r="A3660" s="15">
        <f t="shared" si="57"/>
        <v>3658</v>
      </c>
      <c r="B3660" s="16"/>
      <c r="C3660" s="19"/>
      <c r="D3660" s="10"/>
      <c r="E3660" s="10"/>
      <c r="F3660" s="47"/>
      <c r="G3660" s="10"/>
      <c r="H3660" s="20"/>
      <c r="I3660" s="20"/>
      <c r="J3660" s="10"/>
      <c r="K3660" s="10"/>
      <c r="L3660" s="10"/>
      <c r="M3660" s="10"/>
      <c r="N3660" s="10"/>
      <c r="O3660" s="21"/>
    </row>
    <row r="3661" spans="1:15" x14ac:dyDescent="0.35">
      <c r="A3661" s="15">
        <f t="shared" si="57"/>
        <v>3659</v>
      </c>
      <c r="B3661" s="16"/>
      <c r="C3661" s="19"/>
      <c r="D3661" s="10"/>
      <c r="E3661" s="10"/>
      <c r="F3661" s="47"/>
      <c r="G3661" s="10"/>
      <c r="H3661" s="20"/>
      <c r="I3661" s="20"/>
      <c r="J3661" s="10"/>
      <c r="K3661" s="10"/>
      <c r="L3661" s="10"/>
      <c r="M3661" s="10"/>
      <c r="N3661" s="10"/>
      <c r="O3661" s="21"/>
    </row>
    <row r="3662" spans="1:15" x14ac:dyDescent="0.35">
      <c r="A3662" s="15">
        <f t="shared" si="57"/>
        <v>3660</v>
      </c>
      <c r="B3662" s="16"/>
      <c r="C3662" s="19"/>
      <c r="D3662" s="10"/>
      <c r="E3662" s="10"/>
      <c r="F3662" s="47"/>
      <c r="G3662" s="10"/>
      <c r="H3662" s="20"/>
      <c r="I3662" s="20"/>
      <c r="J3662" s="10"/>
      <c r="K3662" s="10"/>
      <c r="L3662" s="10"/>
      <c r="M3662" s="10"/>
      <c r="N3662" s="10"/>
      <c r="O3662" s="21"/>
    </row>
    <row r="3663" spans="1:15" x14ac:dyDescent="0.35">
      <c r="A3663" s="15">
        <f t="shared" si="57"/>
        <v>3661</v>
      </c>
      <c r="B3663" s="16"/>
      <c r="C3663" s="19"/>
      <c r="D3663" s="10"/>
      <c r="E3663" s="10"/>
      <c r="F3663" s="47"/>
      <c r="G3663" s="10"/>
      <c r="H3663" s="20"/>
      <c r="I3663" s="20"/>
      <c r="J3663" s="10"/>
      <c r="K3663" s="10"/>
      <c r="L3663" s="10"/>
      <c r="M3663" s="10"/>
      <c r="N3663" s="10"/>
      <c r="O3663" s="21"/>
    </row>
    <row r="3664" spans="1:15" x14ac:dyDescent="0.35">
      <c r="A3664" s="15">
        <f t="shared" si="57"/>
        <v>3662</v>
      </c>
      <c r="B3664" s="16"/>
      <c r="C3664" s="19"/>
      <c r="D3664" s="10"/>
      <c r="E3664" s="10"/>
      <c r="F3664" s="47"/>
      <c r="G3664" s="10"/>
      <c r="H3664" s="20"/>
      <c r="I3664" s="20"/>
      <c r="J3664" s="10"/>
      <c r="K3664" s="10"/>
      <c r="L3664" s="10"/>
      <c r="M3664" s="10"/>
      <c r="N3664" s="10"/>
      <c r="O3664" s="21"/>
    </row>
    <row r="3665" spans="1:15" x14ac:dyDescent="0.35">
      <c r="A3665" s="15">
        <f t="shared" si="57"/>
        <v>3663</v>
      </c>
      <c r="B3665" s="16"/>
      <c r="C3665" s="19"/>
      <c r="D3665" s="10"/>
      <c r="E3665" s="10"/>
      <c r="F3665" s="47"/>
      <c r="G3665" s="10"/>
      <c r="H3665" s="20"/>
      <c r="I3665" s="20"/>
      <c r="J3665" s="10"/>
      <c r="K3665" s="10"/>
      <c r="L3665" s="10"/>
      <c r="M3665" s="10"/>
      <c r="N3665" s="10"/>
      <c r="O3665" s="21"/>
    </row>
    <row r="3666" spans="1:15" x14ac:dyDescent="0.35">
      <c r="A3666" s="15">
        <f t="shared" si="57"/>
        <v>3664</v>
      </c>
      <c r="B3666" s="16"/>
      <c r="C3666" s="19"/>
      <c r="D3666" s="10"/>
      <c r="E3666" s="10"/>
      <c r="F3666" s="47"/>
      <c r="G3666" s="10"/>
      <c r="H3666" s="20"/>
      <c r="I3666" s="20"/>
      <c r="J3666" s="10"/>
      <c r="K3666" s="10"/>
      <c r="L3666" s="10"/>
      <c r="M3666" s="10"/>
      <c r="N3666" s="10"/>
      <c r="O3666" s="21"/>
    </row>
    <row r="3667" spans="1:15" x14ac:dyDescent="0.35">
      <c r="A3667" s="15">
        <f t="shared" si="57"/>
        <v>3665</v>
      </c>
      <c r="B3667" s="16"/>
      <c r="C3667" s="19"/>
      <c r="D3667" s="10"/>
      <c r="E3667" s="10"/>
      <c r="F3667" s="47"/>
      <c r="G3667" s="10"/>
      <c r="H3667" s="20"/>
      <c r="I3667" s="20"/>
      <c r="J3667" s="10"/>
      <c r="K3667" s="10"/>
      <c r="L3667" s="10"/>
      <c r="M3667" s="10"/>
      <c r="N3667" s="10"/>
      <c r="O3667" s="21"/>
    </row>
    <row r="3668" spans="1:15" x14ac:dyDescent="0.35">
      <c r="A3668" s="15">
        <f t="shared" si="57"/>
        <v>3666</v>
      </c>
      <c r="B3668" s="16"/>
      <c r="C3668" s="19"/>
      <c r="D3668" s="10"/>
      <c r="E3668" s="10"/>
      <c r="F3668" s="47"/>
      <c r="G3668" s="10"/>
      <c r="H3668" s="20"/>
      <c r="I3668" s="20"/>
      <c r="J3668" s="10"/>
      <c r="K3668" s="10"/>
      <c r="L3668" s="10"/>
      <c r="M3668" s="10"/>
      <c r="N3668" s="10"/>
      <c r="O3668" s="21"/>
    </row>
    <row r="3669" spans="1:15" x14ac:dyDescent="0.35">
      <c r="A3669" s="15">
        <f t="shared" si="57"/>
        <v>3667</v>
      </c>
      <c r="B3669" s="16"/>
      <c r="C3669" s="19"/>
      <c r="D3669" s="10"/>
      <c r="E3669" s="10"/>
      <c r="F3669" s="47"/>
      <c r="G3669" s="10"/>
      <c r="H3669" s="20"/>
      <c r="I3669" s="20"/>
      <c r="J3669" s="10"/>
      <c r="K3669" s="10"/>
      <c r="L3669" s="10"/>
      <c r="M3669" s="10"/>
      <c r="N3669" s="10"/>
      <c r="O3669" s="21"/>
    </row>
    <row r="3670" spans="1:15" x14ac:dyDescent="0.35">
      <c r="A3670" s="15">
        <f t="shared" si="57"/>
        <v>3668</v>
      </c>
      <c r="B3670" s="16"/>
      <c r="C3670" s="19"/>
      <c r="D3670" s="10"/>
      <c r="E3670" s="10"/>
      <c r="F3670" s="47"/>
      <c r="G3670" s="10"/>
      <c r="H3670" s="20"/>
      <c r="I3670" s="20"/>
      <c r="J3670" s="10"/>
      <c r="K3670" s="10"/>
      <c r="L3670" s="10"/>
      <c r="M3670" s="10"/>
      <c r="N3670" s="10"/>
      <c r="O3670" s="21"/>
    </row>
    <row r="3671" spans="1:15" x14ac:dyDescent="0.35">
      <c r="A3671" s="15">
        <f t="shared" si="57"/>
        <v>3669</v>
      </c>
      <c r="B3671" s="16"/>
      <c r="C3671" s="19"/>
      <c r="D3671" s="10"/>
      <c r="E3671" s="10"/>
      <c r="F3671" s="47"/>
      <c r="G3671" s="10"/>
      <c r="H3671" s="20"/>
      <c r="I3671" s="20"/>
      <c r="J3671" s="10"/>
      <c r="K3671" s="10"/>
      <c r="L3671" s="10"/>
      <c r="M3671" s="10"/>
      <c r="N3671" s="10"/>
      <c r="O3671" s="21"/>
    </row>
    <row r="3672" spans="1:15" x14ac:dyDescent="0.35">
      <c r="A3672" s="15">
        <f t="shared" si="57"/>
        <v>3670</v>
      </c>
      <c r="B3672" s="16"/>
      <c r="C3672" s="19"/>
      <c r="D3672" s="10"/>
      <c r="E3672" s="10"/>
      <c r="F3672" s="47"/>
      <c r="G3672" s="10"/>
      <c r="H3672" s="20"/>
      <c r="I3672" s="20"/>
      <c r="J3672" s="10"/>
      <c r="K3672" s="10"/>
      <c r="L3672" s="10"/>
      <c r="M3672" s="10"/>
      <c r="N3672" s="10"/>
      <c r="O3672" s="21"/>
    </row>
    <row r="3673" spans="1:15" x14ac:dyDescent="0.35">
      <c r="A3673" s="15">
        <f t="shared" si="57"/>
        <v>3671</v>
      </c>
      <c r="B3673" s="16"/>
      <c r="C3673" s="19"/>
      <c r="D3673" s="10"/>
      <c r="E3673" s="10"/>
      <c r="F3673" s="47"/>
      <c r="G3673" s="10"/>
      <c r="H3673" s="20"/>
      <c r="I3673" s="20"/>
      <c r="J3673" s="10"/>
      <c r="K3673" s="10"/>
      <c r="L3673" s="10"/>
      <c r="M3673" s="10"/>
      <c r="N3673" s="10"/>
      <c r="O3673" s="21"/>
    </row>
    <row r="3674" spans="1:15" x14ac:dyDescent="0.35">
      <c r="A3674" s="15">
        <f t="shared" si="57"/>
        <v>3672</v>
      </c>
      <c r="B3674" s="16"/>
      <c r="C3674" s="19"/>
      <c r="D3674" s="10"/>
      <c r="E3674" s="10"/>
      <c r="F3674" s="47"/>
      <c r="G3674" s="10"/>
      <c r="H3674" s="20"/>
      <c r="I3674" s="20"/>
      <c r="J3674" s="10"/>
      <c r="K3674" s="10"/>
      <c r="L3674" s="10"/>
      <c r="M3674" s="10"/>
      <c r="N3674" s="10"/>
      <c r="O3674" s="21"/>
    </row>
    <row r="3675" spans="1:15" x14ac:dyDescent="0.35">
      <c r="A3675" s="15">
        <f t="shared" si="57"/>
        <v>3673</v>
      </c>
      <c r="B3675" s="16"/>
      <c r="C3675" s="19"/>
      <c r="D3675" s="10"/>
      <c r="E3675" s="10"/>
      <c r="F3675" s="47"/>
      <c r="G3675" s="10"/>
      <c r="H3675" s="20"/>
      <c r="I3675" s="20"/>
      <c r="J3675" s="10"/>
      <c r="K3675" s="10"/>
      <c r="L3675" s="10"/>
      <c r="M3675" s="10"/>
      <c r="N3675" s="10"/>
      <c r="O3675" s="21"/>
    </row>
    <row r="3676" spans="1:15" x14ac:dyDescent="0.35">
      <c r="A3676" s="15">
        <f t="shared" si="57"/>
        <v>3674</v>
      </c>
      <c r="B3676" s="16"/>
      <c r="C3676" s="19"/>
      <c r="D3676" s="10"/>
      <c r="E3676" s="10"/>
      <c r="F3676" s="47"/>
      <c r="G3676" s="10"/>
      <c r="H3676" s="20"/>
      <c r="I3676" s="20"/>
      <c r="J3676" s="10"/>
      <c r="K3676" s="10"/>
      <c r="L3676" s="10"/>
      <c r="M3676" s="10"/>
      <c r="N3676" s="10"/>
      <c r="O3676" s="21"/>
    </row>
    <row r="3677" spans="1:15" x14ac:dyDescent="0.35">
      <c r="A3677" s="15">
        <f t="shared" si="57"/>
        <v>3675</v>
      </c>
      <c r="B3677" s="16"/>
      <c r="C3677" s="19"/>
      <c r="D3677" s="10"/>
      <c r="E3677" s="10"/>
      <c r="F3677" s="47"/>
      <c r="G3677" s="10"/>
      <c r="H3677" s="20"/>
      <c r="I3677" s="20"/>
      <c r="J3677" s="10"/>
      <c r="K3677" s="10"/>
      <c r="L3677" s="10"/>
      <c r="M3677" s="10"/>
      <c r="N3677" s="10"/>
      <c r="O3677" s="21"/>
    </row>
    <row r="3678" spans="1:15" x14ac:dyDescent="0.35">
      <c r="A3678" s="15">
        <f t="shared" si="57"/>
        <v>3676</v>
      </c>
      <c r="B3678" s="16"/>
      <c r="C3678" s="19"/>
      <c r="D3678" s="10"/>
      <c r="E3678" s="10"/>
      <c r="F3678" s="47"/>
      <c r="G3678" s="10"/>
      <c r="H3678" s="20"/>
      <c r="I3678" s="20"/>
      <c r="J3678" s="10"/>
      <c r="K3678" s="10"/>
      <c r="L3678" s="10"/>
      <c r="M3678" s="10"/>
      <c r="N3678" s="10"/>
      <c r="O3678" s="21"/>
    </row>
    <row r="3679" spans="1:15" x14ac:dyDescent="0.35">
      <c r="A3679" s="15">
        <f t="shared" si="57"/>
        <v>3677</v>
      </c>
      <c r="B3679" s="16"/>
      <c r="C3679" s="19"/>
      <c r="D3679" s="10"/>
      <c r="E3679" s="10"/>
      <c r="F3679" s="47"/>
      <c r="G3679" s="10"/>
      <c r="H3679" s="20"/>
      <c r="I3679" s="20"/>
      <c r="J3679" s="10"/>
      <c r="K3679" s="10"/>
      <c r="L3679" s="10"/>
      <c r="M3679" s="10"/>
      <c r="N3679" s="10"/>
      <c r="O3679" s="21"/>
    </row>
    <row r="3680" spans="1:15" x14ac:dyDescent="0.35">
      <c r="A3680" s="15">
        <f t="shared" si="57"/>
        <v>3678</v>
      </c>
      <c r="B3680" s="16"/>
      <c r="C3680" s="19"/>
      <c r="D3680" s="10"/>
      <c r="E3680" s="10"/>
      <c r="F3680" s="47"/>
      <c r="G3680" s="10"/>
      <c r="H3680" s="20"/>
      <c r="I3680" s="20"/>
      <c r="J3680" s="10"/>
      <c r="K3680" s="10"/>
      <c r="L3680" s="10"/>
      <c r="M3680" s="10"/>
      <c r="N3680" s="10"/>
      <c r="O3680" s="21"/>
    </row>
    <row r="3681" spans="1:15" x14ac:dyDescent="0.35">
      <c r="A3681" s="15">
        <f t="shared" si="57"/>
        <v>3679</v>
      </c>
      <c r="B3681" s="16"/>
      <c r="C3681" s="19"/>
      <c r="D3681" s="10"/>
      <c r="E3681" s="10"/>
      <c r="F3681" s="47"/>
      <c r="G3681" s="10"/>
      <c r="H3681" s="20"/>
      <c r="I3681" s="20"/>
      <c r="J3681" s="10"/>
      <c r="K3681" s="10"/>
      <c r="L3681" s="10"/>
      <c r="M3681" s="10"/>
      <c r="N3681" s="10"/>
      <c r="O3681" s="21"/>
    </row>
    <row r="3682" spans="1:15" x14ac:dyDescent="0.35">
      <c r="A3682" s="15">
        <f t="shared" si="57"/>
        <v>3680</v>
      </c>
      <c r="B3682" s="16"/>
      <c r="C3682" s="19"/>
      <c r="D3682" s="10"/>
      <c r="E3682" s="10"/>
      <c r="F3682" s="47"/>
      <c r="G3682" s="10"/>
      <c r="H3682" s="20"/>
      <c r="I3682" s="20"/>
      <c r="J3682" s="10"/>
      <c r="K3682" s="10"/>
      <c r="L3682" s="10"/>
      <c r="M3682" s="10"/>
      <c r="N3682" s="10"/>
      <c r="O3682" s="21"/>
    </row>
    <row r="3683" spans="1:15" x14ac:dyDescent="0.35">
      <c r="A3683" s="15">
        <f t="shared" si="57"/>
        <v>3681</v>
      </c>
      <c r="B3683" s="16"/>
      <c r="C3683" s="19"/>
      <c r="D3683" s="10"/>
      <c r="E3683" s="10"/>
      <c r="F3683" s="47"/>
      <c r="G3683" s="10"/>
      <c r="H3683" s="20"/>
      <c r="I3683" s="20"/>
      <c r="J3683" s="10"/>
      <c r="K3683" s="10"/>
      <c r="L3683" s="10"/>
      <c r="M3683" s="10"/>
      <c r="N3683" s="10"/>
      <c r="O3683" s="21"/>
    </row>
    <row r="3684" spans="1:15" x14ac:dyDescent="0.35">
      <c r="A3684" s="15">
        <f t="shared" si="57"/>
        <v>3682</v>
      </c>
      <c r="B3684" s="16"/>
      <c r="C3684" s="19"/>
      <c r="D3684" s="10"/>
      <c r="E3684" s="10"/>
      <c r="F3684" s="47"/>
      <c r="G3684" s="10"/>
      <c r="H3684" s="20"/>
      <c r="I3684" s="20"/>
      <c r="J3684" s="10"/>
      <c r="K3684" s="10"/>
      <c r="L3684" s="10"/>
      <c r="M3684" s="10"/>
      <c r="N3684" s="10"/>
      <c r="O3684" s="21"/>
    </row>
    <row r="3685" spans="1:15" x14ac:dyDescent="0.35">
      <c r="A3685" s="15">
        <f t="shared" si="57"/>
        <v>3683</v>
      </c>
      <c r="B3685" s="16"/>
      <c r="C3685" s="19"/>
      <c r="D3685" s="10"/>
      <c r="E3685" s="10"/>
      <c r="F3685" s="47"/>
      <c r="G3685" s="10"/>
      <c r="H3685" s="20"/>
      <c r="I3685" s="20"/>
      <c r="J3685" s="10"/>
      <c r="K3685" s="10"/>
      <c r="L3685" s="10"/>
      <c r="M3685" s="10"/>
      <c r="N3685" s="10"/>
      <c r="O3685" s="21"/>
    </row>
    <row r="3686" spans="1:15" x14ac:dyDescent="0.35">
      <c r="A3686" s="15">
        <f t="shared" si="57"/>
        <v>3684</v>
      </c>
      <c r="B3686" s="16"/>
      <c r="C3686" s="19"/>
      <c r="D3686" s="10"/>
      <c r="E3686" s="10"/>
      <c r="F3686" s="47"/>
      <c r="G3686" s="10"/>
      <c r="H3686" s="20"/>
      <c r="I3686" s="20"/>
      <c r="J3686" s="10"/>
      <c r="K3686" s="10"/>
      <c r="L3686" s="10"/>
      <c r="M3686" s="10"/>
      <c r="N3686" s="10"/>
      <c r="O3686" s="21"/>
    </row>
    <row r="3687" spans="1:15" x14ac:dyDescent="0.35">
      <c r="A3687" s="15">
        <f t="shared" si="57"/>
        <v>3685</v>
      </c>
      <c r="B3687" s="16"/>
      <c r="C3687" s="19"/>
      <c r="D3687" s="10"/>
      <c r="E3687" s="10"/>
      <c r="F3687" s="47"/>
      <c r="G3687" s="10"/>
      <c r="H3687" s="20"/>
      <c r="I3687" s="20"/>
      <c r="J3687" s="10"/>
      <c r="K3687" s="10"/>
      <c r="L3687" s="10"/>
      <c r="M3687" s="10"/>
      <c r="N3687" s="10"/>
      <c r="O3687" s="21"/>
    </row>
    <row r="3688" spans="1:15" x14ac:dyDescent="0.35">
      <c r="A3688" s="15">
        <f t="shared" si="57"/>
        <v>3686</v>
      </c>
      <c r="B3688" s="16"/>
      <c r="C3688" s="19"/>
      <c r="D3688" s="10"/>
      <c r="E3688" s="10"/>
      <c r="F3688" s="47"/>
      <c r="G3688" s="10"/>
      <c r="H3688" s="20"/>
      <c r="I3688" s="20"/>
      <c r="J3688" s="10"/>
      <c r="K3688" s="10"/>
      <c r="L3688" s="10"/>
      <c r="M3688" s="10"/>
      <c r="N3688" s="10"/>
      <c r="O3688" s="21"/>
    </row>
    <row r="3689" spans="1:15" x14ac:dyDescent="0.35">
      <c r="A3689" s="15">
        <f t="shared" si="57"/>
        <v>3687</v>
      </c>
      <c r="B3689" s="16"/>
      <c r="C3689" s="19"/>
      <c r="D3689" s="10"/>
      <c r="E3689" s="10"/>
      <c r="F3689" s="47"/>
      <c r="G3689" s="10"/>
      <c r="H3689" s="20"/>
      <c r="I3689" s="20"/>
      <c r="J3689" s="10"/>
      <c r="K3689" s="10"/>
      <c r="L3689" s="10"/>
      <c r="M3689" s="10"/>
      <c r="N3689" s="10"/>
      <c r="O3689" s="21"/>
    </row>
    <row r="3690" spans="1:15" x14ac:dyDescent="0.35">
      <c r="A3690" s="15">
        <f t="shared" si="57"/>
        <v>3688</v>
      </c>
      <c r="B3690" s="16"/>
      <c r="C3690" s="19"/>
      <c r="D3690" s="10"/>
      <c r="E3690" s="10"/>
      <c r="F3690" s="47"/>
      <c r="G3690" s="10"/>
      <c r="H3690" s="20"/>
      <c r="I3690" s="20"/>
      <c r="J3690" s="10"/>
      <c r="K3690" s="10"/>
      <c r="L3690" s="10"/>
      <c r="M3690" s="10"/>
      <c r="N3690" s="10"/>
      <c r="O3690" s="21"/>
    </row>
    <row r="3691" spans="1:15" x14ac:dyDescent="0.35">
      <c r="A3691" s="15">
        <f t="shared" si="57"/>
        <v>3689</v>
      </c>
      <c r="B3691" s="16"/>
      <c r="C3691" s="19"/>
      <c r="D3691" s="10"/>
      <c r="E3691" s="10"/>
      <c r="F3691" s="47"/>
      <c r="G3691" s="10"/>
      <c r="H3691" s="20"/>
      <c r="I3691" s="20"/>
      <c r="J3691" s="10"/>
      <c r="K3691" s="10"/>
      <c r="L3691" s="10"/>
      <c r="M3691" s="10"/>
      <c r="N3691" s="10"/>
      <c r="O3691" s="21"/>
    </row>
    <row r="3692" spans="1:15" x14ac:dyDescent="0.35">
      <c r="A3692" s="15">
        <f t="shared" si="57"/>
        <v>3690</v>
      </c>
      <c r="B3692" s="16"/>
      <c r="C3692" s="19"/>
      <c r="D3692" s="10"/>
      <c r="E3692" s="10"/>
      <c r="F3692" s="47"/>
      <c r="G3692" s="10"/>
      <c r="H3692" s="20"/>
      <c r="I3692" s="20"/>
      <c r="J3692" s="10"/>
      <c r="K3692" s="10"/>
      <c r="L3692" s="10"/>
      <c r="M3692" s="10"/>
      <c r="N3692" s="10"/>
      <c r="O3692" s="21"/>
    </row>
    <row r="3693" spans="1:15" x14ac:dyDescent="0.35">
      <c r="A3693" s="15">
        <f t="shared" si="57"/>
        <v>3691</v>
      </c>
      <c r="B3693" s="16"/>
      <c r="C3693" s="19"/>
      <c r="D3693" s="10"/>
      <c r="E3693" s="10"/>
      <c r="F3693" s="47"/>
      <c r="G3693" s="10"/>
      <c r="H3693" s="20"/>
      <c r="I3693" s="20"/>
      <c r="J3693" s="10"/>
      <c r="K3693" s="10"/>
      <c r="L3693" s="10"/>
      <c r="M3693" s="10"/>
      <c r="N3693" s="10"/>
      <c r="O3693" s="21"/>
    </row>
    <row r="3694" spans="1:15" x14ac:dyDescent="0.35">
      <c r="A3694" s="15">
        <f t="shared" si="57"/>
        <v>3692</v>
      </c>
      <c r="B3694" s="16"/>
      <c r="C3694" s="19"/>
      <c r="D3694" s="10"/>
      <c r="E3694" s="10"/>
      <c r="F3694" s="47"/>
      <c r="G3694" s="10"/>
      <c r="H3694" s="20"/>
      <c r="I3694" s="20"/>
      <c r="J3694" s="10"/>
      <c r="K3694" s="10"/>
      <c r="L3694" s="10"/>
      <c r="M3694" s="10"/>
      <c r="N3694" s="10"/>
      <c r="O3694" s="21"/>
    </row>
    <row r="3695" spans="1:15" x14ac:dyDescent="0.35">
      <c r="A3695" s="15">
        <f t="shared" si="57"/>
        <v>3693</v>
      </c>
      <c r="B3695" s="16"/>
      <c r="C3695" s="19"/>
      <c r="D3695" s="10"/>
      <c r="E3695" s="10"/>
      <c r="F3695" s="47"/>
      <c r="G3695" s="10"/>
      <c r="H3695" s="20"/>
      <c r="I3695" s="20"/>
      <c r="J3695" s="10"/>
      <c r="K3695" s="10"/>
      <c r="L3695" s="10"/>
      <c r="M3695" s="10"/>
      <c r="N3695" s="10"/>
      <c r="O3695" s="21"/>
    </row>
    <row r="3696" spans="1:15" x14ac:dyDescent="0.35">
      <c r="A3696" s="15">
        <f t="shared" si="57"/>
        <v>3694</v>
      </c>
      <c r="B3696" s="16"/>
      <c r="C3696" s="19"/>
      <c r="D3696" s="10"/>
      <c r="E3696" s="10"/>
      <c r="F3696" s="47"/>
      <c r="G3696" s="10"/>
      <c r="H3696" s="20"/>
      <c r="I3696" s="20"/>
      <c r="J3696" s="10"/>
      <c r="K3696" s="10"/>
      <c r="L3696" s="10"/>
      <c r="M3696" s="10"/>
      <c r="N3696" s="10"/>
      <c r="O3696" s="21"/>
    </row>
    <row r="3697" spans="1:15" x14ac:dyDescent="0.35">
      <c r="A3697" s="15">
        <f t="shared" si="57"/>
        <v>3695</v>
      </c>
      <c r="B3697" s="16"/>
      <c r="C3697" s="19"/>
      <c r="D3697" s="10"/>
      <c r="E3697" s="10"/>
      <c r="F3697" s="47"/>
      <c r="G3697" s="10"/>
      <c r="H3697" s="20"/>
      <c r="I3697" s="20"/>
      <c r="J3697" s="10"/>
      <c r="K3697" s="10"/>
      <c r="L3697" s="10"/>
      <c r="M3697" s="10"/>
      <c r="N3697" s="10"/>
      <c r="O3697" s="21"/>
    </row>
    <row r="3698" spans="1:15" x14ac:dyDescent="0.35">
      <c r="A3698" s="15">
        <f t="shared" si="57"/>
        <v>3696</v>
      </c>
      <c r="B3698" s="16"/>
      <c r="C3698" s="19"/>
      <c r="D3698" s="10"/>
      <c r="E3698" s="10"/>
      <c r="F3698" s="47"/>
      <c r="G3698" s="10"/>
      <c r="H3698" s="20"/>
      <c r="I3698" s="20"/>
      <c r="J3698" s="10"/>
      <c r="K3698" s="10"/>
      <c r="L3698" s="10"/>
      <c r="M3698" s="10"/>
      <c r="N3698" s="10"/>
      <c r="O3698" s="21"/>
    </row>
    <row r="3699" spans="1:15" x14ac:dyDescent="0.35">
      <c r="A3699" s="15">
        <f t="shared" si="57"/>
        <v>3697</v>
      </c>
      <c r="B3699" s="16"/>
      <c r="C3699" s="19"/>
      <c r="D3699" s="10"/>
      <c r="E3699" s="10"/>
      <c r="F3699" s="47"/>
      <c r="G3699" s="10"/>
      <c r="H3699" s="20"/>
      <c r="I3699" s="20"/>
      <c r="J3699" s="10"/>
      <c r="K3699" s="10"/>
      <c r="L3699" s="10"/>
      <c r="M3699" s="10"/>
      <c r="N3699" s="10"/>
      <c r="O3699" s="21"/>
    </row>
    <row r="3700" spans="1:15" x14ac:dyDescent="0.35">
      <c r="A3700" s="15">
        <f t="shared" si="57"/>
        <v>3698</v>
      </c>
      <c r="B3700" s="16"/>
      <c r="C3700" s="19"/>
      <c r="D3700" s="10"/>
      <c r="E3700" s="10"/>
      <c r="F3700" s="47"/>
      <c r="G3700" s="10"/>
      <c r="H3700" s="20"/>
      <c r="I3700" s="20"/>
      <c r="J3700" s="10"/>
      <c r="K3700" s="10"/>
      <c r="L3700" s="10"/>
      <c r="M3700" s="10"/>
      <c r="N3700" s="10"/>
      <c r="O3700" s="21"/>
    </row>
    <row r="3701" spans="1:15" x14ac:dyDescent="0.35">
      <c r="A3701" s="15">
        <f t="shared" si="57"/>
        <v>3699</v>
      </c>
      <c r="B3701" s="16"/>
      <c r="C3701" s="19"/>
      <c r="D3701" s="10"/>
      <c r="E3701" s="10"/>
      <c r="F3701" s="47"/>
      <c r="G3701" s="10"/>
      <c r="H3701" s="20"/>
      <c r="I3701" s="20"/>
      <c r="J3701" s="10"/>
      <c r="K3701" s="10"/>
      <c r="L3701" s="10"/>
      <c r="M3701" s="10"/>
      <c r="N3701" s="10"/>
      <c r="O3701" s="21"/>
    </row>
    <row r="3702" spans="1:15" x14ac:dyDescent="0.35">
      <c r="A3702" s="15">
        <f t="shared" si="57"/>
        <v>3700</v>
      </c>
      <c r="B3702" s="16"/>
      <c r="C3702" s="19"/>
      <c r="D3702" s="10"/>
      <c r="E3702" s="10"/>
      <c r="F3702" s="47"/>
      <c r="G3702" s="10"/>
      <c r="H3702" s="20"/>
      <c r="I3702" s="20"/>
      <c r="J3702" s="10"/>
      <c r="K3702" s="10"/>
      <c r="L3702" s="10"/>
      <c r="M3702" s="10"/>
      <c r="N3702" s="10"/>
      <c r="O3702" s="21"/>
    </row>
    <row r="3703" spans="1:15" x14ac:dyDescent="0.35">
      <c r="A3703" s="15">
        <f t="shared" si="57"/>
        <v>3701</v>
      </c>
      <c r="B3703" s="16"/>
      <c r="C3703" s="19"/>
      <c r="D3703" s="10"/>
      <c r="E3703" s="10"/>
      <c r="F3703" s="47"/>
      <c r="G3703" s="10"/>
      <c r="H3703" s="20"/>
      <c r="I3703" s="20"/>
      <c r="J3703" s="10"/>
      <c r="K3703" s="10"/>
      <c r="L3703" s="10"/>
      <c r="M3703" s="10"/>
      <c r="N3703" s="10"/>
      <c r="O3703" s="21"/>
    </row>
    <row r="3704" spans="1:15" x14ac:dyDescent="0.35">
      <c r="A3704" s="15">
        <f t="shared" si="57"/>
        <v>3702</v>
      </c>
      <c r="B3704" s="16"/>
      <c r="C3704" s="19"/>
      <c r="D3704" s="10"/>
      <c r="E3704" s="10"/>
      <c r="F3704" s="47"/>
      <c r="G3704" s="10"/>
      <c r="H3704" s="20"/>
      <c r="I3704" s="20"/>
      <c r="J3704" s="10"/>
      <c r="K3704" s="10"/>
      <c r="L3704" s="10"/>
      <c r="M3704" s="10"/>
      <c r="N3704" s="10"/>
      <c r="O3704" s="21"/>
    </row>
    <row r="3705" spans="1:15" x14ac:dyDescent="0.35">
      <c r="A3705" s="15">
        <f t="shared" si="57"/>
        <v>3703</v>
      </c>
      <c r="B3705" s="16"/>
      <c r="C3705" s="19"/>
      <c r="D3705" s="10"/>
      <c r="E3705" s="10"/>
      <c r="F3705" s="47"/>
      <c r="G3705" s="10"/>
      <c r="H3705" s="20"/>
      <c r="I3705" s="20"/>
      <c r="J3705" s="10"/>
      <c r="K3705" s="10"/>
      <c r="L3705" s="10"/>
      <c r="M3705" s="10"/>
      <c r="N3705" s="10"/>
      <c r="O3705" s="21"/>
    </row>
    <row r="3706" spans="1:15" x14ac:dyDescent="0.35">
      <c r="A3706" s="15">
        <f t="shared" si="57"/>
        <v>3704</v>
      </c>
      <c r="B3706" s="16"/>
      <c r="C3706" s="19"/>
      <c r="D3706" s="10"/>
      <c r="E3706" s="10"/>
      <c r="F3706" s="47"/>
      <c r="G3706" s="10"/>
      <c r="H3706" s="20"/>
      <c r="I3706" s="20"/>
      <c r="J3706" s="10"/>
      <c r="K3706" s="10"/>
      <c r="L3706" s="10"/>
      <c r="M3706" s="10"/>
      <c r="N3706" s="10"/>
      <c r="O3706" s="21"/>
    </row>
    <row r="3707" spans="1:15" x14ac:dyDescent="0.35">
      <c r="A3707" s="15">
        <f t="shared" si="57"/>
        <v>3705</v>
      </c>
      <c r="B3707" s="16"/>
      <c r="C3707" s="19"/>
      <c r="D3707" s="10"/>
      <c r="E3707" s="10"/>
      <c r="F3707" s="47"/>
      <c r="G3707" s="10"/>
      <c r="H3707" s="20"/>
      <c r="I3707" s="20"/>
      <c r="J3707" s="10"/>
      <c r="K3707" s="10"/>
      <c r="L3707" s="10"/>
      <c r="M3707" s="10"/>
      <c r="N3707" s="10"/>
      <c r="O3707" s="21"/>
    </row>
    <row r="3708" spans="1:15" x14ac:dyDescent="0.35">
      <c r="A3708" s="15">
        <f t="shared" si="57"/>
        <v>3706</v>
      </c>
      <c r="B3708" s="16"/>
      <c r="C3708" s="19"/>
      <c r="D3708" s="10"/>
      <c r="E3708" s="10"/>
      <c r="F3708" s="47"/>
      <c r="G3708" s="10"/>
      <c r="H3708" s="20"/>
      <c r="I3708" s="20"/>
      <c r="J3708" s="10"/>
      <c r="K3708" s="10"/>
      <c r="L3708" s="10"/>
      <c r="M3708" s="10"/>
      <c r="N3708" s="10"/>
      <c r="O3708" s="21"/>
    </row>
    <row r="3709" spans="1:15" x14ac:dyDescent="0.35">
      <c r="A3709" s="15">
        <f t="shared" si="57"/>
        <v>3707</v>
      </c>
      <c r="B3709" s="16"/>
      <c r="C3709" s="19"/>
      <c r="D3709" s="10"/>
      <c r="E3709" s="10"/>
      <c r="F3709" s="47"/>
      <c r="G3709" s="10"/>
      <c r="H3709" s="20"/>
      <c r="I3709" s="20"/>
      <c r="J3709" s="10"/>
      <c r="K3709" s="10"/>
      <c r="L3709" s="10"/>
      <c r="M3709" s="10"/>
      <c r="N3709" s="10"/>
      <c r="O3709" s="21"/>
    </row>
    <row r="3710" spans="1:15" x14ac:dyDescent="0.35">
      <c r="A3710" s="15">
        <f t="shared" si="57"/>
        <v>3708</v>
      </c>
      <c r="B3710" s="16"/>
      <c r="C3710" s="19"/>
      <c r="D3710" s="10"/>
      <c r="E3710" s="10"/>
      <c r="F3710" s="47"/>
      <c r="G3710" s="10"/>
      <c r="H3710" s="20"/>
      <c r="I3710" s="20"/>
      <c r="J3710" s="10"/>
      <c r="K3710" s="10"/>
      <c r="L3710" s="10"/>
      <c r="M3710" s="10"/>
      <c r="N3710" s="10"/>
      <c r="O3710" s="21"/>
    </row>
    <row r="3711" spans="1:15" x14ac:dyDescent="0.35">
      <c r="A3711" s="15">
        <f t="shared" si="57"/>
        <v>3709</v>
      </c>
      <c r="B3711" s="16"/>
      <c r="C3711" s="19"/>
      <c r="D3711" s="10"/>
      <c r="E3711" s="10"/>
      <c r="F3711" s="47"/>
      <c r="G3711" s="10"/>
      <c r="H3711" s="20"/>
      <c r="I3711" s="20"/>
      <c r="J3711" s="10"/>
      <c r="K3711" s="10"/>
      <c r="L3711" s="10"/>
      <c r="M3711" s="10"/>
      <c r="N3711" s="10"/>
      <c r="O3711" s="21"/>
    </row>
    <row r="3712" spans="1:15" x14ac:dyDescent="0.35">
      <c r="A3712" s="15">
        <f t="shared" si="57"/>
        <v>3710</v>
      </c>
      <c r="B3712" s="16"/>
      <c r="C3712" s="19"/>
      <c r="D3712" s="10"/>
      <c r="E3712" s="10"/>
      <c r="F3712" s="47"/>
      <c r="G3712" s="10"/>
      <c r="H3712" s="20"/>
      <c r="I3712" s="20"/>
      <c r="J3712" s="10"/>
      <c r="K3712" s="10"/>
      <c r="L3712" s="10"/>
      <c r="M3712" s="10"/>
      <c r="N3712" s="10"/>
      <c r="O3712" s="21"/>
    </row>
    <row r="3713" spans="1:15" x14ac:dyDescent="0.35">
      <c r="A3713" s="15">
        <f t="shared" si="57"/>
        <v>3711</v>
      </c>
      <c r="B3713" s="16"/>
      <c r="C3713" s="19"/>
      <c r="D3713" s="10"/>
      <c r="E3713" s="10"/>
      <c r="F3713" s="47"/>
      <c r="G3713" s="10"/>
      <c r="H3713" s="20"/>
      <c r="I3713" s="20"/>
      <c r="J3713" s="10"/>
      <c r="K3713" s="10"/>
      <c r="L3713" s="10"/>
      <c r="M3713" s="10"/>
      <c r="N3713" s="10"/>
      <c r="O3713" s="21"/>
    </row>
    <row r="3714" spans="1:15" x14ac:dyDescent="0.35">
      <c r="A3714" s="15">
        <f t="shared" si="57"/>
        <v>3712</v>
      </c>
      <c r="B3714" s="16"/>
      <c r="C3714" s="19"/>
      <c r="D3714" s="10"/>
      <c r="E3714" s="10"/>
      <c r="F3714" s="47"/>
      <c r="G3714" s="10"/>
      <c r="H3714" s="20"/>
      <c r="I3714" s="20"/>
      <c r="J3714" s="10"/>
      <c r="K3714" s="10"/>
      <c r="L3714" s="10"/>
      <c r="M3714" s="10"/>
      <c r="N3714" s="10"/>
      <c r="O3714" s="21"/>
    </row>
    <row r="3715" spans="1:15" x14ac:dyDescent="0.35">
      <c r="A3715" s="15">
        <f t="shared" si="57"/>
        <v>3713</v>
      </c>
      <c r="B3715" s="16"/>
      <c r="C3715" s="19"/>
      <c r="D3715" s="10"/>
      <c r="E3715" s="10"/>
      <c r="F3715" s="47"/>
      <c r="G3715" s="10"/>
      <c r="H3715" s="20"/>
      <c r="I3715" s="20"/>
      <c r="J3715" s="10"/>
      <c r="K3715" s="10"/>
      <c r="L3715" s="10"/>
      <c r="M3715" s="10"/>
      <c r="N3715" s="10"/>
      <c r="O3715" s="21"/>
    </row>
    <row r="3716" spans="1:15" x14ac:dyDescent="0.35">
      <c r="A3716" s="15">
        <f t="shared" si="57"/>
        <v>3714</v>
      </c>
      <c r="B3716" s="16"/>
      <c r="C3716" s="19"/>
      <c r="D3716" s="10"/>
      <c r="E3716" s="10"/>
      <c r="F3716" s="47"/>
      <c r="G3716" s="10"/>
      <c r="H3716" s="20"/>
      <c r="I3716" s="20"/>
      <c r="J3716" s="10"/>
      <c r="K3716" s="10"/>
      <c r="L3716" s="10"/>
      <c r="M3716" s="10"/>
      <c r="N3716" s="10"/>
      <c r="O3716" s="21"/>
    </row>
    <row r="3717" spans="1:15" x14ac:dyDescent="0.35">
      <c r="A3717" s="15">
        <f t="shared" si="57"/>
        <v>3715</v>
      </c>
      <c r="B3717" s="16"/>
      <c r="C3717" s="19"/>
      <c r="D3717" s="10"/>
      <c r="E3717" s="10"/>
      <c r="F3717" s="47"/>
      <c r="G3717" s="10"/>
      <c r="H3717" s="20"/>
      <c r="I3717" s="20"/>
      <c r="J3717" s="10"/>
      <c r="K3717" s="10"/>
      <c r="L3717" s="10"/>
      <c r="M3717" s="10"/>
      <c r="N3717" s="10"/>
      <c r="O3717" s="21"/>
    </row>
    <row r="3718" spans="1:15" x14ac:dyDescent="0.35">
      <c r="A3718" s="15">
        <f t="shared" si="57"/>
        <v>3716</v>
      </c>
      <c r="B3718" s="16"/>
      <c r="C3718" s="19"/>
      <c r="D3718" s="10"/>
      <c r="E3718" s="10"/>
      <c r="F3718" s="47"/>
      <c r="G3718" s="10"/>
      <c r="H3718" s="20"/>
      <c r="I3718" s="20"/>
      <c r="J3718" s="10"/>
      <c r="K3718" s="10"/>
      <c r="L3718" s="10"/>
      <c r="M3718" s="10"/>
      <c r="N3718" s="10"/>
      <c r="O3718" s="21"/>
    </row>
    <row r="3719" spans="1:15" x14ac:dyDescent="0.35">
      <c r="A3719" s="15">
        <f t="shared" si="57"/>
        <v>3717</v>
      </c>
      <c r="B3719" s="16"/>
      <c r="C3719" s="19"/>
      <c r="D3719" s="10"/>
      <c r="E3719" s="10"/>
      <c r="F3719" s="47"/>
      <c r="G3719" s="10"/>
      <c r="H3719" s="20"/>
      <c r="I3719" s="20"/>
      <c r="J3719" s="10"/>
      <c r="K3719" s="10"/>
      <c r="L3719" s="10"/>
      <c r="M3719" s="10"/>
      <c r="N3719" s="10"/>
      <c r="O3719" s="21"/>
    </row>
    <row r="3720" spans="1:15" x14ac:dyDescent="0.35">
      <c r="A3720" s="15">
        <f t="shared" si="57"/>
        <v>3718</v>
      </c>
      <c r="B3720" s="16"/>
      <c r="C3720" s="19"/>
      <c r="D3720" s="10"/>
      <c r="E3720" s="10"/>
      <c r="F3720" s="47"/>
      <c r="G3720" s="10"/>
      <c r="H3720" s="20"/>
      <c r="I3720" s="20"/>
      <c r="J3720" s="10"/>
      <c r="K3720" s="10"/>
      <c r="L3720" s="10"/>
      <c r="M3720" s="10"/>
      <c r="N3720" s="10"/>
      <c r="O3720" s="21"/>
    </row>
    <row r="3721" spans="1:15" x14ac:dyDescent="0.35">
      <c r="A3721" s="15">
        <f t="shared" si="57"/>
        <v>3719</v>
      </c>
      <c r="B3721" s="16"/>
      <c r="C3721" s="19"/>
      <c r="D3721" s="10"/>
      <c r="E3721" s="10"/>
      <c r="F3721" s="47"/>
      <c r="G3721" s="10"/>
      <c r="H3721" s="20"/>
      <c r="I3721" s="20"/>
      <c r="J3721" s="10"/>
      <c r="K3721" s="10"/>
      <c r="L3721" s="10"/>
      <c r="M3721" s="10"/>
      <c r="N3721" s="10"/>
      <c r="O3721" s="21"/>
    </row>
    <row r="3722" spans="1:15" x14ac:dyDescent="0.35">
      <c r="A3722" s="15">
        <f t="shared" si="57"/>
        <v>3720</v>
      </c>
      <c r="B3722" s="16"/>
      <c r="C3722" s="19"/>
      <c r="D3722" s="10"/>
      <c r="E3722" s="10"/>
      <c r="F3722" s="47"/>
      <c r="G3722" s="10"/>
      <c r="H3722" s="20"/>
      <c r="I3722" s="20"/>
      <c r="J3722" s="10"/>
      <c r="K3722" s="10"/>
      <c r="L3722" s="10"/>
      <c r="M3722" s="10"/>
      <c r="N3722" s="10"/>
      <c r="O3722" s="21"/>
    </row>
    <row r="3723" spans="1:15" x14ac:dyDescent="0.35">
      <c r="A3723" s="15">
        <f t="shared" ref="A3723:A3786" si="58">+A3722+1</f>
        <v>3721</v>
      </c>
      <c r="B3723" s="16"/>
      <c r="C3723" s="19"/>
      <c r="D3723" s="10"/>
      <c r="E3723" s="10"/>
      <c r="F3723" s="47"/>
      <c r="G3723" s="10"/>
      <c r="H3723" s="20"/>
      <c r="I3723" s="20"/>
      <c r="J3723" s="10"/>
      <c r="K3723" s="10"/>
      <c r="L3723" s="10"/>
      <c r="M3723" s="10"/>
      <c r="N3723" s="10"/>
      <c r="O3723" s="21"/>
    </row>
    <row r="3724" spans="1:15" x14ac:dyDescent="0.35">
      <c r="A3724" s="15">
        <f t="shared" si="58"/>
        <v>3722</v>
      </c>
      <c r="B3724" s="16"/>
      <c r="C3724" s="19"/>
      <c r="D3724" s="10"/>
      <c r="E3724" s="10"/>
      <c r="F3724" s="47"/>
      <c r="G3724" s="10"/>
      <c r="H3724" s="20"/>
      <c r="I3724" s="20"/>
      <c r="J3724" s="10"/>
      <c r="K3724" s="10"/>
      <c r="L3724" s="10"/>
      <c r="M3724" s="10"/>
      <c r="N3724" s="10"/>
      <c r="O3724" s="21"/>
    </row>
    <row r="3725" spans="1:15" x14ac:dyDescent="0.35">
      <c r="A3725" s="15">
        <f t="shared" si="58"/>
        <v>3723</v>
      </c>
      <c r="B3725" s="16"/>
      <c r="C3725" s="19"/>
      <c r="D3725" s="10"/>
      <c r="E3725" s="10"/>
      <c r="F3725" s="47"/>
      <c r="G3725" s="10"/>
      <c r="H3725" s="20"/>
      <c r="I3725" s="20"/>
      <c r="J3725" s="10"/>
      <c r="K3725" s="10"/>
      <c r="L3725" s="10"/>
      <c r="M3725" s="10"/>
      <c r="N3725" s="10"/>
      <c r="O3725" s="21"/>
    </row>
    <row r="3726" spans="1:15" x14ac:dyDescent="0.35">
      <c r="A3726" s="15">
        <f t="shared" si="58"/>
        <v>3724</v>
      </c>
      <c r="B3726" s="16"/>
      <c r="C3726" s="19"/>
      <c r="D3726" s="10"/>
      <c r="E3726" s="10"/>
      <c r="F3726" s="47"/>
      <c r="G3726" s="10"/>
      <c r="H3726" s="20"/>
      <c r="I3726" s="20"/>
      <c r="J3726" s="10"/>
      <c r="K3726" s="10"/>
      <c r="L3726" s="10"/>
      <c r="M3726" s="10"/>
      <c r="N3726" s="10"/>
      <c r="O3726" s="21"/>
    </row>
    <row r="3727" spans="1:15" x14ac:dyDescent="0.35">
      <c r="A3727" s="15">
        <f t="shared" si="58"/>
        <v>3725</v>
      </c>
      <c r="B3727" s="16"/>
      <c r="C3727" s="19"/>
      <c r="D3727" s="10"/>
      <c r="E3727" s="10"/>
      <c r="F3727" s="47"/>
      <c r="G3727" s="10"/>
      <c r="H3727" s="20"/>
      <c r="I3727" s="20"/>
      <c r="J3727" s="10"/>
      <c r="K3727" s="10"/>
      <c r="L3727" s="10"/>
      <c r="M3727" s="10"/>
      <c r="N3727" s="10"/>
      <c r="O3727" s="21"/>
    </row>
    <row r="3728" spans="1:15" x14ac:dyDescent="0.35">
      <c r="A3728" s="15">
        <f t="shared" si="58"/>
        <v>3726</v>
      </c>
      <c r="B3728" s="16"/>
      <c r="C3728" s="19"/>
      <c r="D3728" s="10"/>
      <c r="E3728" s="10"/>
      <c r="F3728" s="47"/>
      <c r="G3728" s="10"/>
      <c r="H3728" s="20"/>
      <c r="I3728" s="20"/>
      <c r="J3728" s="10"/>
      <c r="K3728" s="10"/>
      <c r="L3728" s="10"/>
      <c r="M3728" s="10"/>
      <c r="N3728" s="10"/>
      <c r="O3728" s="21"/>
    </row>
    <row r="3729" spans="1:15" x14ac:dyDescent="0.35">
      <c r="A3729" s="15">
        <f t="shared" si="58"/>
        <v>3727</v>
      </c>
      <c r="B3729" s="16"/>
      <c r="C3729" s="19"/>
      <c r="D3729" s="10"/>
      <c r="E3729" s="10"/>
      <c r="F3729" s="47"/>
      <c r="G3729" s="10"/>
      <c r="H3729" s="20"/>
      <c r="I3729" s="20"/>
      <c r="J3729" s="10"/>
      <c r="K3729" s="10"/>
      <c r="L3729" s="10"/>
      <c r="M3729" s="10"/>
      <c r="N3729" s="10"/>
      <c r="O3729" s="21"/>
    </row>
    <row r="3730" spans="1:15" x14ac:dyDescent="0.35">
      <c r="A3730" s="15">
        <f t="shared" si="58"/>
        <v>3728</v>
      </c>
      <c r="B3730" s="16"/>
      <c r="C3730" s="19"/>
      <c r="D3730" s="10"/>
      <c r="E3730" s="10"/>
      <c r="F3730" s="47"/>
      <c r="G3730" s="10"/>
      <c r="H3730" s="20"/>
      <c r="I3730" s="20"/>
      <c r="J3730" s="10"/>
      <c r="K3730" s="10"/>
      <c r="L3730" s="10"/>
      <c r="M3730" s="10"/>
      <c r="N3730" s="10"/>
      <c r="O3730" s="21"/>
    </row>
    <row r="3731" spans="1:15" x14ac:dyDescent="0.35">
      <c r="A3731" s="15">
        <f t="shared" si="58"/>
        <v>3729</v>
      </c>
      <c r="B3731" s="16"/>
      <c r="C3731" s="19"/>
      <c r="D3731" s="10"/>
      <c r="E3731" s="10"/>
      <c r="F3731" s="47"/>
      <c r="G3731" s="10"/>
      <c r="H3731" s="20"/>
      <c r="I3731" s="20"/>
      <c r="J3731" s="10"/>
      <c r="K3731" s="10"/>
      <c r="L3731" s="10"/>
      <c r="M3731" s="10"/>
      <c r="N3731" s="10"/>
      <c r="O3731" s="21"/>
    </row>
    <row r="3732" spans="1:15" x14ac:dyDescent="0.35">
      <c r="A3732" s="15">
        <f t="shared" si="58"/>
        <v>3730</v>
      </c>
      <c r="B3732" s="16"/>
      <c r="C3732" s="19"/>
      <c r="D3732" s="10"/>
      <c r="E3732" s="10"/>
      <c r="F3732" s="47"/>
      <c r="G3732" s="10"/>
      <c r="H3732" s="20"/>
      <c r="I3732" s="20"/>
      <c r="J3732" s="10"/>
      <c r="K3732" s="10"/>
      <c r="L3732" s="10"/>
      <c r="M3732" s="10"/>
      <c r="N3732" s="10"/>
      <c r="O3732" s="21"/>
    </row>
    <row r="3733" spans="1:15" x14ac:dyDescent="0.35">
      <c r="A3733" s="15">
        <f t="shared" si="58"/>
        <v>3731</v>
      </c>
      <c r="B3733" s="16"/>
      <c r="C3733" s="19"/>
      <c r="D3733" s="10"/>
      <c r="E3733" s="10"/>
      <c r="F3733" s="47"/>
      <c r="G3733" s="10"/>
      <c r="H3733" s="20"/>
      <c r="I3733" s="20"/>
      <c r="J3733" s="10"/>
      <c r="K3733" s="10"/>
      <c r="L3733" s="10"/>
      <c r="M3733" s="10"/>
      <c r="N3733" s="10"/>
      <c r="O3733" s="21"/>
    </row>
    <row r="3734" spans="1:15" x14ac:dyDescent="0.35">
      <c r="A3734" s="15">
        <f t="shared" si="58"/>
        <v>3732</v>
      </c>
      <c r="B3734" s="16"/>
      <c r="C3734" s="19"/>
      <c r="D3734" s="10"/>
      <c r="E3734" s="10"/>
      <c r="F3734" s="47"/>
      <c r="G3734" s="10"/>
      <c r="H3734" s="20"/>
      <c r="I3734" s="20"/>
      <c r="J3734" s="10"/>
      <c r="K3734" s="10"/>
      <c r="L3734" s="10"/>
      <c r="M3734" s="10"/>
      <c r="N3734" s="10"/>
      <c r="O3734" s="21"/>
    </row>
    <row r="3735" spans="1:15" x14ac:dyDescent="0.35">
      <c r="A3735" s="15">
        <f t="shared" si="58"/>
        <v>3733</v>
      </c>
      <c r="B3735" s="16"/>
      <c r="C3735" s="19"/>
      <c r="D3735" s="10"/>
      <c r="E3735" s="10"/>
      <c r="F3735" s="47"/>
      <c r="G3735" s="10"/>
      <c r="H3735" s="20"/>
      <c r="I3735" s="20"/>
      <c r="J3735" s="10"/>
      <c r="K3735" s="10"/>
      <c r="L3735" s="10"/>
      <c r="M3735" s="10"/>
      <c r="N3735" s="10"/>
      <c r="O3735" s="21"/>
    </row>
    <row r="3736" spans="1:15" x14ac:dyDescent="0.35">
      <c r="A3736" s="15">
        <f t="shared" si="58"/>
        <v>3734</v>
      </c>
      <c r="B3736" s="16"/>
      <c r="C3736" s="19"/>
      <c r="D3736" s="10"/>
      <c r="E3736" s="10"/>
      <c r="F3736" s="47"/>
      <c r="G3736" s="10"/>
      <c r="H3736" s="20"/>
      <c r="I3736" s="20"/>
      <c r="J3736" s="10"/>
      <c r="K3736" s="10"/>
      <c r="L3736" s="10"/>
      <c r="M3736" s="10"/>
      <c r="N3736" s="10"/>
      <c r="O3736" s="21"/>
    </row>
    <row r="3737" spans="1:15" x14ac:dyDescent="0.35">
      <c r="A3737" s="15">
        <f t="shared" si="58"/>
        <v>3735</v>
      </c>
      <c r="B3737" s="16"/>
      <c r="C3737" s="19"/>
      <c r="D3737" s="10"/>
      <c r="E3737" s="10"/>
      <c r="F3737" s="47"/>
      <c r="G3737" s="10"/>
      <c r="H3737" s="20"/>
      <c r="I3737" s="20"/>
      <c r="J3737" s="10"/>
      <c r="K3737" s="10"/>
      <c r="L3737" s="10"/>
      <c r="M3737" s="10"/>
      <c r="N3737" s="10"/>
      <c r="O3737" s="21"/>
    </row>
    <row r="3738" spans="1:15" x14ac:dyDescent="0.35">
      <c r="A3738" s="15">
        <f t="shared" si="58"/>
        <v>3736</v>
      </c>
      <c r="B3738" s="16"/>
      <c r="C3738" s="19"/>
      <c r="D3738" s="10"/>
      <c r="E3738" s="10"/>
      <c r="F3738" s="47"/>
      <c r="G3738" s="10"/>
      <c r="H3738" s="20"/>
      <c r="I3738" s="20"/>
      <c r="J3738" s="10"/>
      <c r="K3738" s="10"/>
      <c r="L3738" s="10"/>
      <c r="M3738" s="10"/>
      <c r="N3738" s="10"/>
      <c r="O3738" s="21"/>
    </row>
    <row r="3739" spans="1:15" x14ac:dyDescent="0.35">
      <c r="A3739" s="15">
        <f t="shared" si="58"/>
        <v>3737</v>
      </c>
      <c r="B3739" s="16"/>
      <c r="C3739" s="19"/>
      <c r="D3739" s="10"/>
      <c r="E3739" s="10"/>
      <c r="F3739" s="47"/>
      <c r="G3739" s="10"/>
      <c r="H3739" s="20"/>
      <c r="I3739" s="20"/>
      <c r="J3739" s="10"/>
      <c r="K3739" s="10"/>
      <c r="L3739" s="10"/>
      <c r="M3739" s="10"/>
      <c r="N3739" s="10"/>
      <c r="O3739" s="21"/>
    </row>
    <row r="3740" spans="1:15" x14ac:dyDescent="0.35">
      <c r="A3740" s="15">
        <f t="shared" si="58"/>
        <v>3738</v>
      </c>
      <c r="B3740" s="16"/>
      <c r="C3740" s="19"/>
      <c r="D3740" s="10"/>
      <c r="E3740" s="10"/>
      <c r="F3740" s="47"/>
      <c r="G3740" s="10"/>
      <c r="H3740" s="20"/>
      <c r="I3740" s="20"/>
      <c r="J3740" s="10"/>
      <c r="K3740" s="10"/>
      <c r="L3740" s="10"/>
      <c r="M3740" s="10"/>
      <c r="N3740" s="10"/>
      <c r="O3740" s="21"/>
    </row>
    <row r="3741" spans="1:15" x14ac:dyDescent="0.35">
      <c r="A3741" s="15">
        <f t="shared" si="58"/>
        <v>3739</v>
      </c>
      <c r="B3741" s="16"/>
      <c r="C3741" s="19"/>
      <c r="D3741" s="10"/>
      <c r="E3741" s="10"/>
      <c r="F3741" s="47"/>
      <c r="G3741" s="10"/>
      <c r="H3741" s="20"/>
      <c r="I3741" s="20"/>
      <c r="J3741" s="10"/>
      <c r="K3741" s="10"/>
      <c r="L3741" s="10"/>
      <c r="M3741" s="10"/>
      <c r="N3741" s="10"/>
      <c r="O3741" s="21"/>
    </row>
    <row r="3742" spans="1:15" x14ac:dyDescent="0.35">
      <c r="A3742" s="15">
        <f t="shared" si="58"/>
        <v>3740</v>
      </c>
      <c r="B3742" s="16"/>
      <c r="C3742" s="19"/>
      <c r="D3742" s="10"/>
      <c r="E3742" s="10"/>
      <c r="F3742" s="47"/>
      <c r="G3742" s="10"/>
      <c r="H3742" s="20"/>
      <c r="I3742" s="20"/>
      <c r="J3742" s="10"/>
      <c r="K3742" s="10"/>
      <c r="L3742" s="10"/>
      <c r="M3742" s="10"/>
      <c r="N3742" s="10"/>
      <c r="O3742" s="21"/>
    </row>
    <row r="3743" spans="1:15" x14ac:dyDescent="0.35">
      <c r="A3743" s="15">
        <f t="shared" si="58"/>
        <v>3741</v>
      </c>
      <c r="B3743" s="16"/>
      <c r="C3743" s="19"/>
      <c r="D3743" s="10"/>
      <c r="E3743" s="10"/>
      <c r="F3743" s="47"/>
      <c r="G3743" s="10"/>
      <c r="H3743" s="20"/>
      <c r="I3743" s="20"/>
      <c r="J3743" s="10"/>
      <c r="K3743" s="10"/>
      <c r="L3743" s="10"/>
      <c r="M3743" s="10"/>
      <c r="N3743" s="10"/>
      <c r="O3743" s="21"/>
    </row>
    <row r="3744" spans="1:15" x14ac:dyDescent="0.35">
      <c r="A3744" s="15">
        <f t="shared" si="58"/>
        <v>3742</v>
      </c>
      <c r="B3744" s="16"/>
      <c r="C3744" s="19"/>
      <c r="D3744" s="10"/>
      <c r="E3744" s="10"/>
      <c r="F3744" s="47"/>
      <c r="G3744" s="10"/>
      <c r="H3744" s="20"/>
      <c r="I3744" s="20"/>
      <c r="J3744" s="10"/>
      <c r="K3744" s="10"/>
      <c r="L3744" s="10"/>
      <c r="M3744" s="10"/>
      <c r="N3744" s="10"/>
      <c r="O3744" s="21"/>
    </row>
    <row r="3745" spans="1:15" x14ac:dyDescent="0.35">
      <c r="A3745" s="15">
        <f t="shared" si="58"/>
        <v>3743</v>
      </c>
      <c r="B3745" s="16"/>
      <c r="C3745" s="19"/>
      <c r="D3745" s="10"/>
      <c r="E3745" s="10"/>
      <c r="F3745" s="47"/>
      <c r="G3745" s="10"/>
      <c r="H3745" s="20"/>
      <c r="I3745" s="20"/>
      <c r="J3745" s="10"/>
      <c r="K3745" s="10"/>
      <c r="L3745" s="10"/>
      <c r="M3745" s="10"/>
      <c r="N3745" s="10"/>
      <c r="O3745" s="21"/>
    </row>
    <row r="3746" spans="1:15" x14ac:dyDescent="0.35">
      <c r="A3746" s="15">
        <f t="shared" si="58"/>
        <v>3744</v>
      </c>
      <c r="B3746" s="16"/>
      <c r="C3746" s="19"/>
      <c r="D3746" s="10"/>
      <c r="E3746" s="10"/>
      <c r="F3746" s="47"/>
      <c r="G3746" s="10"/>
      <c r="H3746" s="20"/>
      <c r="I3746" s="20"/>
      <c r="J3746" s="10"/>
      <c r="K3746" s="10"/>
      <c r="L3746" s="10"/>
      <c r="M3746" s="10"/>
      <c r="N3746" s="10"/>
      <c r="O3746" s="21"/>
    </row>
    <row r="3747" spans="1:15" x14ac:dyDescent="0.35">
      <c r="A3747" s="15">
        <f t="shared" si="58"/>
        <v>3745</v>
      </c>
      <c r="B3747" s="16"/>
      <c r="C3747" s="19"/>
      <c r="D3747" s="10"/>
      <c r="E3747" s="10"/>
      <c r="F3747" s="47"/>
      <c r="G3747" s="10"/>
      <c r="H3747" s="20"/>
      <c r="I3747" s="20"/>
      <c r="J3747" s="10"/>
      <c r="K3747" s="10"/>
      <c r="L3747" s="10"/>
      <c r="M3747" s="10"/>
      <c r="N3747" s="10"/>
      <c r="O3747" s="21"/>
    </row>
    <row r="3748" spans="1:15" x14ac:dyDescent="0.35">
      <c r="A3748" s="15">
        <f t="shared" si="58"/>
        <v>3746</v>
      </c>
      <c r="B3748" s="16"/>
      <c r="C3748" s="19"/>
      <c r="D3748" s="10"/>
      <c r="E3748" s="10"/>
      <c r="F3748" s="47"/>
      <c r="G3748" s="10"/>
      <c r="H3748" s="20"/>
      <c r="I3748" s="20"/>
      <c r="J3748" s="10"/>
      <c r="K3748" s="10"/>
      <c r="L3748" s="10"/>
      <c r="M3748" s="10"/>
      <c r="N3748" s="10"/>
      <c r="O3748" s="21"/>
    </row>
    <row r="3749" spans="1:15" x14ac:dyDescent="0.35">
      <c r="A3749" s="15">
        <f t="shared" si="58"/>
        <v>3747</v>
      </c>
      <c r="B3749" s="16"/>
      <c r="C3749" s="19"/>
      <c r="D3749" s="10"/>
      <c r="E3749" s="10"/>
      <c r="F3749" s="47"/>
      <c r="G3749" s="10"/>
      <c r="H3749" s="20"/>
      <c r="I3749" s="20"/>
      <c r="J3749" s="10"/>
      <c r="K3749" s="10"/>
      <c r="L3749" s="10"/>
      <c r="M3749" s="10"/>
      <c r="N3749" s="10"/>
      <c r="O3749" s="21"/>
    </row>
    <row r="3750" spans="1:15" x14ac:dyDescent="0.35">
      <c r="A3750" s="15">
        <f t="shared" si="58"/>
        <v>3748</v>
      </c>
      <c r="B3750" s="16"/>
      <c r="C3750" s="19"/>
      <c r="D3750" s="10"/>
      <c r="E3750" s="10"/>
      <c r="F3750" s="47"/>
      <c r="G3750" s="10"/>
      <c r="H3750" s="20"/>
      <c r="I3750" s="20"/>
      <c r="J3750" s="10"/>
      <c r="K3750" s="10"/>
      <c r="L3750" s="10"/>
      <c r="M3750" s="10"/>
      <c r="N3750" s="10"/>
      <c r="O3750" s="21"/>
    </row>
    <row r="3751" spans="1:15" x14ac:dyDescent="0.35">
      <c r="A3751" s="15">
        <f t="shared" si="58"/>
        <v>3749</v>
      </c>
      <c r="B3751" s="16"/>
      <c r="C3751" s="19"/>
      <c r="D3751" s="10"/>
      <c r="E3751" s="10"/>
      <c r="F3751" s="47"/>
      <c r="G3751" s="10"/>
      <c r="H3751" s="20"/>
      <c r="I3751" s="20"/>
      <c r="J3751" s="10"/>
      <c r="K3751" s="10"/>
      <c r="L3751" s="10"/>
      <c r="M3751" s="10"/>
      <c r="N3751" s="10"/>
      <c r="O3751" s="21"/>
    </row>
    <row r="3752" spans="1:15" x14ac:dyDescent="0.35">
      <c r="A3752" s="15">
        <f t="shared" si="58"/>
        <v>3750</v>
      </c>
      <c r="B3752" s="16"/>
      <c r="C3752" s="19"/>
      <c r="D3752" s="10"/>
      <c r="E3752" s="10"/>
      <c r="F3752" s="47"/>
      <c r="G3752" s="10"/>
      <c r="H3752" s="20"/>
      <c r="I3752" s="20"/>
      <c r="J3752" s="10"/>
      <c r="K3752" s="10"/>
      <c r="L3752" s="10"/>
      <c r="M3752" s="10"/>
      <c r="N3752" s="10"/>
      <c r="O3752" s="21"/>
    </row>
    <row r="3753" spans="1:15" x14ac:dyDescent="0.35">
      <c r="A3753" s="15">
        <f t="shared" si="58"/>
        <v>3751</v>
      </c>
      <c r="B3753" s="16"/>
      <c r="C3753" s="19"/>
      <c r="D3753" s="10"/>
      <c r="E3753" s="10"/>
      <c r="F3753" s="47"/>
      <c r="G3753" s="10"/>
      <c r="H3753" s="20"/>
      <c r="I3753" s="20"/>
      <c r="J3753" s="10"/>
      <c r="K3753" s="10"/>
      <c r="L3753" s="10"/>
      <c r="M3753" s="10"/>
      <c r="N3753" s="10"/>
      <c r="O3753" s="21"/>
    </row>
    <row r="3754" spans="1:15" x14ac:dyDescent="0.35">
      <c r="A3754" s="15">
        <f t="shared" si="58"/>
        <v>3752</v>
      </c>
      <c r="B3754" s="16"/>
      <c r="C3754" s="19"/>
      <c r="D3754" s="10"/>
      <c r="E3754" s="10"/>
      <c r="F3754" s="47"/>
      <c r="G3754" s="10"/>
      <c r="H3754" s="20"/>
      <c r="I3754" s="20"/>
      <c r="J3754" s="10"/>
      <c r="K3754" s="10"/>
      <c r="L3754" s="10"/>
      <c r="M3754" s="10"/>
      <c r="N3754" s="10"/>
      <c r="O3754" s="21"/>
    </row>
    <row r="3755" spans="1:15" x14ac:dyDescent="0.35">
      <c r="A3755" s="15">
        <f t="shared" si="58"/>
        <v>3753</v>
      </c>
      <c r="B3755" s="16"/>
      <c r="C3755" s="19"/>
      <c r="D3755" s="10"/>
      <c r="E3755" s="10"/>
      <c r="F3755" s="47"/>
      <c r="G3755" s="10"/>
      <c r="H3755" s="20"/>
      <c r="I3755" s="20"/>
      <c r="J3755" s="10"/>
      <c r="K3755" s="10"/>
      <c r="L3755" s="10"/>
      <c r="M3755" s="10"/>
      <c r="N3755" s="10"/>
      <c r="O3755" s="21"/>
    </row>
    <row r="3756" spans="1:15" x14ac:dyDescent="0.35">
      <c r="A3756" s="15">
        <f t="shared" si="58"/>
        <v>3754</v>
      </c>
      <c r="B3756" s="16"/>
      <c r="C3756" s="19"/>
      <c r="D3756" s="10"/>
      <c r="E3756" s="10"/>
      <c r="F3756" s="47"/>
      <c r="G3756" s="10"/>
      <c r="H3756" s="20"/>
      <c r="I3756" s="20"/>
      <c r="J3756" s="10"/>
      <c r="K3756" s="10"/>
      <c r="L3756" s="10"/>
      <c r="M3756" s="10"/>
      <c r="N3756" s="10"/>
      <c r="O3756" s="21"/>
    </row>
    <row r="3757" spans="1:15" x14ac:dyDescent="0.35">
      <c r="A3757" s="15">
        <f t="shared" si="58"/>
        <v>3755</v>
      </c>
      <c r="B3757" s="16"/>
      <c r="C3757" s="19"/>
      <c r="D3757" s="10"/>
      <c r="E3757" s="10"/>
      <c r="F3757" s="47"/>
      <c r="G3757" s="10"/>
      <c r="H3757" s="20"/>
      <c r="I3757" s="20"/>
      <c r="J3757" s="10"/>
      <c r="K3757" s="10"/>
      <c r="L3757" s="10"/>
      <c r="M3757" s="10"/>
      <c r="N3757" s="10"/>
      <c r="O3757" s="21"/>
    </row>
    <row r="3758" spans="1:15" x14ac:dyDescent="0.35">
      <c r="A3758" s="15">
        <f t="shared" si="58"/>
        <v>3756</v>
      </c>
      <c r="B3758" s="16"/>
      <c r="C3758" s="19"/>
      <c r="D3758" s="10"/>
      <c r="E3758" s="10"/>
      <c r="F3758" s="47"/>
      <c r="G3758" s="10"/>
      <c r="H3758" s="20"/>
      <c r="I3758" s="20"/>
      <c r="J3758" s="10"/>
      <c r="K3758" s="10"/>
      <c r="L3758" s="10"/>
      <c r="M3758" s="10"/>
      <c r="N3758" s="10"/>
      <c r="O3758" s="21"/>
    </row>
    <row r="3759" spans="1:15" x14ac:dyDescent="0.35">
      <c r="A3759" s="15">
        <f t="shared" si="58"/>
        <v>3757</v>
      </c>
      <c r="B3759" s="16"/>
      <c r="C3759" s="19"/>
      <c r="D3759" s="10"/>
      <c r="E3759" s="10"/>
      <c r="F3759" s="47"/>
      <c r="G3759" s="10"/>
      <c r="H3759" s="20"/>
      <c r="I3759" s="20"/>
      <c r="J3759" s="10"/>
      <c r="K3759" s="10"/>
      <c r="L3759" s="10"/>
      <c r="M3759" s="10"/>
      <c r="N3759" s="10"/>
      <c r="O3759" s="21"/>
    </row>
    <row r="3760" spans="1:15" x14ac:dyDescent="0.35">
      <c r="A3760" s="15">
        <f t="shared" si="58"/>
        <v>3758</v>
      </c>
      <c r="B3760" s="16"/>
      <c r="C3760" s="19"/>
      <c r="D3760" s="10"/>
      <c r="E3760" s="10"/>
      <c r="F3760" s="47"/>
      <c r="G3760" s="10"/>
      <c r="H3760" s="20"/>
      <c r="I3760" s="20"/>
      <c r="J3760" s="10"/>
      <c r="K3760" s="10"/>
      <c r="L3760" s="10"/>
      <c r="M3760" s="10"/>
      <c r="N3760" s="10"/>
      <c r="O3760" s="21"/>
    </row>
    <row r="3761" spans="1:15" x14ac:dyDescent="0.35">
      <c r="A3761" s="15">
        <f t="shared" si="58"/>
        <v>3759</v>
      </c>
      <c r="B3761" s="16"/>
      <c r="C3761" s="19"/>
      <c r="D3761" s="10"/>
      <c r="E3761" s="10"/>
      <c r="F3761" s="47"/>
      <c r="G3761" s="10"/>
      <c r="H3761" s="20"/>
      <c r="I3761" s="20"/>
      <c r="J3761" s="10"/>
      <c r="K3761" s="10"/>
      <c r="L3761" s="10"/>
      <c r="M3761" s="10"/>
      <c r="N3761" s="10"/>
      <c r="O3761" s="21"/>
    </row>
    <row r="3762" spans="1:15" x14ac:dyDescent="0.35">
      <c r="A3762" s="15">
        <f t="shared" si="58"/>
        <v>3760</v>
      </c>
      <c r="B3762" s="16"/>
      <c r="C3762" s="19"/>
      <c r="D3762" s="10"/>
      <c r="E3762" s="10"/>
      <c r="F3762" s="47"/>
      <c r="G3762" s="10"/>
      <c r="H3762" s="20"/>
      <c r="I3762" s="20"/>
      <c r="J3762" s="10"/>
      <c r="K3762" s="10"/>
      <c r="L3762" s="10"/>
      <c r="M3762" s="10"/>
      <c r="N3762" s="10"/>
      <c r="O3762" s="21"/>
    </row>
    <row r="3763" spans="1:15" x14ac:dyDescent="0.35">
      <c r="A3763" s="15">
        <f t="shared" si="58"/>
        <v>3761</v>
      </c>
      <c r="B3763" s="16"/>
      <c r="C3763" s="19"/>
      <c r="D3763" s="10"/>
      <c r="E3763" s="10"/>
      <c r="F3763" s="47"/>
      <c r="G3763" s="10"/>
      <c r="H3763" s="20"/>
      <c r="I3763" s="20"/>
      <c r="J3763" s="10"/>
      <c r="K3763" s="10"/>
      <c r="L3763" s="10"/>
      <c r="M3763" s="10"/>
      <c r="N3763" s="10"/>
      <c r="O3763" s="21"/>
    </row>
    <row r="3764" spans="1:15" x14ac:dyDescent="0.35">
      <c r="A3764" s="15">
        <f t="shared" si="58"/>
        <v>3762</v>
      </c>
      <c r="B3764" s="16"/>
      <c r="C3764" s="19"/>
      <c r="D3764" s="10"/>
      <c r="E3764" s="10"/>
      <c r="F3764" s="47"/>
      <c r="G3764" s="10"/>
      <c r="H3764" s="20"/>
      <c r="I3764" s="20"/>
      <c r="J3764" s="10"/>
      <c r="K3764" s="10"/>
      <c r="L3764" s="10"/>
      <c r="M3764" s="10"/>
      <c r="N3764" s="10"/>
      <c r="O3764" s="21"/>
    </row>
    <row r="3765" spans="1:15" x14ac:dyDescent="0.35">
      <c r="A3765" s="15">
        <f t="shared" si="58"/>
        <v>3763</v>
      </c>
      <c r="B3765" s="16"/>
      <c r="C3765" s="19"/>
      <c r="D3765" s="10"/>
      <c r="E3765" s="10"/>
      <c r="F3765" s="47"/>
      <c r="G3765" s="10"/>
      <c r="H3765" s="20"/>
      <c r="I3765" s="20"/>
      <c r="J3765" s="10"/>
      <c r="K3765" s="10"/>
      <c r="L3765" s="10"/>
      <c r="M3765" s="10"/>
      <c r="N3765" s="10"/>
      <c r="O3765" s="21"/>
    </row>
    <row r="3766" spans="1:15" x14ac:dyDescent="0.35">
      <c r="A3766" s="15">
        <f t="shared" si="58"/>
        <v>3764</v>
      </c>
      <c r="B3766" s="16"/>
      <c r="C3766" s="19"/>
      <c r="D3766" s="10"/>
      <c r="E3766" s="10"/>
      <c r="F3766" s="47"/>
      <c r="G3766" s="10"/>
      <c r="H3766" s="20"/>
      <c r="I3766" s="20"/>
      <c r="J3766" s="10"/>
      <c r="K3766" s="10"/>
      <c r="L3766" s="10"/>
      <c r="M3766" s="10"/>
      <c r="N3766" s="10"/>
      <c r="O3766" s="21"/>
    </row>
    <row r="3767" spans="1:15" x14ac:dyDescent="0.35">
      <c r="A3767" s="15">
        <f t="shared" si="58"/>
        <v>3765</v>
      </c>
      <c r="B3767" s="16"/>
      <c r="C3767" s="19"/>
      <c r="D3767" s="10"/>
      <c r="E3767" s="10"/>
      <c r="F3767" s="47"/>
      <c r="G3767" s="10"/>
      <c r="H3767" s="20"/>
      <c r="I3767" s="20"/>
      <c r="J3767" s="10"/>
      <c r="K3767" s="10"/>
      <c r="L3767" s="10"/>
      <c r="M3767" s="10"/>
      <c r="N3767" s="10"/>
      <c r="O3767" s="21"/>
    </row>
    <row r="3768" spans="1:15" x14ac:dyDescent="0.35">
      <c r="A3768" s="15">
        <f t="shared" si="58"/>
        <v>3766</v>
      </c>
      <c r="B3768" s="16"/>
      <c r="C3768" s="19"/>
      <c r="D3768" s="10"/>
      <c r="E3768" s="10"/>
      <c r="F3768" s="47"/>
      <c r="G3768" s="10"/>
      <c r="H3768" s="20"/>
      <c r="I3768" s="20"/>
      <c r="J3768" s="10"/>
      <c r="K3768" s="10"/>
      <c r="L3768" s="10"/>
      <c r="M3768" s="10"/>
      <c r="N3768" s="10"/>
      <c r="O3768" s="21"/>
    </row>
    <row r="3769" spans="1:15" x14ac:dyDescent="0.35">
      <c r="A3769" s="15">
        <f t="shared" si="58"/>
        <v>3767</v>
      </c>
      <c r="B3769" s="16"/>
      <c r="C3769" s="19"/>
      <c r="D3769" s="10"/>
      <c r="E3769" s="10"/>
      <c r="F3769" s="47"/>
      <c r="G3769" s="10"/>
      <c r="H3769" s="20"/>
      <c r="I3769" s="20"/>
      <c r="J3769" s="10"/>
      <c r="K3769" s="10"/>
      <c r="L3769" s="10"/>
      <c r="M3769" s="10"/>
      <c r="N3769" s="10"/>
      <c r="O3769" s="21"/>
    </row>
    <row r="3770" spans="1:15" x14ac:dyDescent="0.35">
      <c r="A3770" s="15">
        <f t="shared" si="58"/>
        <v>3768</v>
      </c>
      <c r="B3770" s="16"/>
      <c r="C3770" s="19"/>
      <c r="D3770" s="10"/>
      <c r="E3770" s="10"/>
      <c r="F3770" s="47"/>
      <c r="G3770" s="10"/>
      <c r="H3770" s="20"/>
      <c r="I3770" s="20"/>
      <c r="J3770" s="10"/>
      <c r="K3770" s="10"/>
      <c r="L3770" s="10"/>
      <c r="M3770" s="10"/>
      <c r="N3770" s="10"/>
      <c r="O3770" s="21"/>
    </row>
    <row r="3771" spans="1:15" x14ac:dyDescent="0.35">
      <c r="A3771" s="15">
        <f t="shared" si="58"/>
        <v>3769</v>
      </c>
      <c r="B3771" s="16"/>
      <c r="C3771" s="19"/>
      <c r="D3771" s="10"/>
      <c r="E3771" s="10"/>
      <c r="F3771" s="47"/>
      <c r="G3771" s="10"/>
      <c r="H3771" s="20"/>
      <c r="I3771" s="20"/>
      <c r="J3771" s="10"/>
      <c r="K3771" s="10"/>
      <c r="L3771" s="10"/>
      <c r="M3771" s="10"/>
      <c r="N3771" s="10"/>
      <c r="O3771" s="21"/>
    </row>
    <row r="3772" spans="1:15" x14ac:dyDescent="0.35">
      <c r="A3772" s="15">
        <f t="shared" si="58"/>
        <v>3770</v>
      </c>
      <c r="B3772" s="16"/>
      <c r="C3772" s="19"/>
      <c r="D3772" s="10"/>
      <c r="E3772" s="10"/>
      <c r="F3772" s="47"/>
      <c r="G3772" s="10"/>
      <c r="H3772" s="20"/>
      <c r="I3772" s="20"/>
      <c r="J3772" s="10"/>
      <c r="K3772" s="10"/>
      <c r="L3772" s="10"/>
      <c r="M3772" s="10"/>
      <c r="N3772" s="10"/>
      <c r="O3772" s="21"/>
    </row>
    <row r="3773" spans="1:15" x14ac:dyDescent="0.35">
      <c r="A3773" s="15">
        <f t="shared" si="58"/>
        <v>3771</v>
      </c>
      <c r="B3773" s="16"/>
      <c r="C3773" s="19"/>
      <c r="D3773" s="10"/>
      <c r="E3773" s="10"/>
      <c r="F3773" s="47"/>
      <c r="G3773" s="10"/>
      <c r="H3773" s="20"/>
      <c r="I3773" s="20"/>
      <c r="J3773" s="10"/>
      <c r="K3773" s="10"/>
      <c r="L3773" s="10"/>
      <c r="M3773" s="10"/>
      <c r="N3773" s="10"/>
      <c r="O3773" s="21"/>
    </row>
    <row r="3774" spans="1:15" x14ac:dyDescent="0.35">
      <c r="A3774" s="15">
        <f t="shared" si="58"/>
        <v>3772</v>
      </c>
      <c r="B3774" s="16"/>
      <c r="C3774" s="19"/>
      <c r="D3774" s="10"/>
      <c r="E3774" s="10"/>
      <c r="F3774" s="47"/>
      <c r="G3774" s="10"/>
      <c r="H3774" s="20"/>
      <c r="I3774" s="20"/>
      <c r="J3774" s="10"/>
      <c r="K3774" s="10"/>
      <c r="L3774" s="10"/>
      <c r="M3774" s="10"/>
      <c r="N3774" s="10"/>
      <c r="O3774" s="21"/>
    </row>
    <row r="3775" spans="1:15" x14ac:dyDescent="0.35">
      <c r="A3775" s="15">
        <f t="shared" si="58"/>
        <v>3773</v>
      </c>
      <c r="B3775" s="16"/>
      <c r="C3775" s="19"/>
      <c r="D3775" s="10"/>
      <c r="E3775" s="10"/>
      <c r="F3775" s="47"/>
      <c r="G3775" s="10"/>
      <c r="H3775" s="20"/>
      <c r="I3775" s="20"/>
      <c r="J3775" s="10"/>
      <c r="K3775" s="10"/>
      <c r="L3775" s="10"/>
      <c r="M3775" s="10"/>
      <c r="N3775" s="10"/>
      <c r="O3775" s="21"/>
    </row>
    <row r="3776" spans="1:15" x14ac:dyDescent="0.35">
      <c r="A3776" s="15">
        <f t="shared" si="58"/>
        <v>3774</v>
      </c>
      <c r="B3776" s="16"/>
      <c r="C3776" s="19"/>
      <c r="D3776" s="10"/>
      <c r="E3776" s="10"/>
      <c r="F3776" s="47"/>
      <c r="G3776" s="10"/>
      <c r="H3776" s="20"/>
      <c r="I3776" s="20"/>
      <c r="J3776" s="10"/>
      <c r="K3776" s="10"/>
      <c r="L3776" s="10"/>
      <c r="M3776" s="10"/>
      <c r="N3776" s="10"/>
      <c r="O3776" s="21"/>
    </row>
    <row r="3777" spans="1:15" x14ac:dyDescent="0.35">
      <c r="A3777" s="15">
        <f t="shared" si="58"/>
        <v>3775</v>
      </c>
      <c r="B3777" s="16"/>
      <c r="C3777" s="19"/>
      <c r="D3777" s="10"/>
      <c r="E3777" s="10"/>
      <c r="F3777" s="47"/>
      <c r="G3777" s="10"/>
      <c r="H3777" s="20"/>
      <c r="I3777" s="20"/>
      <c r="J3777" s="10"/>
      <c r="K3777" s="10"/>
      <c r="L3777" s="10"/>
      <c r="M3777" s="10"/>
      <c r="N3777" s="10"/>
      <c r="O3777" s="21"/>
    </row>
    <row r="3778" spans="1:15" x14ac:dyDescent="0.35">
      <c r="A3778" s="15">
        <f t="shared" si="58"/>
        <v>3776</v>
      </c>
      <c r="B3778" s="16"/>
      <c r="C3778" s="19"/>
      <c r="D3778" s="10"/>
      <c r="E3778" s="10"/>
      <c r="F3778" s="47"/>
      <c r="G3778" s="10"/>
      <c r="H3778" s="20"/>
      <c r="I3778" s="20"/>
      <c r="J3778" s="10"/>
      <c r="K3778" s="10"/>
      <c r="L3778" s="10"/>
      <c r="M3778" s="10"/>
      <c r="N3778" s="10"/>
      <c r="O3778" s="21"/>
    </row>
    <row r="3779" spans="1:15" x14ac:dyDescent="0.35">
      <c r="A3779" s="15">
        <f t="shared" si="58"/>
        <v>3777</v>
      </c>
      <c r="B3779" s="16"/>
      <c r="C3779" s="19"/>
      <c r="D3779" s="10"/>
      <c r="E3779" s="10"/>
      <c r="F3779" s="47"/>
      <c r="G3779" s="10"/>
      <c r="H3779" s="20"/>
      <c r="I3779" s="20"/>
      <c r="J3779" s="10"/>
      <c r="K3779" s="10"/>
      <c r="L3779" s="10"/>
      <c r="M3779" s="10"/>
      <c r="N3779" s="10"/>
      <c r="O3779" s="21"/>
    </row>
    <row r="3780" spans="1:15" x14ac:dyDescent="0.35">
      <c r="A3780" s="15">
        <f t="shared" si="58"/>
        <v>3778</v>
      </c>
      <c r="B3780" s="16"/>
      <c r="C3780" s="19"/>
      <c r="D3780" s="10"/>
      <c r="E3780" s="10"/>
      <c r="F3780" s="47"/>
      <c r="G3780" s="10"/>
      <c r="H3780" s="20"/>
      <c r="I3780" s="20"/>
      <c r="J3780" s="10"/>
      <c r="K3780" s="10"/>
      <c r="L3780" s="10"/>
      <c r="M3780" s="10"/>
      <c r="N3780" s="10"/>
      <c r="O3780" s="21"/>
    </row>
    <row r="3781" spans="1:15" x14ac:dyDescent="0.35">
      <c r="A3781" s="15">
        <f t="shared" si="58"/>
        <v>3779</v>
      </c>
      <c r="B3781" s="16"/>
      <c r="C3781" s="19"/>
      <c r="D3781" s="10"/>
      <c r="E3781" s="10"/>
      <c r="F3781" s="47"/>
      <c r="G3781" s="10"/>
      <c r="H3781" s="20"/>
      <c r="I3781" s="20"/>
      <c r="J3781" s="10"/>
      <c r="K3781" s="10"/>
      <c r="L3781" s="10"/>
      <c r="M3781" s="10"/>
      <c r="N3781" s="10"/>
      <c r="O3781" s="21"/>
    </row>
    <row r="3782" spans="1:15" x14ac:dyDescent="0.35">
      <c r="A3782" s="15">
        <f t="shared" si="58"/>
        <v>3780</v>
      </c>
      <c r="B3782" s="16"/>
      <c r="C3782" s="19"/>
      <c r="D3782" s="10"/>
      <c r="E3782" s="10"/>
      <c r="F3782" s="47"/>
      <c r="G3782" s="10"/>
      <c r="H3782" s="20"/>
      <c r="I3782" s="20"/>
      <c r="J3782" s="10"/>
      <c r="K3782" s="10"/>
      <c r="L3782" s="10"/>
      <c r="M3782" s="10"/>
      <c r="N3782" s="10"/>
      <c r="O3782" s="21"/>
    </row>
    <row r="3783" spans="1:15" x14ac:dyDescent="0.35">
      <c r="A3783" s="15">
        <f t="shared" si="58"/>
        <v>3781</v>
      </c>
      <c r="B3783" s="16"/>
      <c r="C3783" s="19"/>
      <c r="D3783" s="10"/>
      <c r="E3783" s="10"/>
      <c r="F3783" s="47"/>
      <c r="G3783" s="10"/>
      <c r="H3783" s="20"/>
      <c r="I3783" s="20"/>
      <c r="J3783" s="10"/>
      <c r="K3783" s="10"/>
      <c r="L3783" s="10"/>
      <c r="M3783" s="10"/>
      <c r="N3783" s="10"/>
      <c r="O3783" s="21"/>
    </row>
    <row r="3784" spans="1:15" x14ac:dyDescent="0.35">
      <c r="A3784" s="15">
        <f t="shared" si="58"/>
        <v>3782</v>
      </c>
      <c r="B3784" s="16"/>
      <c r="C3784" s="19"/>
      <c r="D3784" s="10"/>
      <c r="E3784" s="10"/>
      <c r="F3784" s="47"/>
      <c r="G3784" s="10"/>
      <c r="H3784" s="20"/>
      <c r="I3784" s="20"/>
      <c r="J3784" s="10"/>
      <c r="K3784" s="10"/>
      <c r="L3784" s="10"/>
      <c r="M3784" s="10"/>
      <c r="N3784" s="10"/>
      <c r="O3784" s="21"/>
    </row>
    <row r="3785" spans="1:15" x14ac:dyDescent="0.35">
      <c r="A3785" s="15">
        <f t="shared" si="58"/>
        <v>3783</v>
      </c>
      <c r="B3785" s="16"/>
      <c r="C3785" s="19"/>
      <c r="D3785" s="10"/>
      <c r="E3785" s="10"/>
      <c r="F3785" s="47"/>
      <c r="G3785" s="10"/>
      <c r="H3785" s="20"/>
      <c r="I3785" s="20"/>
      <c r="J3785" s="10"/>
      <c r="K3785" s="10"/>
      <c r="L3785" s="10"/>
      <c r="M3785" s="10"/>
      <c r="N3785" s="10"/>
      <c r="O3785" s="21"/>
    </row>
    <row r="3786" spans="1:15" x14ac:dyDescent="0.35">
      <c r="A3786" s="15">
        <f t="shared" si="58"/>
        <v>3784</v>
      </c>
      <c r="B3786" s="16"/>
      <c r="C3786" s="19"/>
      <c r="D3786" s="10"/>
      <c r="E3786" s="10"/>
      <c r="F3786" s="47"/>
      <c r="G3786" s="10"/>
      <c r="H3786" s="20"/>
      <c r="I3786" s="20"/>
      <c r="J3786" s="10"/>
      <c r="K3786" s="10"/>
      <c r="L3786" s="10"/>
      <c r="M3786" s="10"/>
      <c r="N3786" s="10"/>
      <c r="O3786" s="21"/>
    </row>
    <row r="3787" spans="1:15" x14ac:dyDescent="0.35">
      <c r="A3787" s="15">
        <f t="shared" ref="A3787:A3850" si="59">+A3786+1</f>
        <v>3785</v>
      </c>
      <c r="B3787" s="16"/>
      <c r="C3787" s="19"/>
      <c r="D3787" s="10"/>
      <c r="E3787" s="10"/>
      <c r="F3787" s="47"/>
      <c r="G3787" s="10"/>
      <c r="H3787" s="20"/>
      <c r="I3787" s="20"/>
      <c r="J3787" s="10"/>
      <c r="K3787" s="10"/>
      <c r="L3787" s="10"/>
      <c r="M3787" s="10"/>
      <c r="N3787" s="10"/>
      <c r="O3787" s="21"/>
    </row>
    <row r="3788" spans="1:15" x14ac:dyDescent="0.35">
      <c r="A3788" s="15">
        <f t="shared" si="59"/>
        <v>3786</v>
      </c>
      <c r="B3788" s="16"/>
      <c r="C3788" s="19"/>
      <c r="D3788" s="10"/>
      <c r="E3788" s="10"/>
      <c r="F3788" s="47"/>
      <c r="G3788" s="10"/>
      <c r="H3788" s="20"/>
      <c r="I3788" s="20"/>
      <c r="J3788" s="10"/>
      <c r="K3788" s="10"/>
      <c r="L3788" s="10"/>
      <c r="M3788" s="10"/>
      <c r="N3788" s="10"/>
      <c r="O3788" s="21"/>
    </row>
    <row r="3789" spans="1:15" x14ac:dyDescent="0.35">
      <c r="A3789" s="15">
        <f t="shared" si="59"/>
        <v>3787</v>
      </c>
      <c r="B3789" s="16"/>
      <c r="C3789" s="19"/>
      <c r="D3789" s="10"/>
      <c r="E3789" s="10"/>
      <c r="F3789" s="47"/>
      <c r="G3789" s="10"/>
      <c r="H3789" s="20"/>
      <c r="I3789" s="20"/>
      <c r="J3789" s="10"/>
      <c r="K3789" s="10"/>
      <c r="L3789" s="10"/>
      <c r="M3789" s="10"/>
      <c r="N3789" s="10"/>
      <c r="O3789" s="21"/>
    </row>
    <row r="3790" spans="1:15" x14ac:dyDescent="0.35">
      <c r="A3790" s="15">
        <f t="shared" si="59"/>
        <v>3788</v>
      </c>
      <c r="B3790" s="16"/>
      <c r="C3790" s="19"/>
      <c r="D3790" s="10"/>
      <c r="E3790" s="10"/>
      <c r="F3790" s="47"/>
      <c r="G3790" s="10"/>
      <c r="H3790" s="20"/>
      <c r="I3790" s="20"/>
      <c r="J3790" s="10"/>
      <c r="K3790" s="10"/>
      <c r="L3790" s="10"/>
      <c r="M3790" s="10"/>
      <c r="N3790" s="10"/>
      <c r="O3790" s="21"/>
    </row>
    <row r="3791" spans="1:15" x14ac:dyDescent="0.35">
      <c r="A3791" s="15">
        <f t="shared" si="59"/>
        <v>3789</v>
      </c>
      <c r="B3791" s="16"/>
      <c r="C3791" s="19"/>
      <c r="D3791" s="10"/>
      <c r="E3791" s="10"/>
      <c r="F3791" s="47"/>
      <c r="G3791" s="10"/>
      <c r="H3791" s="20"/>
      <c r="I3791" s="20"/>
      <c r="J3791" s="10"/>
      <c r="K3791" s="10"/>
      <c r="L3791" s="10"/>
      <c r="M3791" s="10"/>
      <c r="N3791" s="10"/>
      <c r="O3791" s="21"/>
    </row>
    <row r="3792" spans="1:15" x14ac:dyDescent="0.35">
      <c r="A3792" s="15">
        <f t="shared" si="59"/>
        <v>3790</v>
      </c>
      <c r="B3792" s="16"/>
      <c r="C3792" s="19"/>
      <c r="D3792" s="10"/>
      <c r="E3792" s="10"/>
      <c r="F3792" s="47"/>
      <c r="G3792" s="10"/>
      <c r="H3792" s="20"/>
      <c r="I3792" s="20"/>
      <c r="J3792" s="10"/>
      <c r="K3792" s="10"/>
      <c r="L3792" s="10"/>
      <c r="M3792" s="10"/>
      <c r="N3792" s="10"/>
      <c r="O3792" s="21"/>
    </row>
    <row r="3793" spans="1:15" x14ac:dyDescent="0.35">
      <c r="A3793" s="15">
        <f t="shared" si="59"/>
        <v>3791</v>
      </c>
      <c r="B3793" s="16"/>
      <c r="C3793" s="19"/>
      <c r="D3793" s="10"/>
      <c r="E3793" s="10"/>
      <c r="F3793" s="47"/>
      <c r="G3793" s="10"/>
      <c r="H3793" s="20"/>
      <c r="I3793" s="20"/>
      <c r="J3793" s="10"/>
      <c r="K3793" s="10"/>
      <c r="L3793" s="10"/>
      <c r="M3793" s="10"/>
      <c r="N3793" s="10"/>
      <c r="O3793" s="21"/>
    </row>
    <row r="3794" spans="1:15" x14ac:dyDescent="0.35">
      <c r="A3794" s="15">
        <f t="shared" si="59"/>
        <v>3792</v>
      </c>
      <c r="B3794" s="16"/>
      <c r="C3794" s="19"/>
      <c r="D3794" s="10"/>
      <c r="E3794" s="10"/>
      <c r="F3794" s="47"/>
      <c r="G3794" s="10"/>
      <c r="H3794" s="20"/>
      <c r="I3794" s="20"/>
      <c r="J3794" s="10"/>
      <c r="K3794" s="10"/>
      <c r="L3794" s="10"/>
      <c r="M3794" s="10"/>
      <c r="N3794" s="10"/>
      <c r="O3794" s="21"/>
    </row>
    <row r="3795" spans="1:15" x14ac:dyDescent="0.35">
      <c r="A3795" s="15">
        <f t="shared" si="59"/>
        <v>3793</v>
      </c>
      <c r="B3795" s="16"/>
      <c r="C3795" s="19"/>
      <c r="D3795" s="10"/>
      <c r="E3795" s="10"/>
      <c r="F3795" s="47"/>
      <c r="G3795" s="10"/>
      <c r="H3795" s="20"/>
      <c r="I3795" s="20"/>
      <c r="J3795" s="10"/>
      <c r="K3795" s="10"/>
      <c r="L3795" s="10"/>
      <c r="M3795" s="10"/>
      <c r="N3795" s="10"/>
      <c r="O3795" s="21"/>
    </row>
    <row r="3796" spans="1:15" x14ac:dyDescent="0.35">
      <c r="A3796" s="15">
        <f t="shared" si="59"/>
        <v>3794</v>
      </c>
      <c r="B3796" s="16"/>
      <c r="C3796" s="19"/>
      <c r="D3796" s="10"/>
      <c r="E3796" s="10"/>
      <c r="F3796" s="47"/>
      <c r="G3796" s="10"/>
      <c r="H3796" s="20"/>
      <c r="I3796" s="20"/>
      <c r="J3796" s="10"/>
      <c r="K3796" s="10"/>
      <c r="L3796" s="10"/>
      <c r="M3796" s="10"/>
      <c r="N3796" s="10"/>
      <c r="O3796" s="21"/>
    </row>
    <row r="3797" spans="1:15" x14ac:dyDescent="0.35">
      <c r="A3797" s="15">
        <f t="shared" si="59"/>
        <v>3795</v>
      </c>
      <c r="B3797" s="16"/>
      <c r="C3797" s="19"/>
      <c r="D3797" s="10"/>
      <c r="E3797" s="10"/>
      <c r="F3797" s="47"/>
      <c r="G3797" s="10"/>
      <c r="H3797" s="20"/>
      <c r="I3797" s="20"/>
      <c r="J3797" s="10"/>
      <c r="K3797" s="10"/>
      <c r="L3797" s="10"/>
      <c r="M3797" s="10"/>
      <c r="N3797" s="10"/>
      <c r="O3797" s="21"/>
    </row>
    <row r="3798" spans="1:15" x14ac:dyDescent="0.35">
      <c r="A3798" s="15">
        <f t="shared" si="59"/>
        <v>3796</v>
      </c>
      <c r="B3798" s="16"/>
      <c r="C3798" s="19"/>
      <c r="D3798" s="10"/>
      <c r="E3798" s="10"/>
      <c r="F3798" s="47"/>
      <c r="G3798" s="10"/>
      <c r="H3798" s="20"/>
      <c r="I3798" s="20"/>
      <c r="J3798" s="10"/>
      <c r="K3798" s="10"/>
      <c r="L3798" s="10"/>
      <c r="M3798" s="10"/>
      <c r="N3798" s="10"/>
      <c r="O3798" s="21"/>
    </row>
    <row r="3799" spans="1:15" x14ac:dyDescent="0.35">
      <c r="A3799" s="15">
        <f t="shared" si="59"/>
        <v>3797</v>
      </c>
      <c r="B3799" s="16"/>
      <c r="C3799" s="19"/>
      <c r="D3799" s="10"/>
      <c r="E3799" s="10"/>
      <c r="F3799" s="47"/>
      <c r="G3799" s="10"/>
      <c r="H3799" s="20"/>
      <c r="I3799" s="20"/>
      <c r="J3799" s="10"/>
      <c r="K3799" s="10"/>
      <c r="L3799" s="10"/>
      <c r="M3799" s="10"/>
      <c r="N3799" s="10"/>
      <c r="O3799" s="21"/>
    </row>
    <row r="3800" spans="1:15" x14ac:dyDescent="0.35">
      <c r="A3800" s="15">
        <f t="shared" si="59"/>
        <v>3798</v>
      </c>
      <c r="B3800" s="16"/>
      <c r="C3800" s="19"/>
      <c r="D3800" s="10"/>
      <c r="E3800" s="10"/>
      <c r="F3800" s="47"/>
      <c r="G3800" s="10"/>
      <c r="H3800" s="20"/>
      <c r="I3800" s="20"/>
      <c r="J3800" s="10"/>
      <c r="K3800" s="10"/>
      <c r="L3800" s="10"/>
      <c r="M3800" s="10"/>
      <c r="N3800" s="10"/>
      <c r="O3800" s="21"/>
    </row>
    <row r="3801" spans="1:15" x14ac:dyDescent="0.35">
      <c r="A3801" s="15">
        <f t="shared" si="59"/>
        <v>3799</v>
      </c>
      <c r="B3801" s="16"/>
      <c r="C3801" s="19"/>
      <c r="D3801" s="10"/>
      <c r="E3801" s="10"/>
      <c r="F3801" s="47"/>
      <c r="G3801" s="10"/>
      <c r="H3801" s="20"/>
      <c r="I3801" s="20"/>
      <c r="J3801" s="10"/>
      <c r="K3801" s="10"/>
      <c r="L3801" s="10"/>
      <c r="M3801" s="10"/>
      <c r="N3801" s="10"/>
      <c r="O3801" s="21"/>
    </row>
    <row r="3802" spans="1:15" x14ac:dyDescent="0.35">
      <c r="A3802" s="15">
        <f t="shared" si="59"/>
        <v>3800</v>
      </c>
      <c r="B3802" s="16"/>
      <c r="C3802" s="19"/>
      <c r="D3802" s="10"/>
      <c r="E3802" s="10"/>
      <c r="F3802" s="47"/>
      <c r="G3802" s="10"/>
      <c r="H3802" s="20"/>
      <c r="I3802" s="20"/>
      <c r="J3802" s="10"/>
      <c r="K3802" s="10"/>
      <c r="L3802" s="10"/>
      <c r="M3802" s="10"/>
      <c r="N3802" s="10"/>
      <c r="O3802" s="21"/>
    </row>
    <row r="3803" spans="1:15" x14ac:dyDescent="0.35">
      <c r="A3803" s="15">
        <f t="shared" si="59"/>
        <v>3801</v>
      </c>
      <c r="B3803" s="16"/>
      <c r="C3803" s="19"/>
      <c r="D3803" s="10"/>
      <c r="E3803" s="10"/>
      <c r="F3803" s="47"/>
      <c r="G3803" s="10"/>
      <c r="H3803" s="20"/>
      <c r="I3803" s="20"/>
      <c r="J3803" s="10"/>
      <c r="K3803" s="10"/>
      <c r="L3803" s="10"/>
      <c r="M3803" s="10"/>
      <c r="N3803" s="10"/>
      <c r="O3803" s="21"/>
    </row>
    <row r="3804" spans="1:15" x14ac:dyDescent="0.35">
      <c r="A3804" s="15">
        <f t="shared" si="59"/>
        <v>3802</v>
      </c>
      <c r="B3804" s="16"/>
      <c r="C3804" s="19"/>
      <c r="D3804" s="10"/>
      <c r="E3804" s="10"/>
      <c r="F3804" s="47"/>
      <c r="G3804" s="10"/>
      <c r="H3804" s="20"/>
      <c r="I3804" s="20"/>
      <c r="J3804" s="10"/>
      <c r="K3804" s="10"/>
      <c r="L3804" s="10"/>
      <c r="M3804" s="10"/>
      <c r="N3804" s="10"/>
      <c r="O3804" s="21"/>
    </row>
    <row r="3805" spans="1:15" x14ac:dyDescent="0.35">
      <c r="A3805" s="15">
        <f t="shared" si="59"/>
        <v>3803</v>
      </c>
      <c r="B3805" s="16"/>
      <c r="C3805" s="19"/>
      <c r="D3805" s="10"/>
      <c r="E3805" s="10"/>
      <c r="F3805" s="47"/>
      <c r="G3805" s="10"/>
      <c r="H3805" s="20"/>
      <c r="I3805" s="20"/>
      <c r="J3805" s="10"/>
      <c r="K3805" s="10"/>
      <c r="L3805" s="10"/>
      <c r="M3805" s="10"/>
      <c r="N3805" s="10"/>
      <c r="O3805" s="21"/>
    </row>
    <row r="3806" spans="1:15" x14ac:dyDescent="0.35">
      <c r="A3806" s="15">
        <f t="shared" si="59"/>
        <v>3804</v>
      </c>
      <c r="B3806" s="16"/>
      <c r="C3806" s="19"/>
      <c r="D3806" s="10"/>
      <c r="E3806" s="10"/>
      <c r="F3806" s="47"/>
      <c r="G3806" s="10"/>
      <c r="H3806" s="20"/>
      <c r="I3806" s="20"/>
      <c r="J3806" s="10"/>
      <c r="K3806" s="10"/>
      <c r="L3806" s="10"/>
      <c r="M3806" s="10"/>
      <c r="N3806" s="10"/>
      <c r="O3806" s="21"/>
    </row>
    <row r="3807" spans="1:15" x14ac:dyDescent="0.35">
      <c r="A3807" s="15">
        <f t="shared" si="59"/>
        <v>3805</v>
      </c>
      <c r="B3807" s="16"/>
      <c r="C3807" s="19"/>
      <c r="D3807" s="10"/>
      <c r="E3807" s="10"/>
      <c r="F3807" s="47"/>
      <c r="G3807" s="10"/>
      <c r="H3807" s="20"/>
      <c r="I3807" s="20"/>
      <c r="J3807" s="10"/>
      <c r="K3807" s="10"/>
      <c r="L3807" s="10"/>
      <c r="M3807" s="10"/>
      <c r="N3807" s="10"/>
      <c r="O3807" s="21"/>
    </row>
    <row r="3808" spans="1:15" x14ac:dyDescent="0.35">
      <c r="A3808" s="15">
        <f t="shared" si="59"/>
        <v>3806</v>
      </c>
      <c r="B3808" s="16"/>
      <c r="C3808" s="19"/>
      <c r="D3808" s="10"/>
      <c r="E3808" s="10"/>
      <c r="F3808" s="47"/>
      <c r="G3808" s="10"/>
      <c r="H3808" s="20"/>
      <c r="I3808" s="20"/>
      <c r="J3808" s="10"/>
      <c r="K3808" s="10"/>
      <c r="L3808" s="10"/>
      <c r="M3808" s="10"/>
      <c r="N3808" s="10"/>
      <c r="O3808" s="21"/>
    </row>
    <row r="3809" spans="1:15" x14ac:dyDescent="0.35">
      <c r="A3809" s="15">
        <f t="shared" si="59"/>
        <v>3807</v>
      </c>
      <c r="B3809" s="16"/>
      <c r="C3809" s="19"/>
      <c r="D3809" s="10"/>
      <c r="E3809" s="10"/>
      <c r="F3809" s="47"/>
      <c r="G3809" s="10"/>
      <c r="H3809" s="20"/>
      <c r="I3809" s="20"/>
      <c r="J3809" s="10"/>
      <c r="K3809" s="10"/>
      <c r="L3809" s="10"/>
      <c r="M3809" s="10"/>
      <c r="N3809" s="10"/>
      <c r="O3809" s="21"/>
    </row>
    <row r="3810" spans="1:15" x14ac:dyDescent="0.35">
      <c r="A3810" s="15">
        <f t="shared" si="59"/>
        <v>3808</v>
      </c>
      <c r="B3810" s="16"/>
      <c r="C3810" s="19"/>
      <c r="D3810" s="10"/>
      <c r="E3810" s="10"/>
      <c r="F3810" s="47"/>
      <c r="G3810" s="10"/>
      <c r="H3810" s="20"/>
      <c r="I3810" s="20"/>
      <c r="J3810" s="10"/>
      <c r="K3810" s="10"/>
      <c r="L3810" s="10"/>
      <c r="M3810" s="10"/>
      <c r="N3810" s="10"/>
      <c r="O3810" s="21"/>
    </row>
    <row r="3811" spans="1:15" x14ac:dyDescent="0.35">
      <c r="A3811" s="15">
        <f t="shared" si="59"/>
        <v>3809</v>
      </c>
      <c r="B3811" s="16"/>
      <c r="C3811" s="19"/>
      <c r="D3811" s="10"/>
      <c r="E3811" s="10"/>
      <c r="F3811" s="47"/>
      <c r="G3811" s="10"/>
      <c r="H3811" s="20"/>
      <c r="I3811" s="20"/>
      <c r="J3811" s="10"/>
      <c r="K3811" s="10"/>
      <c r="L3811" s="10"/>
      <c r="M3811" s="10"/>
      <c r="N3811" s="10"/>
      <c r="O3811" s="21"/>
    </row>
    <row r="3812" spans="1:15" x14ac:dyDescent="0.35">
      <c r="A3812" s="15">
        <f t="shared" si="59"/>
        <v>3810</v>
      </c>
      <c r="B3812" s="16"/>
      <c r="C3812" s="19"/>
      <c r="D3812" s="10"/>
      <c r="E3812" s="10"/>
      <c r="F3812" s="47"/>
      <c r="G3812" s="10"/>
      <c r="H3812" s="20"/>
      <c r="I3812" s="20"/>
      <c r="J3812" s="10"/>
      <c r="K3812" s="10"/>
      <c r="L3812" s="10"/>
      <c r="M3812" s="10"/>
      <c r="N3812" s="10"/>
      <c r="O3812" s="21"/>
    </row>
    <row r="3813" spans="1:15" x14ac:dyDescent="0.35">
      <c r="A3813" s="15">
        <f t="shared" si="59"/>
        <v>3811</v>
      </c>
      <c r="B3813" s="16"/>
      <c r="C3813" s="19"/>
      <c r="D3813" s="10"/>
      <c r="E3813" s="10"/>
      <c r="F3813" s="47"/>
      <c r="G3813" s="10"/>
      <c r="H3813" s="20"/>
      <c r="I3813" s="20"/>
      <c r="J3813" s="10"/>
      <c r="K3813" s="10"/>
      <c r="L3813" s="10"/>
      <c r="M3813" s="10"/>
      <c r="N3813" s="10"/>
      <c r="O3813" s="21"/>
    </row>
    <row r="3814" spans="1:15" x14ac:dyDescent="0.35">
      <c r="A3814" s="15">
        <f t="shared" si="59"/>
        <v>3812</v>
      </c>
      <c r="B3814" s="16"/>
      <c r="C3814" s="19"/>
      <c r="D3814" s="10"/>
      <c r="E3814" s="10"/>
      <c r="F3814" s="47"/>
      <c r="G3814" s="10"/>
      <c r="H3814" s="20"/>
      <c r="I3814" s="20"/>
      <c r="J3814" s="10"/>
      <c r="K3814" s="10"/>
      <c r="L3814" s="10"/>
      <c r="M3814" s="10"/>
      <c r="N3814" s="10"/>
      <c r="O3814" s="21"/>
    </row>
    <row r="3815" spans="1:15" x14ac:dyDescent="0.35">
      <c r="A3815" s="15">
        <f t="shared" si="59"/>
        <v>3813</v>
      </c>
      <c r="B3815" s="16"/>
      <c r="C3815" s="19"/>
      <c r="D3815" s="10"/>
      <c r="E3815" s="10"/>
      <c r="F3815" s="47"/>
      <c r="G3815" s="10"/>
      <c r="H3815" s="20"/>
      <c r="I3815" s="20"/>
      <c r="J3815" s="10"/>
      <c r="K3815" s="10"/>
      <c r="L3815" s="10"/>
      <c r="M3815" s="10"/>
      <c r="N3815" s="10"/>
      <c r="O3815" s="21"/>
    </row>
    <row r="3816" spans="1:15" x14ac:dyDescent="0.35">
      <c r="A3816" s="15">
        <f t="shared" si="59"/>
        <v>3814</v>
      </c>
      <c r="B3816" s="16"/>
      <c r="C3816" s="19"/>
      <c r="D3816" s="10"/>
      <c r="E3816" s="10"/>
      <c r="F3816" s="47"/>
      <c r="G3816" s="10"/>
      <c r="H3816" s="20"/>
      <c r="I3816" s="20"/>
      <c r="J3816" s="10"/>
      <c r="K3816" s="10"/>
      <c r="L3816" s="10"/>
      <c r="M3816" s="10"/>
      <c r="N3816" s="10"/>
      <c r="O3816" s="21"/>
    </row>
    <row r="3817" spans="1:15" x14ac:dyDescent="0.35">
      <c r="A3817" s="15">
        <f t="shared" si="59"/>
        <v>3815</v>
      </c>
      <c r="B3817" s="16"/>
      <c r="C3817" s="19"/>
      <c r="D3817" s="10"/>
      <c r="E3817" s="10"/>
      <c r="F3817" s="47"/>
      <c r="G3817" s="10"/>
      <c r="H3817" s="20"/>
      <c r="I3817" s="20"/>
      <c r="J3817" s="10"/>
      <c r="K3817" s="10"/>
      <c r="L3817" s="10"/>
      <c r="M3817" s="10"/>
      <c r="N3817" s="10"/>
      <c r="O3817" s="21"/>
    </row>
    <row r="3818" spans="1:15" x14ac:dyDescent="0.35">
      <c r="A3818" s="15">
        <f t="shared" si="59"/>
        <v>3816</v>
      </c>
      <c r="B3818" s="16"/>
      <c r="C3818" s="19"/>
      <c r="D3818" s="10"/>
      <c r="E3818" s="10"/>
      <c r="F3818" s="47"/>
      <c r="G3818" s="10"/>
      <c r="H3818" s="20"/>
      <c r="I3818" s="20"/>
      <c r="J3818" s="10"/>
      <c r="K3818" s="10"/>
      <c r="L3818" s="10"/>
      <c r="M3818" s="10"/>
      <c r="N3818" s="10"/>
      <c r="O3818" s="21"/>
    </row>
    <row r="3819" spans="1:15" x14ac:dyDescent="0.35">
      <c r="A3819" s="15">
        <f t="shared" si="59"/>
        <v>3817</v>
      </c>
      <c r="B3819" s="16"/>
      <c r="C3819" s="19"/>
      <c r="D3819" s="10"/>
      <c r="E3819" s="10"/>
      <c r="F3819" s="47"/>
      <c r="G3819" s="10"/>
      <c r="H3819" s="20"/>
      <c r="I3819" s="20"/>
      <c r="J3819" s="10"/>
      <c r="K3819" s="10"/>
      <c r="L3819" s="10"/>
      <c r="M3819" s="10"/>
      <c r="N3819" s="10"/>
      <c r="O3819" s="21"/>
    </row>
    <row r="3820" spans="1:15" x14ac:dyDescent="0.35">
      <c r="A3820" s="15">
        <f t="shared" si="59"/>
        <v>3818</v>
      </c>
      <c r="B3820" s="16"/>
      <c r="C3820" s="19"/>
      <c r="D3820" s="10"/>
      <c r="E3820" s="10"/>
      <c r="F3820" s="47"/>
      <c r="G3820" s="10"/>
      <c r="H3820" s="20"/>
      <c r="I3820" s="20"/>
      <c r="J3820" s="10"/>
      <c r="K3820" s="10"/>
      <c r="L3820" s="10"/>
      <c r="M3820" s="10"/>
      <c r="N3820" s="10"/>
      <c r="O3820" s="21"/>
    </row>
    <row r="3821" spans="1:15" x14ac:dyDescent="0.35">
      <c r="A3821" s="15">
        <f t="shared" si="59"/>
        <v>3819</v>
      </c>
      <c r="B3821" s="16"/>
      <c r="C3821" s="19"/>
      <c r="D3821" s="10"/>
      <c r="E3821" s="10"/>
      <c r="F3821" s="47"/>
      <c r="G3821" s="10"/>
      <c r="H3821" s="20"/>
      <c r="I3821" s="20"/>
      <c r="J3821" s="10"/>
      <c r="K3821" s="10"/>
      <c r="L3821" s="10"/>
      <c r="M3821" s="10"/>
      <c r="N3821" s="10"/>
      <c r="O3821" s="21"/>
    </row>
    <row r="3822" spans="1:15" x14ac:dyDescent="0.35">
      <c r="A3822" s="15">
        <f t="shared" si="59"/>
        <v>3820</v>
      </c>
      <c r="B3822" s="16"/>
      <c r="C3822" s="19"/>
      <c r="D3822" s="10"/>
      <c r="E3822" s="10"/>
      <c r="F3822" s="47"/>
      <c r="G3822" s="10"/>
      <c r="H3822" s="20"/>
      <c r="I3822" s="20"/>
      <c r="J3822" s="10"/>
      <c r="K3822" s="10"/>
      <c r="L3822" s="10"/>
      <c r="M3822" s="10"/>
      <c r="N3822" s="10"/>
      <c r="O3822" s="21"/>
    </row>
    <row r="3823" spans="1:15" x14ac:dyDescent="0.35">
      <c r="A3823" s="15">
        <f t="shared" si="59"/>
        <v>3821</v>
      </c>
      <c r="B3823" s="16"/>
      <c r="C3823" s="19"/>
      <c r="D3823" s="10"/>
      <c r="E3823" s="10"/>
      <c r="F3823" s="47"/>
      <c r="G3823" s="10"/>
      <c r="H3823" s="20"/>
      <c r="I3823" s="20"/>
      <c r="J3823" s="10"/>
      <c r="K3823" s="10"/>
      <c r="L3823" s="10"/>
      <c r="M3823" s="10"/>
      <c r="N3823" s="10"/>
      <c r="O3823" s="21"/>
    </row>
    <row r="3824" spans="1:15" x14ac:dyDescent="0.35">
      <c r="A3824" s="15">
        <f t="shared" si="59"/>
        <v>3822</v>
      </c>
      <c r="B3824" s="16"/>
      <c r="C3824" s="19"/>
      <c r="D3824" s="10"/>
      <c r="E3824" s="10"/>
      <c r="F3824" s="47"/>
      <c r="G3824" s="10"/>
      <c r="H3824" s="20"/>
      <c r="I3824" s="20"/>
      <c r="J3824" s="10"/>
      <c r="K3824" s="10"/>
      <c r="L3824" s="10"/>
      <c r="M3824" s="10"/>
      <c r="N3824" s="10"/>
      <c r="O3824" s="21"/>
    </row>
    <row r="3825" spans="1:15" x14ac:dyDescent="0.35">
      <c r="A3825" s="15">
        <f t="shared" si="59"/>
        <v>3823</v>
      </c>
      <c r="B3825" s="16"/>
      <c r="C3825" s="19"/>
      <c r="D3825" s="10"/>
      <c r="E3825" s="10"/>
      <c r="F3825" s="47"/>
      <c r="G3825" s="10"/>
      <c r="H3825" s="20"/>
      <c r="I3825" s="20"/>
      <c r="J3825" s="10"/>
      <c r="K3825" s="10"/>
      <c r="L3825" s="10"/>
      <c r="M3825" s="10"/>
      <c r="N3825" s="10"/>
      <c r="O3825" s="21"/>
    </row>
    <row r="3826" spans="1:15" x14ac:dyDescent="0.35">
      <c r="A3826" s="15">
        <f t="shared" si="59"/>
        <v>3824</v>
      </c>
      <c r="B3826" s="16"/>
      <c r="C3826" s="19"/>
      <c r="D3826" s="10"/>
      <c r="E3826" s="10"/>
      <c r="F3826" s="47"/>
      <c r="G3826" s="10"/>
      <c r="H3826" s="20"/>
      <c r="I3826" s="20"/>
      <c r="J3826" s="10"/>
      <c r="K3826" s="10"/>
      <c r="L3826" s="10"/>
      <c r="M3826" s="10"/>
      <c r="N3826" s="10"/>
      <c r="O3826" s="21"/>
    </row>
    <row r="3827" spans="1:15" x14ac:dyDescent="0.35">
      <c r="A3827" s="15">
        <f t="shared" si="59"/>
        <v>3825</v>
      </c>
      <c r="B3827" s="16"/>
      <c r="C3827" s="19"/>
      <c r="D3827" s="10"/>
      <c r="E3827" s="10"/>
      <c r="F3827" s="47"/>
      <c r="G3827" s="10"/>
      <c r="H3827" s="20"/>
      <c r="I3827" s="20"/>
      <c r="J3827" s="10"/>
      <c r="K3827" s="10"/>
      <c r="L3827" s="10"/>
      <c r="M3827" s="10"/>
      <c r="N3827" s="10"/>
      <c r="O3827" s="21"/>
    </row>
    <row r="3828" spans="1:15" x14ac:dyDescent="0.35">
      <c r="A3828" s="15">
        <f t="shared" si="59"/>
        <v>3826</v>
      </c>
      <c r="B3828" s="16"/>
      <c r="C3828" s="19"/>
      <c r="D3828" s="10"/>
      <c r="E3828" s="10"/>
      <c r="F3828" s="47"/>
      <c r="G3828" s="10"/>
      <c r="H3828" s="20"/>
      <c r="I3828" s="20"/>
      <c r="J3828" s="10"/>
      <c r="K3828" s="10"/>
      <c r="L3828" s="10"/>
      <c r="M3828" s="10"/>
      <c r="N3828" s="10"/>
      <c r="O3828" s="21"/>
    </row>
    <row r="3829" spans="1:15" x14ac:dyDescent="0.35">
      <c r="A3829" s="15">
        <f t="shared" si="59"/>
        <v>3827</v>
      </c>
      <c r="B3829" s="16"/>
      <c r="C3829" s="19"/>
      <c r="D3829" s="10"/>
      <c r="E3829" s="10"/>
      <c r="F3829" s="47"/>
      <c r="G3829" s="10"/>
      <c r="H3829" s="20"/>
      <c r="I3829" s="20"/>
      <c r="J3829" s="10"/>
      <c r="K3829" s="10"/>
      <c r="L3829" s="10"/>
      <c r="M3829" s="10"/>
      <c r="N3829" s="10"/>
      <c r="O3829" s="21"/>
    </row>
    <row r="3830" spans="1:15" x14ac:dyDescent="0.35">
      <c r="A3830" s="15">
        <f t="shared" si="59"/>
        <v>3828</v>
      </c>
      <c r="B3830" s="16"/>
      <c r="C3830" s="19"/>
      <c r="D3830" s="10"/>
      <c r="E3830" s="10"/>
      <c r="F3830" s="47"/>
      <c r="G3830" s="10"/>
      <c r="H3830" s="20"/>
      <c r="I3830" s="20"/>
      <c r="J3830" s="10"/>
      <c r="K3830" s="10"/>
      <c r="L3830" s="10"/>
      <c r="M3830" s="10"/>
      <c r="N3830" s="10"/>
      <c r="O3830" s="21"/>
    </row>
    <row r="3831" spans="1:15" x14ac:dyDescent="0.35">
      <c r="A3831" s="15">
        <f t="shared" si="59"/>
        <v>3829</v>
      </c>
      <c r="B3831" s="16"/>
      <c r="C3831" s="19"/>
      <c r="D3831" s="10"/>
      <c r="E3831" s="10"/>
      <c r="F3831" s="47"/>
      <c r="G3831" s="10"/>
      <c r="H3831" s="20"/>
      <c r="I3831" s="20"/>
      <c r="J3831" s="10"/>
      <c r="K3831" s="10"/>
      <c r="L3831" s="10"/>
      <c r="M3831" s="10"/>
      <c r="N3831" s="10"/>
      <c r="O3831" s="21"/>
    </row>
    <row r="3832" spans="1:15" x14ac:dyDescent="0.35">
      <c r="A3832" s="15">
        <f t="shared" si="59"/>
        <v>3830</v>
      </c>
      <c r="B3832" s="16"/>
      <c r="C3832" s="19"/>
      <c r="D3832" s="10"/>
      <c r="E3832" s="10"/>
      <c r="F3832" s="47"/>
      <c r="G3832" s="10"/>
      <c r="H3832" s="20"/>
      <c r="I3832" s="20"/>
      <c r="J3832" s="10"/>
      <c r="K3832" s="10"/>
      <c r="L3832" s="10"/>
      <c r="M3832" s="10"/>
      <c r="N3832" s="10"/>
      <c r="O3832" s="21"/>
    </row>
    <row r="3833" spans="1:15" x14ac:dyDescent="0.35">
      <c r="A3833" s="15">
        <f t="shared" si="59"/>
        <v>3831</v>
      </c>
      <c r="B3833" s="16"/>
      <c r="C3833" s="19"/>
      <c r="D3833" s="10"/>
      <c r="E3833" s="10"/>
      <c r="F3833" s="47"/>
      <c r="G3833" s="10"/>
      <c r="H3833" s="20"/>
      <c r="I3833" s="20"/>
      <c r="J3833" s="10"/>
      <c r="K3833" s="10"/>
      <c r="L3833" s="10"/>
      <c r="M3833" s="10"/>
      <c r="N3833" s="10"/>
      <c r="O3833" s="21"/>
    </row>
    <row r="3834" spans="1:15" x14ac:dyDescent="0.35">
      <c r="A3834" s="15">
        <f t="shared" si="59"/>
        <v>3832</v>
      </c>
      <c r="B3834" s="16"/>
      <c r="C3834" s="19"/>
      <c r="D3834" s="10"/>
      <c r="E3834" s="10"/>
      <c r="F3834" s="47"/>
      <c r="G3834" s="10"/>
      <c r="H3834" s="20"/>
      <c r="I3834" s="20"/>
      <c r="J3834" s="10"/>
      <c r="K3834" s="10"/>
      <c r="L3834" s="10"/>
      <c r="M3834" s="10"/>
      <c r="N3834" s="10"/>
      <c r="O3834" s="21"/>
    </row>
    <row r="3835" spans="1:15" x14ac:dyDescent="0.35">
      <c r="A3835" s="15">
        <f t="shared" si="59"/>
        <v>3833</v>
      </c>
      <c r="B3835" s="16"/>
      <c r="C3835" s="19"/>
      <c r="D3835" s="10"/>
      <c r="E3835" s="10"/>
      <c r="F3835" s="47"/>
      <c r="G3835" s="10"/>
      <c r="H3835" s="20"/>
      <c r="I3835" s="20"/>
      <c r="J3835" s="10"/>
      <c r="K3835" s="10"/>
      <c r="L3835" s="10"/>
      <c r="M3835" s="10"/>
      <c r="N3835" s="10"/>
      <c r="O3835" s="21"/>
    </row>
    <row r="3836" spans="1:15" x14ac:dyDescent="0.35">
      <c r="A3836" s="15">
        <f t="shared" si="59"/>
        <v>3834</v>
      </c>
      <c r="B3836" s="16"/>
      <c r="C3836" s="19"/>
      <c r="D3836" s="10"/>
      <c r="E3836" s="10"/>
      <c r="F3836" s="47"/>
      <c r="G3836" s="10"/>
      <c r="H3836" s="20"/>
      <c r="I3836" s="20"/>
      <c r="J3836" s="10"/>
      <c r="K3836" s="10"/>
      <c r="L3836" s="10"/>
      <c r="M3836" s="10"/>
      <c r="N3836" s="10"/>
      <c r="O3836" s="21"/>
    </row>
    <row r="3837" spans="1:15" x14ac:dyDescent="0.35">
      <c r="A3837" s="15">
        <f t="shared" si="59"/>
        <v>3835</v>
      </c>
      <c r="B3837" s="16"/>
      <c r="C3837" s="19"/>
      <c r="D3837" s="10"/>
      <c r="E3837" s="10"/>
      <c r="F3837" s="47"/>
      <c r="G3837" s="10"/>
      <c r="H3837" s="20"/>
      <c r="I3837" s="20"/>
      <c r="J3837" s="10"/>
      <c r="K3837" s="10"/>
      <c r="L3837" s="10"/>
      <c r="M3837" s="10"/>
      <c r="N3837" s="10"/>
      <c r="O3837" s="21"/>
    </row>
    <row r="3838" spans="1:15" x14ac:dyDescent="0.35">
      <c r="A3838" s="15">
        <f t="shared" si="59"/>
        <v>3836</v>
      </c>
      <c r="B3838" s="16"/>
      <c r="C3838" s="19"/>
      <c r="D3838" s="10"/>
      <c r="E3838" s="10"/>
      <c r="F3838" s="47"/>
      <c r="G3838" s="10"/>
      <c r="H3838" s="20"/>
      <c r="I3838" s="20"/>
      <c r="J3838" s="10"/>
      <c r="K3838" s="10"/>
      <c r="L3838" s="10"/>
      <c r="M3838" s="10"/>
      <c r="N3838" s="10"/>
      <c r="O3838" s="21"/>
    </row>
    <row r="3839" spans="1:15" x14ac:dyDescent="0.35">
      <c r="A3839" s="15">
        <f t="shared" si="59"/>
        <v>3837</v>
      </c>
      <c r="B3839" s="16"/>
      <c r="C3839" s="19"/>
      <c r="D3839" s="10"/>
      <c r="E3839" s="10"/>
      <c r="F3839" s="47"/>
      <c r="G3839" s="10"/>
      <c r="H3839" s="20"/>
      <c r="I3839" s="20"/>
      <c r="J3839" s="10"/>
      <c r="K3839" s="10"/>
      <c r="L3839" s="10"/>
      <c r="M3839" s="10"/>
      <c r="N3839" s="10"/>
      <c r="O3839" s="21"/>
    </row>
    <row r="3840" spans="1:15" x14ac:dyDescent="0.35">
      <c r="A3840" s="15">
        <f t="shared" si="59"/>
        <v>3838</v>
      </c>
      <c r="B3840" s="16"/>
      <c r="C3840" s="19"/>
      <c r="D3840" s="10"/>
      <c r="E3840" s="10"/>
      <c r="F3840" s="47"/>
      <c r="G3840" s="10"/>
      <c r="H3840" s="20"/>
      <c r="I3840" s="20"/>
      <c r="J3840" s="10"/>
      <c r="K3840" s="10"/>
      <c r="L3840" s="10"/>
      <c r="M3840" s="10"/>
      <c r="N3840" s="10"/>
      <c r="O3840" s="21"/>
    </row>
    <row r="3841" spans="1:15" x14ac:dyDescent="0.35">
      <c r="A3841" s="15">
        <f t="shared" si="59"/>
        <v>3839</v>
      </c>
      <c r="B3841" s="16"/>
      <c r="C3841" s="19"/>
      <c r="D3841" s="10"/>
      <c r="E3841" s="10"/>
      <c r="F3841" s="47"/>
      <c r="G3841" s="10"/>
      <c r="H3841" s="20"/>
      <c r="I3841" s="20"/>
      <c r="J3841" s="10"/>
      <c r="K3841" s="10"/>
      <c r="L3841" s="10"/>
      <c r="M3841" s="10"/>
      <c r="N3841" s="10"/>
      <c r="O3841" s="21"/>
    </row>
    <row r="3842" spans="1:15" x14ac:dyDescent="0.35">
      <c r="A3842" s="15">
        <f t="shared" si="59"/>
        <v>3840</v>
      </c>
      <c r="B3842" s="16"/>
      <c r="C3842" s="19"/>
      <c r="D3842" s="10"/>
      <c r="E3842" s="10"/>
      <c r="F3842" s="47"/>
      <c r="G3842" s="10"/>
      <c r="H3842" s="20"/>
      <c r="I3842" s="20"/>
      <c r="J3842" s="10"/>
      <c r="K3842" s="10"/>
      <c r="L3842" s="10"/>
      <c r="M3842" s="10"/>
      <c r="N3842" s="10"/>
      <c r="O3842" s="21"/>
    </row>
    <row r="3843" spans="1:15" x14ac:dyDescent="0.35">
      <c r="A3843" s="15">
        <f t="shared" si="59"/>
        <v>3841</v>
      </c>
      <c r="B3843" s="16"/>
      <c r="C3843" s="19"/>
      <c r="D3843" s="10"/>
      <c r="E3843" s="10"/>
      <c r="F3843" s="47"/>
      <c r="G3843" s="10"/>
      <c r="H3843" s="20"/>
      <c r="I3843" s="20"/>
      <c r="J3843" s="10"/>
      <c r="K3843" s="10"/>
      <c r="L3843" s="10"/>
      <c r="M3843" s="10"/>
      <c r="N3843" s="10"/>
      <c r="O3843" s="21"/>
    </row>
    <row r="3844" spans="1:15" x14ac:dyDescent="0.35">
      <c r="A3844" s="15">
        <f t="shared" si="59"/>
        <v>3842</v>
      </c>
      <c r="B3844" s="16"/>
      <c r="C3844" s="19"/>
      <c r="D3844" s="10"/>
      <c r="E3844" s="10"/>
      <c r="F3844" s="47"/>
      <c r="G3844" s="10"/>
      <c r="H3844" s="20"/>
      <c r="I3844" s="20"/>
      <c r="J3844" s="10"/>
      <c r="K3844" s="10"/>
      <c r="L3844" s="10"/>
      <c r="M3844" s="10"/>
      <c r="N3844" s="10"/>
      <c r="O3844" s="21"/>
    </row>
    <row r="3845" spans="1:15" x14ac:dyDescent="0.35">
      <c r="A3845" s="15">
        <f t="shared" si="59"/>
        <v>3843</v>
      </c>
      <c r="B3845" s="16"/>
      <c r="C3845" s="19"/>
      <c r="D3845" s="10"/>
      <c r="E3845" s="10"/>
      <c r="F3845" s="47"/>
      <c r="G3845" s="10"/>
      <c r="H3845" s="20"/>
      <c r="I3845" s="20"/>
      <c r="J3845" s="10"/>
      <c r="K3845" s="10"/>
      <c r="L3845" s="10"/>
      <c r="M3845" s="10"/>
      <c r="N3845" s="10"/>
      <c r="O3845" s="21"/>
    </row>
    <row r="3846" spans="1:15" x14ac:dyDescent="0.35">
      <c r="A3846" s="15">
        <f t="shared" si="59"/>
        <v>3844</v>
      </c>
      <c r="B3846" s="16"/>
      <c r="C3846" s="19"/>
      <c r="D3846" s="10"/>
      <c r="E3846" s="10"/>
      <c r="F3846" s="47"/>
      <c r="G3846" s="10"/>
      <c r="H3846" s="20"/>
      <c r="I3846" s="20"/>
      <c r="J3846" s="10"/>
      <c r="K3846" s="10"/>
      <c r="L3846" s="10"/>
      <c r="M3846" s="10"/>
      <c r="N3846" s="10"/>
      <c r="O3846" s="21"/>
    </row>
    <row r="3847" spans="1:15" x14ac:dyDescent="0.35">
      <c r="A3847" s="15">
        <f t="shared" si="59"/>
        <v>3845</v>
      </c>
      <c r="B3847" s="16"/>
      <c r="C3847" s="19"/>
      <c r="D3847" s="10"/>
      <c r="E3847" s="10"/>
      <c r="F3847" s="47"/>
      <c r="G3847" s="10"/>
      <c r="H3847" s="20"/>
      <c r="I3847" s="20"/>
      <c r="J3847" s="10"/>
      <c r="K3847" s="10"/>
      <c r="L3847" s="10"/>
      <c r="M3847" s="10"/>
      <c r="N3847" s="10"/>
      <c r="O3847" s="21"/>
    </row>
    <row r="3848" spans="1:15" x14ac:dyDescent="0.35">
      <c r="A3848" s="15">
        <f t="shared" si="59"/>
        <v>3846</v>
      </c>
      <c r="B3848" s="16"/>
      <c r="C3848" s="19"/>
      <c r="D3848" s="10"/>
      <c r="E3848" s="10"/>
      <c r="F3848" s="47"/>
      <c r="G3848" s="10"/>
      <c r="H3848" s="20"/>
      <c r="I3848" s="20"/>
      <c r="J3848" s="10"/>
      <c r="K3848" s="10"/>
      <c r="L3848" s="10"/>
      <c r="M3848" s="10"/>
      <c r="N3848" s="10"/>
      <c r="O3848" s="21"/>
    </row>
    <row r="3849" spans="1:15" x14ac:dyDescent="0.35">
      <c r="A3849" s="15">
        <f t="shared" si="59"/>
        <v>3847</v>
      </c>
      <c r="B3849" s="16"/>
      <c r="C3849" s="19"/>
      <c r="D3849" s="10"/>
      <c r="E3849" s="10"/>
      <c r="F3849" s="47"/>
      <c r="G3849" s="10"/>
      <c r="H3849" s="20"/>
      <c r="I3849" s="20"/>
      <c r="J3849" s="10"/>
      <c r="K3849" s="10"/>
      <c r="L3849" s="10"/>
      <c r="M3849" s="10"/>
      <c r="N3849" s="10"/>
      <c r="O3849" s="21"/>
    </row>
    <row r="3850" spans="1:15" x14ac:dyDescent="0.35">
      <c r="A3850" s="15">
        <f t="shared" si="59"/>
        <v>3848</v>
      </c>
      <c r="B3850" s="16"/>
      <c r="C3850" s="19"/>
      <c r="D3850" s="10"/>
      <c r="E3850" s="10"/>
      <c r="F3850" s="47"/>
      <c r="G3850" s="10"/>
      <c r="H3850" s="20"/>
      <c r="I3850" s="20"/>
      <c r="J3850" s="10"/>
      <c r="K3850" s="10"/>
      <c r="L3850" s="10"/>
      <c r="M3850" s="10"/>
      <c r="N3850" s="10"/>
      <c r="O3850" s="21"/>
    </row>
    <row r="3851" spans="1:15" x14ac:dyDescent="0.35">
      <c r="A3851" s="15">
        <f t="shared" ref="A3851:A3914" si="60">+A3850+1</f>
        <v>3849</v>
      </c>
      <c r="B3851" s="16"/>
      <c r="C3851" s="19"/>
      <c r="D3851" s="10"/>
      <c r="E3851" s="10"/>
      <c r="F3851" s="47"/>
      <c r="G3851" s="10"/>
      <c r="H3851" s="20"/>
      <c r="I3851" s="20"/>
      <c r="J3851" s="10"/>
      <c r="K3851" s="10"/>
      <c r="L3851" s="10"/>
      <c r="M3851" s="10"/>
      <c r="N3851" s="10"/>
      <c r="O3851" s="21"/>
    </row>
    <row r="3852" spans="1:15" x14ac:dyDescent="0.35">
      <c r="A3852" s="15">
        <f t="shared" si="60"/>
        <v>3850</v>
      </c>
      <c r="B3852" s="16"/>
      <c r="C3852" s="19"/>
      <c r="D3852" s="10"/>
      <c r="E3852" s="10"/>
      <c r="F3852" s="47"/>
      <c r="G3852" s="10"/>
      <c r="H3852" s="20"/>
      <c r="I3852" s="20"/>
      <c r="J3852" s="10"/>
      <c r="K3852" s="10"/>
      <c r="L3852" s="10"/>
      <c r="M3852" s="10"/>
      <c r="N3852" s="10"/>
      <c r="O3852" s="21"/>
    </row>
    <row r="3853" spans="1:15" x14ac:dyDescent="0.35">
      <c r="A3853" s="15">
        <f t="shared" si="60"/>
        <v>3851</v>
      </c>
      <c r="B3853" s="16"/>
      <c r="C3853" s="19"/>
      <c r="D3853" s="10"/>
      <c r="E3853" s="10"/>
      <c r="F3853" s="47"/>
      <c r="G3853" s="10"/>
      <c r="H3853" s="20"/>
      <c r="I3853" s="20"/>
      <c r="J3853" s="10"/>
      <c r="K3853" s="10"/>
      <c r="L3853" s="10"/>
      <c r="M3853" s="10"/>
      <c r="N3853" s="10"/>
      <c r="O3853" s="21"/>
    </row>
    <row r="3854" spans="1:15" x14ac:dyDescent="0.35">
      <c r="A3854" s="15">
        <f t="shared" si="60"/>
        <v>3852</v>
      </c>
      <c r="B3854" s="16"/>
      <c r="C3854" s="19"/>
      <c r="D3854" s="10"/>
      <c r="E3854" s="10"/>
      <c r="F3854" s="47"/>
      <c r="G3854" s="10"/>
      <c r="H3854" s="20"/>
      <c r="I3854" s="20"/>
      <c r="J3854" s="10"/>
      <c r="K3854" s="10"/>
      <c r="L3854" s="10"/>
      <c r="M3854" s="10"/>
      <c r="N3854" s="10"/>
      <c r="O3854" s="21"/>
    </row>
    <row r="3855" spans="1:15" x14ac:dyDescent="0.35">
      <c r="A3855" s="15">
        <f t="shared" si="60"/>
        <v>3853</v>
      </c>
      <c r="B3855" s="16"/>
      <c r="C3855" s="19"/>
      <c r="D3855" s="10"/>
      <c r="E3855" s="10"/>
      <c r="F3855" s="47"/>
      <c r="G3855" s="10"/>
      <c r="H3855" s="20"/>
      <c r="I3855" s="20"/>
      <c r="J3855" s="10"/>
      <c r="K3855" s="10"/>
      <c r="L3855" s="10"/>
      <c r="M3855" s="10"/>
      <c r="N3855" s="10"/>
      <c r="O3855" s="21"/>
    </row>
    <row r="3856" spans="1:15" x14ac:dyDescent="0.35">
      <c r="A3856" s="15">
        <f t="shared" si="60"/>
        <v>3854</v>
      </c>
      <c r="B3856" s="16"/>
      <c r="C3856" s="19"/>
      <c r="D3856" s="10"/>
      <c r="E3856" s="10"/>
      <c r="F3856" s="47"/>
      <c r="G3856" s="10"/>
      <c r="H3856" s="20"/>
      <c r="I3856" s="20"/>
      <c r="J3856" s="10"/>
      <c r="K3856" s="10"/>
      <c r="L3856" s="10"/>
      <c r="M3856" s="10"/>
      <c r="N3856" s="10"/>
      <c r="O3856" s="21"/>
    </row>
    <row r="3857" spans="1:15" x14ac:dyDescent="0.35">
      <c r="A3857" s="15">
        <f t="shared" si="60"/>
        <v>3855</v>
      </c>
      <c r="B3857" s="16"/>
      <c r="C3857" s="19"/>
      <c r="D3857" s="10"/>
      <c r="E3857" s="10"/>
      <c r="F3857" s="47"/>
      <c r="G3857" s="10"/>
      <c r="H3857" s="20"/>
      <c r="I3857" s="20"/>
      <c r="J3857" s="10"/>
      <c r="K3857" s="10"/>
      <c r="L3857" s="10"/>
      <c r="M3857" s="10"/>
      <c r="N3857" s="10"/>
      <c r="O3857" s="21"/>
    </row>
    <row r="3858" spans="1:15" x14ac:dyDescent="0.35">
      <c r="A3858" s="15">
        <f t="shared" si="60"/>
        <v>3856</v>
      </c>
      <c r="B3858" s="16"/>
      <c r="C3858" s="19"/>
      <c r="D3858" s="10"/>
      <c r="E3858" s="10"/>
      <c r="F3858" s="47"/>
      <c r="G3858" s="10"/>
      <c r="H3858" s="20"/>
      <c r="I3858" s="20"/>
      <c r="J3858" s="10"/>
      <c r="K3858" s="10"/>
      <c r="L3858" s="10"/>
      <c r="M3858" s="10"/>
      <c r="N3858" s="10"/>
      <c r="O3858" s="21"/>
    </row>
    <row r="3859" spans="1:15" x14ac:dyDescent="0.35">
      <c r="A3859" s="15">
        <f t="shared" si="60"/>
        <v>3857</v>
      </c>
      <c r="B3859" s="16"/>
      <c r="C3859" s="19"/>
      <c r="D3859" s="10"/>
      <c r="E3859" s="10"/>
      <c r="F3859" s="47"/>
      <c r="G3859" s="10"/>
      <c r="H3859" s="20"/>
      <c r="I3859" s="20"/>
      <c r="J3859" s="10"/>
      <c r="K3859" s="10"/>
      <c r="L3859" s="10"/>
      <c r="M3859" s="10"/>
      <c r="N3859" s="10"/>
      <c r="O3859" s="21"/>
    </row>
    <row r="3860" spans="1:15" x14ac:dyDescent="0.35">
      <c r="A3860" s="15">
        <f t="shared" si="60"/>
        <v>3858</v>
      </c>
      <c r="B3860" s="16"/>
      <c r="C3860" s="19"/>
      <c r="D3860" s="10"/>
      <c r="E3860" s="10"/>
      <c r="F3860" s="47"/>
      <c r="G3860" s="10"/>
      <c r="H3860" s="20"/>
      <c r="I3860" s="20"/>
      <c r="J3860" s="10"/>
      <c r="K3860" s="10"/>
      <c r="L3860" s="10"/>
      <c r="M3860" s="10"/>
      <c r="N3860" s="10"/>
      <c r="O3860" s="21"/>
    </row>
    <row r="3861" spans="1:15" x14ac:dyDescent="0.35">
      <c r="A3861" s="15">
        <f t="shared" si="60"/>
        <v>3859</v>
      </c>
      <c r="B3861" s="16"/>
      <c r="C3861" s="19"/>
      <c r="D3861" s="10"/>
      <c r="E3861" s="10"/>
      <c r="F3861" s="47"/>
      <c r="G3861" s="10"/>
      <c r="H3861" s="20"/>
      <c r="I3861" s="20"/>
      <c r="J3861" s="10"/>
      <c r="K3861" s="10"/>
      <c r="L3861" s="10"/>
      <c r="M3861" s="10"/>
      <c r="N3861" s="10"/>
      <c r="O3861" s="21"/>
    </row>
    <row r="3862" spans="1:15" x14ac:dyDescent="0.35">
      <c r="A3862" s="15">
        <f t="shared" si="60"/>
        <v>3860</v>
      </c>
      <c r="B3862" s="16"/>
      <c r="C3862" s="19"/>
      <c r="D3862" s="10"/>
      <c r="E3862" s="10"/>
      <c r="F3862" s="47"/>
      <c r="G3862" s="10"/>
      <c r="H3862" s="20"/>
      <c r="I3862" s="20"/>
      <c r="J3862" s="10"/>
      <c r="K3862" s="10"/>
      <c r="L3862" s="10"/>
      <c r="M3862" s="10"/>
      <c r="N3862" s="10"/>
      <c r="O3862" s="21"/>
    </row>
    <row r="3863" spans="1:15" x14ac:dyDescent="0.35">
      <c r="A3863" s="15">
        <f t="shared" si="60"/>
        <v>3861</v>
      </c>
      <c r="B3863" s="16"/>
      <c r="C3863" s="19"/>
      <c r="D3863" s="10"/>
      <c r="E3863" s="10"/>
      <c r="F3863" s="47"/>
      <c r="G3863" s="10"/>
      <c r="H3863" s="20"/>
      <c r="I3863" s="20"/>
      <c r="J3863" s="10"/>
      <c r="K3863" s="10"/>
      <c r="L3863" s="10"/>
      <c r="M3863" s="10"/>
      <c r="N3863" s="10"/>
      <c r="O3863" s="21"/>
    </row>
    <row r="3864" spans="1:15" x14ac:dyDescent="0.35">
      <c r="A3864" s="15">
        <f t="shared" si="60"/>
        <v>3862</v>
      </c>
      <c r="B3864" s="16"/>
      <c r="C3864" s="19"/>
      <c r="D3864" s="10"/>
      <c r="E3864" s="10"/>
      <c r="F3864" s="47"/>
      <c r="G3864" s="10"/>
      <c r="H3864" s="20"/>
      <c r="I3864" s="20"/>
      <c r="J3864" s="10"/>
      <c r="K3864" s="10"/>
      <c r="L3864" s="10"/>
      <c r="M3864" s="10"/>
      <c r="N3864" s="10"/>
      <c r="O3864" s="21"/>
    </row>
    <row r="3865" spans="1:15" x14ac:dyDescent="0.35">
      <c r="A3865" s="15">
        <f t="shared" si="60"/>
        <v>3863</v>
      </c>
      <c r="B3865" s="16"/>
      <c r="C3865" s="19"/>
      <c r="D3865" s="10"/>
      <c r="E3865" s="10"/>
      <c r="F3865" s="47"/>
      <c r="G3865" s="10"/>
      <c r="H3865" s="20"/>
      <c r="I3865" s="20"/>
      <c r="J3865" s="10"/>
      <c r="K3865" s="10"/>
      <c r="L3865" s="10"/>
      <c r="M3865" s="10"/>
      <c r="N3865" s="10"/>
      <c r="O3865" s="21"/>
    </row>
    <row r="3866" spans="1:15" x14ac:dyDescent="0.35">
      <c r="A3866" s="15">
        <f t="shared" si="60"/>
        <v>3864</v>
      </c>
      <c r="B3866" s="16"/>
      <c r="C3866" s="19"/>
      <c r="D3866" s="10"/>
      <c r="E3866" s="10"/>
      <c r="F3866" s="47"/>
      <c r="G3866" s="10"/>
      <c r="H3866" s="20"/>
      <c r="I3866" s="20"/>
      <c r="J3866" s="10"/>
      <c r="K3866" s="10"/>
      <c r="L3866" s="10"/>
      <c r="M3866" s="10"/>
      <c r="N3866" s="10"/>
      <c r="O3866" s="21"/>
    </row>
    <row r="3867" spans="1:15" x14ac:dyDescent="0.35">
      <c r="A3867" s="15">
        <f t="shared" si="60"/>
        <v>3865</v>
      </c>
      <c r="B3867" s="16"/>
      <c r="C3867" s="19"/>
      <c r="D3867" s="10"/>
      <c r="E3867" s="10"/>
      <c r="F3867" s="47"/>
      <c r="G3867" s="10"/>
      <c r="H3867" s="20"/>
      <c r="I3867" s="20"/>
      <c r="J3867" s="10"/>
      <c r="K3867" s="10"/>
      <c r="L3867" s="10"/>
      <c r="M3867" s="10"/>
      <c r="N3867" s="10"/>
      <c r="O3867" s="21"/>
    </row>
    <row r="3868" spans="1:15" x14ac:dyDescent="0.35">
      <c r="A3868" s="15">
        <f t="shared" si="60"/>
        <v>3866</v>
      </c>
      <c r="B3868" s="16"/>
      <c r="C3868" s="19"/>
      <c r="D3868" s="10"/>
      <c r="E3868" s="10"/>
      <c r="F3868" s="47"/>
      <c r="G3868" s="10"/>
      <c r="H3868" s="20"/>
      <c r="I3868" s="20"/>
      <c r="J3868" s="10"/>
      <c r="K3868" s="10"/>
      <c r="L3868" s="10"/>
      <c r="M3868" s="10"/>
      <c r="N3868" s="10"/>
      <c r="O3868" s="21"/>
    </row>
    <row r="3869" spans="1:15" x14ac:dyDescent="0.35">
      <c r="A3869" s="15">
        <f t="shared" si="60"/>
        <v>3867</v>
      </c>
      <c r="B3869" s="16"/>
      <c r="C3869" s="19"/>
      <c r="D3869" s="10"/>
      <c r="E3869" s="10"/>
      <c r="F3869" s="47"/>
      <c r="G3869" s="10"/>
      <c r="H3869" s="20"/>
      <c r="I3869" s="20"/>
      <c r="J3869" s="10"/>
      <c r="K3869" s="10"/>
      <c r="L3869" s="10"/>
      <c r="M3869" s="10"/>
      <c r="N3869" s="10"/>
      <c r="O3869" s="21"/>
    </row>
    <row r="3870" spans="1:15" x14ac:dyDescent="0.35">
      <c r="A3870" s="15">
        <f t="shared" si="60"/>
        <v>3868</v>
      </c>
      <c r="B3870" s="16"/>
      <c r="C3870" s="19"/>
      <c r="D3870" s="10"/>
      <c r="E3870" s="10"/>
      <c r="F3870" s="47"/>
      <c r="G3870" s="10"/>
      <c r="H3870" s="20"/>
      <c r="I3870" s="20"/>
      <c r="J3870" s="10"/>
      <c r="K3870" s="10"/>
      <c r="L3870" s="10"/>
      <c r="M3870" s="10"/>
      <c r="N3870" s="10"/>
      <c r="O3870" s="21"/>
    </row>
    <row r="3871" spans="1:15" x14ac:dyDescent="0.35">
      <c r="A3871" s="15">
        <f t="shared" si="60"/>
        <v>3869</v>
      </c>
      <c r="B3871" s="16"/>
      <c r="C3871" s="19"/>
      <c r="D3871" s="10"/>
      <c r="E3871" s="10"/>
      <c r="F3871" s="47"/>
      <c r="G3871" s="10"/>
      <c r="H3871" s="20"/>
      <c r="I3871" s="20"/>
      <c r="J3871" s="10"/>
      <c r="K3871" s="10"/>
      <c r="L3871" s="10"/>
      <c r="M3871" s="10"/>
      <c r="N3871" s="10"/>
      <c r="O3871" s="21"/>
    </row>
    <row r="3872" spans="1:15" x14ac:dyDescent="0.35">
      <c r="A3872" s="15">
        <f t="shared" si="60"/>
        <v>3870</v>
      </c>
      <c r="B3872" s="16"/>
      <c r="C3872" s="19"/>
      <c r="D3872" s="10"/>
      <c r="E3872" s="10"/>
      <c r="F3872" s="47"/>
      <c r="G3872" s="10"/>
      <c r="H3872" s="20"/>
      <c r="I3872" s="20"/>
      <c r="J3872" s="10"/>
      <c r="K3872" s="10"/>
      <c r="L3872" s="10"/>
      <c r="M3872" s="10"/>
      <c r="N3872" s="10"/>
      <c r="O3872" s="21"/>
    </row>
    <row r="3873" spans="1:15" x14ac:dyDescent="0.35">
      <c r="A3873" s="15">
        <f t="shared" si="60"/>
        <v>3871</v>
      </c>
      <c r="B3873" s="16"/>
      <c r="C3873" s="19"/>
      <c r="D3873" s="10"/>
      <c r="E3873" s="10"/>
      <c r="F3873" s="47"/>
      <c r="G3873" s="10"/>
      <c r="H3873" s="20"/>
      <c r="I3873" s="20"/>
      <c r="J3873" s="10"/>
      <c r="K3873" s="10"/>
      <c r="L3873" s="10"/>
      <c r="M3873" s="10"/>
      <c r="N3873" s="10"/>
      <c r="O3873" s="21"/>
    </row>
    <row r="3874" spans="1:15" x14ac:dyDescent="0.35">
      <c r="A3874" s="15">
        <f t="shared" si="60"/>
        <v>3872</v>
      </c>
      <c r="B3874" s="16"/>
      <c r="C3874" s="19"/>
      <c r="D3874" s="10"/>
      <c r="E3874" s="10"/>
      <c r="F3874" s="47"/>
      <c r="G3874" s="10"/>
      <c r="H3874" s="20"/>
      <c r="I3874" s="20"/>
      <c r="J3874" s="10"/>
      <c r="K3874" s="10"/>
      <c r="L3874" s="10"/>
      <c r="M3874" s="10"/>
      <c r="N3874" s="10"/>
      <c r="O3874" s="21"/>
    </row>
    <row r="3875" spans="1:15" x14ac:dyDescent="0.35">
      <c r="A3875" s="15">
        <f t="shared" si="60"/>
        <v>3873</v>
      </c>
      <c r="B3875" s="16"/>
      <c r="C3875" s="19"/>
      <c r="D3875" s="10"/>
      <c r="E3875" s="10"/>
      <c r="F3875" s="47"/>
      <c r="G3875" s="10"/>
      <c r="H3875" s="20"/>
      <c r="I3875" s="20"/>
      <c r="J3875" s="10"/>
      <c r="K3875" s="10"/>
      <c r="L3875" s="10"/>
      <c r="M3875" s="10"/>
      <c r="N3875" s="10"/>
      <c r="O3875" s="21"/>
    </row>
    <row r="3876" spans="1:15" x14ac:dyDescent="0.35">
      <c r="A3876" s="15">
        <f t="shared" si="60"/>
        <v>3874</v>
      </c>
      <c r="B3876" s="16"/>
      <c r="C3876" s="19"/>
      <c r="D3876" s="10"/>
      <c r="E3876" s="10"/>
      <c r="F3876" s="47"/>
      <c r="G3876" s="10"/>
      <c r="H3876" s="20"/>
      <c r="I3876" s="20"/>
      <c r="J3876" s="10"/>
      <c r="K3876" s="10"/>
      <c r="L3876" s="10"/>
      <c r="M3876" s="10"/>
      <c r="N3876" s="10"/>
      <c r="O3876" s="21"/>
    </row>
    <row r="3877" spans="1:15" x14ac:dyDescent="0.35">
      <c r="A3877" s="15">
        <f t="shared" si="60"/>
        <v>3875</v>
      </c>
      <c r="B3877" s="16"/>
      <c r="C3877" s="19"/>
      <c r="D3877" s="10"/>
      <c r="E3877" s="10"/>
      <c r="F3877" s="47"/>
      <c r="G3877" s="10"/>
      <c r="H3877" s="20"/>
      <c r="I3877" s="20"/>
      <c r="J3877" s="10"/>
      <c r="K3877" s="10"/>
      <c r="L3877" s="10"/>
      <c r="M3877" s="10"/>
      <c r="N3877" s="10"/>
      <c r="O3877" s="21"/>
    </row>
    <row r="3878" spans="1:15" x14ac:dyDescent="0.35">
      <c r="A3878" s="15">
        <f t="shared" si="60"/>
        <v>3876</v>
      </c>
      <c r="B3878" s="16"/>
      <c r="C3878" s="19"/>
      <c r="D3878" s="10"/>
      <c r="E3878" s="10"/>
      <c r="F3878" s="47"/>
      <c r="G3878" s="10"/>
      <c r="H3878" s="20"/>
      <c r="I3878" s="20"/>
      <c r="J3878" s="10"/>
      <c r="K3878" s="10"/>
      <c r="L3878" s="10"/>
      <c r="M3878" s="10"/>
      <c r="N3878" s="10"/>
      <c r="O3878" s="21"/>
    </row>
    <row r="3879" spans="1:15" x14ac:dyDescent="0.35">
      <c r="A3879" s="15">
        <f t="shared" si="60"/>
        <v>3877</v>
      </c>
      <c r="B3879" s="16"/>
      <c r="C3879" s="19"/>
      <c r="D3879" s="10"/>
      <c r="E3879" s="10"/>
      <c r="F3879" s="47"/>
      <c r="G3879" s="10"/>
      <c r="H3879" s="20"/>
      <c r="I3879" s="20"/>
      <c r="J3879" s="10"/>
      <c r="K3879" s="10"/>
      <c r="L3879" s="10"/>
      <c r="M3879" s="10"/>
      <c r="N3879" s="10"/>
      <c r="O3879" s="21"/>
    </row>
    <row r="3880" spans="1:15" x14ac:dyDescent="0.35">
      <c r="A3880" s="15">
        <f t="shared" si="60"/>
        <v>3878</v>
      </c>
      <c r="B3880" s="16"/>
      <c r="C3880" s="19"/>
      <c r="D3880" s="10"/>
      <c r="E3880" s="10"/>
      <c r="F3880" s="47"/>
      <c r="G3880" s="10"/>
      <c r="H3880" s="20"/>
      <c r="I3880" s="20"/>
      <c r="J3880" s="10"/>
      <c r="K3880" s="10"/>
      <c r="L3880" s="10"/>
      <c r="M3880" s="10"/>
      <c r="N3880" s="10"/>
      <c r="O3880" s="21"/>
    </row>
    <row r="3881" spans="1:15" x14ac:dyDescent="0.35">
      <c r="A3881" s="15">
        <f t="shared" si="60"/>
        <v>3879</v>
      </c>
      <c r="B3881" s="16"/>
      <c r="C3881" s="19"/>
      <c r="D3881" s="10"/>
      <c r="E3881" s="10"/>
      <c r="F3881" s="47"/>
      <c r="G3881" s="10"/>
      <c r="H3881" s="20"/>
      <c r="I3881" s="20"/>
      <c r="J3881" s="10"/>
      <c r="K3881" s="10"/>
      <c r="L3881" s="10"/>
      <c r="M3881" s="10"/>
      <c r="N3881" s="10"/>
      <c r="O3881" s="21"/>
    </row>
    <row r="3882" spans="1:15" x14ac:dyDescent="0.35">
      <c r="A3882" s="15">
        <f t="shared" si="60"/>
        <v>3880</v>
      </c>
      <c r="B3882" s="16"/>
      <c r="C3882" s="19"/>
      <c r="D3882" s="10"/>
      <c r="E3882" s="10"/>
      <c r="F3882" s="47"/>
      <c r="G3882" s="10"/>
      <c r="H3882" s="20"/>
      <c r="I3882" s="20"/>
      <c r="J3882" s="10"/>
      <c r="K3882" s="10"/>
      <c r="L3882" s="10"/>
      <c r="M3882" s="10"/>
      <c r="N3882" s="10"/>
      <c r="O3882" s="21"/>
    </row>
    <row r="3883" spans="1:15" x14ac:dyDescent="0.35">
      <c r="A3883" s="15">
        <f t="shared" si="60"/>
        <v>3881</v>
      </c>
      <c r="B3883" s="16"/>
      <c r="C3883" s="19"/>
      <c r="D3883" s="10"/>
      <c r="E3883" s="10"/>
      <c r="F3883" s="47"/>
      <c r="G3883" s="10"/>
      <c r="H3883" s="20"/>
      <c r="I3883" s="20"/>
      <c r="J3883" s="10"/>
      <c r="K3883" s="10"/>
      <c r="L3883" s="10"/>
      <c r="M3883" s="10"/>
      <c r="N3883" s="10"/>
      <c r="O3883" s="21"/>
    </row>
    <row r="3884" spans="1:15" x14ac:dyDescent="0.35">
      <c r="A3884" s="15">
        <f t="shared" si="60"/>
        <v>3882</v>
      </c>
      <c r="B3884" s="16"/>
      <c r="C3884" s="19"/>
      <c r="D3884" s="10"/>
      <c r="E3884" s="10"/>
      <c r="F3884" s="47"/>
      <c r="G3884" s="10"/>
      <c r="H3884" s="20"/>
      <c r="I3884" s="20"/>
      <c r="J3884" s="10"/>
      <c r="K3884" s="10"/>
      <c r="L3884" s="10"/>
      <c r="M3884" s="10"/>
      <c r="N3884" s="10"/>
      <c r="O3884" s="21"/>
    </row>
    <row r="3885" spans="1:15" x14ac:dyDescent="0.35">
      <c r="A3885" s="15">
        <f t="shared" si="60"/>
        <v>3883</v>
      </c>
      <c r="B3885" s="16"/>
      <c r="C3885" s="19"/>
      <c r="D3885" s="10"/>
      <c r="E3885" s="10"/>
      <c r="F3885" s="47"/>
      <c r="G3885" s="10"/>
      <c r="H3885" s="20"/>
      <c r="I3885" s="20"/>
      <c r="J3885" s="10"/>
      <c r="K3885" s="10"/>
      <c r="L3885" s="10"/>
      <c r="M3885" s="10"/>
      <c r="N3885" s="10"/>
      <c r="O3885" s="21"/>
    </row>
    <row r="3886" spans="1:15" x14ac:dyDescent="0.35">
      <c r="A3886" s="15">
        <f t="shared" si="60"/>
        <v>3884</v>
      </c>
      <c r="B3886" s="16"/>
      <c r="C3886" s="19"/>
      <c r="D3886" s="10"/>
      <c r="E3886" s="10"/>
      <c r="F3886" s="47"/>
      <c r="G3886" s="10"/>
      <c r="H3886" s="20"/>
      <c r="I3886" s="20"/>
      <c r="J3886" s="10"/>
      <c r="K3886" s="10"/>
      <c r="L3886" s="10"/>
      <c r="M3886" s="10"/>
      <c r="N3886" s="10"/>
      <c r="O3886" s="21"/>
    </row>
    <row r="3887" spans="1:15" x14ac:dyDescent="0.35">
      <c r="A3887" s="15">
        <f t="shared" si="60"/>
        <v>3885</v>
      </c>
      <c r="B3887" s="16"/>
      <c r="C3887" s="19"/>
      <c r="D3887" s="10"/>
      <c r="E3887" s="10"/>
      <c r="F3887" s="47"/>
      <c r="G3887" s="10"/>
      <c r="H3887" s="20"/>
      <c r="I3887" s="20"/>
      <c r="J3887" s="10"/>
      <c r="K3887" s="10"/>
      <c r="L3887" s="10"/>
      <c r="M3887" s="10"/>
      <c r="N3887" s="10"/>
      <c r="O3887" s="21"/>
    </row>
    <row r="3888" spans="1:15" x14ac:dyDescent="0.35">
      <c r="A3888" s="15">
        <f t="shared" si="60"/>
        <v>3886</v>
      </c>
      <c r="B3888" s="16"/>
      <c r="C3888" s="19"/>
      <c r="D3888" s="10"/>
      <c r="E3888" s="10"/>
      <c r="F3888" s="47"/>
      <c r="G3888" s="10"/>
      <c r="H3888" s="20"/>
      <c r="I3888" s="20"/>
      <c r="J3888" s="10"/>
      <c r="K3888" s="10"/>
      <c r="L3888" s="10"/>
      <c r="M3888" s="10"/>
      <c r="N3888" s="10"/>
      <c r="O3888" s="21"/>
    </row>
    <row r="3889" spans="1:15" x14ac:dyDescent="0.35">
      <c r="A3889" s="15">
        <f t="shared" si="60"/>
        <v>3887</v>
      </c>
      <c r="B3889" s="16"/>
      <c r="C3889" s="19"/>
      <c r="D3889" s="10"/>
      <c r="E3889" s="10"/>
      <c r="F3889" s="47"/>
      <c r="G3889" s="10"/>
      <c r="H3889" s="20"/>
      <c r="I3889" s="20"/>
      <c r="J3889" s="10"/>
      <c r="K3889" s="10"/>
      <c r="L3889" s="10"/>
      <c r="M3889" s="10"/>
      <c r="N3889" s="10"/>
      <c r="O3889" s="21"/>
    </row>
    <row r="3890" spans="1:15" x14ac:dyDescent="0.35">
      <c r="A3890" s="15">
        <f t="shared" si="60"/>
        <v>3888</v>
      </c>
      <c r="B3890" s="16"/>
      <c r="C3890" s="19"/>
      <c r="D3890" s="10"/>
      <c r="E3890" s="10"/>
      <c r="F3890" s="47"/>
      <c r="G3890" s="10"/>
      <c r="H3890" s="20"/>
      <c r="I3890" s="20"/>
      <c r="J3890" s="10"/>
      <c r="K3890" s="10"/>
      <c r="L3890" s="10"/>
      <c r="M3890" s="10"/>
      <c r="N3890" s="10"/>
      <c r="O3890" s="21"/>
    </row>
    <row r="3891" spans="1:15" x14ac:dyDescent="0.35">
      <c r="A3891" s="15">
        <f t="shared" si="60"/>
        <v>3889</v>
      </c>
      <c r="B3891" s="16"/>
      <c r="C3891" s="19"/>
      <c r="D3891" s="10"/>
      <c r="E3891" s="10"/>
      <c r="F3891" s="47"/>
      <c r="G3891" s="10"/>
      <c r="H3891" s="20"/>
      <c r="I3891" s="20"/>
      <c r="J3891" s="10"/>
      <c r="K3891" s="10"/>
      <c r="L3891" s="10"/>
      <c r="M3891" s="10"/>
      <c r="N3891" s="10"/>
      <c r="O3891" s="21"/>
    </row>
    <row r="3892" spans="1:15" x14ac:dyDescent="0.35">
      <c r="A3892" s="15">
        <f t="shared" si="60"/>
        <v>3890</v>
      </c>
      <c r="B3892" s="16"/>
      <c r="C3892" s="19"/>
      <c r="D3892" s="10"/>
      <c r="E3892" s="10"/>
      <c r="F3892" s="47"/>
      <c r="G3892" s="10"/>
      <c r="H3892" s="20"/>
      <c r="I3892" s="20"/>
      <c r="J3892" s="10"/>
      <c r="K3892" s="10"/>
      <c r="L3892" s="10"/>
      <c r="M3892" s="10"/>
      <c r="N3892" s="10"/>
      <c r="O3892" s="21"/>
    </row>
    <row r="3893" spans="1:15" x14ac:dyDescent="0.35">
      <c r="A3893" s="15">
        <f t="shared" si="60"/>
        <v>3891</v>
      </c>
      <c r="B3893" s="16"/>
      <c r="C3893" s="19"/>
      <c r="D3893" s="10"/>
      <c r="E3893" s="10"/>
      <c r="F3893" s="47"/>
      <c r="G3893" s="10"/>
      <c r="H3893" s="20"/>
      <c r="I3893" s="20"/>
      <c r="J3893" s="10"/>
      <c r="K3893" s="10"/>
      <c r="L3893" s="10"/>
      <c r="M3893" s="10"/>
      <c r="N3893" s="10"/>
      <c r="O3893" s="21"/>
    </row>
    <row r="3894" spans="1:15" x14ac:dyDescent="0.35">
      <c r="A3894" s="15">
        <f t="shared" si="60"/>
        <v>3892</v>
      </c>
      <c r="B3894" s="16"/>
      <c r="C3894" s="19"/>
      <c r="D3894" s="10"/>
      <c r="E3894" s="10"/>
      <c r="F3894" s="47"/>
      <c r="G3894" s="10"/>
      <c r="H3894" s="20"/>
      <c r="I3894" s="20"/>
      <c r="J3894" s="10"/>
      <c r="K3894" s="10"/>
      <c r="L3894" s="10"/>
      <c r="M3894" s="10"/>
      <c r="N3894" s="10"/>
      <c r="O3894" s="21"/>
    </row>
    <row r="3895" spans="1:15" x14ac:dyDescent="0.35">
      <c r="A3895" s="15">
        <f t="shared" si="60"/>
        <v>3893</v>
      </c>
      <c r="B3895" s="16"/>
      <c r="C3895" s="19"/>
      <c r="D3895" s="10"/>
      <c r="E3895" s="10"/>
      <c r="F3895" s="47"/>
      <c r="G3895" s="10"/>
      <c r="H3895" s="20"/>
      <c r="I3895" s="20"/>
      <c r="J3895" s="10"/>
      <c r="K3895" s="10"/>
      <c r="L3895" s="10"/>
      <c r="M3895" s="10"/>
      <c r="N3895" s="10"/>
      <c r="O3895" s="21"/>
    </row>
    <row r="3896" spans="1:15" x14ac:dyDescent="0.35">
      <c r="A3896" s="15">
        <f t="shared" si="60"/>
        <v>3894</v>
      </c>
      <c r="B3896" s="16"/>
      <c r="C3896" s="19"/>
      <c r="D3896" s="10"/>
      <c r="E3896" s="10"/>
      <c r="F3896" s="47"/>
      <c r="G3896" s="10"/>
      <c r="H3896" s="20"/>
      <c r="I3896" s="20"/>
      <c r="J3896" s="10"/>
      <c r="K3896" s="10"/>
      <c r="L3896" s="10"/>
      <c r="M3896" s="10"/>
      <c r="N3896" s="10"/>
      <c r="O3896" s="21"/>
    </row>
    <row r="3897" spans="1:15" x14ac:dyDescent="0.35">
      <c r="A3897" s="15">
        <f t="shared" si="60"/>
        <v>3895</v>
      </c>
      <c r="B3897" s="16"/>
      <c r="C3897" s="19"/>
      <c r="D3897" s="10"/>
      <c r="E3897" s="10"/>
      <c r="F3897" s="47"/>
      <c r="G3897" s="10"/>
      <c r="H3897" s="20"/>
      <c r="I3897" s="20"/>
      <c r="J3897" s="10"/>
      <c r="K3897" s="10"/>
      <c r="L3897" s="10"/>
      <c r="M3897" s="10"/>
      <c r="N3897" s="10"/>
      <c r="O3897" s="21"/>
    </row>
    <row r="3898" spans="1:15" x14ac:dyDescent="0.35">
      <c r="A3898" s="15">
        <f t="shared" si="60"/>
        <v>3896</v>
      </c>
      <c r="B3898" s="16"/>
      <c r="C3898" s="19"/>
      <c r="D3898" s="10"/>
      <c r="E3898" s="10"/>
      <c r="F3898" s="47"/>
      <c r="G3898" s="10"/>
      <c r="H3898" s="20"/>
      <c r="I3898" s="20"/>
      <c r="J3898" s="10"/>
      <c r="K3898" s="10"/>
      <c r="L3898" s="10"/>
      <c r="M3898" s="10"/>
      <c r="N3898" s="10"/>
      <c r="O3898" s="21"/>
    </row>
    <row r="3899" spans="1:15" x14ac:dyDescent="0.35">
      <c r="A3899" s="15">
        <f t="shared" si="60"/>
        <v>3897</v>
      </c>
      <c r="B3899" s="16"/>
      <c r="C3899" s="19"/>
      <c r="D3899" s="10"/>
      <c r="E3899" s="10"/>
      <c r="F3899" s="47"/>
      <c r="G3899" s="10"/>
      <c r="H3899" s="20"/>
      <c r="I3899" s="20"/>
      <c r="J3899" s="10"/>
      <c r="K3899" s="10"/>
      <c r="L3899" s="10"/>
      <c r="M3899" s="10"/>
      <c r="N3899" s="10"/>
      <c r="O3899" s="21"/>
    </row>
    <row r="3900" spans="1:15" x14ac:dyDescent="0.35">
      <c r="A3900" s="15">
        <f t="shared" si="60"/>
        <v>3898</v>
      </c>
      <c r="B3900" s="16"/>
      <c r="C3900" s="19"/>
      <c r="D3900" s="10"/>
      <c r="E3900" s="10"/>
      <c r="F3900" s="47"/>
      <c r="G3900" s="10"/>
      <c r="H3900" s="20"/>
      <c r="I3900" s="20"/>
      <c r="J3900" s="10"/>
      <c r="K3900" s="10"/>
      <c r="L3900" s="10"/>
      <c r="M3900" s="10"/>
      <c r="N3900" s="10"/>
      <c r="O3900" s="21"/>
    </row>
    <row r="3901" spans="1:15" x14ac:dyDescent="0.35">
      <c r="A3901" s="15">
        <f t="shared" si="60"/>
        <v>3899</v>
      </c>
      <c r="B3901" s="16"/>
      <c r="C3901" s="19"/>
      <c r="D3901" s="10"/>
      <c r="E3901" s="10"/>
      <c r="F3901" s="47"/>
      <c r="G3901" s="10"/>
      <c r="H3901" s="20"/>
      <c r="I3901" s="20"/>
      <c r="J3901" s="10"/>
      <c r="K3901" s="10"/>
      <c r="L3901" s="10"/>
      <c r="M3901" s="10"/>
      <c r="N3901" s="10"/>
      <c r="O3901" s="21"/>
    </row>
    <row r="3902" spans="1:15" x14ac:dyDescent="0.35">
      <c r="A3902" s="15">
        <f t="shared" si="60"/>
        <v>3900</v>
      </c>
      <c r="B3902" s="16"/>
      <c r="C3902" s="19"/>
      <c r="D3902" s="10"/>
      <c r="E3902" s="10"/>
      <c r="F3902" s="47"/>
      <c r="G3902" s="10"/>
      <c r="H3902" s="20"/>
      <c r="I3902" s="20"/>
      <c r="J3902" s="10"/>
      <c r="K3902" s="10"/>
      <c r="L3902" s="10"/>
      <c r="M3902" s="10"/>
      <c r="N3902" s="10"/>
      <c r="O3902" s="21"/>
    </row>
    <row r="3903" spans="1:15" x14ac:dyDescent="0.35">
      <c r="A3903" s="15">
        <f t="shared" si="60"/>
        <v>3901</v>
      </c>
      <c r="B3903" s="16"/>
      <c r="C3903" s="19"/>
      <c r="D3903" s="10"/>
      <c r="E3903" s="10"/>
      <c r="F3903" s="47"/>
      <c r="G3903" s="10"/>
      <c r="H3903" s="20"/>
      <c r="I3903" s="20"/>
      <c r="J3903" s="10"/>
      <c r="K3903" s="10"/>
      <c r="L3903" s="10"/>
      <c r="M3903" s="10"/>
      <c r="N3903" s="10"/>
      <c r="O3903" s="21"/>
    </row>
    <row r="3904" spans="1:15" x14ac:dyDescent="0.35">
      <c r="A3904" s="15">
        <f t="shared" si="60"/>
        <v>3902</v>
      </c>
      <c r="B3904" s="16"/>
      <c r="C3904" s="19"/>
      <c r="D3904" s="10"/>
      <c r="E3904" s="10"/>
      <c r="F3904" s="47"/>
      <c r="G3904" s="10"/>
      <c r="H3904" s="20"/>
      <c r="I3904" s="20"/>
      <c r="J3904" s="10"/>
      <c r="K3904" s="10"/>
      <c r="L3904" s="10"/>
      <c r="M3904" s="10"/>
      <c r="N3904" s="10"/>
      <c r="O3904" s="21"/>
    </row>
    <row r="3905" spans="1:15" x14ac:dyDescent="0.35">
      <c r="A3905" s="15">
        <f t="shared" si="60"/>
        <v>3903</v>
      </c>
      <c r="B3905" s="16"/>
      <c r="C3905" s="19"/>
      <c r="D3905" s="10"/>
      <c r="E3905" s="10"/>
      <c r="F3905" s="47"/>
      <c r="G3905" s="10"/>
      <c r="H3905" s="20"/>
      <c r="I3905" s="20"/>
      <c r="J3905" s="10"/>
      <c r="K3905" s="10"/>
      <c r="L3905" s="10"/>
      <c r="M3905" s="10"/>
      <c r="N3905" s="10"/>
      <c r="O3905" s="21"/>
    </row>
    <row r="3906" spans="1:15" x14ac:dyDescent="0.35">
      <c r="A3906" s="15">
        <f t="shared" si="60"/>
        <v>3904</v>
      </c>
      <c r="B3906" s="16"/>
      <c r="C3906" s="19"/>
      <c r="D3906" s="10"/>
      <c r="E3906" s="10"/>
      <c r="F3906" s="47"/>
      <c r="G3906" s="10"/>
      <c r="H3906" s="20"/>
      <c r="I3906" s="20"/>
      <c r="J3906" s="10"/>
      <c r="K3906" s="10"/>
      <c r="L3906" s="10"/>
      <c r="M3906" s="10"/>
      <c r="N3906" s="10"/>
      <c r="O3906" s="21"/>
    </row>
    <row r="3907" spans="1:15" x14ac:dyDescent="0.35">
      <c r="A3907" s="15">
        <f t="shared" si="60"/>
        <v>3905</v>
      </c>
      <c r="B3907" s="16"/>
      <c r="C3907" s="19"/>
      <c r="D3907" s="10"/>
      <c r="E3907" s="10"/>
      <c r="F3907" s="47"/>
      <c r="G3907" s="10"/>
      <c r="H3907" s="20"/>
      <c r="I3907" s="20"/>
      <c r="J3907" s="10"/>
      <c r="K3907" s="10"/>
      <c r="L3907" s="10"/>
      <c r="M3907" s="10"/>
      <c r="N3907" s="10"/>
      <c r="O3907" s="21"/>
    </row>
    <row r="3908" spans="1:15" x14ac:dyDescent="0.35">
      <c r="A3908" s="15">
        <f t="shared" si="60"/>
        <v>3906</v>
      </c>
      <c r="B3908" s="16"/>
      <c r="C3908" s="19"/>
      <c r="D3908" s="10"/>
      <c r="E3908" s="10"/>
      <c r="F3908" s="47"/>
      <c r="G3908" s="10"/>
      <c r="H3908" s="20"/>
      <c r="I3908" s="20"/>
      <c r="J3908" s="10"/>
      <c r="K3908" s="10"/>
      <c r="L3908" s="10"/>
      <c r="M3908" s="10"/>
      <c r="N3908" s="10"/>
      <c r="O3908" s="21"/>
    </row>
    <row r="3909" spans="1:15" x14ac:dyDescent="0.35">
      <c r="A3909" s="15">
        <f t="shared" si="60"/>
        <v>3907</v>
      </c>
      <c r="B3909" s="16"/>
      <c r="C3909" s="19"/>
      <c r="D3909" s="10"/>
      <c r="E3909" s="10"/>
      <c r="F3909" s="47"/>
      <c r="G3909" s="10"/>
      <c r="H3909" s="20"/>
      <c r="I3909" s="20"/>
      <c r="J3909" s="10"/>
      <c r="K3909" s="10"/>
      <c r="L3909" s="10"/>
      <c r="M3909" s="10"/>
      <c r="N3909" s="10"/>
      <c r="O3909" s="21"/>
    </row>
    <row r="3910" spans="1:15" x14ac:dyDescent="0.35">
      <c r="A3910" s="15">
        <f t="shared" si="60"/>
        <v>3908</v>
      </c>
      <c r="B3910" s="16"/>
      <c r="C3910" s="19"/>
      <c r="D3910" s="10"/>
      <c r="E3910" s="10"/>
      <c r="F3910" s="47"/>
      <c r="G3910" s="10"/>
      <c r="H3910" s="20"/>
      <c r="I3910" s="20"/>
      <c r="J3910" s="10"/>
      <c r="K3910" s="10"/>
      <c r="L3910" s="10"/>
      <c r="M3910" s="10"/>
      <c r="N3910" s="10"/>
      <c r="O3910" s="21"/>
    </row>
    <row r="3911" spans="1:15" x14ac:dyDescent="0.35">
      <c r="A3911" s="15">
        <f t="shared" si="60"/>
        <v>3909</v>
      </c>
      <c r="B3911" s="16"/>
      <c r="C3911" s="19"/>
      <c r="D3911" s="10"/>
      <c r="E3911" s="10"/>
      <c r="F3911" s="47"/>
      <c r="G3911" s="10"/>
      <c r="H3911" s="20"/>
      <c r="I3911" s="20"/>
      <c r="J3911" s="10"/>
      <c r="K3911" s="10"/>
      <c r="L3911" s="10"/>
      <c r="M3911" s="10"/>
      <c r="N3911" s="10"/>
      <c r="O3911" s="21"/>
    </row>
    <row r="3912" spans="1:15" x14ac:dyDescent="0.35">
      <c r="A3912" s="15">
        <f t="shared" si="60"/>
        <v>3910</v>
      </c>
      <c r="B3912" s="16"/>
      <c r="C3912" s="19"/>
      <c r="D3912" s="10"/>
      <c r="E3912" s="10"/>
      <c r="F3912" s="47"/>
      <c r="G3912" s="10"/>
      <c r="H3912" s="20"/>
      <c r="I3912" s="20"/>
      <c r="J3912" s="10"/>
      <c r="K3912" s="10"/>
      <c r="L3912" s="10"/>
      <c r="M3912" s="10"/>
      <c r="N3912" s="10"/>
      <c r="O3912" s="21"/>
    </row>
    <row r="3913" spans="1:15" x14ac:dyDescent="0.35">
      <c r="A3913" s="15">
        <f t="shared" si="60"/>
        <v>3911</v>
      </c>
      <c r="B3913" s="16"/>
      <c r="C3913" s="19"/>
      <c r="D3913" s="10"/>
      <c r="E3913" s="10"/>
      <c r="F3913" s="47"/>
      <c r="G3913" s="10"/>
      <c r="H3913" s="20"/>
      <c r="I3913" s="20"/>
      <c r="J3913" s="10"/>
      <c r="K3913" s="10"/>
      <c r="L3913" s="10"/>
      <c r="M3913" s="10"/>
      <c r="N3913" s="10"/>
      <c r="O3913" s="21"/>
    </row>
    <row r="3914" spans="1:15" x14ac:dyDescent="0.35">
      <c r="A3914" s="15">
        <f t="shared" si="60"/>
        <v>3912</v>
      </c>
      <c r="B3914" s="16"/>
      <c r="C3914" s="19"/>
      <c r="D3914" s="10"/>
      <c r="E3914" s="10"/>
      <c r="F3914" s="47"/>
      <c r="G3914" s="10"/>
      <c r="H3914" s="20"/>
      <c r="I3914" s="20"/>
      <c r="J3914" s="10"/>
      <c r="K3914" s="10"/>
      <c r="L3914" s="10"/>
      <c r="M3914" s="10"/>
      <c r="N3914" s="10"/>
      <c r="O3914" s="21"/>
    </row>
    <row r="3915" spans="1:15" x14ac:dyDescent="0.35">
      <c r="A3915" s="15">
        <f t="shared" ref="A3915:A3978" si="61">+A3914+1</f>
        <v>3913</v>
      </c>
      <c r="B3915" s="16"/>
      <c r="C3915" s="19"/>
      <c r="D3915" s="10"/>
      <c r="E3915" s="10"/>
      <c r="F3915" s="47"/>
      <c r="G3915" s="10"/>
      <c r="H3915" s="20"/>
      <c r="I3915" s="20"/>
      <c r="J3915" s="10"/>
      <c r="K3915" s="10"/>
      <c r="L3915" s="10"/>
      <c r="M3915" s="10"/>
      <c r="N3915" s="10"/>
      <c r="O3915" s="21"/>
    </row>
    <row r="3916" spans="1:15" x14ac:dyDescent="0.35">
      <c r="A3916" s="15">
        <f t="shared" si="61"/>
        <v>3914</v>
      </c>
      <c r="B3916" s="16"/>
      <c r="C3916" s="19"/>
      <c r="D3916" s="10"/>
      <c r="E3916" s="10"/>
      <c r="F3916" s="47"/>
      <c r="G3916" s="10"/>
      <c r="H3916" s="20"/>
      <c r="I3916" s="20"/>
      <c r="J3916" s="10"/>
      <c r="K3916" s="10"/>
      <c r="L3916" s="10"/>
      <c r="M3916" s="10"/>
      <c r="N3916" s="10"/>
      <c r="O3916" s="21"/>
    </row>
    <row r="3917" spans="1:15" x14ac:dyDescent="0.35">
      <c r="A3917" s="15">
        <f t="shared" si="61"/>
        <v>3915</v>
      </c>
      <c r="B3917" s="16"/>
      <c r="C3917" s="19"/>
      <c r="D3917" s="10"/>
      <c r="E3917" s="10"/>
      <c r="F3917" s="47"/>
      <c r="G3917" s="10"/>
      <c r="H3917" s="20"/>
      <c r="I3917" s="20"/>
      <c r="J3917" s="10"/>
      <c r="K3917" s="10"/>
      <c r="L3917" s="10"/>
      <c r="M3917" s="10"/>
      <c r="N3917" s="10"/>
      <c r="O3917" s="21"/>
    </row>
    <row r="3918" spans="1:15" x14ac:dyDescent="0.35">
      <c r="A3918" s="15">
        <f t="shared" si="61"/>
        <v>3916</v>
      </c>
      <c r="B3918" s="16"/>
      <c r="C3918" s="19"/>
      <c r="D3918" s="10"/>
      <c r="E3918" s="10"/>
      <c r="F3918" s="47"/>
      <c r="G3918" s="10"/>
      <c r="H3918" s="20"/>
      <c r="I3918" s="20"/>
      <c r="J3918" s="10"/>
      <c r="K3918" s="10"/>
      <c r="L3918" s="10"/>
      <c r="M3918" s="10"/>
      <c r="N3918" s="10"/>
      <c r="O3918" s="21"/>
    </row>
    <row r="3919" spans="1:15" x14ac:dyDescent="0.35">
      <c r="A3919" s="15">
        <f t="shared" si="61"/>
        <v>3917</v>
      </c>
      <c r="B3919" s="16"/>
      <c r="C3919" s="19"/>
      <c r="D3919" s="10"/>
      <c r="E3919" s="10"/>
      <c r="F3919" s="47"/>
      <c r="G3919" s="10"/>
      <c r="H3919" s="20"/>
      <c r="I3919" s="20"/>
      <c r="J3919" s="10"/>
      <c r="K3919" s="10"/>
      <c r="L3919" s="10"/>
      <c r="M3919" s="10"/>
      <c r="N3919" s="10"/>
      <c r="O3919" s="21"/>
    </row>
    <row r="3920" spans="1:15" x14ac:dyDescent="0.35">
      <c r="A3920" s="15">
        <f t="shared" si="61"/>
        <v>3918</v>
      </c>
      <c r="B3920" s="16"/>
      <c r="C3920" s="19"/>
      <c r="D3920" s="10"/>
      <c r="E3920" s="10"/>
      <c r="F3920" s="47"/>
      <c r="G3920" s="10"/>
      <c r="H3920" s="20"/>
      <c r="I3920" s="20"/>
      <c r="J3920" s="10"/>
      <c r="K3920" s="10"/>
      <c r="L3920" s="10"/>
      <c r="M3920" s="10"/>
      <c r="N3920" s="10"/>
      <c r="O3920" s="21"/>
    </row>
    <row r="3921" spans="1:15" x14ac:dyDescent="0.35">
      <c r="A3921" s="15">
        <f t="shared" si="61"/>
        <v>3919</v>
      </c>
      <c r="B3921" s="16"/>
      <c r="C3921" s="19"/>
      <c r="D3921" s="10"/>
      <c r="E3921" s="10"/>
      <c r="F3921" s="47"/>
      <c r="G3921" s="10"/>
      <c r="H3921" s="20"/>
      <c r="I3921" s="20"/>
      <c r="J3921" s="10"/>
      <c r="K3921" s="10"/>
      <c r="L3921" s="10"/>
      <c r="M3921" s="10"/>
      <c r="N3921" s="10"/>
      <c r="O3921" s="21"/>
    </row>
    <row r="3922" spans="1:15" x14ac:dyDescent="0.35">
      <c r="A3922" s="15">
        <f t="shared" si="61"/>
        <v>3920</v>
      </c>
      <c r="B3922" s="16"/>
      <c r="C3922" s="19"/>
      <c r="D3922" s="10"/>
      <c r="E3922" s="10"/>
      <c r="F3922" s="47"/>
      <c r="G3922" s="10"/>
      <c r="H3922" s="20"/>
      <c r="I3922" s="20"/>
      <c r="J3922" s="10"/>
      <c r="K3922" s="10"/>
      <c r="L3922" s="10"/>
      <c r="M3922" s="10"/>
      <c r="N3922" s="10"/>
      <c r="O3922" s="21"/>
    </row>
    <row r="3923" spans="1:15" x14ac:dyDescent="0.35">
      <c r="A3923" s="15">
        <f t="shared" si="61"/>
        <v>3921</v>
      </c>
      <c r="B3923" s="16"/>
      <c r="C3923" s="19"/>
      <c r="D3923" s="10"/>
      <c r="E3923" s="10"/>
      <c r="F3923" s="47"/>
      <c r="G3923" s="10"/>
      <c r="H3923" s="20"/>
      <c r="I3923" s="20"/>
      <c r="J3923" s="10"/>
      <c r="K3923" s="10"/>
      <c r="L3923" s="10"/>
      <c r="M3923" s="10"/>
      <c r="N3923" s="10"/>
      <c r="O3923" s="21"/>
    </row>
    <row r="3924" spans="1:15" x14ac:dyDescent="0.35">
      <c r="A3924" s="15">
        <f t="shared" si="61"/>
        <v>3922</v>
      </c>
      <c r="B3924" s="16"/>
      <c r="C3924" s="19"/>
      <c r="D3924" s="10"/>
      <c r="E3924" s="10"/>
      <c r="F3924" s="47"/>
      <c r="G3924" s="10"/>
      <c r="H3924" s="20"/>
      <c r="I3924" s="20"/>
      <c r="J3924" s="10"/>
      <c r="K3924" s="10"/>
      <c r="L3924" s="10"/>
      <c r="M3924" s="10"/>
      <c r="N3924" s="10"/>
      <c r="O3924" s="21"/>
    </row>
    <row r="3925" spans="1:15" x14ac:dyDescent="0.35">
      <c r="A3925" s="15">
        <f t="shared" si="61"/>
        <v>3923</v>
      </c>
      <c r="B3925" s="16"/>
      <c r="C3925" s="19"/>
      <c r="D3925" s="10"/>
      <c r="E3925" s="10"/>
      <c r="F3925" s="47"/>
      <c r="G3925" s="10"/>
      <c r="H3925" s="20"/>
      <c r="I3925" s="20"/>
      <c r="J3925" s="10"/>
      <c r="K3925" s="10"/>
      <c r="L3925" s="10"/>
      <c r="M3925" s="10"/>
      <c r="N3925" s="10"/>
      <c r="O3925" s="21"/>
    </row>
    <row r="3926" spans="1:15" x14ac:dyDescent="0.35">
      <c r="A3926" s="15">
        <f t="shared" si="61"/>
        <v>3924</v>
      </c>
      <c r="B3926" s="16"/>
      <c r="C3926" s="19"/>
      <c r="D3926" s="10"/>
      <c r="E3926" s="10"/>
      <c r="F3926" s="47"/>
      <c r="G3926" s="10"/>
      <c r="H3926" s="20"/>
      <c r="I3926" s="20"/>
      <c r="J3926" s="10"/>
      <c r="K3926" s="10"/>
      <c r="L3926" s="10"/>
      <c r="M3926" s="10"/>
      <c r="N3926" s="10"/>
      <c r="O3926" s="21"/>
    </row>
    <row r="3927" spans="1:15" x14ac:dyDescent="0.35">
      <c r="A3927" s="15">
        <f t="shared" si="61"/>
        <v>3925</v>
      </c>
      <c r="B3927" s="16"/>
      <c r="C3927" s="19"/>
      <c r="D3927" s="10"/>
      <c r="E3927" s="10"/>
      <c r="F3927" s="47"/>
      <c r="G3927" s="10"/>
      <c r="H3927" s="20"/>
      <c r="I3927" s="20"/>
      <c r="J3927" s="10"/>
      <c r="K3927" s="10"/>
      <c r="L3927" s="10"/>
      <c r="M3927" s="10"/>
      <c r="N3927" s="10"/>
      <c r="O3927" s="21"/>
    </row>
    <row r="3928" spans="1:15" x14ac:dyDescent="0.35">
      <c r="A3928" s="15">
        <f t="shared" si="61"/>
        <v>3926</v>
      </c>
      <c r="B3928" s="16"/>
      <c r="C3928" s="19"/>
      <c r="D3928" s="10"/>
      <c r="E3928" s="10"/>
      <c r="F3928" s="47"/>
      <c r="G3928" s="10"/>
      <c r="H3928" s="20"/>
      <c r="I3928" s="20"/>
      <c r="J3928" s="10"/>
      <c r="K3928" s="10"/>
      <c r="L3928" s="10"/>
      <c r="M3928" s="10"/>
      <c r="N3928" s="10"/>
      <c r="O3928" s="21"/>
    </row>
    <row r="3929" spans="1:15" x14ac:dyDescent="0.35">
      <c r="A3929" s="15">
        <f t="shared" si="61"/>
        <v>3927</v>
      </c>
      <c r="B3929" s="16"/>
      <c r="C3929" s="19"/>
      <c r="D3929" s="10"/>
      <c r="E3929" s="10"/>
      <c r="F3929" s="47"/>
      <c r="G3929" s="10"/>
      <c r="H3929" s="20"/>
      <c r="I3929" s="20"/>
      <c r="J3929" s="10"/>
      <c r="K3929" s="10"/>
      <c r="L3929" s="10"/>
      <c r="M3929" s="10"/>
      <c r="N3929" s="10"/>
      <c r="O3929" s="21"/>
    </row>
    <row r="3930" spans="1:15" x14ac:dyDescent="0.35">
      <c r="A3930" s="15">
        <f t="shared" si="61"/>
        <v>3928</v>
      </c>
      <c r="B3930" s="16"/>
      <c r="C3930" s="19"/>
      <c r="D3930" s="10"/>
      <c r="E3930" s="10"/>
      <c r="F3930" s="47"/>
      <c r="G3930" s="10"/>
      <c r="H3930" s="20"/>
      <c r="I3930" s="20"/>
      <c r="J3930" s="10"/>
      <c r="K3930" s="10"/>
      <c r="L3930" s="10"/>
      <c r="M3930" s="10"/>
      <c r="N3930" s="10"/>
      <c r="O3930" s="21"/>
    </row>
    <row r="3931" spans="1:15" x14ac:dyDescent="0.35">
      <c r="A3931" s="15">
        <f t="shared" si="61"/>
        <v>3929</v>
      </c>
      <c r="B3931" s="16"/>
      <c r="C3931" s="19"/>
      <c r="D3931" s="10"/>
      <c r="E3931" s="10"/>
      <c r="F3931" s="47"/>
      <c r="G3931" s="10"/>
      <c r="H3931" s="20"/>
      <c r="I3931" s="20"/>
      <c r="J3931" s="10"/>
      <c r="K3931" s="10"/>
      <c r="L3931" s="10"/>
      <c r="M3931" s="10"/>
      <c r="N3931" s="10"/>
      <c r="O3931" s="21"/>
    </row>
    <row r="3932" spans="1:15" x14ac:dyDescent="0.35">
      <c r="A3932" s="15">
        <f t="shared" si="61"/>
        <v>3930</v>
      </c>
      <c r="B3932" s="16"/>
      <c r="C3932" s="19"/>
      <c r="D3932" s="10"/>
      <c r="E3932" s="10"/>
      <c r="F3932" s="47"/>
      <c r="G3932" s="10"/>
      <c r="H3932" s="20"/>
      <c r="I3932" s="20"/>
      <c r="J3932" s="10"/>
      <c r="K3932" s="10"/>
      <c r="L3932" s="10"/>
      <c r="M3932" s="10"/>
      <c r="N3932" s="10"/>
      <c r="O3932" s="21"/>
    </row>
    <row r="3933" spans="1:15" x14ac:dyDescent="0.35">
      <c r="A3933" s="15">
        <f t="shared" si="61"/>
        <v>3931</v>
      </c>
      <c r="B3933" s="16"/>
      <c r="C3933" s="19"/>
      <c r="D3933" s="10"/>
      <c r="E3933" s="10"/>
      <c r="F3933" s="47"/>
      <c r="G3933" s="10"/>
      <c r="H3933" s="20"/>
      <c r="I3933" s="20"/>
      <c r="J3933" s="10"/>
      <c r="K3933" s="10"/>
      <c r="L3933" s="10"/>
      <c r="M3933" s="10"/>
      <c r="N3933" s="10"/>
      <c r="O3933" s="21"/>
    </row>
    <row r="3934" spans="1:15" x14ac:dyDescent="0.35">
      <c r="A3934" s="15">
        <f t="shared" si="61"/>
        <v>3932</v>
      </c>
      <c r="B3934" s="16"/>
      <c r="C3934" s="19"/>
      <c r="D3934" s="10"/>
      <c r="E3934" s="10"/>
      <c r="F3934" s="47"/>
      <c r="G3934" s="10"/>
      <c r="H3934" s="20"/>
      <c r="I3934" s="20"/>
      <c r="J3934" s="10"/>
      <c r="K3934" s="10"/>
      <c r="L3934" s="10"/>
      <c r="M3934" s="10"/>
      <c r="N3934" s="10"/>
      <c r="O3934" s="21"/>
    </row>
    <row r="3935" spans="1:15" x14ac:dyDescent="0.35">
      <c r="A3935" s="15">
        <f t="shared" si="61"/>
        <v>3933</v>
      </c>
      <c r="B3935" s="16"/>
      <c r="C3935" s="19"/>
      <c r="D3935" s="10"/>
      <c r="E3935" s="10"/>
      <c r="F3935" s="47"/>
      <c r="G3935" s="10"/>
      <c r="H3935" s="20"/>
      <c r="I3935" s="20"/>
      <c r="J3935" s="10"/>
      <c r="K3935" s="10"/>
      <c r="L3935" s="10"/>
      <c r="M3935" s="10"/>
      <c r="N3935" s="10"/>
      <c r="O3935" s="21"/>
    </row>
    <row r="3936" spans="1:15" x14ac:dyDescent="0.35">
      <c r="A3936" s="15">
        <f t="shared" si="61"/>
        <v>3934</v>
      </c>
      <c r="B3936" s="16"/>
      <c r="C3936" s="19"/>
      <c r="D3936" s="10"/>
      <c r="E3936" s="10"/>
      <c r="F3936" s="47"/>
      <c r="G3936" s="10"/>
      <c r="H3936" s="20"/>
      <c r="I3936" s="20"/>
      <c r="J3936" s="10"/>
      <c r="K3936" s="10"/>
      <c r="L3936" s="10"/>
      <c r="M3936" s="10"/>
      <c r="N3936" s="10"/>
      <c r="O3936" s="21"/>
    </row>
    <row r="3937" spans="1:15" x14ac:dyDescent="0.35">
      <c r="A3937" s="15">
        <f t="shared" si="61"/>
        <v>3935</v>
      </c>
      <c r="B3937" s="16"/>
      <c r="C3937" s="19"/>
      <c r="D3937" s="10"/>
      <c r="E3937" s="10"/>
      <c r="F3937" s="47"/>
      <c r="G3937" s="10"/>
      <c r="H3937" s="20"/>
      <c r="I3937" s="20"/>
      <c r="J3937" s="10"/>
      <c r="K3937" s="10"/>
      <c r="L3937" s="10"/>
      <c r="M3937" s="10"/>
      <c r="N3937" s="10"/>
      <c r="O3937" s="21"/>
    </row>
    <row r="3938" spans="1:15" x14ac:dyDescent="0.35">
      <c r="A3938" s="15">
        <f t="shared" si="61"/>
        <v>3936</v>
      </c>
      <c r="B3938" s="16"/>
      <c r="C3938" s="19"/>
      <c r="D3938" s="10"/>
      <c r="E3938" s="10"/>
      <c r="F3938" s="47"/>
      <c r="G3938" s="10"/>
      <c r="H3938" s="20"/>
      <c r="I3938" s="20"/>
      <c r="J3938" s="10"/>
      <c r="K3938" s="10"/>
      <c r="L3938" s="10"/>
      <c r="M3938" s="10"/>
      <c r="N3938" s="10"/>
      <c r="O3938" s="21"/>
    </row>
    <row r="3939" spans="1:15" x14ac:dyDescent="0.35">
      <c r="A3939" s="15">
        <f t="shared" si="61"/>
        <v>3937</v>
      </c>
      <c r="B3939" s="16"/>
      <c r="C3939" s="19"/>
      <c r="D3939" s="10"/>
      <c r="E3939" s="10"/>
      <c r="F3939" s="47"/>
      <c r="G3939" s="10"/>
      <c r="H3939" s="20"/>
      <c r="I3939" s="20"/>
      <c r="J3939" s="10"/>
      <c r="K3939" s="10"/>
      <c r="L3939" s="10"/>
      <c r="M3939" s="10"/>
      <c r="N3939" s="10"/>
      <c r="O3939" s="21"/>
    </row>
    <row r="3940" spans="1:15" x14ac:dyDescent="0.35">
      <c r="A3940" s="15">
        <f t="shared" si="61"/>
        <v>3938</v>
      </c>
      <c r="B3940" s="16"/>
      <c r="C3940" s="19"/>
      <c r="D3940" s="10"/>
      <c r="E3940" s="10"/>
      <c r="F3940" s="47"/>
      <c r="G3940" s="10"/>
      <c r="H3940" s="20"/>
      <c r="I3940" s="20"/>
      <c r="J3940" s="10"/>
      <c r="K3940" s="10"/>
      <c r="L3940" s="10"/>
      <c r="M3940" s="10"/>
      <c r="N3940" s="10"/>
      <c r="O3940" s="21"/>
    </row>
    <row r="3941" spans="1:15" x14ac:dyDescent="0.35">
      <c r="A3941" s="15">
        <f t="shared" si="61"/>
        <v>3939</v>
      </c>
      <c r="B3941" s="16"/>
      <c r="C3941" s="19"/>
      <c r="D3941" s="10"/>
      <c r="E3941" s="10"/>
      <c r="F3941" s="47"/>
      <c r="G3941" s="10"/>
      <c r="H3941" s="20"/>
      <c r="I3941" s="20"/>
      <c r="J3941" s="10"/>
      <c r="K3941" s="10"/>
      <c r="L3941" s="10"/>
      <c r="M3941" s="10"/>
      <c r="N3941" s="10"/>
      <c r="O3941" s="21"/>
    </row>
    <row r="3942" spans="1:15" x14ac:dyDescent="0.35">
      <c r="A3942" s="15">
        <f t="shared" si="61"/>
        <v>3940</v>
      </c>
      <c r="B3942" s="16"/>
      <c r="C3942" s="19"/>
      <c r="D3942" s="10"/>
      <c r="E3942" s="10"/>
      <c r="F3942" s="47"/>
      <c r="G3942" s="10"/>
      <c r="H3942" s="20"/>
      <c r="I3942" s="20"/>
      <c r="J3942" s="10"/>
      <c r="K3942" s="10"/>
      <c r="L3942" s="10"/>
      <c r="M3942" s="10"/>
      <c r="N3942" s="10"/>
      <c r="O3942" s="21"/>
    </row>
    <row r="3943" spans="1:15" x14ac:dyDescent="0.35">
      <c r="A3943" s="15">
        <f t="shared" si="61"/>
        <v>3941</v>
      </c>
      <c r="B3943" s="16"/>
      <c r="C3943" s="19"/>
      <c r="D3943" s="10"/>
      <c r="E3943" s="10"/>
      <c r="F3943" s="47"/>
      <c r="G3943" s="10"/>
      <c r="H3943" s="20"/>
      <c r="I3943" s="20"/>
      <c r="J3943" s="10"/>
      <c r="K3943" s="10"/>
      <c r="L3943" s="10"/>
      <c r="M3943" s="10"/>
      <c r="N3943" s="10"/>
      <c r="O3943" s="21"/>
    </row>
    <row r="3944" spans="1:15" x14ac:dyDescent="0.35">
      <c r="A3944" s="15">
        <f t="shared" si="61"/>
        <v>3942</v>
      </c>
      <c r="B3944" s="16"/>
      <c r="C3944" s="19"/>
      <c r="D3944" s="10"/>
      <c r="E3944" s="10"/>
      <c r="F3944" s="47"/>
      <c r="G3944" s="10"/>
      <c r="H3944" s="20"/>
      <c r="I3944" s="20"/>
      <c r="J3944" s="10"/>
      <c r="K3944" s="10"/>
      <c r="L3944" s="10"/>
      <c r="M3944" s="10"/>
      <c r="N3944" s="10"/>
      <c r="O3944" s="21"/>
    </row>
    <row r="3945" spans="1:15" x14ac:dyDescent="0.35">
      <c r="A3945" s="15">
        <f t="shared" si="61"/>
        <v>3943</v>
      </c>
      <c r="B3945" s="16"/>
      <c r="C3945" s="19"/>
      <c r="D3945" s="10"/>
      <c r="E3945" s="10"/>
      <c r="F3945" s="47"/>
      <c r="G3945" s="10"/>
      <c r="H3945" s="20"/>
      <c r="I3945" s="20"/>
      <c r="J3945" s="10"/>
      <c r="K3945" s="10"/>
      <c r="L3945" s="10"/>
      <c r="M3945" s="10"/>
      <c r="N3945" s="10"/>
      <c r="O3945" s="21"/>
    </row>
    <row r="3946" spans="1:15" x14ac:dyDescent="0.35">
      <c r="A3946" s="15">
        <f t="shared" si="61"/>
        <v>3944</v>
      </c>
      <c r="B3946" s="16"/>
      <c r="C3946" s="19"/>
      <c r="D3946" s="10"/>
      <c r="E3946" s="10"/>
      <c r="F3946" s="47"/>
      <c r="G3946" s="10"/>
      <c r="H3946" s="20"/>
      <c r="I3946" s="20"/>
      <c r="J3946" s="10"/>
      <c r="K3946" s="10"/>
      <c r="L3946" s="10"/>
      <c r="M3946" s="10"/>
      <c r="N3946" s="10"/>
      <c r="O3946" s="21"/>
    </row>
    <row r="3947" spans="1:15" x14ac:dyDescent="0.35">
      <c r="A3947" s="15">
        <f t="shared" si="61"/>
        <v>3945</v>
      </c>
      <c r="B3947" s="16"/>
      <c r="C3947" s="19"/>
      <c r="D3947" s="10"/>
      <c r="E3947" s="10"/>
      <c r="F3947" s="47"/>
      <c r="G3947" s="10"/>
      <c r="H3947" s="20"/>
      <c r="I3947" s="20"/>
      <c r="J3947" s="10"/>
      <c r="K3947" s="10"/>
      <c r="L3947" s="10"/>
      <c r="M3947" s="10"/>
      <c r="N3947" s="10"/>
      <c r="O3947" s="21"/>
    </row>
    <row r="3948" spans="1:15" x14ac:dyDescent="0.35">
      <c r="A3948" s="15">
        <f t="shared" si="61"/>
        <v>3946</v>
      </c>
      <c r="B3948" s="16"/>
      <c r="C3948" s="19"/>
      <c r="D3948" s="10"/>
      <c r="E3948" s="10"/>
      <c r="F3948" s="47"/>
      <c r="G3948" s="10"/>
      <c r="H3948" s="20"/>
      <c r="I3948" s="20"/>
      <c r="J3948" s="10"/>
      <c r="K3948" s="10"/>
      <c r="L3948" s="10"/>
      <c r="M3948" s="10"/>
      <c r="N3948" s="10"/>
      <c r="O3948" s="21"/>
    </row>
    <row r="3949" spans="1:15" x14ac:dyDescent="0.35">
      <c r="A3949" s="15">
        <f t="shared" si="61"/>
        <v>3947</v>
      </c>
      <c r="B3949" s="16"/>
      <c r="C3949" s="19"/>
      <c r="D3949" s="10"/>
      <c r="E3949" s="10"/>
      <c r="F3949" s="47"/>
      <c r="G3949" s="10"/>
      <c r="H3949" s="20"/>
      <c r="I3949" s="20"/>
      <c r="J3949" s="10"/>
      <c r="K3949" s="10"/>
      <c r="L3949" s="10"/>
      <c r="M3949" s="10"/>
      <c r="N3949" s="10"/>
      <c r="O3949" s="21"/>
    </row>
    <row r="3950" spans="1:15" x14ac:dyDescent="0.35">
      <c r="A3950" s="15">
        <f t="shared" si="61"/>
        <v>3948</v>
      </c>
      <c r="B3950" s="16"/>
      <c r="C3950" s="19"/>
      <c r="D3950" s="10"/>
      <c r="E3950" s="10"/>
      <c r="F3950" s="47"/>
      <c r="G3950" s="10"/>
      <c r="H3950" s="20"/>
      <c r="I3950" s="20"/>
      <c r="J3950" s="10"/>
      <c r="K3950" s="10"/>
      <c r="L3950" s="10"/>
      <c r="M3950" s="10"/>
      <c r="N3950" s="10"/>
      <c r="O3950" s="21"/>
    </row>
    <row r="3951" spans="1:15" x14ac:dyDescent="0.35">
      <c r="A3951" s="15">
        <f t="shared" si="61"/>
        <v>3949</v>
      </c>
      <c r="B3951" s="16"/>
      <c r="C3951" s="19"/>
      <c r="D3951" s="10"/>
      <c r="E3951" s="10"/>
      <c r="F3951" s="47"/>
      <c r="G3951" s="10"/>
      <c r="H3951" s="20"/>
      <c r="I3951" s="20"/>
      <c r="J3951" s="10"/>
      <c r="K3951" s="10"/>
      <c r="L3951" s="10"/>
      <c r="M3951" s="10"/>
      <c r="N3951" s="10"/>
      <c r="O3951" s="21"/>
    </row>
    <row r="3952" spans="1:15" x14ac:dyDescent="0.35">
      <c r="A3952" s="15">
        <f t="shared" si="61"/>
        <v>3950</v>
      </c>
      <c r="B3952" s="16"/>
      <c r="C3952" s="19"/>
      <c r="D3952" s="10"/>
      <c r="E3952" s="10"/>
      <c r="F3952" s="47"/>
      <c r="G3952" s="10"/>
      <c r="H3952" s="20"/>
      <c r="I3952" s="20"/>
      <c r="J3952" s="10"/>
      <c r="K3952" s="10"/>
      <c r="L3952" s="10"/>
      <c r="M3952" s="10"/>
      <c r="N3952" s="10"/>
      <c r="O3952" s="21"/>
    </row>
    <row r="3953" spans="1:15" x14ac:dyDescent="0.35">
      <c r="A3953" s="15">
        <f t="shared" si="61"/>
        <v>3951</v>
      </c>
      <c r="B3953" s="16"/>
      <c r="C3953" s="19"/>
      <c r="D3953" s="10"/>
      <c r="E3953" s="10"/>
      <c r="F3953" s="47"/>
      <c r="G3953" s="10"/>
      <c r="H3953" s="20"/>
      <c r="I3953" s="20"/>
      <c r="J3953" s="10"/>
      <c r="K3953" s="10"/>
      <c r="L3953" s="10"/>
      <c r="M3953" s="10"/>
      <c r="N3953" s="10"/>
      <c r="O3953" s="21"/>
    </row>
    <row r="3954" spans="1:15" x14ac:dyDescent="0.35">
      <c r="A3954" s="15">
        <f t="shared" si="61"/>
        <v>3952</v>
      </c>
      <c r="B3954" s="16"/>
      <c r="C3954" s="19"/>
      <c r="D3954" s="10"/>
      <c r="E3954" s="10"/>
      <c r="F3954" s="47"/>
      <c r="G3954" s="10"/>
      <c r="H3954" s="20"/>
      <c r="I3954" s="20"/>
      <c r="J3954" s="10"/>
      <c r="K3954" s="10"/>
      <c r="L3954" s="10"/>
      <c r="M3954" s="10"/>
      <c r="N3954" s="10"/>
      <c r="O3954" s="21"/>
    </row>
    <row r="3955" spans="1:15" x14ac:dyDescent="0.35">
      <c r="A3955" s="15">
        <f t="shared" si="61"/>
        <v>3953</v>
      </c>
      <c r="B3955" s="16"/>
      <c r="C3955" s="19"/>
      <c r="D3955" s="10"/>
      <c r="E3955" s="10"/>
      <c r="F3955" s="47"/>
      <c r="G3955" s="10"/>
      <c r="H3955" s="20"/>
      <c r="I3955" s="20"/>
      <c r="J3955" s="10"/>
      <c r="K3955" s="10"/>
      <c r="L3955" s="10"/>
      <c r="M3955" s="10"/>
      <c r="N3955" s="10"/>
      <c r="O3955" s="21"/>
    </row>
    <row r="3956" spans="1:15" x14ac:dyDescent="0.35">
      <c r="A3956" s="15">
        <f t="shared" si="61"/>
        <v>3954</v>
      </c>
      <c r="B3956" s="16"/>
      <c r="C3956" s="19"/>
      <c r="D3956" s="10"/>
      <c r="E3956" s="10"/>
      <c r="F3956" s="47"/>
      <c r="G3956" s="10"/>
      <c r="H3956" s="20"/>
      <c r="I3956" s="20"/>
      <c r="J3956" s="10"/>
      <c r="K3956" s="10"/>
      <c r="L3956" s="10"/>
      <c r="M3956" s="10"/>
      <c r="N3956" s="10"/>
      <c r="O3956" s="21"/>
    </row>
    <row r="3957" spans="1:15" x14ac:dyDescent="0.35">
      <c r="A3957" s="15">
        <f t="shared" si="61"/>
        <v>3955</v>
      </c>
      <c r="B3957" s="16"/>
      <c r="C3957" s="19"/>
      <c r="D3957" s="10"/>
      <c r="E3957" s="10"/>
      <c r="F3957" s="47"/>
      <c r="G3957" s="10"/>
      <c r="H3957" s="20"/>
      <c r="I3957" s="20"/>
      <c r="J3957" s="10"/>
      <c r="K3957" s="10"/>
      <c r="L3957" s="10"/>
      <c r="M3957" s="10"/>
      <c r="N3957" s="10"/>
      <c r="O3957" s="21"/>
    </row>
    <row r="3958" spans="1:15" x14ac:dyDescent="0.35">
      <c r="A3958" s="15">
        <f t="shared" si="61"/>
        <v>3956</v>
      </c>
      <c r="B3958" s="16"/>
      <c r="C3958" s="19"/>
      <c r="D3958" s="10"/>
      <c r="E3958" s="10"/>
      <c r="F3958" s="47"/>
      <c r="G3958" s="10"/>
      <c r="H3958" s="20"/>
      <c r="I3958" s="20"/>
      <c r="J3958" s="10"/>
      <c r="K3958" s="10"/>
      <c r="L3958" s="10"/>
      <c r="M3958" s="10"/>
      <c r="N3958" s="10"/>
      <c r="O3958" s="21"/>
    </row>
    <row r="3959" spans="1:15" x14ac:dyDescent="0.35">
      <c r="A3959" s="15">
        <f t="shared" si="61"/>
        <v>3957</v>
      </c>
      <c r="B3959" s="16"/>
      <c r="C3959" s="19"/>
      <c r="D3959" s="10"/>
      <c r="E3959" s="10"/>
      <c r="F3959" s="47"/>
      <c r="G3959" s="10"/>
      <c r="H3959" s="20"/>
      <c r="I3959" s="20"/>
      <c r="J3959" s="10"/>
      <c r="K3959" s="10"/>
      <c r="L3959" s="10"/>
      <c r="M3959" s="10"/>
      <c r="N3959" s="10"/>
      <c r="O3959" s="21"/>
    </row>
    <row r="3960" spans="1:15" x14ac:dyDescent="0.35">
      <c r="A3960" s="15">
        <f t="shared" si="61"/>
        <v>3958</v>
      </c>
      <c r="B3960" s="16"/>
      <c r="C3960" s="19"/>
      <c r="D3960" s="10"/>
      <c r="E3960" s="10"/>
      <c r="F3960" s="47"/>
      <c r="G3960" s="10"/>
      <c r="H3960" s="20"/>
      <c r="I3960" s="20"/>
      <c r="J3960" s="10"/>
      <c r="K3960" s="10"/>
      <c r="L3960" s="10"/>
      <c r="M3960" s="10"/>
      <c r="N3960" s="10"/>
      <c r="O3960" s="21"/>
    </row>
    <row r="3961" spans="1:15" x14ac:dyDescent="0.35">
      <c r="A3961" s="15">
        <f t="shared" si="61"/>
        <v>3959</v>
      </c>
      <c r="B3961" s="16"/>
      <c r="C3961" s="19"/>
      <c r="D3961" s="10"/>
      <c r="E3961" s="10"/>
      <c r="F3961" s="47"/>
      <c r="G3961" s="10"/>
      <c r="H3961" s="20"/>
      <c r="I3961" s="20"/>
      <c r="J3961" s="10"/>
      <c r="K3961" s="10"/>
      <c r="L3961" s="10"/>
      <c r="M3961" s="10"/>
      <c r="N3961" s="10"/>
      <c r="O3961" s="21"/>
    </row>
    <row r="3962" spans="1:15" x14ac:dyDescent="0.35">
      <c r="A3962" s="15">
        <f t="shared" si="61"/>
        <v>3960</v>
      </c>
      <c r="B3962" s="16"/>
      <c r="C3962" s="19"/>
      <c r="D3962" s="10"/>
      <c r="E3962" s="10"/>
      <c r="F3962" s="47"/>
      <c r="G3962" s="10"/>
      <c r="H3962" s="20"/>
      <c r="I3962" s="20"/>
      <c r="J3962" s="10"/>
      <c r="K3962" s="10"/>
      <c r="L3962" s="10"/>
      <c r="M3962" s="10"/>
      <c r="N3962" s="10"/>
      <c r="O3962" s="21"/>
    </row>
    <row r="3963" spans="1:15" x14ac:dyDescent="0.35">
      <c r="A3963" s="15">
        <f t="shared" si="61"/>
        <v>3961</v>
      </c>
      <c r="B3963" s="16"/>
      <c r="C3963" s="19"/>
      <c r="D3963" s="10"/>
      <c r="E3963" s="10"/>
      <c r="F3963" s="47"/>
      <c r="G3963" s="10"/>
      <c r="H3963" s="20"/>
      <c r="I3963" s="20"/>
      <c r="J3963" s="10"/>
      <c r="K3963" s="10"/>
      <c r="L3963" s="10"/>
      <c r="M3963" s="10"/>
      <c r="N3963" s="10"/>
      <c r="O3963" s="21"/>
    </row>
    <row r="3964" spans="1:15" x14ac:dyDescent="0.35">
      <c r="A3964" s="15">
        <f t="shared" si="61"/>
        <v>3962</v>
      </c>
      <c r="B3964" s="16"/>
      <c r="C3964" s="19"/>
      <c r="D3964" s="10"/>
      <c r="E3964" s="10"/>
      <c r="F3964" s="47"/>
      <c r="G3964" s="10"/>
      <c r="H3964" s="20"/>
      <c r="I3964" s="20"/>
      <c r="J3964" s="10"/>
      <c r="K3964" s="10"/>
      <c r="L3964" s="10"/>
      <c r="M3964" s="10"/>
      <c r="N3964" s="10"/>
      <c r="O3964" s="21"/>
    </row>
    <row r="3965" spans="1:15" x14ac:dyDescent="0.35">
      <c r="A3965" s="15">
        <f t="shared" si="61"/>
        <v>3963</v>
      </c>
      <c r="B3965" s="16"/>
      <c r="C3965" s="19"/>
      <c r="D3965" s="10"/>
      <c r="E3965" s="10"/>
      <c r="F3965" s="47"/>
      <c r="G3965" s="10"/>
      <c r="H3965" s="20"/>
      <c r="I3965" s="20"/>
      <c r="J3965" s="10"/>
      <c r="K3965" s="10"/>
      <c r="L3965" s="10"/>
      <c r="M3965" s="10"/>
      <c r="N3965" s="10"/>
      <c r="O3965" s="21"/>
    </row>
    <row r="3966" spans="1:15" x14ac:dyDescent="0.35">
      <c r="A3966" s="15">
        <f t="shared" si="61"/>
        <v>3964</v>
      </c>
      <c r="B3966" s="16"/>
      <c r="C3966" s="19"/>
      <c r="D3966" s="10"/>
      <c r="E3966" s="10"/>
      <c r="F3966" s="47"/>
      <c r="G3966" s="10"/>
      <c r="H3966" s="20"/>
      <c r="I3966" s="20"/>
      <c r="J3966" s="10"/>
      <c r="K3966" s="10"/>
      <c r="L3966" s="10"/>
      <c r="M3966" s="10"/>
      <c r="N3966" s="10"/>
      <c r="O3966" s="21"/>
    </row>
    <row r="3967" spans="1:15" x14ac:dyDescent="0.35">
      <c r="A3967" s="15">
        <f t="shared" si="61"/>
        <v>3965</v>
      </c>
      <c r="B3967" s="16"/>
      <c r="C3967" s="19"/>
      <c r="D3967" s="10"/>
      <c r="E3967" s="10"/>
      <c r="F3967" s="47"/>
      <c r="G3967" s="10"/>
      <c r="H3967" s="20"/>
      <c r="I3967" s="20"/>
      <c r="J3967" s="10"/>
      <c r="K3967" s="10"/>
      <c r="L3967" s="10"/>
      <c r="M3967" s="10"/>
      <c r="N3967" s="10"/>
      <c r="O3967" s="21"/>
    </row>
    <row r="3968" spans="1:15" x14ac:dyDescent="0.35">
      <c r="A3968" s="15">
        <f t="shared" si="61"/>
        <v>3966</v>
      </c>
      <c r="B3968" s="16"/>
      <c r="C3968" s="19"/>
      <c r="D3968" s="10"/>
      <c r="E3968" s="10"/>
      <c r="F3968" s="47"/>
      <c r="G3968" s="10"/>
      <c r="H3968" s="20"/>
      <c r="I3968" s="20"/>
      <c r="J3968" s="10"/>
      <c r="K3968" s="10"/>
      <c r="L3968" s="10"/>
      <c r="M3968" s="10"/>
      <c r="N3968" s="10"/>
      <c r="O3968" s="21"/>
    </row>
    <row r="3969" spans="1:15" x14ac:dyDescent="0.35">
      <c r="A3969" s="15">
        <f t="shared" si="61"/>
        <v>3967</v>
      </c>
      <c r="B3969" s="16"/>
      <c r="C3969" s="19"/>
      <c r="D3969" s="10"/>
      <c r="E3969" s="10"/>
      <c r="F3969" s="47"/>
      <c r="G3969" s="10"/>
      <c r="H3969" s="20"/>
      <c r="I3969" s="20"/>
      <c r="J3969" s="10"/>
      <c r="K3969" s="10"/>
      <c r="L3969" s="10"/>
      <c r="M3969" s="10"/>
      <c r="N3969" s="10"/>
      <c r="O3969" s="21"/>
    </row>
    <row r="3970" spans="1:15" x14ac:dyDescent="0.35">
      <c r="A3970" s="15">
        <f t="shared" si="61"/>
        <v>3968</v>
      </c>
      <c r="B3970" s="16"/>
      <c r="C3970" s="19"/>
      <c r="D3970" s="10"/>
      <c r="E3970" s="10"/>
      <c r="F3970" s="47"/>
      <c r="G3970" s="10"/>
      <c r="H3970" s="20"/>
      <c r="I3970" s="20"/>
      <c r="J3970" s="10"/>
      <c r="K3970" s="10"/>
      <c r="L3970" s="10"/>
      <c r="M3970" s="10"/>
      <c r="N3970" s="10"/>
      <c r="O3970" s="21"/>
    </row>
    <row r="3971" spans="1:15" x14ac:dyDescent="0.35">
      <c r="A3971" s="15">
        <f t="shared" si="61"/>
        <v>3969</v>
      </c>
      <c r="B3971" s="16"/>
      <c r="C3971" s="19"/>
      <c r="D3971" s="10"/>
      <c r="E3971" s="10"/>
      <c r="F3971" s="47"/>
      <c r="G3971" s="10"/>
      <c r="H3971" s="20"/>
      <c r="I3971" s="20"/>
      <c r="J3971" s="10"/>
      <c r="K3971" s="10"/>
      <c r="L3971" s="10"/>
      <c r="M3971" s="10"/>
      <c r="N3971" s="10"/>
      <c r="O3971" s="21"/>
    </row>
    <row r="3972" spans="1:15" x14ac:dyDescent="0.35">
      <c r="A3972" s="15">
        <f t="shared" si="61"/>
        <v>3970</v>
      </c>
      <c r="B3972" s="16"/>
      <c r="C3972" s="19"/>
      <c r="D3972" s="10"/>
      <c r="E3972" s="10"/>
      <c r="F3972" s="47"/>
      <c r="G3972" s="10"/>
      <c r="H3972" s="20"/>
      <c r="I3972" s="20"/>
      <c r="J3972" s="10"/>
      <c r="K3972" s="10"/>
      <c r="L3972" s="10"/>
      <c r="M3972" s="10"/>
      <c r="N3972" s="10"/>
      <c r="O3972" s="21"/>
    </row>
    <row r="3973" spans="1:15" x14ac:dyDescent="0.35">
      <c r="A3973" s="15">
        <f t="shared" si="61"/>
        <v>3971</v>
      </c>
      <c r="B3973" s="16"/>
      <c r="C3973" s="19"/>
      <c r="D3973" s="10"/>
      <c r="E3973" s="10"/>
      <c r="F3973" s="47"/>
      <c r="G3973" s="10"/>
      <c r="H3973" s="20"/>
      <c r="I3973" s="20"/>
      <c r="J3973" s="10"/>
      <c r="K3973" s="10"/>
      <c r="L3973" s="10"/>
      <c r="M3973" s="10"/>
      <c r="N3973" s="10"/>
      <c r="O3973" s="21"/>
    </row>
    <row r="3974" spans="1:15" x14ac:dyDescent="0.35">
      <c r="A3974" s="15">
        <f t="shared" si="61"/>
        <v>3972</v>
      </c>
      <c r="B3974" s="16"/>
      <c r="C3974" s="19"/>
      <c r="D3974" s="10"/>
      <c r="E3974" s="10"/>
      <c r="F3974" s="47"/>
      <c r="G3974" s="10"/>
      <c r="H3974" s="20"/>
      <c r="I3974" s="20"/>
      <c r="J3974" s="10"/>
      <c r="K3974" s="10"/>
      <c r="L3974" s="10"/>
      <c r="M3974" s="10"/>
      <c r="N3974" s="10"/>
      <c r="O3974" s="21"/>
    </row>
    <row r="3975" spans="1:15" x14ac:dyDescent="0.35">
      <c r="A3975" s="15">
        <f t="shared" si="61"/>
        <v>3973</v>
      </c>
      <c r="B3975" s="16"/>
      <c r="C3975" s="19"/>
      <c r="D3975" s="10"/>
      <c r="E3975" s="10"/>
      <c r="F3975" s="47"/>
      <c r="G3975" s="10"/>
      <c r="H3975" s="20"/>
      <c r="I3975" s="20"/>
      <c r="J3975" s="10"/>
      <c r="K3975" s="10"/>
      <c r="L3975" s="10"/>
      <c r="M3975" s="10"/>
      <c r="N3975" s="10"/>
      <c r="O3975" s="21"/>
    </row>
    <row r="3976" spans="1:15" x14ac:dyDescent="0.35">
      <c r="A3976" s="15">
        <f t="shared" si="61"/>
        <v>3974</v>
      </c>
      <c r="B3976" s="16"/>
      <c r="C3976" s="19"/>
      <c r="D3976" s="10"/>
      <c r="E3976" s="10"/>
      <c r="F3976" s="47"/>
      <c r="G3976" s="10"/>
      <c r="H3976" s="20"/>
      <c r="I3976" s="20"/>
      <c r="J3976" s="10"/>
      <c r="K3976" s="10"/>
      <c r="L3976" s="10"/>
      <c r="M3976" s="10"/>
      <c r="N3976" s="10"/>
      <c r="O3976" s="21"/>
    </row>
    <row r="3977" spans="1:15" x14ac:dyDescent="0.35">
      <c r="A3977" s="15">
        <f t="shared" si="61"/>
        <v>3975</v>
      </c>
      <c r="B3977" s="16"/>
      <c r="C3977" s="19"/>
      <c r="D3977" s="10"/>
      <c r="E3977" s="10"/>
      <c r="F3977" s="47"/>
      <c r="G3977" s="10"/>
      <c r="H3977" s="20"/>
      <c r="I3977" s="20"/>
      <c r="J3977" s="10"/>
      <c r="K3977" s="10"/>
      <c r="L3977" s="10"/>
      <c r="M3977" s="10"/>
      <c r="N3977" s="10"/>
      <c r="O3977" s="21"/>
    </row>
    <row r="3978" spans="1:15" x14ac:dyDescent="0.35">
      <c r="A3978" s="15">
        <f t="shared" si="61"/>
        <v>3976</v>
      </c>
      <c r="B3978" s="16"/>
      <c r="C3978" s="19"/>
      <c r="D3978" s="10"/>
      <c r="E3978" s="10"/>
      <c r="F3978" s="47"/>
      <c r="G3978" s="10"/>
      <c r="H3978" s="20"/>
      <c r="I3978" s="20"/>
      <c r="J3978" s="10"/>
      <c r="K3978" s="10"/>
      <c r="L3978" s="10"/>
      <c r="M3978" s="10"/>
      <c r="N3978" s="10"/>
      <c r="O3978" s="21"/>
    </row>
    <row r="3979" spans="1:15" x14ac:dyDescent="0.35">
      <c r="A3979" s="15">
        <f t="shared" ref="A3979:A4042" si="62">+A3978+1</f>
        <v>3977</v>
      </c>
      <c r="B3979" s="16"/>
      <c r="C3979" s="19"/>
      <c r="D3979" s="10"/>
      <c r="E3979" s="10"/>
      <c r="F3979" s="47"/>
      <c r="G3979" s="10"/>
      <c r="H3979" s="20"/>
      <c r="I3979" s="20"/>
      <c r="J3979" s="10"/>
      <c r="K3979" s="10"/>
      <c r="L3979" s="10"/>
      <c r="M3979" s="10"/>
      <c r="N3979" s="10"/>
      <c r="O3979" s="21"/>
    </row>
    <row r="3980" spans="1:15" x14ac:dyDescent="0.35">
      <c r="A3980" s="15">
        <f t="shared" si="62"/>
        <v>3978</v>
      </c>
      <c r="B3980" s="16"/>
      <c r="C3980" s="19"/>
      <c r="D3980" s="10"/>
      <c r="E3980" s="10"/>
      <c r="F3980" s="47"/>
      <c r="G3980" s="10"/>
      <c r="H3980" s="20"/>
      <c r="I3980" s="20"/>
      <c r="J3980" s="10"/>
      <c r="K3980" s="10"/>
      <c r="L3980" s="10"/>
      <c r="M3980" s="10"/>
      <c r="N3980" s="10"/>
      <c r="O3980" s="21"/>
    </row>
    <row r="3981" spans="1:15" x14ac:dyDescent="0.35">
      <c r="A3981" s="15">
        <f t="shared" si="62"/>
        <v>3979</v>
      </c>
      <c r="B3981" s="16"/>
      <c r="C3981" s="19"/>
      <c r="D3981" s="10"/>
      <c r="E3981" s="10"/>
      <c r="F3981" s="47"/>
      <c r="G3981" s="10"/>
      <c r="H3981" s="20"/>
      <c r="I3981" s="20"/>
      <c r="J3981" s="10"/>
      <c r="K3981" s="10"/>
      <c r="L3981" s="10"/>
      <c r="M3981" s="10"/>
      <c r="N3981" s="10"/>
      <c r="O3981" s="21"/>
    </row>
    <row r="3982" spans="1:15" x14ac:dyDescent="0.35">
      <c r="A3982" s="15">
        <f t="shared" si="62"/>
        <v>3980</v>
      </c>
      <c r="B3982" s="16"/>
      <c r="C3982" s="19"/>
      <c r="D3982" s="10"/>
      <c r="E3982" s="10"/>
      <c r="F3982" s="47"/>
      <c r="G3982" s="10"/>
      <c r="H3982" s="20"/>
      <c r="I3982" s="20"/>
      <c r="J3982" s="10"/>
      <c r="K3982" s="10"/>
      <c r="L3982" s="10"/>
      <c r="M3982" s="10"/>
      <c r="N3982" s="10"/>
      <c r="O3982" s="21"/>
    </row>
    <row r="3983" spans="1:15" x14ac:dyDescent="0.35">
      <c r="A3983" s="15">
        <f t="shared" si="62"/>
        <v>3981</v>
      </c>
      <c r="B3983" s="16"/>
      <c r="C3983" s="19"/>
      <c r="D3983" s="10"/>
      <c r="E3983" s="10"/>
      <c r="F3983" s="47"/>
      <c r="G3983" s="10"/>
      <c r="H3983" s="20"/>
      <c r="I3983" s="20"/>
      <c r="J3983" s="10"/>
      <c r="K3983" s="10"/>
      <c r="L3983" s="10"/>
      <c r="M3983" s="10"/>
      <c r="N3983" s="10"/>
      <c r="O3983" s="21"/>
    </row>
    <row r="3984" spans="1:15" x14ac:dyDescent="0.35">
      <c r="A3984" s="15">
        <f t="shared" si="62"/>
        <v>3982</v>
      </c>
      <c r="B3984" s="16"/>
      <c r="C3984" s="19"/>
      <c r="D3984" s="10"/>
      <c r="E3984" s="10"/>
      <c r="F3984" s="47"/>
      <c r="G3984" s="10"/>
      <c r="H3984" s="20"/>
      <c r="I3984" s="20"/>
      <c r="J3984" s="10"/>
      <c r="K3984" s="10"/>
      <c r="L3984" s="10"/>
      <c r="M3984" s="10"/>
      <c r="N3984" s="10"/>
      <c r="O3984" s="21"/>
    </row>
    <row r="3985" spans="1:15" x14ac:dyDescent="0.35">
      <c r="A3985" s="15">
        <f t="shared" si="62"/>
        <v>3983</v>
      </c>
      <c r="B3985" s="16"/>
      <c r="C3985" s="19"/>
      <c r="D3985" s="10"/>
      <c r="E3985" s="10"/>
      <c r="F3985" s="47"/>
      <c r="G3985" s="10"/>
      <c r="H3985" s="20"/>
      <c r="I3985" s="20"/>
      <c r="J3985" s="10"/>
      <c r="K3985" s="10"/>
      <c r="L3985" s="10"/>
      <c r="M3985" s="10"/>
      <c r="N3985" s="10"/>
      <c r="O3985" s="21"/>
    </row>
    <row r="3986" spans="1:15" x14ac:dyDescent="0.35">
      <c r="A3986" s="15">
        <f t="shared" si="62"/>
        <v>3984</v>
      </c>
      <c r="B3986" s="16"/>
      <c r="C3986" s="19"/>
      <c r="D3986" s="10"/>
      <c r="E3986" s="10"/>
      <c r="F3986" s="47"/>
      <c r="G3986" s="10"/>
      <c r="H3986" s="20"/>
      <c r="I3986" s="20"/>
      <c r="J3986" s="10"/>
      <c r="K3986" s="10"/>
      <c r="L3986" s="10"/>
      <c r="M3986" s="10"/>
      <c r="N3986" s="10"/>
      <c r="O3986" s="21"/>
    </row>
    <row r="3987" spans="1:15" x14ac:dyDescent="0.35">
      <c r="A3987" s="15">
        <f t="shared" si="62"/>
        <v>3985</v>
      </c>
      <c r="B3987" s="16"/>
      <c r="C3987" s="19"/>
      <c r="D3987" s="10"/>
      <c r="E3987" s="10"/>
      <c r="F3987" s="47"/>
      <c r="G3987" s="10"/>
      <c r="H3987" s="20"/>
      <c r="I3987" s="20"/>
      <c r="J3987" s="10"/>
      <c r="K3987" s="10"/>
      <c r="L3987" s="10"/>
      <c r="M3987" s="10"/>
      <c r="N3987" s="10"/>
      <c r="O3987" s="21"/>
    </row>
    <row r="3988" spans="1:15" x14ac:dyDescent="0.35">
      <c r="A3988" s="15">
        <f t="shared" si="62"/>
        <v>3986</v>
      </c>
      <c r="B3988" s="16"/>
      <c r="C3988" s="19"/>
      <c r="D3988" s="10"/>
      <c r="E3988" s="10"/>
      <c r="F3988" s="47"/>
      <c r="G3988" s="10"/>
      <c r="H3988" s="20"/>
      <c r="I3988" s="20"/>
      <c r="J3988" s="10"/>
      <c r="K3988" s="10"/>
      <c r="L3988" s="10"/>
      <c r="M3988" s="10"/>
      <c r="N3988" s="10"/>
      <c r="O3988" s="21"/>
    </row>
    <row r="3989" spans="1:15" x14ac:dyDescent="0.35">
      <c r="A3989" s="15">
        <f t="shared" si="62"/>
        <v>3987</v>
      </c>
      <c r="B3989" s="16"/>
      <c r="C3989" s="19"/>
      <c r="D3989" s="10"/>
      <c r="E3989" s="10"/>
      <c r="F3989" s="47"/>
      <c r="G3989" s="10"/>
      <c r="H3989" s="20"/>
      <c r="I3989" s="20"/>
      <c r="J3989" s="10"/>
      <c r="K3989" s="10"/>
      <c r="L3989" s="10"/>
      <c r="M3989" s="10"/>
      <c r="N3989" s="10"/>
      <c r="O3989" s="21"/>
    </row>
    <row r="3990" spans="1:15" x14ac:dyDescent="0.35">
      <c r="A3990" s="15">
        <f t="shared" si="62"/>
        <v>3988</v>
      </c>
      <c r="B3990" s="16"/>
      <c r="C3990" s="19"/>
      <c r="D3990" s="10"/>
      <c r="E3990" s="10"/>
      <c r="F3990" s="47"/>
      <c r="G3990" s="10"/>
      <c r="H3990" s="20"/>
      <c r="I3990" s="20"/>
      <c r="J3990" s="10"/>
      <c r="K3990" s="10"/>
      <c r="L3990" s="10"/>
      <c r="M3990" s="10"/>
      <c r="N3990" s="10"/>
      <c r="O3990" s="21"/>
    </row>
    <row r="3991" spans="1:15" x14ac:dyDescent="0.35">
      <c r="A3991" s="15">
        <f t="shared" si="62"/>
        <v>3989</v>
      </c>
      <c r="B3991" s="16"/>
      <c r="C3991" s="19"/>
      <c r="D3991" s="10"/>
      <c r="E3991" s="10"/>
      <c r="F3991" s="47"/>
      <c r="G3991" s="10"/>
      <c r="H3991" s="20"/>
      <c r="I3991" s="20"/>
      <c r="J3991" s="10"/>
      <c r="K3991" s="10"/>
      <c r="L3991" s="10"/>
      <c r="M3991" s="10"/>
      <c r="N3991" s="10"/>
      <c r="O3991" s="21"/>
    </row>
    <row r="3992" spans="1:15" x14ac:dyDescent="0.35">
      <c r="A3992" s="15">
        <f t="shared" si="62"/>
        <v>3990</v>
      </c>
      <c r="B3992" s="16"/>
      <c r="C3992" s="19"/>
      <c r="D3992" s="10"/>
      <c r="E3992" s="10"/>
      <c r="F3992" s="47"/>
      <c r="G3992" s="10"/>
      <c r="H3992" s="20"/>
      <c r="I3992" s="20"/>
      <c r="J3992" s="10"/>
      <c r="K3992" s="10"/>
      <c r="L3992" s="10"/>
      <c r="M3992" s="10"/>
      <c r="N3992" s="10"/>
      <c r="O3992" s="21"/>
    </row>
    <row r="3993" spans="1:15" x14ac:dyDescent="0.35">
      <c r="A3993" s="15">
        <f t="shared" si="62"/>
        <v>3991</v>
      </c>
      <c r="B3993" s="16"/>
      <c r="C3993" s="19"/>
      <c r="D3993" s="10"/>
      <c r="E3993" s="10"/>
      <c r="F3993" s="47"/>
      <c r="G3993" s="10"/>
      <c r="H3993" s="20"/>
      <c r="I3993" s="20"/>
      <c r="J3993" s="10"/>
      <c r="K3993" s="10"/>
      <c r="L3993" s="10"/>
      <c r="M3993" s="10"/>
      <c r="N3993" s="10"/>
      <c r="O3993" s="21"/>
    </row>
    <row r="3994" spans="1:15" x14ac:dyDescent="0.35">
      <c r="A3994" s="15">
        <f t="shared" si="62"/>
        <v>3992</v>
      </c>
      <c r="B3994" s="16"/>
      <c r="C3994" s="19"/>
      <c r="D3994" s="10"/>
      <c r="E3994" s="10"/>
      <c r="F3994" s="47"/>
      <c r="G3994" s="10"/>
      <c r="H3994" s="20"/>
      <c r="I3994" s="20"/>
      <c r="J3994" s="10"/>
      <c r="K3994" s="10"/>
      <c r="L3994" s="10"/>
      <c r="M3994" s="10"/>
      <c r="N3994" s="10"/>
      <c r="O3994" s="21"/>
    </row>
    <row r="3995" spans="1:15" x14ac:dyDescent="0.35">
      <c r="A3995" s="15">
        <f t="shared" si="62"/>
        <v>3993</v>
      </c>
      <c r="B3995" s="16"/>
      <c r="C3995" s="19"/>
      <c r="D3995" s="10"/>
      <c r="E3995" s="10"/>
      <c r="F3995" s="47"/>
      <c r="G3995" s="10"/>
      <c r="H3995" s="20"/>
      <c r="I3995" s="20"/>
      <c r="J3995" s="10"/>
      <c r="K3995" s="10"/>
      <c r="L3995" s="10"/>
      <c r="M3995" s="10"/>
      <c r="N3995" s="10"/>
      <c r="O3995" s="21"/>
    </row>
    <row r="3996" spans="1:15" x14ac:dyDescent="0.35">
      <c r="A3996" s="15">
        <f t="shared" si="62"/>
        <v>3994</v>
      </c>
      <c r="B3996" s="16"/>
      <c r="C3996" s="19"/>
      <c r="D3996" s="10"/>
      <c r="E3996" s="10"/>
      <c r="F3996" s="47"/>
      <c r="G3996" s="10"/>
      <c r="H3996" s="20"/>
      <c r="I3996" s="20"/>
      <c r="J3996" s="10"/>
      <c r="K3996" s="10"/>
      <c r="L3996" s="10"/>
      <c r="M3996" s="10"/>
      <c r="N3996" s="10"/>
      <c r="O3996" s="21"/>
    </row>
    <row r="3997" spans="1:15" x14ac:dyDescent="0.35">
      <c r="A3997" s="15">
        <f t="shared" si="62"/>
        <v>3995</v>
      </c>
      <c r="B3997" s="16"/>
      <c r="C3997" s="19"/>
      <c r="D3997" s="10"/>
      <c r="E3997" s="10"/>
      <c r="F3997" s="47"/>
      <c r="G3997" s="10"/>
      <c r="H3997" s="20"/>
      <c r="I3997" s="20"/>
      <c r="J3997" s="10"/>
      <c r="K3997" s="10"/>
      <c r="L3997" s="10"/>
      <c r="M3997" s="10"/>
      <c r="N3997" s="10"/>
      <c r="O3997" s="21"/>
    </row>
    <row r="3998" spans="1:15" x14ac:dyDescent="0.35">
      <c r="A3998" s="15">
        <f t="shared" si="62"/>
        <v>3996</v>
      </c>
      <c r="B3998" s="16"/>
      <c r="C3998" s="19"/>
      <c r="D3998" s="10"/>
      <c r="E3998" s="10"/>
      <c r="F3998" s="47"/>
      <c r="G3998" s="10"/>
      <c r="H3998" s="20"/>
      <c r="I3998" s="20"/>
      <c r="J3998" s="10"/>
      <c r="K3998" s="10"/>
      <c r="L3998" s="10"/>
      <c r="M3998" s="10"/>
      <c r="N3998" s="10"/>
      <c r="O3998" s="21"/>
    </row>
    <row r="3999" spans="1:15" x14ac:dyDescent="0.35">
      <c r="A3999" s="15">
        <f t="shared" si="62"/>
        <v>3997</v>
      </c>
      <c r="B3999" s="16"/>
      <c r="C3999" s="19"/>
      <c r="D3999" s="10"/>
      <c r="E3999" s="10"/>
      <c r="F3999" s="47"/>
      <c r="G3999" s="10"/>
      <c r="H3999" s="20"/>
      <c r="I3999" s="20"/>
      <c r="J3999" s="10"/>
      <c r="K3999" s="10"/>
      <c r="L3999" s="10"/>
      <c r="M3999" s="10"/>
      <c r="N3999" s="10"/>
      <c r="O3999" s="21"/>
    </row>
    <row r="4000" spans="1:15" x14ac:dyDescent="0.35">
      <c r="A4000" s="15">
        <f t="shared" si="62"/>
        <v>3998</v>
      </c>
      <c r="B4000" s="16"/>
      <c r="C4000" s="19"/>
      <c r="D4000" s="10"/>
      <c r="E4000" s="10"/>
      <c r="F4000" s="47"/>
      <c r="G4000" s="10"/>
      <c r="H4000" s="20"/>
      <c r="I4000" s="20"/>
      <c r="J4000" s="10"/>
      <c r="K4000" s="10"/>
      <c r="L4000" s="10"/>
      <c r="M4000" s="10"/>
      <c r="N4000" s="10"/>
      <c r="O4000" s="21"/>
    </row>
    <row r="4001" spans="1:15" x14ac:dyDescent="0.35">
      <c r="A4001" s="15">
        <f t="shared" si="62"/>
        <v>3999</v>
      </c>
      <c r="B4001" s="16"/>
      <c r="C4001" s="19"/>
      <c r="D4001" s="10"/>
      <c r="E4001" s="10"/>
      <c r="F4001" s="47"/>
      <c r="G4001" s="10"/>
      <c r="H4001" s="20"/>
      <c r="I4001" s="20"/>
      <c r="J4001" s="10"/>
      <c r="K4001" s="10"/>
      <c r="L4001" s="10"/>
      <c r="M4001" s="10"/>
      <c r="N4001" s="10"/>
      <c r="O4001" s="21"/>
    </row>
    <row r="4002" spans="1:15" x14ac:dyDescent="0.35">
      <c r="A4002" s="15">
        <f t="shared" si="62"/>
        <v>4000</v>
      </c>
      <c r="B4002" s="16"/>
      <c r="C4002" s="19"/>
      <c r="D4002" s="10"/>
      <c r="E4002" s="10"/>
      <c r="F4002" s="47"/>
      <c r="G4002" s="10"/>
      <c r="H4002" s="20"/>
      <c r="I4002" s="20"/>
      <c r="J4002" s="10"/>
      <c r="K4002" s="10"/>
      <c r="L4002" s="10"/>
      <c r="M4002" s="10"/>
      <c r="N4002" s="10"/>
      <c r="O4002" s="21"/>
    </row>
    <row r="4003" spans="1:15" x14ac:dyDescent="0.35">
      <c r="A4003" s="15">
        <f t="shared" si="62"/>
        <v>4001</v>
      </c>
      <c r="B4003" s="16"/>
      <c r="C4003" s="19"/>
      <c r="D4003" s="10"/>
      <c r="E4003" s="10"/>
      <c r="F4003" s="47"/>
      <c r="G4003" s="10"/>
      <c r="H4003" s="20"/>
      <c r="I4003" s="20"/>
      <c r="J4003" s="10"/>
      <c r="K4003" s="10"/>
      <c r="L4003" s="10"/>
      <c r="M4003" s="10"/>
      <c r="N4003" s="10"/>
      <c r="O4003" s="21"/>
    </row>
    <row r="4004" spans="1:15" x14ac:dyDescent="0.35">
      <c r="A4004" s="15">
        <f t="shared" si="62"/>
        <v>4002</v>
      </c>
      <c r="B4004" s="16"/>
      <c r="C4004" s="19"/>
      <c r="D4004" s="10"/>
      <c r="E4004" s="10"/>
      <c r="F4004" s="47"/>
      <c r="G4004" s="10"/>
      <c r="H4004" s="20"/>
      <c r="I4004" s="20"/>
      <c r="J4004" s="10"/>
      <c r="K4004" s="10"/>
      <c r="L4004" s="10"/>
      <c r="M4004" s="10"/>
      <c r="N4004" s="10"/>
      <c r="O4004" s="21"/>
    </row>
    <row r="4005" spans="1:15" x14ac:dyDescent="0.35">
      <c r="A4005" s="15">
        <f t="shared" si="62"/>
        <v>4003</v>
      </c>
      <c r="B4005" s="16"/>
      <c r="C4005" s="19"/>
      <c r="D4005" s="10"/>
      <c r="E4005" s="10"/>
      <c r="F4005" s="47"/>
      <c r="G4005" s="10"/>
      <c r="H4005" s="20"/>
      <c r="I4005" s="20"/>
      <c r="J4005" s="10"/>
      <c r="K4005" s="10"/>
      <c r="L4005" s="10"/>
      <c r="M4005" s="10"/>
      <c r="N4005" s="10"/>
      <c r="O4005" s="21"/>
    </row>
    <row r="4006" spans="1:15" x14ac:dyDescent="0.35">
      <c r="A4006" s="15">
        <f t="shared" si="62"/>
        <v>4004</v>
      </c>
      <c r="B4006" s="16"/>
      <c r="C4006" s="19"/>
      <c r="D4006" s="10"/>
      <c r="E4006" s="10"/>
      <c r="F4006" s="47"/>
      <c r="G4006" s="10"/>
      <c r="H4006" s="20"/>
      <c r="I4006" s="20"/>
      <c r="J4006" s="10"/>
      <c r="K4006" s="10"/>
      <c r="L4006" s="10"/>
      <c r="M4006" s="10"/>
      <c r="N4006" s="10"/>
      <c r="O4006" s="21"/>
    </row>
    <row r="4007" spans="1:15" x14ac:dyDescent="0.35">
      <c r="A4007" s="15">
        <f t="shared" si="62"/>
        <v>4005</v>
      </c>
      <c r="B4007" s="16"/>
      <c r="C4007" s="19"/>
      <c r="D4007" s="10"/>
      <c r="E4007" s="10"/>
      <c r="F4007" s="47"/>
      <c r="G4007" s="10"/>
      <c r="H4007" s="20"/>
      <c r="I4007" s="20"/>
      <c r="J4007" s="10"/>
      <c r="K4007" s="10"/>
      <c r="L4007" s="10"/>
      <c r="M4007" s="10"/>
      <c r="N4007" s="10"/>
      <c r="O4007" s="21"/>
    </row>
    <row r="4008" spans="1:15" x14ac:dyDescent="0.35">
      <c r="A4008" s="15">
        <f t="shared" si="62"/>
        <v>4006</v>
      </c>
      <c r="B4008" s="16"/>
      <c r="C4008" s="19"/>
      <c r="D4008" s="10"/>
      <c r="E4008" s="10"/>
      <c r="F4008" s="47"/>
      <c r="G4008" s="10"/>
      <c r="H4008" s="20"/>
      <c r="I4008" s="20"/>
      <c r="J4008" s="10"/>
      <c r="K4008" s="10"/>
      <c r="L4008" s="10"/>
      <c r="M4008" s="10"/>
      <c r="N4008" s="10"/>
      <c r="O4008" s="21"/>
    </row>
    <row r="4009" spans="1:15" x14ac:dyDescent="0.35">
      <c r="A4009" s="15">
        <f t="shared" si="62"/>
        <v>4007</v>
      </c>
      <c r="B4009" s="16"/>
      <c r="C4009" s="19"/>
      <c r="D4009" s="10"/>
      <c r="E4009" s="10"/>
      <c r="F4009" s="47"/>
      <c r="G4009" s="10"/>
      <c r="H4009" s="20"/>
      <c r="I4009" s="20"/>
      <c r="J4009" s="10"/>
      <c r="K4009" s="10"/>
      <c r="L4009" s="10"/>
      <c r="M4009" s="10"/>
      <c r="N4009" s="10"/>
      <c r="O4009" s="21"/>
    </row>
    <row r="4010" spans="1:15" x14ac:dyDescent="0.35">
      <c r="A4010" s="15">
        <f t="shared" si="62"/>
        <v>4008</v>
      </c>
      <c r="B4010" s="16"/>
      <c r="C4010" s="19"/>
      <c r="D4010" s="10"/>
      <c r="E4010" s="10"/>
      <c r="F4010" s="47"/>
      <c r="G4010" s="10"/>
      <c r="H4010" s="20"/>
      <c r="I4010" s="20"/>
      <c r="J4010" s="10"/>
      <c r="K4010" s="10"/>
      <c r="L4010" s="10"/>
      <c r="M4010" s="10"/>
      <c r="N4010" s="10"/>
      <c r="O4010" s="21"/>
    </row>
    <row r="4011" spans="1:15" x14ac:dyDescent="0.35">
      <c r="A4011" s="15">
        <f t="shared" si="62"/>
        <v>4009</v>
      </c>
      <c r="B4011" s="16"/>
      <c r="C4011" s="19"/>
      <c r="D4011" s="10"/>
      <c r="E4011" s="10"/>
      <c r="F4011" s="47"/>
      <c r="G4011" s="10"/>
      <c r="H4011" s="20"/>
      <c r="I4011" s="20"/>
      <c r="J4011" s="10"/>
      <c r="K4011" s="10"/>
      <c r="L4011" s="10"/>
      <c r="M4011" s="10"/>
      <c r="N4011" s="10"/>
      <c r="O4011" s="21"/>
    </row>
    <row r="4012" spans="1:15" x14ac:dyDescent="0.35">
      <c r="A4012" s="15">
        <f t="shared" si="62"/>
        <v>4010</v>
      </c>
      <c r="B4012" s="16"/>
      <c r="C4012" s="19"/>
      <c r="D4012" s="10"/>
      <c r="E4012" s="10"/>
      <c r="F4012" s="47"/>
      <c r="G4012" s="10"/>
      <c r="H4012" s="20"/>
      <c r="I4012" s="20"/>
      <c r="J4012" s="10"/>
      <c r="K4012" s="10"/>
      <c r="L4012" s="10"/>
      <c r="M4012" s="10"/>
      <c r="N4012" s="10"/>
      <c r="O4012" s="21"/>
    </row>
    <row r="4013" spans="1:15" x14ac:dyDescent="0.35">
      <c r="A4013" s="15">
        <f t="shared" si="62"/>
        <v>4011</v>
      </c>
      <c r="B4013" s="16"/>
      <c r="C4013" s="19"/>
      <c r="D4013" s="10"/>
      <c r="E4013" s="10"/>
      <c r="F4013" s="47"/>
      <c r="G4013" s="10"/>
      <c r="H4013" s="20"/>
      <c r="I4013" s="20"/>
      <c r="J4013" s="10"/>
      <c r="K4013" s="10"/>
      <c r="L4013" s="10"/>
      <c r="M4013" s="10"/>
      <c r="N4013" s="10"/>
      <c r="O4013" s="21"/>
    </row>
    <row r="4014" spans="1:15" x14ac:dyDescent="0.35">
      <c r="A4014" s="15">
        <f t="shared" si="62"/>
        <v>4012</v>
      </c>
      <c r="B4014" s="16"/>
      <c r="C4014" s="19"/>
      <c r="D4014" s="10"/>
      <c r="E4014" s="10"/>
      <c r="F4014" s="47"/>
      <c r="G4014" s="10"/>
      <c r="H4014" s="20"/>
      <c r="I4014" s="20"/>
      <c r="J4014" s="10"/>
      <c r="K4014" s="10"/>
      <c r="L4014" s="10"/>
      <c r="M4014" s="10"/>
      <c r="N4014" s="10"/>
      <c r="O4014" s="21"/>
    </row>
    <row r="4015" spans="1:15" x14ac:dyDescent="0.35">
      <c r="A4015" s="15">
        <f t="shared" si="62"/>
        <v>4013</v>
      </c>
      <c r="B4015" s="16"/>
      <c r="C4015" s="19"/>
      <c r="D4015" s="10"/>
      <c r="E4015" s="10"/>
      <c r="F4015" s="47"/>
      <c r="G4015" s="10"/>
      <c r="H4015" s="20"/>
      <c r="I4015" s="20"/>
      <c r="J4015" s="10"/>
      <c r="K4015" s="10"/>
      <c r="L4015" s="10"/>
      <c r="M4015" s="10"/>
      <c r="N4015" s="10"/>
      <c r="O4015" s="21"/>
    </row>
    <row r="4016" spans="1:15" x14ac:dyDescent="0.35">
      <c r="A4016" s="15">
        <f t="shared" si="62"/>
        <v>4014</v>
      </c>
      <c r="B4016" s="16"/>
      <c r="C4016" s="19"/>
      <c r="D4016" s="10"/>
      <c r="E4016" s="10"/>
      <c r="F4016" s="47"/>
      <c r="G4016" s="10"/>
      <c r="H4016" s="20"/>
      <c r="I4016" s="20"/>
      <c r="J4016" s="10"/>
      <c r="K4016" s="10"/>
      <c r="L4016" s="10"/>
      <c r="M4016" s="10"/>
      <c r="N4016" s="10"/>
      <c r="O4016" s="21"/>
    </row>
    <row r="4017" spans="1:15" x14ac:dyDescent="0.35">
      <c r="A4017" s="15">
        <f t="shared" si="62"/>
        <v>4015</v>
      </c>
      <c r="B4017" s="16"/>
      <c r="C4017" s="19"/>
      <c r="D4017" s="10"/>
      <c r="E4017" s="10"/>
      <c r="F4017" s="47"/>
      <c r="G4017" s="10"/>
      <c r="H4017" s="20"/>
      <c r="I4017" s="20"/>
      <c r="J4017" s="10"/>
      <c r="K4017" s="10"/>
      <c r="L4017" s="10"/>
      <c r="M4017" s="10"/>
      <c r="N4017" s="10"/>
      <c r="O4017" s="21"/>
    </row>
    <row r="4018" spans="1:15" x14ac:dyDescent="0.35">
      <c r="A4018" s="15">
        <f t="shared" si="62"/>
        <v>4016</v>
      </c>
      <c r="B4018" s="16"/>
      <c r="C4018" s="19"/>
      <c r="D4018" s="10"/>
      <c r="E4018" s="10"/>
      <c r="F4018" s="47"/>
      <c r="G4018" s="10"/>
      <c r="H4018" s="20"/>
      <c r="I4018" s="20"/>
      <c r="J4018" s="10"/>
      <c r="K4018" s="10"/>
      <c r="L4018" s="10"/>
      <c r="M4018" s="10"/>
      <c r="N4018" s="10"/>
      <c r="O4018" s="21"/>
    </row>
    <row r="4019" spans="1:15" x14ac:dyDescent="0.35">
      <c r="A4019" s="15">
        <f t="shared" si="62"/>
        <v>4017</v>
      </c>
      <c r="B4019" s="16"/>
      <c r="C4019" s="19"/>
      <c r="D4019" s="10"/>
      <c r="E4019" s="10"/>
      <c r="F4019" s="47"/>
      <c r="G4019" s="10"/>
      <c r="H4019" s="20"/>
      <c r="I4019" s="20"/>
      <c r="J4019" s="10"/>
      <c r="K4019" s="10"/>
      <c r="L4019" s="10"/>
      <c r="M4019" s="10"/>
      <c r="N4019" s="10"/>
      <c r="O4019" s="21"/>
    </row>
    <row r="4020" spans="1:15" x14ac:dyDescent="0.35">
      <c r="A4020" s="15">
        <f t="shared" si="62"/>
        <v>4018</v>
      </c>
      <c r="B4020" s="16"/>
      <c r="C4020" s="19"/>
      <c r="D4020" s="10"/>
      <c r="E4020" s="10"/>
      <c r="F4020" s="47"/>
      <c r="G4020" s="10"/>
      <c r="H4020" s="20"/>
      <c r="I4020" s="20"/>
      <c r="J4020" s="10"/>
      <c r="K4020" s="10"/>
      <c r="L4020" s="10"/>
      <c r="M4020" s="10"/>
      <c r="N4020" s="10"/>
      <c r="O4020" s="21"/>
    </row>
    <row r="4021" spans="1:15" x14ac:dyDescent="0.35">
      <c r="A4021" s="15">
        <f t="shared" si="62"/>
        <v>4019</v>
      </c>
      <c r="B4021" s="16"/>
      <c r="C4021" s="19"/>
      <c r="D4021" s="10"/>
      <c r="E4021" s="10"/>
      <c r="F4021" s="47"/>
      <c r="G4021" s="10"/>
      <c r="H4021" s="20"/>
      <c r="I4021" s="20"/>
      <c r="J4021" s="10"/>
      <c r="K4021" s="10"/>
      <c r="L4021" s="10"/>
      <c r="M4021" s="10"/>
      <c r="N4021" s="10"/>
      <c r="O4021" s="21"/>
    </row>
    <row r="4022" spans="1:15" x14ac:dyDescent="0.35">
      <c r="A4022" s="15">
        <f t="shared" si="62"/>
        <v>4020</v>
      </c>
      <c r="B4022" s="16"/>
      <c r="C4022" s="19"/>
      <c r="D4022" s="10"/>
      <c r="E4022" s="10"/>
      <c r="F4022" s="47"/>
      <c r="G4022" s="10"/>
      <c r="H4022" s="20"/>
      <c r="I4022" s="20"/>
      <c r="J4022" s="10"/>
      <c r="K4022" s="10"/>
      <c r="L4022" s="10"/>
      <c r="M4022" s="10"/>
      <c r="N4022" s="10"/>
      <c r="O4022" s="21"/>
    </row>
    <row r="4023" spans="1:15" x14ac:dyDescent="0.35">
      <c r="A4023" s="15">
        <f t="shared" si="62"/>
        <v>4021</v>
      </c>
      <c r="B4023" s="16"/>
      <c r="C4023" s="19"/>
      <c r="D4023" s="10"/>
      <c r="E4023" s="10"/>
      <c r="F4023" s="47"/>
      <c r="G4023" s="10"/>
      <c r="H4023" s="20"/>
      <c r="I4023" s="20"/>
      <c r="J4023" s="10"/>
      <c r="K4023" s="10"/>
      <c r="L4023" s="10"/>
      <c r="M4023" s="10"/>
      <c r="N4023" s="10"/>
      <c r="O4023" s="21"/>
    </row>
    <row r="4024" spans="1:15" x14ac:dyDescent="0.35">
      <c r="A4024" s="15">
        <f t="shared" si="62"/>
        <v>4022</v>
      </c>
      <c r="B4024" s="16"/>
      <c r="C4024" s="19"/>
      <c r="D4024" s="10"/>
      <c r="E4024" s="10"/>
      <c r="F4024" s="47"/>
      <c r="G4024" s="10"/>
      <c r="H4024" s="20"/>
      <c r="I4024" s="20"/>
      <c r="J4024" s="10"/>
      <c r="K4024" s="10"/>
      <c r="L4024" s="10"/>
      <c r="M4024" s="10"/>
      <c r="N4024" s="10"/>
      <c r="O4024" s="21"/>
    </row>
    <row r="4025" spans="1:15" x14ac:dyDescent="0.35">
      <c r="A4025" s="15">
        <f t="shared" si="62"/>
        <v>4023</v>
      </c>
      <c r="B4025" s="16"/>
      <c r="C4025" s="19"/>
      <c r="D4025" s="10"/>
      <c r="E4025" s="10"/>
      <c r="F4025" s="47"/>
      <c r="G4025" s="10"/>
      <c r="H4025" s="20"/>
      <c r="I4025" s="20"/>
      <c r="J4025" s="10"/>
      <c r="K4025" s="10"/>
      <c r="L4025" s="10"/>
      <c r="M4025" s="10"/>
      <c r="N4025" s="10"/>
      <c r="O4025" s="21"/>
    </row>
    <row r="4026" spans="1:15" x14ac:dyDescent="0.35">
      <c r="A4026" s="15">
        <f t="shared" si="62"/>
        <v>4024</v>
      </c>
      <c r="B4026" s="16"/>
      <c r="C4026" s="19"/>
      <c r="D4026" s="10"/>
      <c r="E4026" s="10"/>
      <c r="F4026" s="47"/>
      <c r="G4026" s="10"/>
      <c r="H4026" s="20"/>
      <c r="I4026" s="20"/>
      <c r="J4026" s="10"/>
      <c r="K4026" s="10"/>
      <c r="L4026" s="10"/>
      <c r="M4026" s="10"/>
      <c r="N4026" s="10"/>
      <c r="O4026" s="21"/>
    </row>
    <row r="4027" spans="1:15" x14ac:dyDescent="0.35">
      <c r="A4027" s="15">
        <f t="shared" si="62"/>
        <v>4025</v>
      </c>
      <c r="B4027" s="16"/>
      <c r="C4027" s="19"/>
      <c r="D4027" s="10"/>
      <c r="E4027" s="10"/>
      <c r="F4027" s="47"/>
      <c r="G4027" s="10"/>
      <c r="H4027" s="20"/>
      <c r="I4027" s="20"/>
      <c r="J4027" s="10"/>
      <c r="K4027" s="10"/>
      <c r="L4027" s="10"/>
      <c r="M4027" s="10"/>
      <c r="N4027" s="10"/>
      <c r="O4027" s="21"/>
    </row>
    <row r="4028" spans="1:15" x14ac:dyDescent="0.35">
      <c r="A4028" s="15">
        <f t="shared" si="62"/>
        <v>4026</v>
      </c>
      <c r="B4028" s="16"/>
      <c r="C4028" s="19"/>
      <c r="D4028" s="10"/>
      <c r="E4028" s="10"/>
      <c r="F4028" s="47"/>
      <c r="G4028" s="10"/>
      <c r="H4028" s="20"/>
      <c r="I4028" s="20"/>
      <c r="J4028" s="10"/>
      <c r="K4028" s="10"/>
      <c r="L4028" s="10"/>
      <c r="M4028" s="10"/>
      <c r="N4028" s="10"/>
      <c r="O4028" s="21"/>
    </row>
    <row r="4029" spans="1:15" x14ac:dyDescent="0.35">
      <c r="A4029" s="15">
        <f t="shared" si="62"/>
        <v>4027</v>
      </c>
      <c r="B4029" s="16"/>
      <c r="C4029" s="19"/>
      <c r="D4029" s="10"/>
      <c r="E4029" s="10"/>
      <c r="F4029" s="47"/>
      <c r="G4029" s="10"/>
      <c r="H4029" s="20"/>
      <c r="I4029" s="20"/>
      <c r="J4029" s="10"/>
      <c r="K4029" s="10"/>
      <c r="L4029" s="10"/>
      <c r="M4029" s="10"/>
      <c r="N4029" s="10"/>
      <c r="O4029" s="21"/>
    </row>
    <row r="4030" spans="1:15" x14ac:dyDescent="0.35">
      <c r="A4030" s="15">
        <f t="shared" si="62"/>
        <v>4028</v>
      </c>
      <c r="B4030" s="16"/>
      <c r="C4030" s="19"/>
      <c r="D4030" s="10"/>
      <c r="E4030" s="10"/>
      <c r="F4030" s="47"/>
      <c r="G4030" s="10"/>
      <c r="H4030" s="20"/>
      <c r="I4030" s="20"/>
      <c r="J4030" s="10"/>
      <c r="K4030" s="10"/>
      <c r="L4030" s="10"/>
      <c r="M4030" s="10"/>
      <c r="N4030" s="10"/>
      <c r="O4030" s="21"/>
    </row>
    <row r="4031" spans="1:15" x14ac:dyDescent="0.35">
      <c r="A4031" s="15">
        <f t="shared" si="62"/>
        <v>4029</v>
      </c>
      <c r="B4031" s="16"/>
      <c r="C4031" s="19"/>
      <c r="D4031" s="10"/>
      <c r="E4031" s="10"/>
      <c r="F4031" s="47"/>
      <c r="G4031" s="10"/>
      <c r="H4031" s="20"/>
      <c r="I4031" s="20"/>
      <c r="J4031" s="10"/>
      <c r="K4031" s="10"/>
      <c r="L4031" s="10"/>
      <c r="M4031" s="10"/>
      <c r="N4031" s="10"/>
      <c r="O4031" s="21"/>
    </row>
    <row r="4032" spans="1:15" x14ac:dyDescent="0.35">
      <c r="A4032" s="15">
        <f t="shared" si="62"/>
        <v>4030</v>
      </c>
      <c r="B4032" s="16"/>
      <c r="C4032" s="19"/>
      <c r="D4032" s="10"/>
      <c r="E4032" s="10"/>
      <c r="F4032" s="47"/>
      <c r="G4032" s="10"/>
      <c r="H4032" s="20"/>
      <c r="I4032" s="20"/>
      <c r="J4032" s="10"/>
      <c r="K4032" s="10"/>
      <c r="L4032" s="10"/>
      <c r="M4032" s="10"/>
      <c r="N4032" s="10"/>
      <c r="O4032" s="21"/>
    </row>
    <row r="4033" spans="1:15" x14ac:dyDescent="0.35">
      <c r="A4033" s="15">
        <f t="shared" si="62"/>
        <v>4031</v>
      </c>
      <c r="B4033" s="16"/>
      <c r="C4033" s="19"/>
      <c r="D4033" s="10"/>
      <c r="E4033" s="10"/>
      <c r="F4033" s="47"/>
      <c r="G4033" s="10"/>
      <c r="H4033" s="20"/>
      <c r="I4033" s="20"/>
      <c r="J4033" s="10"/>
      <c r="K4033" s="10"/>
      <c r="L4033" s="10"/>
      <c r="M4033" s="10"/>
      <c r="N4033" s="10"/>
      <c r="O4033" s="21"/>
    </row>
    <row r="4034" spans="1:15" x14ac:dyDescent="0.35">
      <c r="A4034" s="15">
        <f t="shared" si="62"/>
        <v>4032</v>
      </c>
      <c r="B4034" s="16"/>
      <c r="C4034" s="19"/>
      <c r="D4034" s="10"/>
      <c r="E4034" s="10"/>
      <c r="F4034" s="47"/>
      <c r="G4034" s="10"/>
      <c r="H4034" s="20"/>
      <c r="I4034" s="20"/>
      <c r="J4034" s="10"/>
      <c r="K4034" s="10"/>
      <c r="L4034" s="10"/>
      <c r="M4034" s="10"/>
      <c r="N4034" s="10"/>
      <c r="O4034" s="21"/>
    </row>
    <row r="4035" spans="1:15" x14ac:dyDescent="0.35">
      <c r="A4035" s="15">
        <f t="shared" si="62"/>
        <v>4033</v>
      </c>
      <c r="B4035" s="16"/>
      <c r="C4035" s="19"/>
      <c r="D4035" s="10"/>
      <c r="E4035" s="10"/>
      <c r="F4035" s="47"/>
      <c r="G4035" s="10"/>
      <c r="H4035" s="20"/>
      <c r="I4035" s="20"/>
      <c r="J4035" s="10"/>
      <c r="K4035" s="10"/>
      <c r="L4035" s="10"/>
      <c r="M4035" s="10"/>
      <c r="N4035" s="10"/>
      <c r="O4035" s="21"/>
    </row>
    <row r="4036" spans="1:15" x14ac:dyDescent="0.35">
      <c r="A4036" s="15">
        <f t="shared" si="62"/>
        <v>4034</v>
      </c>
      <c r="B4036" s="16"/>
      <c r="C4036" s="19"/>
      <c r="D4036" s="10"/>
      <c r="E4036" s="10"/>
      <c r="F4036" s="47"/>
      <c r="G4036" s="10"/>
      <c r="H4036" s="20"/>
      <c r="I4036" s="20"/>
      <c r="J4036" s="10"/>
      <c r="K4036" s="10"/>
      <c r="L4036" s="10"/>
      <c r="M4036" s="10"/>
      <c r="N4036" s="10"/>
      <c r="O4036" s="21"/>
    </row>
    <row r="4037" spans="1:15" x14ac:dyDescent="0.35">
      <c r="A4037" s="15">
        <f t="shared" si="62"/>
        <v>4035</v>
      </c>
      <c r="B4037" s="16"/>
      <c r="C4037" s="19"/>
      <c r="D4037" s="10"/>
      <c r="E4037" s="10"/>
      <c r="F4037" s="47"/>
      <c r="G4037" s="10"/>
      <c r="H4037" s="20"/>
      <c r="I4037" s="20"/>
      <c r="J4037" s="10"/>
      <c r="K4037" s="10"/>
      <c r="L4037" s="10"/>
      <c r="M4037" s="10"/>
      <c r="N4037" s="10"/>
      <c r="O4037" s="21"/>
    </row>
    <row r="4038" spans="1:15" x14ac:dyDescent="0.35">
      <c r="A4038" s="15">
        <f t="shared" si="62"/>
        <v>4036</v>
      </c>
      <c r="B4038" s="16"/>
      <c r="C4038" s="19"/>
      <c r="D4038" s="10"/>
      <c r="E4038" s="10"/>
      <c r="F4038" s="47"/>
      <c r="G4038" s="10"/>
      <c r="H4038" s="20"/>
      <c r="I4038" s="20"/>
      <c r="J4038" s="10"/>
      <c r="K4038" s="10"/>
      <c r="L4038" s="10"/>
      <c r="M4038" s="10"/>
      <c r="N4038" s="10"/>
      <c r="O4038" s="21"/>
    </row>
    <row r="4039" spans="1:15" x14ac:dyDescent="0.35">
      <c r="A4039" s="15">
        <f t="shared" si="62"/>
        <v>4037</v>
      </c>
      <c r="B4039" s="16"/>
      <c r="C4039" s="19"/>
      <c r="D4039" s="10"/>
      <c r="E4039" s="10"/>
      <c r="F4039" s="47"/>
      <c r="G4039" s="10"/>
      <c r="H4039" s="20"/>
      <c r="I4039" s="20"/>
      <c r="J4039" s="10"/>
      <c r="K4039" s="10"/>
      <c r="L4039" s="10"/>
      <c r="M4039" s="10"/>
      <c r="N4039" s="10"/>
      <c r="O4039" s="21"/>
    </row>
    <row r="4040" spans="1:15" x14ac:dyDescent="0.35">
      <c r="A4040" s="15">
        <f t="shared" si="62"/>
        <v>4038</v>
      </c>
      <c r="B4040" s="16"/>
      <c r="C4040" s="19"/>
      <c r="D4040" s="10"/>
      <c r="E4040" s="10"/>
      <c r="F4040" s="47"/>
      <c r="G4040" s="10"/>
      <c r="H4040" s="20"/>
      <c r="I4040" s="20"/>
      <c r="J4040" s="10"/>
      <c r="K4040" s="10"/>
      <c r="L4040" s="10"/>
      <c r="M4040" s="10"/>
      <c r="N4040" s="10"/>
      <c r="O4040" s="21"/>
    </row>
    <row r="4041" spans="1:15" x14ac:dyDescent="0.35">
      <c r="A4041" s="15">
        <f t="shared" si="62"/>
        <v>4039</v>
      </c>
      <c r="B4041" s="16"/>
      <c r="C4041" s="19"/>
      <c r="D4041" s="10"/>
      <c r="E4041" s="10"/>
      <c r="F4041" s="47"/>
      <c r="G4041" s="10"/>
      <c r="H4041" s="20"/>
      <c r="I4041" s="20"/>
      <c r="J4041" s="10"/>
      <c r="K4041" s="10"/>
      <c r="L4041" s="10"/>
      <c r="M4041" s="10"/>
      <c r="N4041" s="10"/>
      <c r="O4041" s="21"/>
    </row>
    <row r="4042" spans="1:15" x14ac:dyDescent="0.35">
      <c r="A4042" s="15">
        <f t="shared" si="62"/>
        <v>4040</v>
      </c>
      <c r="B4042" s="16"/>
      <c r="C4042" s="19"/>
      <c r="D4042" s="10"/>
      <c r="E4042" s="10"/>
      <c r="F4042" s="47"/>
      <c r="G4042" s="10"/>
      <c r="H4042" s="20"/>
      <c r="I4042" s="20"/>
      <c r="J4042" s="10"/>
      <c r="K4042" s="10"/>
      <c r="L4042" s="10"/>
      <c r="M4042" s="10"/>
      <c r="N4042" s="10"/>
      <c r="O4042" s="21"/>
    </row>
    <row r="4043" spans="1:15" x14ac:dyDescent="0.35">
      <c r="A4043" s="15">
        <f t="shared" ref="A4043:A4106" si="63">+A4042+1</f>
        <v>4041</v>
      </c>
      <c r="B4043" s="16"/>
      <c r="C4043" s="19"/>
      <c r="D4043" s="10"/>
      <c r="E4043" s="10"/>
      <c r="F4043" s="47"/>
      <c r="G4043" s="10"/>
      <c r="H4043" s="20"/>
      <c r="I4043" s="20"/>
      <c r="J4043" s="10"/>
      <c r="K4043" s="10"/>
      <c r="L4043" s="10"/>
      <c r="M4043" s="10"/>
      <c r="N4043" s="10"/>
      <c r="O4043" s="21"/>
    </row>
    <row r="4044" spans="1:15" x14ac:dyDescent="0.35">
      <c r="A4044" s="15">
        <f t="shared" si="63"/>
        <v>4042</v>
      </c>
      <c r="B4044" s="16"/>
      <c r="C4044" s="19"/>
      <c r="D4044" s="10"/>
      <c r="E4044" s="10"/>
      <c r="F4044" s="47"/>
      <c r="G4044" s="10"/>
      <c r="H4044" s="20"/>
      <c r="I4044" s="20"/>
      <c r="J4044" s="10"/>
      <c r="K4044" s="10"/>
      <c r="L4044" s="10"/>
      <c r="M4044" s="10"/>
      <c r="N4044" s="10"/>
      <c r="O4044" s="21"/>
    </row>
    <row r="4045" spans="1:15" x14ac:dyDescent="0.35">
      <c r="A4045" s="15">
        <f t="shared" si="63"/>
        <v>4043</v>
      </c>
      <c r="B4045" s="16"/>
      <c r="C4045" s="19"/>
      <c r="D4045" s="10"/>
      <c r="E4045" s="10"/>
      <c r="F4045" s="47"/>
      <c r="G4045" s="10"/>
      <c r="H4045" s="20"/>
      <c r="I4045" s="20"/>
      <c r="J4045" s="10"/>
      <c r="K4045" s="10"/>
      <c r="L4045" s="10"/>
      <c r="M4045" s="10"/>
      <c r="N4045" s="10"/>
      <c r="O4045" s="21"/>
    </row>
    <row r="4046" spans="1:15" x14ac:dyDescent="0.35">
      <c r="A4046" s="15">
        <f t="shared" si="63"/>
        <v>4044</v>
      </c>
      <c r="B4046" s="16"/>
      <c r="C4046" s="19"/>
      <c r="D4046" s="10"/>
      <c r="E4046" s="10"/>
      <c r="F4046" s="47"/>
      <c r="G4046" s="10"/>
      <c r="H4046" s="20"/>
      <c r="I4046" s="20"/>
      <c r="J4046" s="10"/>
      <c r="K4046" s="10"/>
      <c r="L4046" s="10"/>
      <c r="M4046" s="10"/>
      <c r="N4046" s="10"/>
      <c r="O4046" s="21"/>
    </row>
    <row r="4047" spans="1:15" x14ac:dyDescent="0.35">
      <c r="A4047" s="15">
        <f t="shared" si="63"/>
        <v>4045</v>
      </c>
      <c r="B4047" s="16"/>
      <c r="C4047" s="19"/>
      <c r="D4047" s="10"/>
      <c r="E4047" s="10"/>
      <c r="F4047" s="47"/>
      <c r="G4047" s="10"/>
      <c r="H4047" s="20"/>
      <c r="I4047" s="20"/>
      <c r="J4047" s="10"/>
      <c r="K4047" s="10"/>
      <c r="L4047" s="10"/>
      <c r="M4047" s="10"/>
      <c r="N4047" s="10"/>
      <c r="O4047" s="21"/>
    </row>
    <row r="4048" spans="1:15" x14ac:dyDescent="0.35">
      <c r="A4048" s="15">
        <f t="shared" si="63"/>
        <v>4046</v>
      </c>
      <c r="B4048" s="16"/>
      <c r="C4048" s="19"/>
      <c r="D4048" s="10"/>
      <c r="E4048" s="10"/>
      <c r="F4048" s="47"/>
      <c r="G4048" s="10"/>
      <c r="H4048" s="20"/>
      <c r="I4048" s="20"/>
      <c r="J4048" s="10"/>
      <c r="K4048" s="10"/>
      <c r="L4048" s="10"/>
      <c r="M4048" s="10"/>
      <c r="N4048" s="10"/>
      <c r="O4048" s="21"/>
    </row>
    <row r="4049" spans="1:15" x14ac:dyDescent="0.35">
      <c r="A4049" s="15">
        <f t="shared" si="63"/>
        <v>4047</v>
      </c>
      <c r="B4049" s="16"/>
      <c r="C4049" s="19"/>
      <c r="D4049" s="10"/>
      <c r="E4049" s="10"/>
      <c r="F4049" s="47"/>
      <c r="G4049" s="10"/>
      <c r="H4049" s="20"/>
      <c r="I4049" s="20"/>
      <c r="J4049" s="10"/>
      <c r="K4049" s="10"/>
      <c r="L4049" s="10"/>
      <c r="M4049" s="10"/>
      <c r="N4049" s="10"/>
      <c r="O4049" s="21"/>
    </row>
    <row r="4050" spans="1:15" x14ac:dyDescent="0.35">
      <c r="A4050" s="15">
        <f t="shared" si="63"/>
        <v>4048</v>
      </c>
      <c r="B4050" s="16"/>
      <c r="C4050" s="19"/>
      <c r="D4050" s="10"/>
      <c r="E4050" s="10"/>
      <c r="F4050" s="47"/>
      <c r="G4050" s="10"/>
      <c r="H4050" s="20"/>
      <c r="I4050" s="20"/>
      <c r="J4050" s="10"/>
      <c r="K4050" s="10"/>
      <c r="L4050" s="10"/>
      <c r="M4050" s="10"/>
      <c r="N4050" s="10"/>
      <c r="O4050" s="21"/>
    </row>
    <row r="4051" spans="1:15" x14ac:dyDescent="0.35">
      <c r="A4051" s="15">
        <f t="shared" si="63"/>
        <v>4049</v>
      </c>
      <c r="B4051" s="16"/>
      <c r="C4051" s="19"/>
      <c r="D4051" s="10"/>
      <c r="E4051" s="10"/>
      <c r="F4051" s="47"/>
      <c r="G4051" s="10"/>
      <c r="H4051" s="20"/>
      <c r="I4051" s="20"/>
      <c r="J4051" s="10"/>
      <c r="K4051" s="10"/>
      <c r="L4051" s="10"/>
      <c r="M4051" s="10"/>
      <c r="N4051" s="10"/>
      <c r="O4051" s="21"/>
    </row>
    <row r="4052" spans="1:15" x14ac:dyDescent="0.35">
      <c r="A4052" s="15">
        <f t="shared" si="63"/>
        <v>4050</v>
      </c>
      <c r="B4052" s="16"/>
      <c r="C4052" s="19"/>
      <c r="D4052" s="10"/>
      <c r="E4052" s="10"/>
      <c r="F4052" s="47"/>
      <c r="G4052" s="10"/>
      <c r="H4052" s="20"/>
      <c r="I4052" s="20"/>
      <c r="J4052" s="10"/>
      <c r="K4052" s="10"/>
      <c r="L4052" s="10"/>
      <c r="M4052" s="10"/>
      <c r="N4052" s="10"/>
      <c r="O4052" s="21"/>
    </row>
    <row r="4053" spans="1:15" x14ac:dyDescent="0.35">
      <c r="A4053" s="15">
        <f t="shared" si="63"/>
        <v>4051</v>
      </c>
      <c r="B4053" s="16"/>
      <c r="C4053" s="19"/>
      <c r="D4053" s="10"/>
      <c r="E4053" s="10"/>
      <c r="F4053" s="47"/>
      <c r="G4053" s="10"/>
      <c r="H4053" s="20"/>
      <c r="I4053" s="20"/>
      <c r="J4053" s="10"/>
      <c r="K4053" s="10"/>
      <c r="L4053" s="10"/>
      <c r="M4053" s="10"/>
      <c r="N4053" s="10"/>
      <c r="O4053" s="21"/>
    </row>
    <row r="4054" spans="1:15" x14ac:dyDescent="0.35">
      <c r="A4054" s="15">
        <f t="shared" si="63"/>
        <v>4052</v>
      </c>
      <c r="B4054" s="16"/>
      <c r="C4054" s="19"/>
      <c r="D4054" s="10"/>
      <c r="E4054" s="10"/>
      <c r="F4054" s="47"/>
      <c r="G4054" s="10"/>
      <c r="H4054" s="20"/>
      <c r="I4054" s="20"/>
      <c r="J4054" s="10"/>
      <c r="K4054" s="10"/>
      <c r="L4054" s="10"/>
      <c r="M4054" s="10"/>
      <c r="N4054" s="10"/>
      <c r="O4054" s="21"/>
    </row>
    <row r="4055" spans="1:15" x14ac:dyDescent="0.35">
      <c r="A4055" s="15">
        <f t="shared" si="63"/>
        <v>4053</v>
      </c>
      <c r="B4055" s="16"/>
      <c r="C4055" s="19"/>
      <c r="D4055" s="10"/>
      <c r="E4055" s="10"/>
      <c r="F4055" s="47"/>
      <c r="G4055" s="10"/>
      <c r="H4055" s="20"/>
      <c r="I4055" s="20"/>
      <c r="J4055" s="10"/>
      <c r="K4055" s="10"/>
      <c r="L4055" s="10"/>
      <c r="M4055" s="10"/>
      <c r="N4055" s="10"/>
      <c r="O4055" s="21"/>
    </row>
    <row r="4056" spans="1:15" x14ac:dyDescent="0.35">
      <c r="A4056" s="15">
        <f t="shared" si="63"/>
        <v>4054</v>
      </c>
      <c r="B4056" s="16"/>
      <c r="C4056" s="19"/>
      <c r="D4056" s="10"/>
      <c r="E4056" s="10"/>
      <c r="F4056" s="47"/>
      <c r="G4056" s="10"/>
      <c r="H4056" s="20"/>
      <c r="I4056" s="20"/>
      <c r="J4056" s="10"/>
      <c r="K4056" s="10"/>
      <c r="L4056" s="10"/>
      <c r="M4056" s="10"/>
      <c r="N4056" s="10"/>
      <c r="O4056" s="21"/>
    </row>
    <row r="4057" spans="1:15" x14ac:dyDescent="0.35">
      <c r="A4057" s="15">
        <f t="shared" si="63"/>
        <v>4055</v>
      </c>
      <c r="B4057" s="16"/>
      <c r="C4057" s="19"/>
      <c r="D4057" s="10"/>
      <c r="E4057" s="10"/>
      <c r="F4057" s="47"/>
      <c r="G4057" s="10"/>
      <c r="H4057" s="20"/>
      <c r="I4057" s="20"/>
      <c r="J4057" s="10"/>
      <c r="K4057" s="10"/>
      <c r="L4057" s="10"/>
      <c r="M4057" s="10"/>
      <c r="N4057" s="10"/>
      <c r="O4057" s="21"/>
    </row>
    <row r="4058" spans="1:15" x14ac:dyDescent="0.35">
      <c r="A4058" s="15">
        <f t="shared" si="63"/>
        <v>4056</v>
      </c>
      <c r="B4058" s="16"/>
      <c r="C4058" s="19"/>
      <c r="D4058" s="10"/>
      <c r="E4058" s="10"/>
      <c r="F4058" s="47"/>
      <c r="G4058" s="10"/>
      <c r="H4058" s="20"/>
      <c r="I4058" s="20"/>
      <c r="J4058" s="10"/>
      <c r="K4058" s="10"/>
      <c r="L4058" s="10"/>
      <c r="M4058" s="10"/>
      <c r="N4058" s="10"/>
      <c r="O4058" s="21"/>
    </row>
    <row r="4059" spans="1:15" x14ac:dyDescent="0.35">
      <c r="A4059" s="15">
        <f t="shared" si="63"/>
        <v>4057</v>
      </c>
      <c r="B4059" s="16"/>
      <c r="C4059" s="19"/>
      <c r="D4059" s="10"/>
      <c r="E4059" s="10"/>
      <c r="F4059" s="47"/>
      <c r="G4059" s="10"/>
      <c r="H4059" s="20"/>
      <c r="I4059" s="20"/>
      <c r="J4059" s="10"/>
      <c r="K4059" s="10"/>
      <c r="L4059" s="10"/>
      <c r="M4059" s="10"/>
      <c r="N4059" s="10"/>
      <c r="O4059" s="21"/>
    </row>
    <row r="4060" spans="1:15" x14ac:dyDescent="0.35">
      <c r="A4060" s="15">
        <f t="shared" si="63"/>
        <v>4058</v>
      </c>
      <c r="B4060" s="16"/>
      <c r="C4060" s="19"/>
      <c r="D4060" s="10"/>
      <c r="E4060" s="10"/>
      <c r="F4060" s="47"/>
      <c r="G4060" s="10"/>
      <c r="H4060" s="20"/>
      <c r="I4060" s="20"/>
      <c r="J4060" s="10"/>
      <c r="K4060" s="10"/>
      <c r="L4060" s="10"/>
      <c r="M4060" s="10"/>
      <c r="N4060" s="10"/>
      <c r="O4060" s="21"/>
    </row>
    <row r="4061" spans="1:15" x14ac:dyDescent="0.35">
      <c r="A4061" s="15">
        <f t="shared" si="63"/>
        <v>4059</v>
      </c>
      <c r="B4061" s="16"/>
      <c r="C4061" s="19"/>
      <c r="D4061" s="10"/>
      <c r="E4061" s="10"/>
      <c r="F4061" s="47"/>
      <c r="G4061" s="10"/>
      <c r="H4061" s="20"/>
      <c r="I4061" s="20"/>
      <c r="J4061" s="10"/>
      <c r="K4061" s="10"/>
      <c r="L4061" s="10"/>
      <c r="M4061" s="10"/>
      <c r="N4061" s="10"/>
      <c r="O4061" s="21"/>
    </row>
    <row r="4062" spans="1:15" x14ac:dyDescent="0.35">
      <c r="A4062" s="15">
        <f t="shared" si="63"/>
        <v>4060</v>
      </c>
      <c r="B4062" s="16"/>
      <c r="C4062" s="19"/>
      <c r="D4062" s="10"/>
      <c r="E4062" s="10"/>
      <c r="F4062" s="47"/>
      <c r="G4062" s="10"/>
      <c r="H4062" s="20"/>
      <c r="I4062" s="20"/>
      <c r="J4062" s="10"/>
      <c r="K4062" s="10"/>
      <c r="L4062" s="10"/>
      <c r="M4062" s="10"/>
      <c r="N4062" s="10"/>
      <c r="O4062" s="21"/>
    </row>
    <row r="4063" spans="1:15" x14ac:dyDescent="0.35">
      <c r="A4063" s="15">
        <f t="shared" si="63"/>
        <v>4061</v>
      </c>
      <c r="B4063" s="16"/>
      <c r="C4063" s="19"/>
      <c r="D4063" s="10"/>
      <c r="E4063" s="10"/>
      <c r="F4063" s="47"/>
      <c r="G4063" s="10"/>
      <c r="H4063" s="20"/>
      <c r="I4063" s="20"/>
      <c r="J4063" s="10"/>
      <c r="K4063" s="10"/>
      <c r="L4063" s="10"/>
      <c r="M4063" s="10"/>
      <c r="N4063" s="10"/>
      <c r="O4063" s="21"/>
    </row>
    <row r="4064" spans="1:15" x14ac:dyDescent="0.35">
      <c r="A4064" s="15">
        <f t="shared" si="63"/>
        <v>4062</v>
      </c>
      <c r="B4064" s="16"/>
      <c r="C4064" s="19"/>
      <c r="D4064" s="10"/>
      <c r="E4064" s="10"/>
      <c r="F4064" s="47"/>
      <c r="G4064" s="10"/>
      <c r="H4064" s="20"/>
      <c r="I4064" s="20"/>
      <c r="J4064" s="10"/>
      <c r="K4064" s="10"/>
      <c r="L4064" s="10"/>
      <c r="M4064" s="10"/>
      <c r="N4064" s="10"/>
      <c r="O4064" s="21"/>
    </row>
    <row r="4065" spans="1:15" x14ac:dyDescent="0.35">
      <c r="A4065" s="15">
        <f t="shared" si="63"/>
        <v>4063</v>
      </c>
      <c r="B4065" s="16"/>
      <c r="C4065" s="19"/>
      <c r="D4065" s="10"/>
      <c r="E4065" s="10"/>
      <c r="F4065" s="47"/>
      <c r="G4065" s="10"/>
      <c r="H4065" s="20"/>
      <c r="I4065" s="20"/>
      <c r="J4065" s="10"/>
      <c r="K4065" s="10"/>
      <c r="L4065" s="10"/>
      <c r="M4065" s="10"/>
      <c r="N4065" s="10"/>
      <c r="O4065" s="21"/>
    </row>
    <row r="4066" spans="1:15" x14ac:dyDescent="0.35">
      <c r="A4066" s="15">
        <f t="shared" si="63"/>
        <v>4064</v>
      </c>
      <c r="B4066" s="16"/>
      <c r="C4066" s="19"/>
      <c r="D4066" s="10"/>
      <c r="E4066" s="10"/>
      <c r="F4066" s="47"/>
      <c r="G4066" s="10"/>
      <c r="H4066" s="20"/>
      <c r="I4066" s="20"/>
      <c r="J4066" s="10"/>
      <c r="K4066" s="10"/>
      <c r="L4066" s="10"/>
      <c r="M4066" s="10"/>
      <c r="N4066" s="10"/>
      <c r="O4066" s="21"/>
    </row>
    <row r="4067" spans="1:15" x14ac:dyDescent="0.35">
      <c r="A4067" s="15">
        <f t="shared" si="63"/>
        <v>4065</v>
      </c>
      <c r="B4067" s="16"/>
      <c r="C4067" s="19"/>
      <c r="D4067" s="10"/>
      <c r="E4067" s="10"/>
      <c r="F4067" s="47"/>
      <c r="G4067" s="10"/>
      <c r="H4067" s="20"/>
      <c r="I4067" s="20"/>
      <c r="J4067" s="10"/>
      <c r="K4067" s="10"/>
      <c r="L4067" s="10"/>
      <c r="M4067" s="10"/>
      <c r="N4067" s="10"/>
      <c r="O4067" s="21"/>
    </row>
    <row r="4068" spans="1:15" x14ac:dyDescent="0.35">
      <c r="A4068" s="15">
        <f t="shared" si="63"/>
        <v>4066</v>
      </c>
      <c r="B4068" s="16"/>
      <c r="C4068" s="19"/>
      <c r="D4068" s="10"/>
      <c r="E4068" s="10"/>
      <c r="F4068" s="47"/>
      <c r="G4068" s="10"/>
      <c r="H4068" s="20"/>
      <c r="I4068" s="20"/>
      <c r="J4068" s="10"/>
      <c r="K4068" s="10"/>
      <c r="L4068" s="10"/>
      <c r="M4068" s="10"/>
      <c r="N4068" s="10"/>
      <c r="O4068" s="21"/>
    </row>
    <row r="4069" spans="1:15" x14ac:dyDescent="0.35">
      <c r="A4069" s="15">
        <f t="shared" si="63"/>
        <v>4067</v>
      </c>
      <c r="B4069" s="16"/>
      <c r="C4069" s="19"/>
      <c r="D4069" s="10"/>
      <c r="E4069" s="10"/>
      <c r="F4069" s="47"/>
      <c r="G4069" s="10"/>
      <c r="H4069" s="20"/>
      <c r="I4069" s="20"/>
      <c r="J4069" s="10"/>
      <c r="K4069" s="10"/>
      <c r="L4069" s="10"/>
      <c r="M4069" s="10"/>
      <c r="N4069" s="10"/>
      <c r="O4069" s="21"/>
    </row>
    <row r="4070" spans="1:15" x14ac:dyDescent="0.35">
      <c r="A4070" s="15">
        <f t="shared" si="63"/>
        <v>4068</v>
      </c>
      <c r="B4070" s="16"/>
      <c r="C4070" s="19"/>
      <c r="D4070" s="10"/>
      <c r="E4070" s="10"/>
      <c r="F4070" s="47"/>
      <c r="G4070" s="10"/>
      <c r="H4070" s="20"/>
      <c r="I4070" s="20"/>
      <c r="J4070" s="10"/>
      <c r="K4070" s="10"/>
      <c r="L4070" s="10"/>
      <c r="M4070" s="10"/>
      <c r="N4070" s="10"/>
      <c r="O4070" s="21"/>
    </row>
    <row r="4071" spans="1:15" x14ac:dyDescent="0.35">
      <c r="A4071" s="15">
        <f t="shared" si="63"/>
        <v>4069</v>
      </c>
      <c r="B4071" s="16"/>
      <c r="C4071" s="19"/>
      <c r="D4071" s="10"/>
      <c r="E4071" s="10"/>
      <c r="F4071" s="47"/>
      <c r="G4071" s="10"/>
      <c r="H4071" s="20"/>
      <c r="I4071" s="20"/>
      <c r="J4071" s="10"/>
      <c r="K4071" s="10"/>
      <c r="L4071" s="10"/>
      <c r="M4071" s="10"/>
      <c r="N4071" s="10"/>
      <c r="O4071" s="21"/>
    </row>
    <row r="4072" spans="1:15" x14ac:dyDescent="0.35">
      <c r="A4072" s="15">
        <f t="shared" si="63"/>
        <v>4070</v>
      </c>
      <c r="B4072" s="16"/>
      <c r="C4072" s="19"/>
      <c r="D4072" s="10"/>
      <c r="E4072" s="10"/>
      <c r="F4072" s="47"/>
      <c r="G4072" s="10"/>
      <c r="H4072" s="20"/>
      <c r="I4072" s="20"/>
      <c r="J4072" s="10"/>
      <c r="K4072" s="10"/>
      <c r="L4072" s="10"/>
      <c r="M4072" s="10"/>
      <c r="N4072" s="10"/>
      <c r="O4072" s="21"/>
    </row>
    <row r="4073" spans="1:15" x14ac:dyDescent="0.35">
      <c r="A4073" s="15">
        <f t="shared" si="63"/>
        <v>4071</v>
      </c>
      <c r="B4073" s="16"/>
      <c r="C4073" s="19"/>
      <c r="D4073" s="10"/>
      <c r="E4073" s="10"/>
      <c r="F4073" s="47"/>
      <c r="G4073" s="10"/>
      <c r="H4073" s="20"/>
      <c r="I4073" s="20"/>
      <c r="J4073" s="10"/>
      <c r="K4073" s="10"/>
      <c r="L4073" s="10"/>
      <c r="M4073" s="10"/>
      <c r="N4073" s="10"/>
      <c r="O4073" s="21"/>
    </row>
    <row r="4074" spans="1:15" x14ac:dyDescent="0.35">
      <c r="A4074" s="15">
        <f t="shared" si="63"/>
        <v>4072</v>
      </c>
      <c r="B4074" s="16"/>
      <c r="C4074" s="19"/>
      <c r="D4074" s="10"/>
      <c r="E4074" s="10"/>
      <c r="F4074" s="47"/>
      <c r="G4074" s="10"/>
      <c r="H4074" s="20"/>
      <c r="I4074" s="20"/>
      <c r="J4074" s="10"/>
      <c r="K4074" s="10"/>
      <c r="L4074" s="10"/>
      <c r="M4074" s="10"/>
      <c r="N4074" s="10"/>
      <c r="O4074" s="21"/>
    </row>
    <row r="4075" spans="1:15" x14ac:dyDescent="0.35">
      <c r="A4075" s="15">
        <f t="shared" si="63"/>
        <v>4073</v>
      </c>
      <c r="B4075" s="16"/>
      <c r="C4075" s="19"/>
      <c r="D4075" s="10"/>
      <c r="E4075" s="10"/>
      <c r="F4075" s="47"/>
      <c r="G4075" s="10"/>
      <c r="H4075" s="20"/>
      <c r="I4075" s="20"/>
      <c r="J4075" s="10"/>
      <c r="K4075" s="10"/>
      <c r="L4075" s="10"/>
      <c r="M4075" s="10"/>
      <c r="N4075" s="10"/>
      <c r="O4075" s="21"/>
    </row>
    <row r="4076" spans="1:15" x14ac:dyDescent="0.35">
      <c r="A4076" s="15">
        <f t="shared" si="63"/>
        <v>4074</v>
      </c>
      <c r="B4076" s="16"/>
      <c r="C4076" s="19"/>
      <c r="D4076" s="10"/>
      <c r="E4076" s="10"/>
      <c r="F4076" s="47"/>
      <c r="G4076" s="10"/>
      <c r="H4076" s="20"/>
      <c r="I4076" s="20"/>
      <c r="J4076" s="10"/>
      <c r="K4076" s="10"/>
      <c r="L4076" s="10"/>
      <c r="M4076" s="10"/>
      <c r="N4076" s="10"/>
      <c r="O4076" s="21"/>
    </row>
    <row r="4077" spans="1:15" x14ac:dyDescent="0.35">
      <c r="A4077" s="15">
        <f t="shared" si="63"/>
        <v>4075</v>
      </c>
      <c r="B4077" s="16"/>
      <c r="C4077" s="19"/>
      <c r="D4077" s="10"/>
      <c r="E4077" s="10"/>
      <c r="F4077" s="47"/>
      <c r="G4077" s="10"/>
      <c r="H4077" s="20"/>
      <c r="I4077" s="20"/>
      <c r="J4077" s="10"/>
      <c r="K4077" s="10"/>
      <c r="L4077" s="10"/>
      <c r="M4077" s="10"/>
      <c r="N4077" s="10"/>
      <c r="O4077" s="21"/>
    </row>
    <row r="4078" spans="1:15" x14ac:dyDescent="0.35">
      <c r="A4078" s="15">
        <f t="shared" si="63"/>
        <v>4076</v>
      </c>
      <c r="B4078" s="16"/>
      <c r="C4078" s="19"/>
      <c r="D4078" s="10"/>
      <c r="E4078" s="10"/>
      <c r="F4078" s="47"/>
      <c r="G4078" s="10"/>
      <c r="H4078" s="20"/>
      <c r="I4078" s="20"/>
      <c r="J4078" s="10"/>
      <c r="K4078" s="10"/>
      <c r="L4078" s="10"/>
      <c r="M4078" s="10"/>
      <c r="N4078" s="10"/>
      <c r="O4078" s="21"/>
    </row>
    <row r="4079" spans="1:15" x14ac:dyDescent="0.35">
      <c r="A4079" s="15">
        <f t="shared" si="63"/>
        <v>4077</v>
      </c>
      <c r="B4079" s="16"/>
      <c r="C4079" s="19"/>
      <c r="D4079" s="10"/>
      <c r="E4079" s="10"/>
      <c r="F4079" s="47"/>
      <c r="G4079" s="10"/>
      <c r="H4079" s="20"/>
      <c r="I4079" s="20"/>
      <c r="J4079" s="10"/>
      <c r="K4079" s="10"/>
      <c r="L4079" s="10"/>
      <c r="M4079" s="10"/>
      <c r="N4079" s="10"/>
      <c r="O4079" s="21"/>
    </row>
    <row r="4080" spans="1:15" x14ac:dyDescent="0.35">
      <c r="A4080" s="15">
        <f t="shared" si="63"/>
        <v>4078</v>
      </c>
      <c r="B4080" s="16"/>
      <c r="C4080" s="19"/>
      <c r="D4080" s="10"/>
      <c r="E4080" s="10"/>
      <c r="F4080" s="47"/>
      <c r="G4080" s="10"/>
      <c r="H4080" s="20"/>
      <c r="I4080" s="20"/>
      <c r="J4080" s="10"/>
      <c r="K4080" s="10"/>
      <c r="L4080" s="10"/>
      <c r="M4080" s="10"/>
      <c r="N4080" s="10"/>
      <c r="O4080" s="21"/>
    </row>
    <row r="4081" spans="1:15" x14ac:dyDescent="0.35">
      <c r="A4081" s="15">
        <f t="shared" si="63"/>
        <v>4079</v>
      </c>
      <c r="B4081" s="16"/>
      <c r="C4081" s="19"/>
      <c r="D4081" s="10"/>
      <c r="E4081" s="10"/>
      <c r="F4081" s="47"/>
      <c r="G4081" s="10"/>
      <c r="H4081" s="20"/>
      <c r="I4081" s="20"/>
      <c r="J4081" s="10"/>
      <c r="K4081" s="10"/>
      <c r="L4081" s="10"/>
      <c r="M4081" s="10"/>
      <c r="N4081" s="10"/>
      <c r="O4081" s="21"/>
    </row>
    <row r="4082" spans="1:15" x14ac:dyDescent="0.35">
      <c r="A4082" s="15">
        <f t="shared" si="63"/>
        <v>4080</v>
      </c>
      <c r="B4082" s="16"/>
      <c r="C4082" s="19"/>
      <c r="D4082" s="10"/>
      <c r="E4082" s="10"/>
      <c r="F4082" s="47"/>
      <c r="G4082" s="10"/>
      <c r="H4082" s="20"/>
      <c r="I4082" s="20"/>
      <c r="J4082" s="10"/>
      <c r="K4082" s="10"/>
      <c r="L4082" s="10"/>
      <c r="M4082" s="10"/>
      <c r="N4082" s="10"/>
      <c r="O4082" s="21"/>
    </row>
    <row r="4083" spans="1:15" x14ac:dyDescent="0.35">
      <c r="A4083" s="15">
        <f t="shared" si="63"/>
        <v>4081</v>
      </c>
      <c r="B4083" s="16"/>
      <c r="C4083" s="19"/>
      <c r="D4083" s="10"/>
      <c r="E4083" s="10"/>
      <c r="F4083" s="47"/>
      <c r="G4083" s="10"/>
      <c r="H4083" s="20"/>
      <c r="I4083" s="20"/>
      <c r="J4083" s="10"/>
      <c r="K4083" s="10"/>
      <c r="L4083" s="10"/>
      <c r="M4083" s="10"/>
      <c r="N4083" s="10"/>
      <c r="O4083" s="21"/>
    </row>
    <row r="4084" spans="1:15" x14ac:dyDescent="0.35">
      <c r="A4084" s="15">
        <f t="shared" si="63"/>
        <v>4082</v>
      </c>
      <c r="B4084" s="16"/>
      <c r="C4084" s="19"/>
      <c r="D4084" s="10"/>
      <c r="E4084" s="10"/>
      <c r="F4084" s="47"/>
      <c r="G4084" s="10"/>
      <c r="H4084" s="20"/>
      <c r="I4084" s="20"/>
      <c r="J4084" s="10"/>
      <c r="K4084" s="10"/>
      <c r="L4084" s="10"/>
      <c r="M4084" s="10"/>
      <c r="N4084" s="10"/>
      <c r="O4084" s="21"/>
    </row>
    <row r="4085" spans="1:15" x14ac:dyDescent="0.35">
      <c r="A4085" s="15">
        <f t="shared" si="63"/>
        <v>4083</v>
      </c>
      <c r="B4085" s="16"/>
      <c r="C4085" s="19"/>
      <c r="D4085" s="10"/>
      <c r="E4085" s="10"/>
      <c r="F4085" s="47"/>
      <c r="G4085" s="10"/>
      <c r="H4085" s="20"/>
      <c r="I4085" s="20"/>
      <c r="J4085" s="10"/>
      <c r="K4085" s="10"/>
      <c r="L4085" s="10"/>
      <c r="M4085" s="10"/>
      <c r="N4085" s="10"/>
      <c r="O4085" s="21"/>
    </row>
    <row r="4086" spans="1:15" x14ac:dyDescent="0.35">
      <c r="A4086" s="15">
        <f t="shared" si="63"/>
        <v>4084</v>
      </c>
      <c r="B4086" s="16"/>
      <c r="C4086" s="19"/>
      <c r="D4086" s="10"/>
      <c r="E4086" s="10"/>
      <c r="F4086" s="47"/>
      <c r="G4086" s="10"/>
      <c r="H4086" s="20"/>
      <c r="I4086" s="20"/>
      <c r="J4086" s="10"/>
      <c r="K4086" s="10"/>
      <c r="L4086" s="10"/>
      <c r="M4086" s="10"/>
      <c r="N4086" s="10"/>
      <c r="O4086" s="21"/>
    </row>
    <row r="4087" spans="1:15" x14ac:dyDescent="0.35">
      <c r="A4087" s="15">
        <f t="shared" si="63"/>
        <v>4085</v>
      </c>
      <c r="B4087" s="16"/>
      <c r="C4087" s="19"/>
      <c r="D4087" s="10"/>
      <c r="E4087" s="10"/>
      <c r="F4087" s="47"/>
      <c r="G4087" s="10"/>
      <c r="H4087" s="20"/>
      <c r="I4087" s="20"/>
      <c r="J4087" s="10"/>
      <c r="K4087" s="10"/>
      <c r="L4087" s="10"/>
      <c r="M4087" s="10"/>
      <c r="N4087" s="10"/>
      <c r="O4087" s="21"/>
    </row>
    <row r="4088" spans="1:15" x14ac:dyDescent="0.35">
      <c r="A4088" s="15">
        <f t="shared" si="63"/>
        <v>4086</v>
      </c>
      <c r="B4088" s="16"/>
      <c r="C4088" s="19"/>
      <c r="D4088" s="10"/>
      <c r="E4088" s="10"/>
      <c r="F4088" s="47"/>
      <c r="G4088" s="10"/>
      <c r="H4088" s="20"/>
      <c r="I4088" s="20"/>
      <c r="J4088" s="10"/>
      <c r="K4088" s="10"/>
      <c r="L4088" s="10"/>
      <c r="M4088" s="10"/>
      <c r="N4088" s="10"/>
      <c r="O4088" s="21"/>
    </row>
    <row r="4089" spans="1:15" x14ac:dyDescent="0.35">
      <c r="A4089" s="15">
        <f t="shared" si="63"/>
        <v>4087</v>
      </c>
      <c r="B4089" s="16"/>
      <c r="C4089" s="19"/>
      <c r="D4089" s="10"/>
      <c r="E4089" s="10"/>
      <c r="F4089" s="47"/>
      <c r="G4089" s="10"/>
      <c r="H4089" s="20"/>
      <c r="I4089" s="20"/>
      <c r="J4089" s="10"/>
      <c r="K4089" s="10"/>
      <c r="L4089" s="10"/>
      <c r="M4089" s="10"/>
      <c r="N4089" s="10"/>
      <c r="O4089" s="21"/>
    </row>
    <row r="4090" spans="1:15" x14ac:dyDescent="0.35">
      <c r="A4090" s="15">
        <f t="shared" si="63"/>
        <v>4088</v>
      </c>
      <c r="B4090" s="16"/>
      <c r="C4090" s="19"/>
      <c r="D4090" s="10"/>
      <c r="E4090" s="10"/>
      <c r="F4090" s="47"/>
      <c r="G4090" s="10"/>
      <c r="H4090" s="20"/>
      <c r="I4090" s="20"/>
      <c r="J4090" s="10"/>
      <c r="K4090" s="10"/>
      <c r="L4090" s="10"/>
      <c r="M4090" s="10"/>
      <c r="N4090" s="10"/>
      <c r="O4090" s="21"/>
    </row>
    <row r="4091" spans="1:15" x14ac:dyDescent="0.35">
      <c r="A4091" s="15">
        <f t="shared" si="63"/>
        <v>4089</v>
      </c>
      <c r="B4091" s="16"/>
      <c r="C4091" s="19"/>
      <c r="D4091" s="10"/>
      <c r="E4091" s="10"/>
      <c r="F4091" s="47"/>
      <c r="G4091" s="10"/>
      <c r="H4091" s="20"/>
      <c r="I4091" s="20"/>
      <c r="J4091" s="10"/>
      <c r="K4091" s="10"/>
      <c r="L4091" s="10"/>
      <c r="M4091" s="10"/>
      <c r="N4091" s="10"/>
      <c r="O4091" s="21"/>
    </row>
    <row r="4092" spans="1:15" x14ac:dyDescent="0.35">
      <c r="A4092" s="15">
        <f t="shared" si="63"/>
        <v>4090</v>
      </c>
      <c r="B4092" s="16"/>
      <c r="C4092" s="19"/>
      <c r="D4092" s="10"/>
      <c r="E4092" s="10"/>
      <c r="F4092" s="47"/>
      <c r="G4092" s="10"/>
      <c r="H4092" s="20"/>
      <c r="I4092" s="20"/>
      <c r="J4092" s="10"/>
      <c r="K4092" s="10"/>
      <c r="L4092" s="10"/>
      <c r="M4092" s="10"/>
      <c r="N4092" s="10"/>
      <c r="O4092" s="21"/>
    </row>
    <row r="4093" spans="1:15" x14ac:dyDescent="0.35">
      <c r="A4093" s="15">
        <f t="shared" si="63"/>
        <v>4091</v>
      </c>
      <c r="B4093" s="16"/>
      <c r="C4093" s="19"/>
      <c r="D4093" s="10"/>
      <c r="E4093" s="10"/>
      <c r="F4093" s="47"/>
      <c r="G4093" s="10"/>
      <c r="H4093" s="20"/>
      <c r="I4093" s="20"/>
      <c r="J4093" s="10"/>
      <c r="K4093" s="10"/>
      <c r="L4093" s="10"/>
      <c r="M4093" s="10"/>
      <c r="N4093" s="10"/>
      <c r="O4093" s="21"/>
    </row>
    <row r="4094" spans="1:15" x14ac:dyDescent="0.35">
      <c r="A4094" s="15">
        <f t="shared" si="63"/>
        <v>4092</v>
      </c>
      <c r="B4094" s="16"/>
      <c r="C4094" s="19"/>
      <c r="D4094" s="10"/>
      <c r="E4094" s="10"/>
      <c r="F4094" s="47"/>
      <c r="G4094" s="10"/>
      <c r="H4094" s="20"/>
      <c r="I4094" s="20"/>
      <c r="J4094" s="10"/>
      <c r="K4094" s="10"/>
      <c r="L4094" s="10"/>
      <c r="M4094" s="10"/>
      <c r="N4094" s="10"/>
      <c r="O4094" s="21"/>
    </row>
    <row r="4095" spans="1:15" x14ac:dyDescent="0.35">
      <c r="A4095" s="15">
        <f t="shared" si="63"/>
        <v>4093</v>
      </c>
      <c r="B4095" s="16"/>
      <c r="C4095" s="19"/>
      <c r="D4095" s="10"/>
      <c r="E4095" s="10"/>
      <c r="F4095" s="47"/>
      <c r="G4095" s="10"/>
      <c r="H4095" s="20"/>
      <c r="I4095" s="20"/>
      <c r="J4095" s="10"/>
      <c r="K4095" s="10"/>
      <c r="L4095" s="10"/>
      <c r="M4095" s="10"/>
      <c r="N4095" s="10"/>
      <c r="O4095" s="21"/>
    </row>
    <row r="4096" spans="1:15" x14ac:dyDescent="0.35">
      <c r="A4096" s="15">
        <f t="shared" si="63"/>
        <v>4094</v>
      </c>
      <c r="B4096" s="16"/>
      <c r="C4096" s="19"/>
      <c r="D4096" s="10"/>
      <c r="E4096" s="10"/>
      <c r="F4096" s="47"/>
      <c r="G4096" s="10"/>
      <c r="H4096" s="20"/>
      <c r="I4096" s="20"/>
      <c r="J4096" s="10"/>
      <c r="K4096" s="10"/>
      <c r="L4096" s="10"/>
      <c r="M4096" s="10"/>
      <c r="N4096" s="10"/>
      <c r="O4096" s="21"/>
    </row>
    <row r="4097" spans="1:15" x14ac:dyDescent="0.35">
      <c r="A4097" s="15">
        <f t="shared" si="63"/>
        <v>4095</v>
      </c>
      <c r="B4097" s="16"/>
      <c r="C4097" s="19"/>
      <c r="D4097" s="10"/>
      <c r="E4097" s="10"/>
      <c r="F4097" s="47"/>
      <c r="G4097" s="10"/>
      <c r="H4097" s="20"/>
      <c r="I4097" s="20"/>
      <c r="J4097" s="10"/>
      <c r="K4097" s="10"/>
      <c r="L4097" s="10"/>
      <c r="M4097" s="10"/>
      <c r="N4097" s="10"/>
      <c r="O4097" s="21"/>
    </row>
    <row r="4098" spans="1:15" x14ac:dyDescent="0.35">
      <c r="A4098" s="15">
        <f t="shared" si="63"/>
        <v>4096</v>
      </c>
      <c r="B4098" s="16"/>
      <c r="C4098" s="19"/>
      <c r="D4098" s="10"/>
      <c r="E4098" s="10"/>
      <c r="F4098" s="47"/>
      <c r="G4098" s="10"/>
      <c r="H4098" s="20"/>
      <c r="I4098" s="20"/>
      <c r="J4098" s="10"/>
      <c r="K4098" s="10"/>
      <c r="L4098" s="10"/>
      <c r="M4098" s="10"/>
      <c r="N4098" s="10"/>
      <c r="O4098" s="21"/>
    </row>
    <row r="4099" spans="1:15" x14ac:dyDescent="0.35">
      <c r="A4099" s="15">
        <f t="shared" si="63"/>
        <v>4097</v>
      </c>
      <c r="B4099" s="16"/>
      <c r="C4099" s="19"/>
      <c r="D4099" s="10"/>
      <c r="E4099" s="10"/>
      <c r="F4099" s="47"/>
      <c r="G4099" s="10"/>
      <c r="H4099" s="20"/>
      <c r="I4099" s="20"/>
      <c r="J4099" s="10"/>
      <c r="K4099" s="10"/>
      <c r="L4099" s="10"/>
      <c r="M4099" s="10"/>
      <c r="N4099" s="10"/>
      <c r="O4099" s="21"/>
    </row>
    <row r="4100" spans="1:15" x14ac:dyDescent="0.35">
      <c r="A4100" s="15">
        <f t="shared" si="63"/>
        <v>4098</v>
      </c>
      <c r="B4100" s="16"/>
      <c r="C4100" s="19"/>
      <c r="D4100" s="10"/>
      <c r="E4100" s="10"/>
      <c r="F4100" s="47"/>
      <c r="G4100" s="10"/>
      <c r="H4100" s="20"/>
      <c r="I4100" s="20"/>
      <c r="J4100" s="10"/>
      <c r="K4100" s="10"/>
      <c r="L4100" s="10"/>
      <c r="M4100" s="10"/>
      <c r="N4100" s="10"/>
      <c r="O4100" s="21"/>
    </row>
    <row r="4101" spans="1:15" x14ac:dyDescent="0.35">
      <c r="A4101" s="15">
        <f t="shared" si="63"/>
        <v>4099</v>
      </c>
      <c r="B4101" s="16"/>
      <c r="C4101" s="19"/>
      <c r="D4101" s="10"/>
      <c r="E4101" s="10"/>
      <c r="F4101" s="47"/>
      <c r="G4101" s="10"/>
      <c r="H4101" s="20"/>
      <c r="I4101" s="20"/>
      <c r="J4101" s="10"/>
      <c r="K4101" s="10"/>
      <c r="L4101" s="10"/>
      <c r="M4101" s="10"/>
      <c r="N4101" s="10"/>
      <c r="O4101" s="21"/>
    </row>
    <row r="4102" spans="1:15" x14ac:dyDescent="0.35">
      <c r="A4102" s="15">
        <f t="shared" si="63"/>
        <v>4100</v>
      </c>
      <c r="B4102" s="16"/>
      <c r="C4102" s="19"/>
      <c r="D4102" s="10"/>
      <c r="E4102" s="10"/>
      <c r="F4102" s="47"/>
      <c r="G4102" s="10"/>
      <c r="H4102" s="20"/>
      <c r="I4102" s="20"/>
      <c r="J4102" s="10"/>
      <c r="K4102" s="10"/>
      <c r="L4102" s="10"/>
      <c r="M4102" s="10"/>
      <c r="N4102" s="10"/>
      <c r="O4102" s="21"/>
    </row>
    <row r="4103" spans="1:15" x14ac:dyDescent="0.35">
      <c r="A4103" s="15">
        <f t="shared" si="63"/>
        <v>4101</v>
      </c>
      <c r="B4103" s="16"/>
      <c r="C4103" s="19"/>
      <c r="D4103" s="10"/>
      <c r="E4103" s="10"/>
      <c r="F4103" s="47"/>
      <c r="G4103" s="10"/>
      <c r="H4103" s="20"/>
      <c r="I4103" s="20"/>
      <c r="J4103" s="10"/>
      <c r="K4103" s="10"/>
      <c r="L4103" s="10"/>
      <c r="M4103" s="10"/>
      <c r="N4103" s="10"/>
      <c r="O4103" s="21"/>
    </row>
    <row r="4104" spans="1:15" x14ac:dyDescent="0.35">
      <c r="A4104" s="15">
        <f t="shared" si="63"/>
        <v>4102</v>
      </c>
      <c r="B4104" s="16"/>
      <c r="C4104" s="19"/>
      <c r="D4104" s="10"/>
      <c r="E4104" s="10"/>
      <c r="F4104" s="47"/>
      <c r="G4104" s="10"/>
      <c r="H4104" s="20"/>
      <c r="I4104" s="20"/>
      <c r="J4104" s="10"/>
      <c r="K4104" s="10"/>
      <c r="L4104" s="10"/>
      <c r="M4104" s="10"/>
      <c r="N4104" s="10"/>
      <c r="O4104" s="21"/>
    </row>
    <row r="4105" spans="1:15" x14ac:dyDescent="0.35">
      <c r="A4105" s="15">
        <f t="shared" si="63"/>
        <v>4103</v>
      </c>
      <c r="B4105" s="16"/>
      <c r="C4105" s="19"/>
      <c r="D4105" s="10"/>
      <c r="E4105" s="10"/>
      <c r="F4105" s="47"/>
      <c r="G4105" s="10"/>
      <c r="H4105" s="20"/>
      <c r="I4105" s="20"/>
      <c r="J4105" s="10"/>
      <c r="K4105" s="10"/>
      <c r="L4105" s="10"/>
      <c r="M4105" s="10"/>
      <c r="N4105" s="10"/>
      <c r="O4105" s="21"/>
    </row>
    <row r="4106" spans="1:15" x14ac:dyDescent="0.35">
      <c r="A4106" s="15">
        <f t="shared" si="63"/>
        <v>4104</v>
      </c>
      <c r="B4106" s="16"/>
      <c r="C4106" s="19"/>
      <c r="D4106" s="10"/>
      <c r="E4106" s="10"/>
      <c r="F4106" s="47"/>
      <c r="G4106" s="10"/>
      <c r="H4106" s="20"/>
      <c r="I4106" s="20"/>
      <c r="J4106" s="10"/>
      <c r="K4106" s="10"/>
      <c r="L4106" s="10"/>
      <c r="M4106" s="10"/>
      <c r="N4106" s="10"/>
      <c r="O4106" s="21"/>
    </row>
    <row r="4107" spans="1:15" x14ac:dyDescent="0.35">
      <c r="A4107" s="15">
        <f t="shared" ref="A4107:A4170" si="64">+A4106+1</f>
        <v>4105</v>
      </c>
      <c r="B4107" s="16"/>
      <c r="C4107" s="19"/>
      <c r="D4107" s="10"/>
      <c r="E4107" s="10"/>
      <c r="F4107" s="47"/>
      <c r="G4107" s="10"/>
      <c r="H4107" s="20"/>
      <c r="I4107" s="20"/>
      <c r="J4107" s="10"/>
      <c r="K4107" s="10"/>
      <c r="L4107" s="10"/>
      <c r="M4107" s="10"/>
      <c r="N4107" s="10"/>
      <c r="O4107" s="21"/>
    </row>
    <row r="4108" spans="1:15" x14ac:dyDescent="0.35">
      <c r="A4108" s="15">
        <f t="shared" si="64"/>
        <v>4106</v>
      </c>
      <c r="B4108" s="16"/>
      <c r="C4108" s="19"/>
      <c r="D4108" s="10"/>
      <c r="E4108" s="10"/>
      <c r="F4108" s="47"/>
      <c r="G4108" s="10"/>
      <c r="H4108" s="20"/>
      <c r="I4108" s="20"/>
      <c r="J4108" s="10"/>
      <c r="K4108" s="10"/>
      <c r="L4108" s="10"/>
      <c r="M4108" s="10"/>
      <c r="N4108" s="10"/>
      <c r="O4108" s="21"/>
    </row>
    <row r="4109" spans="1:15" x14ac:dyDescent="0.35">
      <c r="A4109" s="15">
        <f t="shared" si="64"/>
        <v>4107</v>
      </c>
      <c r="B4109" s="16"/>
      <c r="C4109" s="19"/>
      <c r="D4109" s="10"/>
      <c r="E4109" s="10"/>
      <c r="F4109" s="47"/>
      <c r="G4109" s="10"/>
      <c r="H4109" s="20"/>
      <c r="I4109" s="20"/>
      <c r="J4109" s="10"/>
      <c r="K4109" s="10"/>
      <c r="L4109" s="10"/>
      <c r="M4109" s="10"/>
      <c r="N4109" s="10"/>
      <c r="O4109" s="21"/>
    </row>
    <row r="4110" spans="1:15" x14ac:dyDescent="0.35">
      <c r="A4110" s="15">
        <f t="shared" si="64"/>
        <v>4108</v>
      </c>
      <c r="B4110" s="16"/>
      <c r="C4110" s="19"/>
      <c r="D4110" s="10"/>
      <c r="E4110" s="10"/>
      <c r="F4110" s="47"/>
      <c r="G4110" s="10"/>
      <c r="H4110" s="20"/>
      <c r="I4110" s="20"/>
      <c r="J4110" s="10"/>
      <c r="K4110" s="10"/>
      <c r="L4110" s="10"/>
      <c r="M4110" s="10"/>
      <c r="N4110" s="10"/>
      <c r="O4110" s="21"/>
    </row>
    <row r="4111" spans="1:15" x14ac:dyDescent="0.35">
      <c r="A4111" s="15">
        <f t="shared" si="64"/>
        <v>4109</v>
      </c>
      <c r="B4111" s="16"/>
      <c r="C4111" s="19"/>
      <c r="D4111" s="10"/>
      <c r="E4111" s="10"/>
      <c r="F4111" s="47"/>
      <c r="G4111" s="10"/>
      <c r="H4111" s="20"/>
      <c r="I4111" s="20"/>
      <c r="J4111" s="10"/>
      <c r="K4111" s="10"/>
      <c r="L4111" s="10"/>
      <c r="M4111" s="10"/>
      <c r="N4111" s="10"/>
      <c r="O4111" s="21"/>
    </row>
    <row r="4112" spans="1:15" x14ac:dyDescent="0.35">
      <c r="A4112" s="15">
        <f t="shared" si="64"/>
        <v>4110</v>
      </c>
      <c r="B4112" s="16"/>
      <c r="C4112" s="19"/>
      <c r="D4112" s="10"/>
      <c r="E4112" s="10"/>
      <c r="F4112" s="47"/>
      <c r="G4112" s="10"/>
      <c r="H4112" s="20"/>
      <c r="I4112" s="20"/>
      <c r="J4112" s="10"/>
      <c r="K4112" s="10"/>
      <c r="L4112" s="10"/>
      <c r="M4112" s="10"/>
      <c r="N4112" s="10"/>
      <c r="O4112" s="21"/>
    </row>
    <row r="4113" spans="1:15" x14ac:dyDescent="0.35">
      <c r="A4113" s="15">
        <f t="shared" si="64"/>
        <v>4111</v>
      </c>
      <c r="B4113" s="16"/>
      <c r="C4113" s="19"/>
      <c r="D4113" s="10"/>
      <c r="E4113" s="10"/>
      <c r="F4113" s="47"/>
      <c r="G4113" s="10"/>
      <c r="H4113" s="20"/>
      <c r="I4113" s="20"/>
      <c r="J4113" s="10"/>
      <c r="K4113" s="10"/>
      <c r="L4113" s="10"/>
      <c r="M4113" s="10"/>
      <c r="N4113" s="10"/>
      <c r="O4113" s="21"/>
    </row>
    <row r="4114" spans="1:15" x14ac:dyDescent="0.35">
      <c r="A4114" s="15">
        <f t="shared" si="64"/>
        <v>4112</v>
      </c>
      <c r="B4114" s="16"/>
      <c r="C4114" s="19"/>
      <c r="D4114" s="10"/>
      <c r="E4114" s="10"/>
      <c r="F4114" s="47"/>
      <c r="G4114" s="10"/>
      <c r="H4114" s="20"/>
      <c r="I4114" s="20"/>
      <c r="J4114" s="10"/>
      <c r="K4114" s="10"/>
      <c r="L4114" s="10"/>
      <c r="M4114" s="10"/>
      <c r="N4114" s="10"/>
      <c r="O4114" s="21"/>
    </row>
    <row r="4115" spans="1:15" x14ac:dyDescent="0.35">
      <c r="A4115" s="15">
        <f t="shared" si="64"/>
        <v>4113</v>
      </c>
      <c r="B4115" s="16"/>
      <c r="C4115" s="19"/>
      <c r="D4115" s="10"/>
      <c r="E4115" s="10"/>
      <c r="F4115" s="47"/>
      <c r="G4115" s="10"/>
      <c r="H4115" s="20"/>
      <c r="I4115" s="20"/>
      <c r="J4115" s="10"/>
      <c r="K4115" s="10"/>
      <c r="L4115" s="10"/>
      <c r="M4115" s="10"/>
      <c r="N4115" s="10"/>
      <c r="O4115" s="21"/>
    </row>
    <row r="4116" spans="1:15" x14ac:dyDescent="0.35">
      <c r="A4116" s="15">
        <f t="shared" si="64"/>
        <v>4114</v>
      </c>
      <c r="B4116" s="16"/>
      <c r="C4116" s="19"/>
      <c r="D4116" s="10"/>
      <c r="E4116" s="10"/>
      <c r="F4116" s="47"/>
      <c r="G4116" s="10"/>
      <c r="H4116" s="20"/>
      <c r="I4116" s="20"/>
      <c r="J4116" s="10"/>
      <c r="K4116" s="10"/>
      <c r="L4116" s="10"/>
      <c r="M4116" s="10"/>
      <c r="N4116" s="10"/>
      <c r="O4116" s="21"/>
    </row>
    <row r="4117" spans="1:15" x14ac:dyDescent="0.35">
      <c r="A4117" s="15">
        <f t="shared" si="64"/>
        <v>4115</v>
      </c>
      <c r="B4117" s="16"/>
      <c r="C4117" s="19"/>
      <c r="D4117" s="10"/>
      <c r="E4117" s="10"/>
      <c r="F4117" s="47"/>
      <c r="G4117" s="10"/>
      <c r="H4117" s="20"/>
      <c r="I4117" s="20"/>
      <c r="J4117" s="10"/>
      <c r="K4117" s="10"/>
      <c r="L4117" s="10"/>
      <c r="M4117" s="10"/>
      <c r="N4117" s="10"/>
      <c r="O4117" s="21"/>
    </row>
    <row r="4118" spans="1:15" x14ac:dyDescent="0.35">
      <c r="A4118" s="15">
        <f t="shared" si="64"/>
        <v>4116</v>
      </c>
      <c r="B4118" s="16"/>
      <c r="C4118" s="19"/>
      <c r="D4118" s="10"/>
      <c r="E4118" s="10"/>
      <c r="F4118" s="47"/>
      <c r="G4118" s="10"/>
      <c r="H4118" s="20"/>
      <c r="I4118" s="20"/>
      <c r="J4118" s="10"/>
      <c r="K4118" s="10"/>
      <c r="L4118" s="10"/>
      <c r="M4118" s="10"/>
      <c r="N4118" s="10"/>
      <c r="O4118" s="21"/>
    </row>
    <row r="4119" spans="1:15" x14ac:dyDescent="0.35">
      <c r="A4119" s="15">
        <f t="shared" si="64"/>
        <v>4117</v>
      </c>
      <c r="B4119" s="16"/>
      <c r="C4119" s="19"/>
      <c r="D4119" s="10"/>
      <c r="E4119" s="10"/>
      <c r="F4119" s="47"/>
      <c r="G4119" s="10"/>
      <c r="H4119" s="20"/>
      <c r="I4119" s="20"/>
      <c r="J4119" s="10"/>
      <c r="K4119" s="10"/>
      <c r="L4119" s="10"/>
      <c r="M4119" s="10"/>
      <c r="N4119" s="10"/>
      <c r="O4119" s="21"/>
    </row>
    <row r="4120" spans="1:15" x14ac:dyDescent="0.35">
      <c r="A4120" s="15">
        <f t="shared" si="64"/>
        <v>4118</v>
      </c>
      <c r="B4120" s="16"/>
      <c r="C4120" s="19"/>
      <c r="D4120" s="10"/>
      <c r="E4120" s="10"/>
      <c r="F4120" s="47"/>
      <c r="G4120" s="10"/>
      <c r="H4120" s="20"/>
      <c r="I4120" s="20"/>
      <c r="J4120" s="10"/>
      <c r="K4120" s="10"/>
      <c r="L4120" s="10"/>
      <c r="M4120" s="10"/>
      <c r="N4120" s="10"/>
      <c r="O4120" s="21"/>
    </row>
    <row r="4121" spans="1:15" x14ac:dyDescent="0.35">
      <c r="A4121" s="15">
        <f t="shared" si="64"/>
        <v>4119</v>
      </c>
      <c r="B4121" s="16"/>
      <c r="C4121" s="19"/>
      <c r="D4121" s="10"/>
      <c r="E4121" s="10"/>
      <c r="F4121" s="47"/>
      <c r="G4121" s="10"/>
      <c r="H4121" s="20"/>
      <c r="I4121" s="20"/>
      <c r="J4121" s="10"/>
      <c r="K4121" s="10"/>
      <c r="L4121" s="10"/>
      <c r="M4121" s="10"/>
      <c r="N4121" s="10"/>
      <c r="O4121" s="21"/>
    </row>
    <row r="4122" spans="1:15" x14ac:dyDescent="0.35">
      <c r="A4122" s="15">
        <f t="shared" si="64"/>
        <v>4120</v>
      </c>
      <c r="B4122" s="16"/>
      <c r="C4122" s="19"/>
      <c r="D4122" s="10"/>
      <c r="E4122" s="10"/>
      <c r="F4122" s="47"/>
      <c r="G4122" s="10"/>
      <c r="H4122" s="20"/>
      <c r="I4122" s="20"/>
      <c r="J4122" s="10"/>
      <c r="K4122" s="10"/>
      <c r="L4122" s="10"/>
      <c r="M4122" s="10"/>
      <c r="N4122" s="10"/>
      <c r="O4122" s="21"/>
    </row>
    <row r="4123" spans="1:15" x14ac:dyDescent="0.35">
      <c r="A4123" s="15">
        <f t="shared" si="64"/>
        <v>4121</v>
      </c>
      <c r="B4123" s="16"/>
      <c r="C4123" s="19"/>
      <c r="D4123" s="10"/>
      <c r="E4123" s="10"/>
      <c r="F4123" s="47"/>
      <c r="G4123" s="10"/>
      <c r="H4123" s="20"/>
      <c r="I4123" s="20"/>
      <c r="J4123" s="10"/>
      <c r="K4123" s="10"/>
      <c r="L4123" s="10"/>
      <c r="M4123" s="10"/>
      <c r="N4123" s="10"/>
      <c r="O4123" s="21"/>
    </row>
    <row r="4124" spans="1:15" x14ac:dyDescent="0.35">
      <c r="A4124" s="15">
        <f t="shared" si="64"/>
        <v>4122</v>
      </c>
      <c r="B4124" s="16"/>
      <c r="C4124" s="19"/>
      <c r="D4124" s="10"/>
      <c r="E4124" s="10"/>
      <c r="F4124" s="47"/>
      <c r="G4124" s="10"/>
      <c r="H4124" s="20"/>
      <c r="I4124" s="20"/>
      <c r="J4124" s="10"/>
      <c r="K4124" s="10"/>
      <c r="L4124" s="10"/>
      <c r="M4124" s="10"/>
      <c r="N4124" s="10"/>
      <c r="O4124" s="21"/>
    </row>
    <row r="4125" spans="1:15" x14ac:dyDescent="0.35">
      <c r="A4125" s="15">
        <f t="shared" si="64"/>
        <v>4123</v>
      </c>
      <c r="B4125" s="16"/>
      <c r="C4125" s="19"/>
      <c r="D4125" s="10"/>
      <c r="E4125" s="10"/>
      <c r="F4125" s="47"/>
      <c r="G4125" s="10"/>
      <c r="H4125" s="20"/>
      <c r="I4125" s="20"/>
      <c r="J4125" s="10"/>
      <c r="K4125" s="10"/>
      <c r="L4125" s="10"/>
      <c r="M4125" s="10"/>
      <c r="N4125" s="10"/>
      <c r="O4125" s="21"/>
    </row>
    <row r="4126" spans="1:15" x14ac:dyDescent="0.35">
      <c r="A4126" s="15">
        <f t="shared" si="64"/>
        <v>4124</v>
      </c>
      <c r="B4126" s="16"/>
      <c r="C4126" s="19"/>
      <c r="D4126" s="10"/>
      <c r="E4126" s="10"/>
      <c r="F4126" s="47"/>
      <c r="G4126" s="10"/>
      <c r="H4126" s="20"/>
      <c r="I4126" s="20"/>
      <c r="J4126" s="10"/>
      <c r="K4126" s="10"/>
      <c r="L4126" s="10"/>
      <c r="M4126" s="10"/>
      <c r="N4126" s="10"/>
      <c r="O4126" s="21"/>
    </row>
    <row r="4127" spans="1:15" x14ac:dyDescent="0.35">
      <c r="A4127" s="15">
        <f t="shared" si="64"/>
        <v>4125</v>
      </c>
      <c r="B4127" s="16"/>
      <c r="C4127" s="19"/>
      <c r="D4127" s="10"/>
      <c r="E4127" s="10"/>
      <c r="F4127" s="47"/>
      <c r="G4127" s="10"/>
      <c r="H4127" s="20"/>
      <c r="I4127" s="20"/>
      <c r="J4127" s="10"/>
      <c r="K4127" s="10"/>
      <c r="L4127" s="10"/>
      <c r="M4127" s="10"/>
      <c r="N4127" s="10"/>
      <c r="O4127" s="21"/>
    </row>
    <row r="4128" spans="1:15" x14ac:dyDescent="0.35">
      <c r="A4128" s="15">
        <f t="shared" si="64"/>
        <v>4126</v>
      </c>
      <c r="B4128" s="16"/>
      <c r="C4128" s="19"/>
      <c r="D4128" s="10"/>
      <c r="E4128" s="10"/>
      <c r="F4128" s="47"/>
      <c r="G4128" s="10"/>
      <c r="H4128" s="20"/>
      <c r="I4128" s="20"/>
      <c r="J4128" s="10"/>
      <c r="K4128" s="10"/>
      <c r="L4128" s="10"/>
      <c r="M4128" s="10"/>
      <c r="N4128" s="10"/>
      <c r="O4128" s="21"/>
    </row>
    <row r="4129" spans="1:15" x14ac:dyDescent="0.35">
      <c r="A4129" s="15">
        <f t="shared" si="64"/>
        <v>4127</v>
      </c>
      <c r="B4129" s="16"/>
      <c r="C4129" s="19"/>
      <c r="D4129" s="10"/>
      <c r="E4129" s="10"/>
      <c r="F4129" s="47"/>
      <c r="G4129" s="10"/>
      <c r="H4129" s="20"/>
      <c r="I4129" s="20"/>
      <c r="J4129" s="10"/>
      <c r="K4129" s="10"/>
      <c r="L4129" s="10"/>
      <c r="M4129" s="10"/>
      <c r="N4129" s="10"/>
      <c r="O4129" s="21"/>
    </row>
    <row r="4130" spans="1:15" x14ac:dyDescent="0.35">
      <c r="A4130" s="15">
        <f t="shared" si="64"/>
        <v>4128</v>
      </c>
      <c r="B4130" s="16"/>
      <c r="C4130" s="19"/>
      <c r="D4130" s="10"/>
      <c r="E4130" s="10"/>
      <c r="F4130" s="47"/>
      <c r="G4130" s="10"/>
      <c r="H4130" s="20"/>
      <c r="I4130" s="20"/>
      <c r="J4130" s="10"/>
      <c r="K4130" s="10"/>
      <c r="L4130" s="10"/>
      <c r="M4130" s="10"/>
      <c r="N4130" s="10"/>
      <c r="O4130" s="21"/>
    </row>
    <row r="4131" spans="1:15" x14ac:dyDescent="0.35">
      <c r="A4131" s="15">
        <f t="shared" si="64"/>
        <v>4129</v>
      </c>
      <c r="B4131" s="16"/>
      <c r="C4131" s="19"/>
      <c r="D4131" s="10"/>
      <c r="E4131" s="10"/>
      <c r="F4131" s="47"/>
      <c r="G4131" s="10"/>
      <c r="H4131" s="20"/>
      <c r="I4131" s="20"/>
      <c r="J4131" s="10"/>
      <c r="K4131" s="10"/>
      <c r="L4131" s="10"/>
      <c r="M4131" s="10"/>
      <c r="N4131" s="10"/>
      <c r="O4131" s="21"/>
    </row>
    <row r="4132" spans="1:15" x14ac:dyDescent="0.35">
      <c r="A4132" s="15">
        <f t="shared" si="64"/>
        <v>4130</v>
      </c>
      <c r="B4132" s="16"/>
      <c r="C4132" s="19"/>
      <c r="D4132" s="10"/>
      <c r="E4132" s="10"/>
      <c r="F4132" s="47"/>
      <c r="G4132" s="10"/>
      <c r="H4132" s="20"/>
      <c r="I4132" s="20"/>
      <c r="J4132" s="10"/>
      <c r="K4132" s="10"/>
      <c r="L4132" s="10"/>
      <c r="M4132" s="10"/>
      <c r="N4132" s="10"/>
      <c r="O4132" s="21"/>
    </row>
    <row r="4133" spans="1:15" x14ac:dyDescent="0.35">
      <c r="A4133" s="15">
        <f t="shared" si="64"/>
        <v>4131</v>
      </c>
      <c r="B4133" s="16"/>
      <c r="C4133" s="19"/>
      <c r="D4133" s="10"/>
      <c r="E4133" s="10"/>
      <c r="F4133" s="47"/>
      <c r="G4133" s="10"/>
      <c r="H4133" s="20"/>
      <c r="I4133" s="20"/>
      <c r="J4133" s="10"/>
      <c r="K4133" s="10"/>
      <c r="L4133" s="10"/>
      <c r="M4133" s="10"/>
      <c r="N4133" s="10"/>
      <c r="O4133" s="21"/>
    </row>
    <row r="4134" spans="1:15" x14ac:dyDescent="0.35">
      <c r="A4134" s="15">
        <f t="shared" si="64"/>
        <v>4132</v>
      </c>
      <c r="B4134" s="16"/>
      <c r="C4134" s="19"/>
      <c r="D4134" s="10"/>
      <c r="E4134" s="10"/>
      <c r="F4134" s="47"/>
      <c r="G4134" s="10"/>
      <c r="H4134" s="20"/>
      <c r="I4134" s="20"/>
      <c r="J4134" s="10"/>
      <c r="K4134" s="10"/>
      <c r="L4134" s="10"/>
      <c r="M4134" s="10"/>
      <c r="N4134" s="10"/>
      <c r="O4134" s="21"/>
    </row>
    <row r="4135" spans="1:15" x14ac:dyDescent="0.35">
      <c r="A4135" s="15">
        <f t="shared" si="64"/>
        <v>4133</v>
      </c>
      <c r="B4135" s="16"/>
      <c r="C4135" s="19"/>
      <c r="D4135" s="10"/>
      <c r="E4135" s="10"/>
      <c r="F4135" s="47"/>
      <c r="G4135" s="10"/>
      <c r="H4135" s="20"/>
      <c r="I4135" s="20"/>
      <c r="J4135" s="10"/>
      <c r="K4135" s="10"/>
      <c r="L4135" s="10"/>
      <c r="M4135" s="10"/>
      <c r="N4135" s="10"/>
      <c r="O4135" s="21"/>
    </row>
    <row r="4136" spans="1:15" x14ac:dyDescent="0.35">
      <c r="A4136" s="15">
        <f t="shared" si="64"/>
        <v>4134</v>
      </c>
      <c r="B4136" s="16"/>
      <c r="C4136" s="19"/>
      <c r="D4136" s="10"/>
      <c r="E4136" s="10"/>
      <c r="F4136" s="47"/>
      <c r="G4136" s="10"/>
      <c r="H4136" s="20"/>
      <c r="I4136" s="20"/>
      <c r="J4136" s="10"/>
      <c r="K4136" s="10"/>
      <c r="L4136" s="10"/>
      <c r="M4136" s="10"/>
      <c r="N4136" s="10"/>
      <c r="O4136" s="21"/>
    </row>
    <row r="4137" spans="1:15" x14ac:dyDescent="0.35">
      <c r="A4137" s="15">
        <f t="shared" si="64"/>
        <v>4135</v>
      </c>
      <c r="B4137" s="16"/>
      <c r="C4137" s="19"/>
      <c r="D4137" s="10"/>
      <c r="E4137" s="10"/>
      <c r="F4137" s="47"/>
      <c r="G4137" s="10"/>
      <c r="H4137" s="20"/>
      <c r="I4137" s="20"/>
      <c r="J4137" s="10"/>
      <c r="K4137" s="10"/>
      <c r="L4137" s="10"/>
      <c r="M4137" s="10"/>
      <c r="N4137" s="10"/>
      <c r="O4137" s="21"/>
    </row>
    <row r="4138" spans="1:15" x14ac:dyDescent="0.35">
      <c r="A4138" s="15">
        <f t="shared" si="64"/>
        <v>4136</v>
      </c>
      <c r="B4138" s="16"/>
      <c r="C4138" s="19"/>
      <c r="D4138" s="10"/>
      <c r="E4138" s="10"/>
      <c r="F4138" s="47"/>
      <c r="G4138" s="10"/>
      <c r="H4138" s="20"/>
      <c r="I4138" s="20"/>
      <c r="J4138" s="10"/>
      <c r="K4138" s="10"/>
      <c r="L4138" s="10"/>
      <c r="M4138" s="10"/>
      <c r="N4138" s="10"/>
      <c r="O4138" s="21"/>
    </row>
    <row r="4139" spans="1:15" x14ac:dyDescent="0.35">
      <c r="A4139" s="15">
        <f t="shared" si="64"/>
        <v>4137</v>
      </c>
      <c r="B4139" s="16"/>
      <c r="C4139" s="19"/>
      <c r="D4139" s="10"/>
      <c r="E4139" s="10"/>
      <c r="F4139" s="47"/>
      <c r="G4139" s="10"/>
      <c r="H4139" s="20"/>
      <c r="I4139" s="20"/>
      <c r="J4139" s="10"/>
      <c r="K4139" s="10"/>
      <c r="L4139" s="10"/>
      <c r="M4139" s="10"/>
      <c r="N4139" s="10"/>
      <c r="O4139" s="21"/>
    </row>
    <row r="4140" spans="1:15" x14ac:dyDescent="0.35">
      <c r="A4140" s="15">
        <f t="shared" si="64"/>
        <v>4138</v>
      </c>
      <c r="B4140" s="16"/>
      <c r="C4140" s="19"/>
      <c r="D4140" s="10"/>
      <c r="E4140" s="10"/>
      <c r="F4140" s="47"/>
      <c r="G4140" s="10"/>
      <c r="H4140" s="20"/>
      <c r="I4140" s="20"/>
      <c r="J4140" s="10"/>
      <c r="K4140" s="10"/>
      <c r="L4140" s="10"/>
      <c r="M4140" s="10"/>
      <c r="N4140" s="10"/>
      <c r="O4140" s="21"/>
    </row>
    <row r="4141" spans="1:15" x14ac:dyDescent="0.35">
      <c r="A4141" s="15">
        <f t="shared" si="64"/>
        <v>4139</v>
      </c>
      <c r="B4141" s="16"/>
      <c r="C4141" s="19"/>
      <c r="D4141" s="10"/>
      <c r="E4141" s="10"/>
      <c r="F4141" s="47"/>
      <c r="G4141" s="10"/>
      <c r="H4141" s="20"/>
      <c r="I4141" s="20"/>
      <c r="J4141" s="10"/>
      <c r="K4141" s="10"/>
      <c r="L4141" s="10"/>
      <c r="M4141" s="10"/>
      <c r="N4141" s="10"/>
      <c r="O4141" s="21"/>
    </row>
    <row r="4142" spans="1:15" x14ac:dyDescent="0.35">
      <c r="A4142" s="15">
        <f t="shared" si="64"/>
        <v>4140</v>
      </c>
      <c r="B4142" s="16"/>
      <c r="C4142" s="19"/>
      <c r="D4142" s="10"/>
      <c r="E4142" s="10"/>
      <c r="F4142" s="47"/>
      <c r="G4142" s="10"/>
      <c r="H4142" s="20"/>
      <c r="I4142" s="20"/>
      <c r="J4142" s="10"/>
      <c r="K4142" s="10"/>
      <c r="L4142" s="10"/>
      <c r="M4142" s="10"/>
      <c r="N4142" s="10"/>
      <c r="O4142" s="21"/>
    </row>
    <row r="4143" spans="1:15" x14ac:dyDescent="0.35">
      <c r="A4143" s="15">
        <f t="shared" si="64"/>
        <v>4141</v>
      </c>
      <c r="B4143" s="16"/>
      <c r="C4143" s="19"/>
      <c r="D4143" s="10"/>
      <c r="E4143" s="10"/>
      <c r="F4143" s="47"/>
      <c r="G4143" s="10"/>
      <c r="H4143" s="20"/>
      <c r="I4143" s="20"/>
      <c r="J4143" s="10"/>
      <c r="K4143" s="10"/>
      <c r="L4143" s="10"/>
      <c r="M4143" s="10"/>
      <c r="N4143" s="10"/>
      <c r="O4143" s="21"/>
    </row>
    <row r="4144" spans="1:15" x14ac:dyDescent="0.35">
      <c r="A4144" s="15">
        <f t="shared" si="64"/>
        <v>4142</v>
      </c>
      <c r="B4144" s="16"/>
      <c r="C4144" s="19"/>
      <c r="D4144" s="10"/>
      <c r="E4144" s="10"/>
      <c r="F4144" s="47"/>
      <c r="G4144" s="10"/>
      <c r="H4144" s="20"/>
      <c r="I4144" s="20"/>
      <c r="J4144" s="10"/>
      <c r="K4144" s="10"/>
      <c r="L4144" s="10"/>
      <c r="M4144" s="10"/>
      <c r="N4144" s="10"/>
      <c r="O4144" s="21"/>
    </row>
    <row r="4145" spans="1:15" x14ac:dyDescent="0.35">
      <c r="A4145" s="15">
        <f t="shared" si="64"/>
        <v>4143</v>
      </c>
      <c r="B4145" s="16"/>
      <c r="C4145" s="19"/>
      <c r="D4145" s="10"/>
      <c r="E4145" s="10"/>
      <c r="F4145" s="47"/>
      <c r="G4145" s="10"/>
      <c r="H4145" s="20"/>
      <c r="I4145" s="20"/>
      <c r="J4145" s="10"/>
      <c r="K4145" s="10"/>
      <c r="L4145" s="10"/>
      <c r="M4145" s="10"/>
      <c r="N4145" s="10"/>
      <c r="O4145" s="21"/>
    </row>
    <row r="4146" spans="1:15" x14ac:dyDescent="0.35">
      <c r="A4146" s="15">
        <f t="shared" si="64"/>
        <v>4144</v>
      </c>
      <c r="B4146" s="16"/>
      <c r="C4146" s="19"/>
      <c r="D4146" s="10"/>
      <c r="E4146" s="10"/>
      <c r="F4146" s="47"/>
      <c r="G4146" s="10"/>
      <c r="H4146" s="20"/>
      <c r="I4146" s="20"/>
      <c r="J4146" s="10"/>
      <c r="K4146" s="10"/>
      <c r="L4146" s="10"/>
      <c r="M4146" s="10"/>
      <c r="N4146" s="10"/>
      <c r="O4146" s="21"/>
    </row>
    <row r="4147" spans="1:15" x14ac:dyDescent="0.35">
      <c r="A4147" s="15">
        <f t="shared" si="64"/>
        <v>4145</v>
      </c>
      <c r="B4147" s="16"/>
      <c r="C4147" s="19"/>
      <c r="D4147" s="10"/>
      <c r="E4147" s="10"/>
      <c r="F4147" s="47"/>
      <c r="G4147" s="10"/>
      <c r="H4147" s="20"/>
      <c r="I4147" s="20"/>
      <c r="J4147" s="10"/>
      <c r="K4147" s="10"/>
      <c r="L4147" s="10"/>
      <c r="M4147" s="10"/>
      <c r="N4147" s="10"/>
      <c r="O4147" s="21"/>
    </row>
    <row r="4148" spans="1:15" x14ac:dyDescent="0.35">
      <c r="A4148" s="15">
        <f t="shared" si="64"/>
        <v>4146</v>
      </c>
      <c r="B4148" s="16"/>
      <c r="C4148" s="19"/>
      <c r="D4148" s="10"/>
      <c r="E4148" s="10"/>
      <c r="F4148" s="47"/>
      <c r="G4148" s="10"/>
      <c r="H4148" s="20"/>
      <c r="I4148" s="20"/>
      <c r="J4148" s="10"/>
      <c r="K4148" s="10"/>
      <c r="L4148" s="10"/>
      <c r="M4148" s="10"/>
      <c r="N4148" s="10"/>
      <c r="O4148" s="21"/>
    </row>
    <row r="4149" spans="1:15" x14ac:dyDescent="0.35">
      <c r="A4149" s="15">
        <f t="shared" si="64"/>
        <v>4147</v>
      </c>
      <c r="B4149" s="16"/>
      <c r="C4149" s="19"/>
      <c r="D4149" s="10"/>
      <c r="E4149" s="10"/>
      <c r="F4149" s="47"/>
      <c r="G4149" s="10"/>
      <c r="H4149" s="20"/>
      <c r="I4149" s="20"/>
      <c r="J4149" s="10"/>
      <c r="K4149" s="10"/>
      <c r="L4149" s="10"/>
      <c r="M4149" s="10"/>
      <c r="N4149" s="10"/>
      <c r="O4149" s="21"/>
    </row>
    <row r="4150" spans="1:15" x14ac:dyDescent="0.35">
      <c r="A4150" s="15">
        <f t="shared" si="64"/>
        <v>4148</v>
      </c>
      <c r="B4150" s="16"/>
      <c r="C4150" s="19"/>
      <c r="D4150" s="10"/>
      <c r="E4150" s="10"/>
      <c r="F4150" s="47"/>
      <c r="G4150" s="10"/>
      <c r="H4150" s="20"/>
      <c r="I4150" s="20"/>
      <c r="J4150" s="10"/>
      <c r="K4150" s="10"/>
      <c r="L4150" s="10"/>
      <c r="M4150" s="10"/>
      <c r="N4150" s="10"/>
      <c r="O4150" s="21"/>
    </row>
    <row r="4151" spans="1:15" x14ac:dyDescent="0.35">
      <c r="A4151" s="15">
        <f t="shared" si="64"/>
        <v>4149</v>
      </c>
      <c r="B4151" s="16"/>
      <c r="C4151" s="19"/>
      <c r="D4151" s="10"/>
      <c r="E4151" s="10"/>
      <c r="F4151" s="47"/>
      <c r="G4151" s="10"/>
      <c r="H4151" s="20"/>
      <c r="I4151" s="20"/>
      <c r="J4151" s="10"/>
      <c r="K4151" s="10"/>
      <c r="L4151" s="10"/>
      <c r="M4151" s="10"/>
      <c r="N4151" s="10"/>
      <c r="O4151" s="21"/>
    </row>
    <row r="4152" spans="1:15" x14ac:dyDescent="0.35">
      <c r="A4152" s="15">
        <f t="shared" si="64"/>
        <v>4150</v>
      </c>
      <c r="B4152" s="16"/>
      <c r="C4152" s="19"/>
      <c r="D4152" s="10"/>
      <c r="E4152" s="10"/>
      <c r="F4152" s="47"/>
      <c r="G4152" s="10"/>
      <c r="H4152" s="20"/>
      <c r="I4152" s="20"/>
      <c r="J4152" s="10"/>
      <c r="K4152" s="10"/>
      <c r="L4152" s="10"/>
      <c r="M4152" s="10"/>
      <c r="N4152" s="10"/>
      <c r="O4152" s="21"/>
    </row>
    <row r="4153" spans="1:15" x14ac:dyDescent="0.35">
      <c r="A4153" s="15">
        <f t="shared" si="64"/>
        <v>4151</v>
      </c>
      <c r="B4153" s="16"/>
      <c r="C4153" s="19"/>
      <c r="D4153" s="10"/>
      <c r="E4153" s="10"/>
      <c r="F4153" s="47"/>
      <c r="G4153" s="10"/>
      <c r="H4153" s="20"/>
      <c r="I4153" s="20"/>
      <c r="J4153" s="10"/>
      <c r="K4153" s="10"/>
      <c r="L4153" s="10"/>
      <c r="M4153" s="10"/>
      <c r="N4153" s="10"/>
      <c r="O4153" s="21"/>
    </row>
    <row r="4154" spans="1:15" x14ac:dyDescent="0.35">
      <c r="A4154" s="15">
        <f t="shared" si="64"/>
        <v>4152</v>
      </c>
      <c r="B4154" s="16"/>
      <c r="C4154" s="19"/>
      <c r="D4154" s="10"/>
      <c r="E4154" s="10"/>
      <c r="F4154" s="47"/>
      <c r="G4154" s="10"/>
      <c r="H4154" s="20"/>
      <c r="I4154" s="20"/>
      <c r="J4154" s="10"/>
      <c r="K4154" s="10"/>
      <c r="L4154" s="10"/>
      <c r="M4154" s="10"/>
      <c r="N4154" s="10"/>
      <c r="O4154" s="21"/>
    </row>
    <row r="4155" spans="1:15" x14ac:dyDescent="0.35">
      <c r="A4155" s="15">
        <f t="shared" si="64"/>
        <v>4153</v>
      </c>
      <c r="B4155" s="16"/>
      <c r="C4155" s="19"/>
      <c r="D4155" s="10"/>
      <c r="E4155" s="10"/>
      <c r="F4155" s="47"/>
      <c r="G4155" s="10"/>
      <c r="H4155" s="20"/>
      <c r="I4155" s="20"/>
      <c r="J4155" s="10"/>
      <c r="K4155" s="10"/>
      <c r="L4155" s="10"/>
      <c r="M4155" s="10"/>
      <c r="N4155" s="10"/>
      <c r="O4155" s="21"/>
    </row>
    <row r="4156" spans="1:15" x14ac:dyDescent="0.35">
      <c r="A4156" s="15">
        <f t="shared" si="64"/>
        <v>4154</v>
      </c>
      <c r="B4156" s="16"/>
      <c r="C4156" s="19"/>
      <c r="D4156" s="10"/>
      <c r="E4156" s="10"/>
      <c r="F4156" s="47"/>
      <c r="G4156" s="10"/>
      <c r="H4156" s="20"/>
      <c r="I4156" s="20"/>
      <c r="J4156" s="10"/>
      <c r="K4156" s="10"/>
      <c r="L4156" s="10"/>
      <c r="M4156" s="10"/>
      <c r="N4156" s="10"/>
      <c r="O4156" s="21"/>
    </row>
    <row r="4157" spans="1:15" x14ac:dyDescent="0.35">
      <c r="A4157" s="15">
        <f t="shared" si="64"/>
        <v>4155</v>
      </c>
      <c r="B4157" s="16"/>
      <c r="C4157" s="19"/>
      <c r="D4157" s="10"/>
      <c r="E4157" s="10"/>
      <c r="F4157" s="47"/>
      <c r="G4157" s="10"/>
      <c r="H4157" s="20"/>
      <c r="I4157" s="20"/>
      <c r="J4157" s="10"/>
      <c r="K4157" s="10"/>
      <c r="L4157" s="10"/>
      <c r="M4157" s="10"/>
      <c r="N4157" s="10"/>
      <c r="O4157" s="21"/>
    </row>
    <row r="4158" spans="1:15" x14ac:dyDescent="0.35">
      <c r="A4158" s="15">
        <f t="shared" si="64"/>
        <v>4156</v>
      </c>
      <c r="B4158" s="16"/>
      <c r="C4158" s="19"/>
      <c r="D4158" s="10"/>
      <c r="E4158" s="10"/>
      <c r="F4158" s="47"/>
      <c r="G4158" s="10"/>
      <c r="H4158" s="20"/>
      <c r="I4158" s="20"/>
      <c r="J4158" s="10"/>
      <c r="K4158" s="10"/>
      <c r="L4158" s="10"/>
      <c r="M4158" s="10"/>
      <c r="N4158" s="10"/>
      <c r="O4158" s="21"/>
    </row>
    <row r="4159" spans="1:15" x14ac:dyDescent="0.35">
      <c r="A4159" s="15">
        <f t="shared" si="64"/>
        <v>4157</v>
      </c>
      <c r="B4159" s="16"/>
      <c r="C4159" s="19"/>
      <c r="D4159" s="10"/>
      <c r="E4159" s="10"/>
      <c r="F4159" s="47"/>
      <c r="G4159" s="10"/>
      <c r="H4159" s="20"/>
      <c r="I4159" s="20"/>
      <c r="J4159" s="10"/>
      <c r="K4159" s="10"/>
      <c r="L4159" s="10"/>
      <c r="M4159" s="10"/>
      <c r="N4159" s="10"/>
      <c r="O4159" s="21"/>
    </row>
    <row r="4160" spans="1:15" x14ac:dyDescent="0.35">
      <c r="A4160" s="15">
        <f t="shared" si="64"/>
        <v>4158</v>
      </c>
      <c r="B4160" s="16"/>
      <c r="C4160" s="19"/>
      <c r="D4160" s="10"/>
      <c r="E4160" s="10"/>
      <c r="F4160" s="47"/>
      <c r="G4160" s="10"/>
      <c r="H4160" s="20"/>
      <c r="I4160" s="20"/>
      <c r="J4160" s="10"/>
      <c r="K4160" s="10"/>
      <c r="L4160" s="10"/>
      <c r="M4160" s="10"/>
      <c r="N4160" s="10"/>
      <c r="O4160" s="21"/>
    </row>
    <row r="4161" spans="1:15" x14ac:dyDescent="0.35">
      <c r="A4161" s="15">
        <f t="shared" si="64"/>
        <v>4159</v>
      </c>
      <c r="B4161" s="16"/>
      <c r="C4161" s="19"/>
      <c r="D4161" s="10"/>
      <c r="E4161" s="10"/>
      <c r="F4161" s="47"/>
      <c r="G4161" s="10"/>
      <c r="H4161" s="20"/>
      <c r="I4161" s="20"/>
      <c r="J4161" s="10"/>
      <c r="K4161" s="10"/>
      <c r="L4161" s="10"/>
      <c r="M4161" s="10"/>
      <c r="N4161" s="10"/>
      <c r="O4161" s="21"/>
    </row>
    <row r="4162" spans="1:15" x14ac:dyDescent="0.35">
      <c r="A4162" s="15">
        <f t="shared" si="64"/>
        <v>4160</v>
      </c>
      <c r="B4162" s="16"/>
      <c r="C4162" s="19"/>
      <c r="D4162" s="10"/>
      <c r="E4162" s="10"/>
      <c r="F4162" s="47"/>
      <c r="G4162" s="10"/>
      <c r="H4162" s="20"/>
      <c r="I4162" s="20"/>
      <c r="J4162" s="10"/>
      <c r="K4162" s="10"/>
      <c r="L4162" s="10"/>
      <c r="M4162" s="10"/>
      <c r="N4162" s="10"/>
      <c r="O4162" s="21"/>
    </row>
    <row r="4163" spans="1:15" x14ac:dyDescent="0.35">
      <c r="A4163" s="15">
        <f t="shared" si="64"/>
        <v>4161</v>
      </c>
      <c r="B4163" s="16"/>
      <c r="C4163" s="19"/>
      <c r="D4163" s="10"/>
      <c r="E4163" s="10"/>
      <c r="F4163" s="47"/>
      <c r="G4163" s="10"/>
      <c r="H4163" s="20"/>
      <c r="I4163" s="20"/>
      <c r="J4163" s="10"/>
      <c r="K4163" s="10"/>
      <c r="L4163" s="10"/>
      <c r="M4163" s="10"/>
      <c r="N4163" s="10"/>
      <c r="O4163" s="21"/>
    </row>
    <row r="4164" spans="1:15" x14ac:dyDescent="0.35">
      <c r="A4164" s="15">
        <f t="shared" si="64"/>
        <v>4162</v>
      </c>
      <c r="B4164" s="16"/>
      <c r="C4164" s="19"/>
      <c r="D4164" s="10"/>
      <c r="E4164" s="10"/>
      <c r="F4164" s="47"/>
      <c r="G4164" s="10"/>
      <c r="H4164" s="20"/>
      <c r="I4164" s="20"/>
      <c r="J4164" s="10"/>
      <c r="K4164" s="10"/>
      <c r="L4164" s="10"/>
      <c r="M4164" s="10"/>
      <c r="N4164" s="10"/>
      <c r="O4164" s="21"/>
    </row>
    <row r="4165" spans="1:15" x14ac:dyDescent="0.35">
      <c r="A4165" s="15">
        <f t="shared" si="64"/>
        <v>4163</v>
      </c>
      <c r="B4165" s="16"/>
      <c r="C4165" s="19"/>
      <c r="D4165" s="10"/>
      <c r="E4165" s="10"/>
      <c r="F4165" s="47"/>
      <c r="G4165" s="10"/>
      <c r="H4165" s="20"/>
      <c r="I4165" s="20"/>
      <c r="J4165" s="10"/>
      <c r="K4165" s="10"/>
      <c r="L4165" s="10"/>
      <c r="M4165" s="10"/>
      <c r="N4165" s="10"/>
      <c r="O4165" s="21"/>
    </row>
    <row r="4166" spans="1:15" x14ac:dyDescent="0.35">
      <c r="A4166" s="15">
        <f t="shared" si="64"/>
        <v>4164</v>
      </c>
      <c r="B4166" s="16"/>
      <c r="C4166" s="19"/>
      <c r="D4166" s="10"/>
      <c r="E4166" s="10"/>
      <c r="F4166" s="47"/>
      <c r="G4166" s="10"/>
      <c r="H4166" s="20"/>
      <c r="I4166" s="20"/>
      <c r="J4166" s="10"/>
      <c r="K4166" s="10"/>
      <c r="L4166" s="10"/>
      <c r="M4166" s="10"/>
      <c r="N4166" s="10"/>
      <c r="O4166" s="21"/>
    </row>
    <row r="4167" spans="1:15" x14ac:dyDescent="0.35">
      <c r="A4167" s="15">
        <f t="shared" si="64"/>
        <v>4165</v>
      </c>
      <c r="B4167" s="16"/>
      <c r="C4167" s="19"/>
      <c r="D4167" s="10"/>
      <c r="E4167" s="10"/>
      <c r="F4167" s="47"/>
      <c r="G4167" s="10"/>
      <c r="H4167" s="20"/>
      <c r="I4167" s="20"/>
      <c r="J4167" s="10"/>
      <c r="K4167" s="10"/>
      <c r="L4167" s="10"/>
      <c r="M4167" s="10"/>
      <c r="N4167" s="10"/>
      <c r="O4167" s="21"/>
    </row>
    <row r="4168" spans="1:15" x14ac:dyDescent="0.35">
      <c r="A4168" s="15">
        <f t="shared" si="64"/>
        <v>4166</v>
      </c>
      <c r="B4168" s="16"/>
      <c r="C4168" s="19"/>
      <c r="D4168" s="10"/>
      <c r="E4168" s="10"/>
      <c r="F4168" s="47"/>
      <c r="G4168" s="10"/>
      <c r="H4168" s="20"/>
      <c r="I4168" s="20"/>
      <c r="J4168" s="10"/>
      <c r="K4168" s="10"/>
      <c r="L4168" s="10"/>
      <c r="M4168" s="10"/>
      <c r="N4168" s="10"/>
      <c r="O4168" s="21"/>
    </row>
    <row r="4169" spans="1:15" x14ac:dyDescent="0.35">
      <c r="A4169" s="15">
        <f t="shared" si="64"/>
        <v>4167</v>
      </c>
      <c r="B4169" s="16"/>
      <c r="C4169" s="19"/>
      <c r="D4169" s="10"/>
      <c r="E4169" s="10"/>
      <c r="F4169" s="47"/>
      <c r="G4169" s="10"/>
      <c r="H4169" s="20"/>
      <c r="I4169" s="20"/>
      <c r="J4169" s="10"/>
      <c r="K4169" s="10"/>
      <c r="L4169" s="10"/>
      <c r="M4169" s="10"/>
      <c r="N4169" s="10"/>
      <c r="O4169" s="21"/>
    </row>
    <row r="4170" spans="1:15" x14ac:dyDescent="0.35">
      <c r="A4170" s="15">
        <f t="shared" si="64"/>
        <v>4168</v>
      </c>
      <c r="B4170" s="16"/>
      <c r="C4170" s="19"/>
      <c r="D4170" s="10"/>
      <c r="E4170" s="10"/>
      <c r="F4170" s="47"/>
      <c r="G4170" s="10"/>
      <c r="H4170" s="20"/>
      <c r="I4170" s="20"/>
      <c r="J4170" s="10"/>
      <c r="K4170" s="10"/>
      <c r="L4170" s="10"/>
      <c r="M4170" s="10"/>
      <c r="N4170" s="10"/>
      <c r="O4170" s="21"/>
    </row>
    <row r="4171" spans="1:15" x14ac:dyDescent="0.35">
      <c r="A4171" s="15">
        <f t="shared" ref="A4171:A4234" si="65">+A4170+1</f>
        <v>4169</v>
      </c>
      <c r="B4171" s="16"/>
      <c r="C4171" s="19"/>
      <c r="D4171" s="10"/>
      <c r="E4171" s="10"/>
      <c r="F4171" s="47"/>
      <c r="G4171" s="10"/>
      <c r="H4171" s="20"/>
      <c r="I4171" s="20"/>
      <c r="J4171" s="10"/>
      <c r="K4171" s="10"/>
      <c r="L4171" s="10"/>
      <c r="M4171" s="10"/>
      <c r="N4171" s="10"/>
      <c r="O4171" s="21"/>
    </row>
    <row r="4172" spans="1:15" x14ac:dyDescent="0.35">
      <c r="A4172" s="15">
        <f t="shared" si="65"/>
        <v>4170</v>
      </c>
      <c r="B4172" s="16"/>
      <c r="C4172" s="19"/>
      <c r="D4172" s="10"/>
      <c r="E4172" s="10"/>
      <c r="F4172" s="47"/>
      <c r="G4172" s="10"/>
      <c r="H4172" s="20"/>
      <c r="I4172" s="20"/>
      <c r="J4172" s="10"/>
      <c r="K4172" s="10"/>
      <c r="L4172" s="10"/>
      <c r="M4172" s="10"/>
      <c r="N4172" s="10"/>
      <c r="O4172" s="21"/>
    </row>
    <row r="4173" spans="1:15" x14ac:dyDescent="0.35">
      <c r="A4173" s="15">
        <f t="shared" si="65"/>
        <v>4171</v>
      </c>
      <c r="B4173" s="16"/>
      <c r="C4173" s="19"/>
      <c r="D4173" s="10"/>
      <c r="E4173" s="10"/>
      <c r="F4173" s="47"/>
      <c r="G4173" s="10"/>
      <c r="H4173" s="20"/>
      <c r="I4173" s="20"/>
      <c r="J4173" s="10"/>
      <c r="K4173" s="10"/>
      <c r="L4173" s="10"/>
      <c r="M4173" s="10"/>
      <c r="N4173" s="10"/>
      <c r="O4173" s="21"/>
    </row>
    <row r="4174" spans="1:15" x14ac:dyDescent="0.35">
      <c r="A4174" s="15">
        <f t="shared" si="65"/>
        <v>4172</v>
      </c>
      <c r="B4174" s="16"/>
      <c r="C4174" s="19"/>
      <c r="D4174" s="10"/>
      <c r="E4174" s="10"/>
      <c r="F4174" s="47"/>
      <c r="G4174" s="10"/>
      <c r="H4174" s="20"/>
      <c r="I4174" s="20"/>
      <c r="J4174" s="10"/>
      <c r="K4174" s="10"/>
      <c r="L4174" s="10"/>
      <c r="M4174" s="10"/>
      <c r="N4174" s="10"/>
      <c r="O4174" s="21"/>
    </row>
    <row r="4175" spans="1:15" x14ac:dyDescent="0.35">
      <c r="A4175" s="15">
        <f t="shared" si="65"/>
        <v>4173</v>
      </c>
      <c r="B4175" s="16"/>
      <c r="C4175" s="19"/>
      <c r="D4175" s="10"/>
      <c r="E4175" s="10"/>
      <c r="F4175" s="47"/>
      <c r="G4175" s="10"/>
      <c r="H4175" s="20"/>
      <c r="I4175" s="20"/>
      <c r="J4175" s="10"/>
      <c r="K4175" s="10"/>
      <c r="L4175" s="10"/>
      <c r="M4175" s="10"/>
      <c r="N4175" s="10"/>
      <c r="O4175" s="21"/>
    </row>
    <row r="4176" spans="1:15" x14ac:dyDescent="0.35">
      <c r="A4176" s="15">
        <f t="shared" si="65"/>
        <v>4174</v>
      </c>
      <c r="B4176" s="16"/>
      <c r="C4176" s="19"/>
      <c r="D4176" s="10"/>
      <c r="E4176" s="10"/>
      <c r="F4176" s="47"/>
      <c r="G4176" s="10"/>
      <c r="H4176" s="20"/>
      <c r="I4176" s="20"/>
      <c r="J4176" s="10"/>
      <c r="K4176" s="10"/>
      <c r="L4176" s="10"/>
      <c r="M4176" s="10"/>
      <c r="N4176" s="10"/>
      <c r="O4176" s="21"/>
    </row>
    <row r="4177" spans="1:15" x14ac:dyDescent="0.35">
      <c r="A4177" s="15">
        <f t="shared" si="65"/>
        <v>4175</v>
      </c>
      <c r="B4177" s="16"/>
      <c r="C4177" s="19"/>
      <c r="D4177" s="10"/>
      <c r="E4177" s="10"/>
      <c r="F4177" s="47"/>
      <c r="G4177" s="10"/>
      <c r="H4177" s="20"/>
      <c r="I4177" s="20"/>
      <c r="J4177" s="10"/>
      <c r="K4177" s="10"/>
      <c r="L4177" s="10"/>
      <c r="M4177" s="10"/>
      <c r="N4177" s="10"/>
      <c r="O4177" s="21"/>
    </row>
    <row r="4178" spans="1:15" x14ac:dyDescent="0.35">
      <c r="A4178" s="15">
        <f t="shared" si="65"/>
        <v>4176</v>
      </c>
      <c r="B4178" s="16"/>
      <c r="C4178" s="19"/>
      <c r="D4178" s="10"/>
      <c r="E4178" s="10"/>
      <c r="F4178" s="47"/>
      <c r="G4178" s="10"/>
      <c r="H4178" s="20"/>
      <c r="I4178" s="20"/>
      <c r="J4178" s="10"/>
      <c r="K4178" s="10"/>
      <c r="L4178" s="10"/>
      <c r="M4178" s="10"/>
      <c r="N4178" s="10"/>
      <c r="O4178" s="21"/>
    </row>
    <row r="4179" spans="1:15" x14ac:dyDescent="0.35">
      <c r="A4179" s="15">
        <f t="shared" si="65"/>
        <v>4177</v>
      </c>
      <c r="B4179" s="16"/>
      <c r="C4179" s="19"/>
      <c r="D4179" s="10"/>
      <c r="E4179" s="10"/>
      <c r="F4179" s="47"/>
      <c r="G4179" s="10"/>
      <c r="H4179" s="20"/>
      <c r="I4179" s="20"/>
      <c r="J4179" s="10"/>
      <c r="K4179" s="10"/>
      <c r="L4179" s="10"/>
      <c r="M4179" s="10"/>
      <c r="N4179" s="10"/>
      <c r="O4179" s="21"/>
    </row>
    <row r="4180" spans="1:15" x14ac:dyDescent="0.35">
      <c r="A4180" s="15">
        <f t="shared" si="65"/>
        <v>4178</v>
      </c>
      <c r="B4180" s="16"/>
      <c r="C4180" s="19"/>
      <c r="D4180" s="10"/>
      <c r="E4180" s="10"/>
      <c r="F4180" s="47"/>
      <c r="G4180" s="10"/>
      <c r="H4180" s="20"/>
      <c r="I4180" s="20"/>
      <c r="J4180" s="10"/>
      <c r="K4180" s="10"/>
      <c r="L4180" s="10"/>
      <c r="M4180" s="10"/>
      <c r="N4180" s="10"/>
      <c r="O4180" s="21"/>
    </row>
    <row r="4181" spans="1:15" x14ac:dyDescent="0.35">
      <c r="A4181" s="15">
        <f t="shared" si="65"/>
        <v>4179</v>
      </c>
      <c r="B4181" s="16"/>
      <c r="C4181" s="19"/>
      <c r="D4181" s="10"/>
      <c r="E4181" s="10"/>
      <c r="F4181" s="47"/>
      <c r="G4181" s="10"/>
      <c r="H4181" s="20"/>
      <c r="I4181" s="20"/>
      <c r="J4181" s="10"/>
      <c r="K4181" s="10"/>
      <c r="L4181" s="10"/>
      <c r="M4181" s="10"/>
      <c r="N4181" s="10"/>
      <c r="O4181" s="21"/>
    </row>
    <row r="4182" spans="1:15" x14ac:dyDescent="0.35">
      <c r="A4182" s="15">
        <f t="shared" si="65"/>
        <v>4180</v>
      </c>
      <c r="B4182" s="16"/>
      <c r="C4182" s="19"/>
      <c r="D4182" s="10"/>
      <c r="E4182" s="10"/>
      <c r="F4182" s="47"/>
      <c r="G4182" s="10"/>
      <c r="H4182" s="20"/>
      <c r="I4182" s="20"/>
      <c r="J4182" s="10"/>
      <c r="K4182" s="10"/>
      <c r="L4182" s="10"/>
      <c r="M4182" s="10"/>
      <c r="N4182" s="10"/>
      <c r="O4182" s="21"/>
    </row>
    <row r="4183" spans="1:15" x14ac:dyDescent="0.35">
      <c r="A4183" s="15">
        <f t="shared" si="65"/>
        <v>4181</v>
      </c>
      <c r="B4183" s="16"/>
      <c r="C4183" s="19"/>
      <c r="D4183" s="10"/>
      <c r="E4183" s="10"/>
      <c r="F4183" s="47"/>
      <c r="G4183" s="10"/>
      <c r="H4183" s="20"/>
      <c r="I4183" s="20"/>
      <c r="J4183" s="10"/>
      <c r="K4183" s="10"/>
      <c r="L4183" s="10"/>
      <c r="M4183" s="10"/>
      <c r="N4183" s="10"/>
      <c r="O4183" s="21"/>
    </row>
    <row r="4184" spans="1:15" x14ac:dyDescent="0.35">
      <c r="A4184" s="15">
        <f t="shared" si="65"/>
        <v>4182</v>
      </c>
      <c r="B4184" s="16"/>
      <c r="C4184" s="19"/>
      <c r="D4184" s="10"/>
      <c r="E4184" s="10"/>
      <c r="F4184" s="47"/>
      <c r="G4184" s="10"/>
      <c r="H4184" s="20"/>
      <c r="I4184" s="20"/>
      <c r="J4184" s="10"/>
      <c r="K4184" s="10"/>
      <c r="L4184" s="10"/>
      <c r="M4184" s="10"/>
      <c r="N4184" s="10"/>
      <c r="O4184" s="21"/>
    </row>
    <row r="4185" spans="1:15" x14ac:dyDescent="0.35">
      <c r="A4185" s="15">
        <f t="shared" si="65"/>
        <v>4183</v>
      </c>
      <c r="B4185" s="16"/>
      <c r="C4185" s="19"/>
      <c r="D4185" s="10"/>
      <c r="E4185" s="10"/>
      <c r="F4185" s="47"/>
      <c r="G4185" s="10"/>
      <c r="H4185" s="20"/>
      <c r="I4185" s="20"/>
      <c r="J4185" s="10"/>
      <c r="K4185" s="10"/>
      <c r="L4185" s="10"/>
      <c r="M4185" s="10"/>
      <c r="N4185" s="10"/>
      <c r="O4185" s="21"/>
    </row>
    <row r="4186" spans="1:15" x14ac:dyDescent="0.35">
      <c r="A4186" s="15">
        <f t="shared" si="65"/>
        <v>4184</v>
      </c>
      <c r="B4186" s="16"/>
      <c r="C4186" s="19"/>
      <c r="D4186" s="10"/>
      <c r="E4186" s="10"/>
      <c r="F4186" s="47"/>
      <c r="G4186" s="10"/>
      <c r="H4186" s="20"/>
      <c r="I4186" s="20"/>
      <c r="J4186" s="10"/>
      <c r="K4186" s="10"/>
      <c r="L4186" s="10"/>
      <c r="M4186" s="10"/>
      <c r="N4186" s="10"/>
      <c r="O4186" s="21"/>
    </row>
    <row r="4187" spans="1:15" x14ac:dyDescent="0.35">
      <c r="A4187" s="15">
        <f t="shared" si="65"/>
        <v>4185</v>
      </c>
      <c r="B4187" s="16"/>
      <c r="C4187" s="19"/>
      <c r="D4187" s="10"/>
      <c r="E4187" s="10"/>
      <c r="F4187" s="47"/>
      <c r="G4187" s="10"/>
      <c r="H4187" s="20"/>
      <c r="I4187" s="20"/>
      <c r="J4187" s="10"/>
      <c r="K4187" s="10"/>
      <c r="L4187" s="10"/>
      <c r="M4187" s="10"/>
      <c r="N4187" s="10"/>
      <c r="O4187" s="21"/>
    </row>
    <row r="4188" spans="1:15" x14ac:dyDescent="0.35">
      <c r="A4188" s="15">
        <f t="shared" si="65"/>
        <v>4186</v>
      </c>
      <c r="B4188" s="16"/>
      <c r="C4188" s="19"/>
      <c r="D4188" s="10"/>
      <c r="E4188" s="10"/>
      <c r="F4188" s="47"/>
      <c r="G4188" s="10"/>
      <c r="H4188" s="20"/>
      <c r="I4188" s="20"/>
      <c r="J4188" s="10"/>
      <c r="K4188" s="10"/>
      <c r="L4188" s="10"/>
      <c r="M4188" s="10"/>
      <c r="N4188" s="10"/>
      <c r="O4188" s="21"/>
    </row>
    <row r="4189" spans="1:15" x14ac:dyDescent="0.35">
      <c r="A4189" s="15">
        <f t="shared" si="65"/>
        <v>4187</v>
      </c>
      <c r="B4189" s="16"/>
      <c r="C4189" s="19"/>
      <c r="D4189" s="10"/>
      <c r="E4189" s="10"/>
      <c r="F4189" s="47"/>
      <c r="G4189" s="10"/>
      <c r="H4189" s="20"/>
      <c r="I4189" s="20"/>
      <c r="J4189" s="10"/>
      <c r="K4189" s="10"/>
      <c r="L4189" s="10"/>
      <c r="M4189" s="10"/>
      <c r="N4189" s="10"/>
      <c r="O4189" s="21"/>
    </row>
    <row r="4190" spans="1:15" x14ac:dyDescent="0.35">
      <c r="A4190" s="15">
        <f t="shared" si="65"/>
        <v>4188</v>
      </c>
      <c r="B4190" s="16"/>
      <c r="C4190" s="19"/>
      <c r="D4190" s="10"/>
      <c r="E4190" s="10"/>
      <c r="F4190" s="47"/>
      <c r="G4190" s="10"/>
      <c r="H4190" s="20"/>
      <c r="I4190" s="20"/>
      <c r="J4190" s="10"/>
      <c r="K4190" s="10"/>
      <c r="L4190" s="10"/>
      <c r="M4190" s="10"/>
      <c r="N4190" s="10"/>
      <c r="O4190" s="21"/>
    </row>
    <row r="4191" spans="1:15" x14ac:dyDescent="0.35">
      <c r="A4191" s="15">
        <f t="shared" si="65"/>
        <v>4189</v>
      </c>
      <c r="B4191" s="16"/>
      <c r="C4191" s="19"/>
      <c r="D4191" s="10"/>
      <c r="E4191" s="10"/>
      <c r="F4191" s="47"/>
      <c r="G4191" s="10"/>
      <c r="H4191" s="20"/>
      <c r="I4191" s="20"/>
      <c r="J4191" s="10"/>
      <c r="K4191" s="10"/>
      <c r="L4191" s="10"/>
      <c r="M4191" s="10"/>
      <c r="N4191" s="10"/>
      <c r="O4191" s="21"/>
    </row>
    <row r="4192" spans="1:15" x14ac:dyDescent="0.35">
      <c r="A4192" s="15">
        <f t="shared" si="65"/>
        <v>4190</v>
      </c>
      <c r="B4192" s="16"/>
      <c r="C4192" s="19"/>
      <c r="D4192" s="10"/>
      <c r="E4192" s="10"/>
      <c r="F4192" s="47"/>
      <c r="G4192" s="10"/>
      <c r="H4192" s="20"/>
      <c r="I4192" s="20"/>
      <c r="J4192" s="10"/>
      <c r="K4192" s="10"/>
      <c r="L4192" s="10"/>
      <c r="M4192" s="10"/>
      <c r="N4192" s="10"/>
      <c r="O4192" s="21"/>
    </row>
    <row r="4193" spans="1:15" x14ac:dyDescent="0.35">
      <c r="A4193" s="15">
        <f t="shared" si="65"/>
        <v>4191</v>
      </c>
      <c r="B4193" s="16"/>
      <c r="C4193" s="19"/>
      <c r="D4193" s="10"/>
      <c r="E4193" s="10"/>
      <c r="F4193" s="47"/>
      <c r="G4193" s="10"/>
      <c r="H4193" s="20"/>
      <c r="I4193" s="20"/>
      <c r="J4193" s="10"/>
      <c r="K4193" s="10"/>
      <c r="L4193" s="10"/>
      <c r="M4193" s="10"/>
      <c r="N4193" s="10"/>
      <c r="O4193" s="21"/>
    </row>
    <row r="4194" spans="1:15" x14ac:dyDescent="0.35">
      <c r="A4194" s="15">
        <f t="shared" si="65"/>
        <v>4192</v>
      </c>
      <c r="B4194" s="16"/>
      <c r="C4194" s="19"/>
      <c r="D4194" s="10"/>
      <c r="E4194" s="10"/>
      <c r="F4194" s="47"/>
      <c r="G4194" s="10"/>
      <c r="H4194" s="20"/>
      <c r="I4194" s="20"/>
      <c r="J4194" s="10"/>
      <c r="K4194" s="10"/>
      <c r="L4194" s="10"/>
      <c r="M4194" s="10"/>
      <c r="N4194" s="10"/>
      <c r="O4194" s="21"/>
    </row>
    <row r="4195" spans="1:15" x14ac:dyDescent="0.35">
      <c r="A4195" s="15">
        <f t="shared" si="65"/>
        <v>4193</v>
      </c>
      <c r="B4195" s="16"/>
      <c r="C4195" s="19"/>
      <c r="D4195" s="10"/>
      <c r="E4195" s="10"/>
      <c r="F4195" s="47"/>
      <c r="G4195" s="10"/>
      <c r="H4195" s="20"/>
      <c r="I4195" s="20"/>
      <c r="J4195" s="10"/>
      <c r="K4195" s="10"/>
      <c r="L4195" s="10"/>
      <c r="M4195" s="10"/>
      <c r="N4195" s="10"/>
      <c r="O4195" s="21"/>
    </row>
    <row r="4196" spans="1:15" x14ac:dyDescent="0.35">
      <c r="A4196" s="15">
        <f t="shared" si="65"/>
        <v>4194</v>
      </c>
      <c r="B4196" s="16"/>
      <c r="C4196" s="19"/>
      <c r="D4196" s="10"/>
      <c r="E4196" s="10"/>
      <c r="F4196" s="47"/>
      <c r="G4196" s="10"/>
      <c r="H4196" s="20"/>
      <c r="I4196" s="20"/>
      <c r="J4196" s="10"/>
      <c r="K4196" s="10"/>
      <c r="L4196" s="10"/>
      <c r="M4196" s="10"/>
      <c r="N4196" s="10"/>
      <c r="O4196" s="21"/>
    </row>
    <row r="4197" spans="1:15" x14ac:dyDescent="0.35">
      <c r="A4197" s="15">
        <f t="shared" si="65"/>
        <v>4195</v>
      </c>
      <c r="B4197" s="16"/>
      <c r="C4197" s="19"/>
      <c r="D4197" s="10"/>
      <c r="E4197" s="10"/>
      <c r="F4197" s="47"/>
      <c r="G4197" s="10"/>
      <c r="H4197" s="20"/>
      <c r="I4197" s="20"/>
      <c r="J4197" s="10"/>
      <c r="K4197" s="10"/>
      <c r="L4197" s="10"/>
      <c r="M4197" s="10"/>
      <c r="N4197" s="10"/>
      <c r="O4197" s="21"/>
    </row>
    <row r="4198" spans="1:15" x14ac:dyDescent="0.35">
      <c r="A4198" s="15">
        <f t="shared" si="65"/>
        <v>4196</v>
      </c>
      <c r="B4198" s="16"/>
      <c r="C4198" s="19"/>
      <c r="D4198" s="10"/>
      <c r="E4198" s="10"/>
      <c r="F4198" s="47"/>
      <c r="G4198" s="10"/>
      <c r="H4198" s="20"/>
      <c r="I4198" s="20"/>
      <c r="J4198" s="10"/>
      <c r="K4198" s="10"/>
      <c r="L4198" s="10"/>
      <c r="M4198" s="10"/>
      <c r="N4198" s="10"/>
      <c r="O4198" s="21"/>
    </row>
    <row r="4199" spans="1:15" x14ac:dyDescent="0.35">
      <c r="A4199" s="15">
        <f t="shared" si="65"/>
        <v>4197</v>
      </c>
      <c r="B4199" s="16"/>
      <c r="C4199" s="19"/>
      <c r="D4199" s="10"/>
      <c r="E4199" s="10"/>
      <c r="F4199" s="47"/>
      <c r="G4199" s="10"/>
      <c r="H4199" s="20"/>
      <c r="I4199" s="20"/>
      <c r="J4199" s="10"/>
      <c r="K4199" s="10"/>
      <c r="L4199" s="10"/>
      <c r="M4199" s="10"/>
      <c r="N4199" s="10"/>
      <c r="O4199" s="21"/>
    </row>
    <row r="4200" spans="1:15" x14ac:dyDescent="0.35">
      <c r="A4200" s="15">
        <f t="shared" si="65"/>
        <v>4198</v>
      </c>
      <c r="B4200" s="16"/>
      <c r="C4200" s="19"/>
      <c r="D4200" s="10"/>
      <c r="E4200" s="10"/>
      <c r="F4200" s="47"/>
      <c r="G4200" s="10"/>
      <c r="H4200" s="20"/>
      <c r="I4200" s="20"/>
      <c r="J4200" s="10"/>
      <c r="K4200" s="10"/>
      <c r="L4200" s="10"/>
      <c r="M4200" s="10"/>
      <c r="N4200" s="10"/>
      <c r="O4200" s="21"/>
    </row>
    <row r="4201" spans="1:15" x14ac:dyDescent="0.35">
      <c r="A4201" s="15">
        <f t="shared" si="65"/>
        <v>4199</v>
      </c>
      <c r="B4201" s="16"/>
      <c r="C4201" s="19"/>
      <c r="D4201" s="10"/>
      <c r="E4201" s="10"/>
      <c r="F4201" s="47"/>
      <c r="G4201" s="10"/>
      <c r="H4201" s="20"/>
      <c r="I4201" s="20"/>
      <c r="J4201" s="10"/>
      <c r="K4201" s="10"/>
      <c r="L4201" s="10"/>
      <c r="M4201" s="10"/>
      <c r="N4201" s="10"/>
      <c r="O4201" s="21"/>
    </row>
    <row r="4202" spans="1:15" x14ac:dyDescent="0.35">
      <c r="A4202" s="15">
        <f t="shared" si="65"/>
        <v>4200</v>
      </c>
      <c r="B4202" s="16"/>
      <c r="C4202" s="19"/>
      <c r="D4202" s="10"/>
      <c r="E4202" s="10"/>
      <c r="F4202" s="47"/>
      <c r="G4202" s="10"/>
      <c r="H4202" s="20"/>
      <c r="I4202" s="20"/>
      <c r="J4202" s="10"/>
      <c r="K4202" s="10"/>
      <c r="L4202" s="10"/>
      <c r="M4202" s="10"/>
      <c r="N4202" s="10"/>
      <c r="O4202" s="21"/>
    </row>
    <row r="4203" spans="1:15" x14ac:dyDescent="0.35">
      <c r="A4203" s="15">
        <f t="shared" si="65"/>
        <v>4201</v>
      </c>
      <c r="B4203" s="16"/>
      <c r="C4203" s="19"/>
      <c r="D4203" s="10"/>
      <c r="E4203" s="10"/>
      <c r="F4203" s="47"/>
      <c r="G4203" s="10"/>
      <c r="H4203" s="20"/>
      <c r="I4203" s="20"/>
      <c r="J4203" s="10"/>
      <c r="K4203" s="10"/>
      <c r="L4203" s="10"/>
      <c r="M4203" s="10"/>
      <c r="N4203" s="10"/>
      <c r="O4203" s="21"/>
    </row>
    <row r="4204" spans="1:15" x14ac:dyDescent="0.35">
      <c r="A4204" s="15">
        <f t="shared" si="65"/>
        <v>4202</v>
      </c>
      <c r="B4204" s="16"/>
      <c r="C4204" s="19"/>
      <c r="D4204" s="10"/>
      <c r="E4204" s="10"/>
      <c r="F4204" s="47"/>
      <c r="G4204" s="10"/>
      <c r="H4204" s="20"/>
      <c r="I4204" s="20"/>
      <c r="J4204" s="10"/>
      <c r="K4204" s="10"/>
      <c r="L4204" s="10"/>
      <c r="M4204" s="10"/>
      <c r="N4204" s="10"/>
      <c r="O4204" s="21"/>
    </row>
    <row r="4205" spans="1:15" x14ac:dyDescent="0.35">
      <c r="A4205" s="15">
        <f t="shared" si="65"/>
        <v>4203</v>
      </c>
      <c r="B4205" s="16"/>
      <c r="C4205" s="19"/>
      <c r="D4205" s="10"/>
      <c r="E4205" s="10"/>
      <c r="F4205" s="47"/>
      <c r="G4205" s="10"/>
      <c r="H4205" s="20"/>
      <c r="I4205" s="20"/>
      <c r="J4205" s="10"/>
      <c r="K4205" s="10"/>
      <c r="L4205" s="10"/>
      <c r="M4205" s="10"/>
      <c r="N4205" s="10"/>
      <c r="O4205" s="21"/>
    </row>
    <row r="4206" spans="1:15" x14ac:dyDescent="0.35">
      <c r="A4206" s="15">
        <f t="shared" si="65"/>
        <v>4204</v>
      </c>
      <c r="B4206" s="16"/>
      <c r="C4206" s="19"/>
      <c r="D4206" s="10"/>
      <c r="E4206" s="10"/>
      <c r="F4206" s="47"/>
      <c r="G4206" s="10"/>
      <c r="H4206" s="20"/>
      <c r="I4206" s="20"/>
      <c r="J4206" s="10"/>
      <c r="K4206" s="10"/>
      <c r="L4206" s="10"/>
      <c r="M4206" s="10"/>
      <c r="N4206" s="10"/>
      <c r="O4206" s="21"/>
    </row>
    <row r="4207" spans="1:15" x14ac:dyDescent="0.35">
      <c r="A4207" s="15">
        <f t="shared" si="65"/>
        <v>4205</v>
      </c>
      <c r="B4207" s="16"/>
      <c r="C4207" s="19"/>
      <c r="D4207" s="10"/>
      <c r="E4207" s="10"/>
      <c r="F4207" s="47"/>
      <c r="G4207" s="10"/>
      <c r="H4207" s="20"/>
      <c r="I4207" s="20"/>
      <c r="J4207" s="10"/>
      <c r="K4207" s="10"/>
      <c r="L4207" s="10"/>
      <c r="M4207" s="10"/>
      <c r="N4207" s="10"/>
      <c r="O4207" s="21"/>
    </row>
    <row r="4208" spans="1:15" x14ac:dyDescent="0.35">
      <c r="A4208" s="15">
        <f t="shared" si="65"/>
        <v>4206</v>
      </c>
      <c r="B4208" s="16"/>
      <c r="C4208" s="19"/>
      <c r="D4208" s="10"/>
      <c r="E4208" s="10"/>
      <c r="F4208" s="47"/>
      <c r="G4208" s="10"/>
      <c r="H4208" s="20"/>
      <c r="I4208" s="20"/>
      <c r="J4208" s="10"/>
      <c r="K4208" s="10"/>
      <c r="L4208" s="10"/>
      <c r="M4208" s="10"/>
      <c r="N4208" s="10"/>
      <c r="O4208" s="21"/>
    </row>
    <row r="4209" spans="1:15" x14ac:dyDescent="0.35">
      <c r="A4209" s="15">
        <f t="shared" si="65"/>
        <v>4207</v>
      </c>
      <c r="B4209" s="16"/>
      <c r="C4209" s="19"/>
      <c r="D4209" s="10"/>
      <c r="E4209" s="10"/>
      <c r="F4209" s="47"/>
      <c r="G4209" s="10"/>
      <c r="H4209" s="20"/>
      <c r="I4209" s="20"/>
      <c r="J4209" s="10"/>
      <c r="K4209" s="10"/>
      <c r="L4209" s="10"/>
      <c r="M4209" s="10"/>
      <c r="N4209" s="10"/>
      <c r="O4209" s="21"/>
    </row>
    <row r="4210" spans="1:15" x14ac:dyDescent="0.35">
      <c r="A4210" s="15">
        <f t="shared" si="65"/>
        <v>4208</v>
      </c>
      <c r="B4210" s="16"/>
      <c r="C4210" s="19"/>
      <c r="D4210" s="10"/>
      <c r="E4210" s="10"/>
      <c r="F4210" s="47"/>
      <c r="G4210" s="10"/>
      <c r="H4210" s="20"/>
      <c r="I4210" s="20"/>
      <c r="J4210" s="10"/>
      <c r="K4210" s="10"/>
      <c r="L4210" s="10"/>
      <c r="M4210" s="10"/>
      <c r="N4210" s="10"/>
      <c r="O4210" s="21"/>
    </row>
    <row r="4211" spans="1:15" x14ac:dyDescent="0.35">
      <c r="A4211" s="15">
        <f t="shared" si="65"/>
        <v>4209</v>
      </c>
      <c r="B4211" s="16"/>
      <c r="C4211" s="19"/>
      <c r="D4211" s="10"/>
      <c r="E4211" s="10"/>
      <c r="F4211" s="47"/>
      <c r="G4211" s="10"/>
      <c r="H4211" s="20"/>
      <c r="I4211" s="20"/>
      <c r="J4211" s="10"/>
      <c r="K4211" s="10"/>
      <c r="L4211" s="10"/>
      <c r="M4211" s="10"/>
      <c r="N4211" s="10"/>
      <c r="O4211" s="21"/>
    </row>
    <row r="4212" spans="1:15" x14ac:dyDescent="0.35">
      <c r="A4212" s="15">
        <f t="shared" si="65"/>
        <v>4210</v>
      </c>
      <c r="B4212" s="16"/>
      <c r="C4212" s="19"/>
      <c r="D4212" s="10"/>
      <c r="E4212" s="10"/>
      <c r="F4212" s="47"/>
      <c r="G4212" s="10"/>
      <c r="H4212" s="20"/>
      <c r="I4212" s="20"/>
      <c r="J4212" s="10"/>
      <c r="K4212" s="10"/>
      <c r="L4212" s="10"/>
      <c r="M4212" s="10"/>
      <c r="N4212" s="10"/>
      <c r="O4212" s="21"/>
    </row>
    <row r="4213" spans="1:15" x14ac:dyDescent="0.35">
      <c r="A4213" s="15">
        <f t="shared" si="65"/>
        <v>4211</v>
      </c>
      <c r="B4213" s="16"/>
      <c r="C4213" s="19"/>
      <c r="D4213" s="10"/>
      <c r="E4213" s="10"/>
      <c r="F4213" s="47"/>
      <c r="G4213" s="10"/>
      <c r="H4213" s="20"/>
      <c r="I4213" s="20"/>
      <c r="J4213" s="10"/>
      <c r="K4213" s="10"/>
      <c r="L4213" s="10"/>
      <c r="M4213" s="10"/>
      <c r="N4213" s="10"/>
      <c r="O4213" s="21"/>
    </row>
    <row r="4214" spans="1:15" x14ac:dyDescent="0.35">
      <c r="A4214" s="15">
        <f t="shared" si="65"/>
        <v>4212</v>
      </c>
      <c r="B4214" s="16"/>
      <c r="C4214" s="19"/>
      <c r="D4214" s="10"/>
      <c r="E4214" s="10"/>
      <c r="F4214" s="47"/>
      <c r="G4214" s="10"/>
      <c r="H4214" s="20"/>
      <c r="I4214" s="20"/>
      <c r="J4214" s="10"/>
      <c r="K4214" s="10"/>
      <c r="L4214" s="10"/>
      <c r="M4214" s="10"/>
      <c r="N4214" s="10"/>
      <c r="O4214" s="21"/>
    </row>
    <row r="4215" spans="1:15" x14ac:dyDescent="0.35">
      <c r="A4215" s="15">
        <f t="shared" si="65"/>
        <v>4213</v>
      </c>
      <c r="B4215" s="16"/>
      <c r="C4215" s="19"/>
      <c r="D4215" s="10"/>
      <c r="E4215" s="10"/>
      <c r="F4215" s="47"/>
      <c r="G4215" s="10"/>
      <c r="H4215" s="20"/>
      <c r="I4215" s="20"/>
      <c r="J4215" s="10"/>
      <c r="K4215" s="10"/>
      <c r="L4215" s="10"/>
      <c r="M4215" s="10"/>
      <c r="N4215" s="10"/>
      <c r="O4215" s="21"/>
    </row>
    <row r="4216" spans="1:15" x14ac:dyDescent="0.35">
      <c r="A4216" s="15">
        <f t="shared" si="65"/>
        <v>4214</v>
      </c>
      <c r="B4216" s="16"/>
      <c r="C4216" s="19"/>
      <c r="D4216" s="10"/>
      <c r="E4216" s="10"/>
      <c r="F4216" s="47"/>
      <c r="G4216" s="10"/>
      <c r="H4216" s="20"/>
      <c r="I4216" s="20"/>
      <c r="J4216" s="10"/>
      <c r="K4216" s="10"/>
      <c r="L4216" s="10"/>
      <c r="M4216" s="10"/>
      <c r="N4216" s="10"/>
      <c r="O4216" s="21"/>
    </row>
    <row r="4217" spans="1:15" x14ac:dyDescent="0.35">
      <c r="A4217" s="15">
        <f t="shared" si="65"/>
        <v>4215</v>
      </c>
      <c r="B4217" s="16"/>
      <c r="C4217" s="19"/>
      <c r="D4217" s="10"/>
      <c r="E4217" s="10"/>
      <c r="F4217" s="47"/>
      <c r="G4217" s="10"/>
      <c r="H4217" s="20"/>
      <c r="I4217" s="20"/>
      <c r="J4217" s="10"/>
      <c r="K4217" s="10"/>
      <c r="L4217" s="10"/>
      <c r="M4217" s="10"/>
      <c r="N4217" s="10"/>
      <c r="O4217" s="21"/>
    </row>
    <row r="4218" spans="1:15" x14ac:dyDescent="0.35">
      <c r="A4218" s="15">
        <f t="shared" si="65"/>
        <v>4216</v>
      </c>
      <c r="B4218" s="16"/>
      <c r="C4218" s="19"/>
      <c r="D4218" s="10"/>
      <c r="E4218" s="10"/>
      <c r="F4218" s="47"/>
      <c r="G4218" s="10"/>
      <c r="H4218" s="20"/>
      <c r="I4218" s="20"/>
      <c r="J4218" s="10"/>
      <c r="K4218" s="10"/>
      <c r="L4218" s="10"/>
      <c r="M4218" s="10"/>
      <c r="N4218" s="10"/>
      <c r="O4218" s="21"/>
    </row>
    <row r="4219" spans="1:15" x14ac:dyDescent="0.35">
      <c r="A4219" s="15">
        <f t="shared" si="65"/>
        <v>4217</v>
      </c>
      <c r="B4219" s="16"/>
      <c r="C4219" s="19"/>
      <c r="D4219" s="10"/>
      <c r="E4219" s="10"/>
      <c r="F4219" s="47"/>
      <c r="G4219" s="10"/>
      <c r="H4219" s="20"/>
      <c r="I4219" s="20"/>
      <c r="J4219" s="10"/>
      <c r="K4219" s="10"/>
      <c r="L4219" s="10"/>
      <c r="M4219" s="10"/>
      <c r="N4219" s="10"/>
      <c r="O4219" s="21"/>
    </row>
    <row r="4220" spans="1:15" x14ac:dyDescent="0.35">
      <c r="A4220" s="15">
        <f t="shared" si="65"/>
        <v>4218</v>
      </c>
      <c r="B4220" s="16"/>
      <c r="C4220" s="19"/>
      <c r="D4220" s="10"/>
      <c r="E4220" s="10"/>
      <c r="F4220" s="47"/>
      <c r="G4220" s="10"/>
      <c r="H4220" s="20"/>
      <c r="I4220" s="20"/>
      <c r="J4220" s="10"/>
      <c r="K4220" s="10"/>
      <c r="L4220" s="10"/>
      <c r="M4220" s="10"/>
      <c r="N4220" s="10"/>
      <c r="O4220" s="21"/>
    </row>
    <row r="4221" spans="1:15" x14ac:dyDescent="0.35">
      <c r="A4221" s="15">
        <f t="shared" si="65"/>
        <v>4219</v>
      </c>
      <c r="B4221" s="16"/>
      <c r="C4221" s="19"/>
      <c r="D4221" s="10"/>
      <c r="E4221" s="10"/>
      <c r="F4221" s="47"/>
      <c r="G4221" s="10"/>
      <c r="H4221" s="20"/>
      <c r="I4221" s="20"/>
      <c r="J4221" s="10"/>
      <c r="K4221" s="10"/>
      <c r="L4221" s="10"/>
      <c r="M4221" s="10"/>
      <c r="N4221" s="10"/>
      <c r="O4221" s="21"/>
    </row>
    <row r="4222" spans="1:15" x14ac:dyDescent="0.35">
      <c r="A4222" s="15">
        <f t="shared" si="65"/>
        <v>4220</v>
      </c>
      <c r="B4222" s="16"/>
      <c r="C4222" s="19"/>
      <c r="D4222" s="10"/>
      <c r="E4222" s="10"/>
      <c r="F4222" s="47"/>
      <c r="G4222" s="10"/>
      <c r="H4222" s="20"/>
      <c r="I4222" s="20"/>
      <c r="J4222" s="10"/>
      <c r="K4222" s="10"/>
      <c r="L4222" s="10"/>
      <c r="M4222" s="10"/>
      <c r="N4222" s="10"/>
      <c r="O4222" s="21"/>
    </row>
    <row r="4223" spans="1:15" x14ac:dyDescent="0.35">
      <c r="A4223" s="15">
        <f t="shared" si="65"/>
        <v>4221</v>
      </c>
      <c r="B4223" s="16"/>
      <c r="C4223" s="19"/>
      <c r="D4223" s="10"/>
      <c r="E4223" s="10"/>
      <c r="F4223" s="47"/>
      <c r="G4223" s="10"/>
      <c r="H4223" s="20"/>
      <c r="I4223" s="20"/>
      <c r="J4223" s="10"/>
      <c r="K4223" s="10"/>
      <c r="L4223" s="10"/>
      <c r="M4223" s="10"/>
      <c r="N4223" s="10"/>
      <c r="O4223" s="21"/>
    </row>
    <row r="4224" spans="1:15" x14ac:dyDescent="0.35">
      <c r="A4224" s="15">
        <f t="shared" si="65"/>
        <v>4222</v>
      </c>
      <c r="B4224" s="16"/>
      <c r="C4224" s="19"/>
      <c r="D4224" s="10"/>
      <c r="E4224" s="10"/>
      <c r="F4224" s="47"/>
      <c r="G4224" s="10"/>
      <c r="H4224" s="20"/>
      <c r="I4224" s="20"/>
      <c r="J4224" s="10"/>
      <c r="K4224" s="10"/>
      <c r="L4224" s="10"/>
      <c r="M4224" s="10"/>
      <c r="N4224" s="10"/>
      <c r="O4224" s="21"/>
    </row>
    <row r="4225" spans="1:15" x14ac:dyDescent="0.35">
      <c r="A4225" s="15">
        <f t="shared" si="65"/>
        <v>4223</v>
      </c>
      <c r="B4225" s="16"/>
      <c r="C4225" s="19"/>
      <c r="D4225" s="10"/>
      <c r="E4225" s="10"/>
      <c r="F4225" s="47"/>
      <c r="G4225" s="10"/>
      <c r="H4225" s="20"/>
      <c r="I4225" s="20"/>
      <c r="J4225" s="10"/>
      <c r="K4225" s="10"/>
      <c r="L4225" s="10"/>
      <c r="M4225" s="10"/>
      <c r="N4225" s="10"/>
      <c r="O4225" s="21"/>
    </row>
    <row r="4226" spans="1:15" x14ac:dyDescent="0.35">
      <c r="A4226" s="15">
        <f t="shared" si="65"/>
        <v>4224</v>
      </c>
      <c r="B4226" s="16"/>
      <c r="C4226" s="19"/>
      <c r="D4226" s="10"/>
      <c r="E4226" s="10"/>
      <c r="F4226" s="47"/>
      <c r="G4226" s="10"/>
      <c r="H4226" s="20"/>
      <c r="I4226" s="20"/>
      <c r="J4226" s="10"/>
      <c r="K4226" s="10"/>
      <c r="L4226" s="10"/>
      <c r="M4226" s="10"/>
      <c r="N4226" s="10"/>
      <c r="O4226" s="21"/>
    </row>
    <row r="4227" spans="1:15" x14ac:dyDescent="0.35">
      <c r="A4227" s="15">
        <f t="shared" si="65"/>
        <v>4225</v>
      </c>
      <c r="B4227" s="16"/>
      <c r="C4227" s="19"/>
      <c r="D4227" s="10"/>
      <c r="E4227" s="10"/>
      <c r="F4227" s="47"/>
      <c r="G4227" s="10"/>
      <c r="H4227" s="20"/>
      <c r="I4227" s="20"/>
      <c r="J4227" s="10"/>
      <c r="K4227" s="10"/>
      <c r="L4227" s="10"/>
      <c r="M4227" s="10"/>
      <c r="N4227" s="10"/>
      <c r="O4227" s="21"/>
    </row>
    <row r="4228" spans="1:15" x14ac:dyDescent="0.35">
      <c r="A4228" s="15">
        <f t="shared" si="65"/>
        <v>4226</v>
      </c>
      <c r="B4228" s="16"/>
      <c r="C4228" s="19"/>
      <c r="D4228" s="10"/>
      <c r="E4228" s="10"/>
      <c r="F4228" s="47"/>
      <c r="G4228" s="10"/>
      <c r="H4228" s="20"/>
      <c r="I4228" s="20"/>
      <c r="J4228" s="10"/>
      <c r="K4228" s="10"/>
      <c r="L4228" s="10"/>
      <c r="M4228" s="10"/>
      <c r="N4228" s="10"/>
      <c r="O4228" s="21"/>
    </row>
    <row r="4229" spans="1:15" x14ac:dyDescent="0.35">
      <c r="A4229" s="15">
        <f t="shared" si="65"/>
        <v>4227</v>
      </c>
      <c r="B4229" s="16"/>
      <c r="C4229" s="19"/>
      <c r="D4229" s="10"/>
      <c r="E4229" s="10"/>
      <c r="F4229" s="47"/>
      <c r="G4229" s="10"/>
      <c r="H4229" s="20"/>
      <c r="I4229" s="20"/>
      <c r="J4229" s="10"/>
      <c r="K4229" s="10"/>
      <c r="L4229" s="10"/>
      <c r="M4229" s="10"/>
      <c r="N4229" s="10"/>
      <c r="O4229" s="21"/>
    </row>
    <row r="4230" spans="1:15" x14ac:dyDescent="0.35">
      <c r="A4230" s="15">
        <f t="shared" si="65"/>
        <v>4228</v>
      </c>
      <c r="B4230" s="16"/>
      <c r="C4230" s="19"/>
      <c r="D4230" s="10"/>
      <c r="E4230" s="10"/>
      <c r="F4230" s="47"/>
      <c r="G4230" s="10"/>
      <c r="H4230" s="20"/>
      <c r="I4230" s="20"/>
      <c r="J4230" s="10"/>
      <c r="K4230" s="10"/>
      <c r="L4230" s="10"/>
      <c r="M4230" s="10"/>
      <c r="N4230" s="10"/>
      <c r="O4230" s="21"/>
    </row>
    <row r="4231" spans="1:15" x14ac:dyDescent="0.35">
      <c r="A4231" s="15">
        <f t="shared" si="65"/>
        <v>4229</v>
      </c>
      <c r="B4231" s="16"/>
      <c r="C4231" s="19"/>
      <c r="D4231" s="10"/>
      <c r="E4231" s="10"/>
      <c r="F4231" s="47"/>
      <c r="G4231" s="10"/>
      <c r="H4231" s="20"/>
      <c r="I4231" s="20"/>
      <c r="J4231" s="10"/>
      <c r="K4231" s="10"/>
      <c r="L4231" s="10"/>
      <c r="M4231" s="10"/>
      <c r="N4231" s="10"/>
      <c r="O4231" s="21"/>
    </row>
    <row r="4232" spans="1:15" x14ac:dyDescent="0.35">
      <c r="A4232" s="15">
        <f t="shared" si="65"/>
        <v>4230</v>
      </c>
      <c r="B4232" s="16"/>
      <c r="C4232" s="19"/>
      <c r="D4232" s="10"/>
      <c r="E4232" s="10"/>
      <c r="F4232" s="47"/>
      <c r="G4232" s="10"/>
      <c r="H4232" s="20"/>
      <c r="I4232" s="20"/>
      <c r="J4232" s="10"/>
      <c r="K4232" s="10"/>
      <c r="L4232" s="10"/>
      <c r="M4232" s="10"/>
      <c r="N4232" s="10"/>
      <c r="O4232" s="21"/>
    </row>
    <row r="4233" spans="1:15" x14ac:dyDescent="0.35">
      <c r="A4233" s="15">
        <f t="shared" si="65"/>
        <v>4231</v>
      </c>
      <c r="B4233" s="16"/>
      <c r="C4233" s="19"/>
      <c r="D4233" s="10"/>
      <c r="E4233" s="10"/>
      <c r="F4233" s="47"/>
      <c r="G4233" s="10"/>
      <c r="H4233" s="20"/>
      <c r="I4233" s="20"/>
      <c r="J4233" s="10"/>
      <c r="K4233" s="10"/>
      <c r="L4233" s="10"/>
      <c r="M4233" s="10"/>
      <c r="N4233" s="10"/>
      <c r="O4233" s="21"/>
    </row>
    <row r="4234" spans="1:15" x14ac:dyDescent="0.35">
      <c r="A4234" s="15">
        <f t="shared" si="65"/>
        <v>4232</v>
      </c>
      <c r="B4234" s="16"/>
      <c r="C4234" s="19"/>
      <c r="D4234" s="10"/>
      <c r="E4234" s="10"/>
      <c r="F4234" s="47"/>
      <c r="G4234" s="10"/>
      <c r="H4234" s="20"/>
      <c r="I4234" s="20"/>
      <c r="J4234" s="10"/>
      <c r="K4234" s="10"/>
      <c r="L4234" s="10"/>
      <c r="M4234" s="10"/>
      <c r="N4234" s="10"/>
      <c r="O4234" s="21"/>
    </row>
    <row r="4235" spans="1:15" x14ac:dyDescent="0.35">
      <c r="A4235" s="15">
        <f t="shared" ref="A4235:A4298" si="66">+A4234+1</f>
        <v>4233</v>
      </c>
      <c r="B4235" s="16"/>
      <c r="C4235" s="19"/>
      <c r="D4235" s="10"/>
      <c r="E4235" s="10"/>
      <c r="F4235" s="47"/>
      <c r="G4235" s="10"/>
      <c r="H4235" s="20"/>
      <c r="I4235" s="20"/>
      <c r="J4235" s="10"/>
      <c r="K4235" s="10"/>
      <c r="L4235" s="10"/>
      <c r="M4235" s="10"/>
      <c r="N4235" s="10"/>
      <c r="O4235" s="21"/>
    </row>
    <row r="4236" spans="1:15" x14ac:dyDescent="0.35">
      <c r="A4236" s="15">
        <f t="shared" si="66"/>
        <v>4234</v>
      </c>
      <c r="B4236" s="16"/>
      <c r="C4236" s="19"/>
      <c r="D4236" s="10"/>
      <c r="E4236" s="10"/>
      <c r="F4236" s="47"/>
      <c r="G4236" s="10"/>
      <c r="H4236" s="20"/>
      <c r="I4236" s="20"/>
      <c r="J4236" s="10"/>
      <c r="K4236" s="10"/>
      <c r="L4236" s="10"/>
      <c r="M4236" s="10"/>
      <c r="N4236" s="10"/>
      <c r="O4236" s="21"/>
    </row>
    <row r="4237" spans="1:15" x14ac:dyDescent="0.35">
      <c r="A4237" s="15">
        <f t="shared" si="66"/>
        <v>4235</v>
      </c>
      <c r="B4237" s="16"/>
      <c r="C4237" s="19"/>
      <c r="D4237" s="10"/>
      <c r="E4237" s="10"/>
      <c r="F4237" s="47"/>
      <c r="G4237" s="10"/>
      <c r="H4237" s="20"/>
      <c r="I4237" s="20"/>
      <c r="J4237" s="10"/>
      <c r="K4237" s="10"/>
      <c r="L4237" s="10"/>
      <c r="M4237" s="10"/>
      <c r="N4237" s="10"/>
      <c r="O4237" s="21"/>
    </row>
    <row r="4238" spans="1:15" x14ac:dyDescent="0.35">
      <c r="A4238" s="15">
        <f t="shared" si="66"/>
        <v>4236</v>
      </c>
      <c r="B4238" s="16"/>
      <c r="C4238" s="19"/>
      <c r="D4238" s="10"/>
      <c r="E4238" s="10"/>
      <c r="F4238" s="47"/>
      <c r="G4238" s="10"/>
      <c r="H4238" s="20"/>
      <c r="I4238" s="20"/>
      <c r="J4238" s="10"/>
      <c r="K4238" s="10"/>
      <c r="L4238" s="10"/>
      <c r="M4238" s="10"/>
      <c r="N4238" s="10"/>
      <c r="O4238" s="21"/>
    </row>
    <row r="4239" spans="1:15" x14ac:dyDescent="0.35">
      <c r="A4239" s="15">
        <f t="shared" si="66"/>
        <v>4237</v>
      </c>
      <c r="B4239" s="16"/>
      <c r="C4239" s="19"/>
      <c r="D4239" s="10"/>
      <c r="E4239" s="10"/>
      <c r="F4239" s="47"/>
      <c r="G4239" s="10"/>
      <c r="H4239" s="20"/>
      <c r="I4239" s="20"/>
      <c r="J4239" s="10"/>
      <c r="K4239" s="10"/>
      <c r="L4239" s="10"/>
      <c r="M4239" s="10"/>
      <c r="N4239" s="10"/>
      <c r="O4239" s="21"/>
    </row>
    <row r="4240" spans="1:15" x14ac:dyDescent="0.35">
      <c r="A4240" s="15">
        <f t="shared" si="66"/>
        <v>4238</v>
      </c>
      <c r="B4240" s="16"/>
      <c r="C4240" s="19"/>
      <c r="D4240" s="10"/>
      <c r="E4240" s="10"/>
      <c r="F4240" s="47"/>
      <c r="G4240" s="10"/>
      <c r="H4240" s="20"/>
      <c r="I4240" s="20"/>
      <c r="J4240" s="10"/>
      <c r="K4240" s="10"/>
      <c r="L4240" s="10"/>
      <c r="M4240" s="10"/>
      <c r="N4240" s="10"/>
      <c r="O4240" s="21"/>
    </row>
    <row r="4241" spans="1:15" x14ac:dyDescent="0.35">
      <c r="A4241" s="15">
        <f t="shared" si="66"/>
        <v>4239</v>
      </c>
      <c r="B4241" s="16"/>
      <c r="C4241" s="19"/>
      <c r="D4241" s="10"/>
      <c r="E4241" s="10"/>
      <c r="F4241" s="47"/>
      <c r="G4241" s="10"/>
      <c r="H4241" s="20"/>
      <c r="I4241" s="20"/>
      <c r="J4241" s="10"/>
      <c r="K4241" s="10"/>
      <c r="L4241" s="10"/>
      <c r="M4241" s="10"/>
      <c r="N4241" s="10"/>
      <c r="O4241" s="21"/>
    </row>
    <row r="4242" spans="1:15" x14ac:dyDescent="0.35">
      <c r="A4242" s="15">
        <f t="shared" si="66"/>
        <v>4240</v>
      </c>
      <c r="B4242" s="16"/>
      <c r="C4242" s="19"/>
      <c r="D4242" s="10"/>
      <c r="E4242" s="10"/>
      <c r="F4242" s="47"/>
      <c r="G4242" s="10"/>
      <c r="H4242" s="20"/>
      <c r="I4242" s="20"/>
      <c r="J4242" s="10"/>
      <c r="K4242" s="10"/>
      <c r="L4242" s="10"/>
      <c r="M4242" s="10"/>
      <c r="N4242" s="10"/>
      <c r="O4242" s="21"/>
    </row>
    <row r="4243" spans="1:15" x14ac:dyDescent="0.35">
      <c r="A4243" s="15">
        <f t="shared" si="66"/>
        <v>4241</v>
      </c>
      <c r="B4243" s="16"/>
      <c r="C4243" s="19"/>
      <c r="D4243" s="10"/>
      <c r="E4243" s="10"/>
      <c r="F4243" s="47"/>
      <c r="G4243" s="10"/>
      <c r="H4243" s="20"/>
      <c r="I4243" s="20"/>
      <c r="J4243" s="10"/>
      <c r="K4243" s="10"/>
      <c r="L4243" s="10"/>
      <c r="M4243" s="10"/>
      <c r="N4243" s="10"/>
      <c r="O4243" s="21"/>
    </row>
    <row r="4244" spans="1:15" x14ac:dyDescent="0.35">
      <c r="A4244" s="15">
        <f t="shared" si="66"/>
        <v>4242</v>
      </c>
      <c r="B4244" s="16"/>
      <c r="C4244" s="19"/>
      <c r="D4244" s="10"/>
      <c r="E4244" s="10"/>
      <c r="F4244" s="47"/>
      <c r="G4244" s="10"/>
      <c r="H4244" s="20"/>
      <c r="I4244" s="20"/>
      <c r="J4244" s="10"/>
      <c r="K4244" s="10"/>
      <c r="L4244" s="10"/>
      <c r="M4244" s="10"/>
      <c r="N4244" s="10"/>
      <c r="O4244" s="21"/>
    </row>
    <row r="4245" spans="1:15" x14ac:dyDescent="0.35">
      <c r="A4245" s="15">
        <f t="shared" si="66"/>
        <v>4243</v>
      </c>
      <c r="B4245" s="16"/>
      <c r="C4245" s="19"/>
      <c r="D4245" s="10"/>
      <c r="E4245" s="10"/>
      <c r="F4245" s="47"/>
      <c r="G4245" s="10"/>
      <c r="H4245" s="20"/>
      <c r="I4245" s="20"/>
      <c r="J4245" s="10"/>
      <c r="K4245" s="10"/>
      <c r="L4245" s="10"/>
      <c r="M4245" s="10"/>
      <c r="N4245" s="10"/>
      <c r="O4245" s="21"/>
    </row>
    <row r="4246" spans="1:15" x14ac:dyDescent="0.35">
      <c r="A4246" s="15">
        <f t="shared" si="66"/>
        <v>4244</v>
      </c>
      <c r="B4246" s="16"/>
      <c r="C4246" s="19"/>
      <c r="D4246" s="10"/>
      <c r="E4246" s="10"/>
      <c r="F4246" s="47"/>
      <c r="G4246" s="10"/>
      <c r="H4246" s="20"/>
      <c r="I4246" s="20"/>
      <c r="J4246" s="10"/>
      <c r="K4246" s="10"/>
      <c r="L4246" s="10"/>
      <c r="M4246" s="10"/>
      <c r="N4246" s="10"/>
      <c r="O4246" s="21"/>
    </row>
    <row r="4247" spans="1:15" x14ac:dyDescent="0.35">
      <c r="A4247" s="15">
        <f t="shared" si="66"/>
        <v>4245</v>
      </c>
      <c r="B4247" s="16"/>
      <c r="C4247" s="19"/>
      <c r="D4247" s="10"/>
      <c r="E4247" s="10"/>
      <c r="F4247" s="47"/>
      <c r="G4247" s="10"/>
      <c r="H4247" s="20"/>
      <c r="I4247" s="20"/>
      <c r="J4247" s="10"/>
      <c r="K4247" s="10"/>
      <c r="L4247" s="10"/>
      <c r="M4247" s="10"/>
      <c r="N4247" s="10"/>
      <c r="O4247" s="21"/>
    </row>
    <row r="4248" spans="1:15" x14ac:dyDescent="0.35">
      <c r="A4248" s="15">
        <f t="shared" si="66"/>
        <v>4246</v>
      </c>
      <c r="B4248" s="16"/>
      <c r="C4248" s="19"/>
      <c r="D4248" s="10"/>
      <c r="E4248" s="10"/>
      <c r="F4248" s="47"/>
      <c r="G4248" s="10"/>
      <c r="H4248" s="20"/>
      <c r="I4248" s="20"/>
      <c r="J4248" s="10"/>
      <c r="K4248" s="10"/>
      <c r="L4248" s="10"/>
      <c r="M4248" s="10"/>
      <c r="N4248" s="10"/>
      <c r="O4248" s="21"/>
    </row>
    <row r="4249" spans="1:15" x14ac:dyDescent="0.35">
      <c r="A4249" s="15">
        <f t="shared" si="66"/>
        <v>4247</v>
      </c>
      <c r="B4249" s="16"/>
      <c r="C4249" s="19"/>
      <c r="D4249" s="10"/>
      <c r="E4249" s="10"/>
      <c r="F4249" s="47"/>
      <c r="G4249" s="10"/>
      <c r="H4249" s="20"/>
      <c r="I4249" s="20"/>
      <c r="J4249" s="10"/>
      <c r="K4249" s="10"/>
      <c r="L4249" s="10"/>
      <c r="M4249" s="10"/>
      <c r="N4249" s="10"/>
      <c r="O4249" s="21"/>
    </row>
    <row r="4250" spans="1:15" x14ac:dyDescent="0.35">
      <c r="A4250" s="15">
        <f t="shared" si="66"/>
        <v>4248</v>
      </c>
      <c r="B4250" s="16"/>
      <c r="C4250" s="19"/>
      <c r="D4250" s="10"/>
      <c r="E4250" s="10"/>
      <c r="F4250" s="47"/>
      <c r="G4250" s="10"/>
      <c r="H4250" s="20"/>
      <c r="I4250" s="20"/>
      <c r="J4250" s="10"/>
      <c r="K4250" s="10"/>
      <c r="L4250" s="10"/>
      <c r="M4250" s="10"/>
      <c r="N4250" s="10"/>
      <c r="O4250" s="21"/>
    </row>
    <row r="4251" spans="1:15" x14ac:dyDescent="0.35">
      <c r="A4251" s="15">
        <f t="shared" si="66"/>
        <v>4249</v>
      </c>
      <c r="B4251" s="16"/>
      <c r="C4251" s="19"/>
      <c r="D4251" s="10"/>
      <c r="E4251" s="10"/>
      <c r="F4251" s="47"/>
      <c r="G4251" s="10"/>
      <c r="H4251" s="20"/>
      <c r="I4251" s="20"/>
      <c r="J4251" s="10"/>
      <c r="K4251" s="10"/>
      <c r="L4251" s="10"/>
      <c r="M4251" s="10"/>
      <c r="N4251" s="10"/>
      <c r="O4251" s="21"/>
    </row>
    <row r="4252" spans="1:15" x14ac:dyDescent="0.35">
      <c r="A4252" s="15">
        <f t="shared" si="66"/>
        <v>4250</v>
      </c>
      <c r="B4252" s="16"/>
      <c r="C4252" s="19"/>
      <c r="D4252" s="10"/>
      <c r="E4252" s="10"/>
      <c r="F4252" s="47"/>
      <c r="G4252" s="10"/>
      <c r="H4252" s="20"/>
      <c r="I4252" s="20"/>
      <c r="J4252" s="10"/>
      <c r="K4252" s="10"/>
      <c r="L4252" s="10"/>
      <c r="M4252" s="10"/>
      <c r="N4252" s="10"/>
      <c r="O4252" s="21"/>
    </row>
    <row r="4253" spans="1:15" x14ac:dyDescent="0.35">
      <c r="A4253" s="15">
        <f t="shared" si="66"/>
        <v>4251</v>
      </c>
      <c r="B4253" s="16"/>
      <c r="C4253" s="19"/>
      <c r="D4253" s="10"/>
      <c r="E4253" s="10"/>
      <c r="F4253" s="47"/>
      <c r="G4253" s="10"/>
      <c r="H4253" s="20"/>
      <c r="I4253" s="20"/>
      <c r="J4253" s="10"/>
      <c r="K4253" s="10"/>
      <c r="L4253" s="10"/>
      <c r="M4253" s="10"/>
      <c r="N4253" s="10"/>
      <c r="O4253" s="21"/>
    </row>
    <row r="4254" spans="1:15" x14ac:dyDescent="0.35">
      <c r="A4254" s="15">
        <f t="shared" si="66"/>
        <v>4252</v>
      </c>
      <c r="B4254" s="16"/>
      <c r="C4254" s="19"/>
      <c r="D4254" s="10"/>
      <c r="E4254" s="10"/>
      <c r="F4254" s="47"/>
      <c r="G4254" s="10"/>
      <c r="H4254" s="20"/>
      <c r="I4254" s="20"/>
      <c r="J4254" s="10"/>
      <c r="K4254" s="10"/>
      <c r="L4254" s="10"/>
      <c r="M4254" s="10"/>
      <c r="N4254" s="10"/>
      <c r="O4254" s="21"/>
    </row>
    <row r="4255" spans="1:15" x14ac:dyDescent="0.35">
      <c r="A4255" s="15">
        <f t="shared" si="66"/>
        <v>4253</v>
      </c>
      <c r="B4255" s="16"/>
      <c r="C4255" s="19"/>
      <c r="D4255" s="10"/>
      <c r="E4255" s="10"/>
      <c r="F4255" s="47"/>
      <c r="G4255" s="10"/>
      <c r="H4255" s="20"/>
      <c r="I4255" s="20"/>
      <c r="J4255" s="10"/>
      <c r="K4255" s="10"/>
      <c r="L4255" s="10"/>
      <c r="M4255" s="10"/>
      <c r="N4255" s="10"/>
      <c r="O4255" s="21"/>
    </row>
    <row r="4256" spans="1:15" x14ac:dyDescent="0.35">
      <c r="A4256" s="15">
        <f t="shared" si="66"/>
        <v>4254</v>
      </c>
      <c r="B4256" s="16"/>
      <c r="C4256" s="19"/>
      <c r="D4256" s="10"/>
      <c r="E4256" s="10"/>
      <c r="F4256" s="47"/>
      <c r="G4256" s="10"/>
      <c r="H4256" s="20"/>
      <c r="I4256" s="20"/>
      <c r="J4256" s="10"/>
      <c r="K4256" s="10"/>
      <c r="L4256" s="10"/>
      <c r="M4256" s="10"/>
      <c r="N4256" s="10"/>
      <c r="O4256" s="21"/>
    </row>
    <row r="4257" spans="1:15" x14ac:dyDescent="0.35">
      <c r="A4257" s="15">
        <f t="shared" si="66"/>
        <v>4255</v>
      </c>
      <c r="B4257" s="16"/>
      <c r="C4257" s="19"/>
      <c r="D4257" s="10"/>
      <c r="E4257" s="10"/>
      <c r="F4257" s="47"/>
      <c r="G4257" s="10"/>
      <c r="H4257" s="20"/>
      <c r="I4257" s="20"/>
      <c r="J4257" s="10"/>
      <c r="K4257" s="10"/>
      <c r="L4257" s="10"/>
      <c r="M4257" s="10"/>
      <c r="N4257" s="10"/>
      <c r="O4257" s="21"/>
    </row>
    <row r="4258" spans="1:15" x14ac:dyDescent="0.35">
      <c r="A4258" s="15">
        <f t="shared" si="66"/>
        <v>4256</v>
      </c>
      <c r="B4258" s="16"/>
      <c r="C4258" s="19"/>
      <c r="D4258" s="10"/>
      <c r="E4258" s="10"/>
      <c r="F4258" s="47"/>
      <c r="G4258" s="10"/>
      <c r="H4258" s="20"/>
      <c r="I4258" s="20"/>
      <c r="J4258" s="10"/>
      <c r="K4258" s="10"/>
      <c r="L4258" s="10"/>
      <c r="M4258" s="10"/>
      <c r="N4258" s="10"/>
      <c r="O4258" s="21"/>
    </row>
    <row r="4259" spans="1:15" x14ac:dyDescent="0.35">
      <c r="A4259" s="15">
        <f t="shared" si="66"/>
        <v>4257</v>
      </c>
      <c r="B4259" s="16"/>
      <c r="C4259" s="19"/>
      <c r="D4259" s="10"/>
      <c r="E4259" s="10"/>
      <c r="F4259" s="47"/>
      <c r="G4259" s="10"/>
      <c r="H4259" s="20"/>
      <c r="I4259" s="20"/>
      <c r="J4259" s="10"/>
      <c r="K4259" s="10"/>
      <c r="L4259" s="10"/>
      <c r="M4259" s="10"/>
      <c r="N4259" s="10"/>
      <c r="O4259" s="21"/>
    </row>
    <row r="4260" spans="1:15" x14ac:dyDescent="0.35">
      <c r="A4260" s="15">
        <f t="shared" si="66"/>
        <v>4258</v>
      </c>
      <c r="B4260" s="16"/>
      <c r="C4260" s="19"/>
      <c r="D4260" s="10"/>
      <c r="E4260" s="10"/>
      <c r="F4260" s="47"/>
      <c r="G4260" s="10"/>
      <c r="H4260" s="20"/>
      <c r="I4260" s="20"/>
      <c r="J4260" s="10"/>
      <c r="K4260" s="10"/>
      <c r="L4260" s="10"/>
      <c r="M4260" s="10"/>
      <c r="N4260" s="10"/>
      <c r="O4260" s="21"/>
    </row>
    <row r="4261" spans="1:15" x14ac:dyDescent="0.35">
      <c r="A4261" s="15">
        <f t="shared" si="66"/>
        <v>4259</v>
      </c>
      <c r="B4261" s="16"/>
      <c r="C4261" s="19"/>
      <c r="D4261" s="10"/>
      <c r="E4261" s="10"/>
      <c r="F4261" s="47"/>
      <c r="G4261" s="10"/>
      <c r="H4261" s="20"/>
      <c r="I4261" s="20"/>
      <c r="J4261" s="10"/>
      <c r="K4261" s="10"/>
      <c r="L4261" s="10"/>
      <c r="M4261" s="10"/>
      <c r="N4261" s="10"/>
      <c r="O4261" s="21"/>
    </row>
    <row r="4262" spans="1:15" x14ac:dyDescent="0.35">
      <c r="A4262" s="15">
        <f t="shared" si="66"/>
        <v>4260</v>
      </c>
      <c r="B4262" s="16"/>
      <c r="C4262" s="19"/>
      <c r="D4262" s="10"/>
      <c r="E4262" s="10"/>
      <c r="F4262" s="47"/>
      <c r="G4262" s="10"/>
      <c r="H4262" s="20"/>
      <c r="I4262" s="20"/>
      <c r="J4262" s="10"/>
      <c r="K4262" s="10"/>
      <c r="L4262" s="10"/>
      <c r="M4262" s="10"/>
      <c r="N4262" s="10"/>
      <c r="O4262" s="21"/>
    </row>
    <row r="4263" spans="1:15" x14ac:dyDescent="0.35">
      <c r="A4263" s="15">
        <f t="shared" si="66"/>
        <v>4261</v>
      </c>
      <c r="B4263" s="16"/>
      <c r="C4263" s="19"/>
      <c r="D4263" s="10"/>
      <c r="E4263" s="10"/>
      <c r="F4263" s="47"/>
      <c r="G4263" s="10"/>
      <c r="H4263" s="20"/>
      <c r="I4263" s="20"/>
      <c r="J4263" s="10"/>
      <c r="K4263" s="10"/>
      <c r="L4263" s="10"/>
      <c r="M4263" s="10"/>
      <c r="N4263" s="10"/>
      <c r="O4263" s="21"/>
    </row>
    <row r="4264" spans="1:15" x14ac:dyDescent="0.35">
      <c r="A4264" s="15">
        <f t="shared" si="66"/>
        <v>4262</v>
      </c>
      <c r="B4264" s="16"/>
      <c r="C4264" s="19"/>
      <c r="D4264" s="10"/>
      <c r="E4264" s="10"/>
      <c r="F4264" s="47"/>
      <c r="G4264" s="10"/>
      <c r="H4264" s="20"/>
      <c r="I4264" s="20"/>
      <c r="J4264" s="10"/>
      <c r="K4264" s="10"/>
      <c r="L4264" s="10"/>
      <c r="M4264" s="10"/>
      <c r="N4264" s="10"/>
      <c r="O4264" s="21"/>
    </row>
    <row r="4265" spans="1:15" x14ac:dyDescent="0.35">
      <c r="A4265" s="15">
        <f t="shared" si="66"/>
        <v>4263</v>
      </c>
      <c r="B4265" s="16"/>
      <c r="C4265" s="19"/>
      <c r="D4265" s="10"/>
      <c r="E4265" s="10"/>
      <c r="F4265" s="47"/>
      <c r="G4265" s="10"/>
      <c r="H4265" s="20"/>
      <c r="I4265" s="20"/>
      <c r="J4265" s="10"/>
      <c r="K4265" s="10"/>
      <c r="L4265" s="10"/>
      <c r="M4265" s="10"/>
      <c r="N4265" s="10"/>
      <c r="O4265" s="21"/>
    </row>
    <row r="4266" spans="1:15" x14ac:dyDescent="0.35">
      <c r="A4266" s="15">
        <f t="shared" si="66"/>
        <v>4264</v>
      </c>
      <c r="B4266" s="16"/>
      <c r="C4266" s="19"/>
      <c r="D4266" s="10"/>
      <c r="E4266" s="10"/>
      <c r="F4266" s="47"/>
      <c r="G4266" s="10"/>
      <c r="H4266" s="20"/>
      <c r="I4266" s="20"/>
      <c r="J4266" s="10"/>
      <c r="K4266" s="10"/>
      <c r="L4266" s="10"/>
      <c r="M4266" s="10"/>
      <c r="N4266" s="10"/>
      <c r="O4266" s="21"/>
    </row>
    <row r="4267" spans="1:15" x14ac:dyDescent="0.35">
      <c r="A4267" s="15">
        <f t="shared" si="66"/>
        <v>4265</v>
      </c>
      <c r="B4267" s="16"/>
      <c r="C4267" s="19"/>
      <c r="D4267" s="10"/>
      <c r="E4267" s="10"/>
      <c r="F4267" s="47"/>
      <c r="G4267" s="10"/>
      <c r="H4267" s="20"/>
      <c r="I4267" s="20"/>
      <c r="J4267" s="10"/>
      <c r="K4267" s="10"/>
      <c r="L4267" s="10"/>
      <c r="M4267" s="10"/>
      <c r="N4267" s="10"/>
      <c r="O4267" s="21"/>
    </row>
    <row r="4268" spans="1:15" x14ac:dyDescent="0.35">
      <c r="A4268" s="15">
        <f t="shared" si="66"/>
        <v>4266</v>
      </c>
      <c r="B4268" s="16"/>
      <c r="C4268" s="19"/>
      <c r="D4268" s="10"/>
      <c r="E4268" s="10"/>
      <c r="F4268" s="47"/>
      <c r="G4268" s="10"/>
      <c r="H4268" s="20"/>
      <c r="I4268" s="20"/>
      <c r="J4268" s="10"/>
      <c r="K4268" s="10"/>
      <c r="L4268" s="10"/>
      <c r="M4268" s="10"/>
      <c r="N4268" s="10"/>
      <c r="O4268" s="21"/>
    </row>
    <row r="4269" spans="1:15" x14ac:dyDescent="0.35">
      <c r="A4269" s="15">
        <f t="shared" si="66"/>
        <v>4267</v>
      </c>
      <c r="B4269" s="16"/>
      <c r="C4269" s="19"/>
      <c r="D4269" s="10"/>
      <c r="E4269" s="10"/>
      <c r="F4269" s="47"/>
      <c r="G4269" s="10"/>
      <c r="H4269" s="20"/>
      <c r="I4269" s="20"/>
      <c r="J4269" s="10"/>
      <c r="K4269" s="10"/>
      <c r="L4269" s="10"/>
      <c r="M4269" s="10"/>
      <c r="N4269" s="10"/>
      <c r="O4269" s="21"/>
    </row>
    <row r="4270" spans="1:15" x14ac:dyDescent="0.35">
      <c r="A4270" s="15">
        <f t="shared" si="66"/>
        <v>4268</v>
      </c>
      <c r="B4270" s="16"/>
      <c r="C4270" s="19"/>
      <c r="D4270" s="10"/>
      <c r="E4270" s="10"/>
      <c r="F4270" s="47"/>
      <c r="G4270" s="10"/>
      <c r="H4270" s="20"/>
      <c r="I4270" s="20"/>
      <c r="J4270" s="10"/>
      <c r="K4270" s="10"/>
      <c r="L4270" s="10"/>
      <c r="M4270" s="10"/>
      <c r="N4270" s="10"/>
      <c r="O4270" s="21"/>
    </row>
    <row r="4271" spans="1:15" x14ac:dyDescent="0.35">
      <c r="A4271" s="15">
        <f t="shared" si="66"/>
        <v>4269</v>
      </c>
      <c r="B4271" s="16"/>
      <c r="C4271" s="19"/>
      <c r="D4271" s="10"/>
      <c r="E4271" s="10"/>
      <c r="F4271" s="47"/>
      <c r="G4271" s="10"/>
      <c r="H4271" s="20"/>
      <c r="I4271" s="20"/>
      <c r="J4271" s="10"/>
      <c r="K4271" s="10"/>
      <c r="L4271" s="10"/>
      <c r="M4271" s="10"/>
      <c r="N4271" s="10"/>
      <c r="O4271" s="21"/>
    </row>
    <row r="4272" spans="1:15" x14ac:dyDescent="0.35">
      <c r="A4272" s="15">
        <f t="shared" si="66"/>
        <v>4270</v>
      </c>
      <c r="B4272" s="16"/>
      <c r="C4272" s="19"/>
      <c r="D4272" s="10"/>
      <c r="E4272" s="10"/>
      <c r="F4272" s="47"/>
      <c r="G4272" s="10"/>
      <c r="H4272" s="20"/>
      <c r="I4272" s="20"/>
      <c r="J4272" s="10"/>
      <c r="K4272" s="10"/>
      <c r="L4272" s="10"/>
      <c r="M4272" s="10"/>
      <c r="N4272" s="10"/>
      <c r="O4272" s="21"/>
    </row>
    <row r="4273" spans="1:15" x14ac:dyDescent="0.35">
      <c r="A4273" s="15">
        <f t="shared" si="66"/>
        <v>4271</v>
      </c>
      <c r="B4273" s="16"/>
      <c r="C4273" s="19"/>
      <c r="D4273" s="10"/>
      <c r="E4273" s="10"/>
      <c r="F4273" s="47"/>
      <c r="G4273" s="10"/>
      <c r="H4273" s="20"/>
      <c r="I4273" s="20"/>
      <c r="J4273" s="10"/>
      <c r="K4273" s="10"/>
      <c r="L4273" s="10"/>
      <c r="M4273" s="10"/>
      <c r="N4273" s="10"/>
      <c r="O4273" s="21"/>
    </row>
    <row r="4274" spans="1:15" x14ac:dyDescent="0.35">
      <c r="A4274" s="15">
        <f t="shared" si="66"/>
        <v>4272</v>
      </c>
      <c r="B4274" s="16"/>
      <c r="C4274" s="19"/>
      <c r="D4274" s="10"/>
      <c r="E4274" s="10"/>
      <c r="F4274" s="47"/>
      <c r="G4274" s="10"/>
      <c r="H4274" s="20"/>
      <c r="I4274" s="20"/>
      <c r="J4274" s="10"/>
      <c r="K4274" s="10"/>
      <c r="L4274" s="10"/>
      <c r="M4274" s="10"/>
      <c r="N4274" s="10"/>
      <c r="O4274" s="21"/>
    </row>
    <row r="4275" spans="1:15" x14ac:dyDescent="0.35">
      <c r="A4275" s="15">
        <f t="shared" si="66"/>
        <v>4273</v>
      </c>
      <c r="B4275" s="16"/>
      <c r="C4275" s="19"/>
      <c r="D4275" s="10"/>
      <c r="E4275" s="10"/>
      <c r="F4275" s="47"/>
      <c r="G4275" s="10"/>
      <c r="H4275" s="20"/>
      <c r="I4275" s="20"/>
      <c r="J4275" s="10"/>
      <c r="K4275" s="10"/>
      <c r="L4275" s="10"/>
      <c r="M4275" s="10"/>
      <c r="N4275" s="10"/>
      <c r="O4275" s="21"/>
    </row>
    <row r="4276" spans="1:15" x14ac:dyDescent="0.35">
      <c r="A4276" s="15">
        <f t="shared" si="66"/>
        <v>4274</v>
      </c>
      <c r="B4276" s="16"/>
      <c r="C4276" s="19"/>
      <c r="D4276" s="10"/>
      <c r="E4276" s="10"/>
      <c r="F4276" s="47"/>
      <c r="G4276" s="10"/>
      <c r="H4276" s="20"/>
      <c r="I4276" s="20"/>
      <c r="J4276" s="10"/>
      <c r="K4276" s="10"/>
      <c r="L4276" s="10"/>
      <c r="M4276" s="10"/>
      <c r="N4276" s="10"/>
      <c r="O4276" s="21"/>
    </row>
    <row r="4277" spans="1:15" x14ac:dyDescent="0.35">
      <c r="A4277" s="15">
        <f t="shared" si="66"/>
        <v>4275</v>
      </c>
      <c r="B4277" s="16"/>
      <c r="C4277" s="19"/>
      <c r="D4277" s="10"/>
      <c r="E4277" s="10"/>
      <c r="F4277" s="47"/>
      <c r="G4277" s="10"/>
      <c r="H4277" s="20"/>
      <c r="I4277" s="20"/>
      <c r="J4277" s="10"/>
      <c r="K4277" s="10"/>
      <c r="L4277" s="10"/>
      <c r="M4277" s="10"/>
      <c r="N4277" s="10"/>
      <c r="O4277" s="21"/>
    </row>
    <row r="4278" spans="1:15" x14ac:dyDescent="0.35">
      <c r="A4278" s="15">
        <f t="shared" si="66"/>
        <v>4276</v>
      </c>
      <c r="B4278" s="16"/>
      <c r="C4278" s="19"/>
      <c r="D4278" s="10"/>
      <c r="E4278" s="10"/>
      <c r="F4278" s="47"/>
      <c r="G4278" s="10"/>
      <c r="H4278" s="20"/>
      <c r="I4278" s="20"/>
      <c r="J4278" s="10"/>
      <c r="K4278" s="10"/>
      <c r="L4278" s="10"/>
      <c r="M4278" s="10"/>
      <c r="N4278" s="10"/>
      <c r="O4278" s="21"/>
    </row>
    <row r="4279" spans="1:15" x14ac:dyDescent="0.35">
      <c r="A4279" s="15">
        <f t="shared" si="66"/>
        <v>4277</v>
      </c>
      <c r="B4279" s="16"/>
      <c r="C4279" s="19"/>
      <c r="D4279" s="10"/>
      <c r="E4279" s="10"/>
      <c r="F4279" s="47"/>
      <c r="G4279" s="10"/>
      <c r="H4279" s="20"/>
      <c r="I4279" s="20"/>
      <c r="J4279" s="10"/>
      <c r="K4279" s="10"/>
      <c r="L4279" s="10"/>
      <c r="M4279" s="10"/>
      <c r="N4279" s="10"/>
      <c r="O4279" s="21"/>
    </row>
    <row r="4280" spans="1:15" x14ac:dyDescent="0.35">
      <c r="A4280" s="15">
        <f t="shared" si="66"/>
        <v>4278</v>
      </c>
      <c r="B4280" s="16"/>
      <c r="C4280" s="19"/>
      <c r="D4280" s="10"/>
      <c r="E4280" s="10"/>
      <c r="F4280" s="47"/>
      <c r="G4280" s="10"/>
      <c r="H4280" s="20"/>
      <c r="I4280" s="20"/>
      <c r="J4280" s="10"/>
      <c r="K4280" s="10"/>
      <c r="L4280" s="10"/>
      <c r="M4280" s="10"/>
      <c r="N4280" s="10"/>
      <c r="O4280" s="21"/>
    </row>
    <row r="4281" spans="1:15" x14ac:dyDescent="0.35">
      <c r="A4281" s="15">
        <f t="shared" si="66"/>
        <v>4279</v>
      </c>
      <c r="B4281" s="16"/>
      <c r="C4281" s="19"/>
      <c r="D4281" s="10"/>
      <c r="E4281" s="10"/>
      <c r="F4281" s="47"/>
      <c r="G4281" s="10"/>
      <c r="H4281" s="20"/>
      <c r="I4281" s="20"/>
      <c r="J4281" s="10"/>
      <c r="K4281" s="10"/>
      <c r="L4281" s="10"/>
      <c r="M4281" s="10"/>
      <c r="N4281" s="10"/>
      <c r="O4281" s="21"/>
    </row>
    <row r="4282" spans="1:15" x14ac:dyDescent="0.35">
      <c r="A4282" s="15">
        <f t="shared" si="66"/>
        <v>4280</v>
      </c>
      <c r="B4282" s="16"/>
      <c r="C4282" s="19"/>
      <c r="D4282" s="10"/>
      <c r="E4282" s="10"/>
      <c r="F4282" s="47"/>
      <c r="G4282" s="10"/>
      <c r="H4282" s="20"/>
      <c r="I4282" s="20"/>
      <c r="J4282" s="10"/>
      <c r="K4282" s="10"/>
      <c r="L4282" s="10"/>
      <c r="M4282" s="10"/>
      <c r="N4282" s="10"/>
      <c r="O4282" s="21"/>
    </row>
    <row r="4283" spans="1:15" x14ac:dyDescent="0.35">
      <c r="A4283" s="15">
        <f t="shared" si="66"/>
        <v>4281</v>
      </c>
      <c r="B4283" s="16"/>
      <c r="C4283" s="19"/>
      <c r="D4283" s="10"/>
      <c r="E4283" s="10"/>
      <c r="F4283" s="47"/>
      <c r="G4283" s="10"/>
      <c r="H4283" s="20"/>
      <c r="I4283" s="20"/>
      <c r="J4283" s="10"/>
      <c r="K4283" s="10"/>
      <c r="L4283" s="10"/>
      <c r="M4283" s="10"/>
      <c r="N4283" s="10"/>
      <c r="O4283" s="21"/>
    </row>
    <row r="4284" spans="1:15" x14ac:dyDescent="0.35">
      <c r="A4284" s="15">
        <f t="shared" si="66"/>
        <v>4282</v>
      </c>
      <c r="B4284" s="16"/>
      <c r="C4284" s="19"/>
      <c r="D4284" s="10"/>
      <c r="E4284" s="10"/>
      <c r="F4284" s="47"/>
      <c r="G4284" s="10"/>
      <c r="H4284" s="20"/>
      <c r="I4284" s="20"/>
      <c r="J4284" s="10"/>
      <c r="K4284" s="10"/>
      <c r="L4284" s="10"/>
      <c r="M4284" s="10"/>
      <c r="N4284" s="10"/>
      <c r="O4284" s="21"/>
    </row>
    <row r="4285" spans="1:15" x14ac:dyDescent="0.35">
      <c r="A4285" s="15">
        <f t="shared" si="66"/>
        <v>4283</v>
      </c>
      <c r="B4285" s="16"/>
      <c r="C4285" s="19"/>
      <c r="D4285" s="10"/>
      <c r="E4285" s="10"/>
      <c r="F4285" s="47"/>
      <c r="G4285" s="10"/>
      <c r="H4285" s="20"/>
      <c r="I4285" s="20"/>
      <c r="J4285" s="10"/>
      <c r="K4285" s="10"/>
      <c r="L4285" s="10"/>
      <c r="M4285" s="10"/>
      <c r="N4285" s="10"/>
      <c r="O4285" s="21"/>
    </row>
    <row r="4286" spans="1:15" x14ac:dyDescent="0.35">
      <c r="A4286" s="15">
        <f t="shared" si="66"/>
        <v>4284</v>
      </c>
      <c r="B4286" s="16"/>
      <c r="C4286" s="19"/>
      <c r="D4286" s="10"/>
      <c r="E4286" s="10"/>
      <c r="F4286" s="47"/>
      <c r="G4286" s="10"/>
      <c r="H4286" s="20"/>
      <c r="I4286" s="20"/>
      <c r="J4286" s="10"/>
      <c r="K4286" s="10"/>
      <c r="L4286" s="10"/>
      <c r="M4286" s="10"/>
      <c r="N4286" s="10"/>
      <c r="O4286" s="21"/>
    </row>
    <row r="4287" spans="1:15" x14ac:dyDescent="0.35">
      <c r="A4287" s="15">
        <f t="shared" si="66"/>
        <v>4285</v>
      </c>
      <c r="B4287" s="16"/>
      <c r="C4287" s="19"/>
      <c r="D4287" s="10"/>
      <c r="E4287" s="10"/>
      <c r="F4287" s="47"/>
      <c r="G4287" s="10"/>
      <c r="H4287" s="20"/>
      <c r="I4287" s="20"/>
      <c r="J4287" s="10"/>
      <c r="K4287" s="10"/>
      <c r="L4287" s="10"/>
      <c r="M4287" s="10"/>
      <c r="N4287" s="10"/>
      <c r="O4287" s="21"/>
    </row>
    <row r="4288" spans="1:15" x14ac:dyDescent="0.35">
      <c r="A4288" s="15">
        <f t="shared" si="66"/>
        <v>4286</v>
      </c>
      <c r="B4288" s="16"/>
      <c r="C4288" s="19"/>
      <c r="D4288" s="10"/>
      <c r="E4288" s="10"/>
      <c r="F4288" s="47"/>
      <c r="G4288" s="10"/>
      <c r="H4288" s="20"/>
      <c r="I4288" s="20"/>
      <c r="J4288" s="10"/>
      <c r="K4288" s="10"/>
      <c r="L4288" s="10"/>
      <c r="M4288" s="10"/>
      <c r="N4288" s="10"/>
      <c r="O4288" s="21"/>
    </row>
    <row r="4289" spans="1:15" x14ac:dyDescent="0.35">
      <c r="A4289" s="15">
        <f t="shared" si="66"/>
        <v>4287</v>
      </c>
      <c r="B4289" s="16"/>
      <c r="C4289" s="19"/>
      <c r="D4289" s="10"/>
      <c r="E4289" s="10"/>
      <c r="F4289" s="47"/>
      <c r="G4289" s="10"/>
      <c r="H4289" s="20"/>
      <c r="I4289" s="20"/>
      <c r="J4289" s="10"/>
      <c r="K4289" s="10"/>
      <c r="L4289" s="10"/>
      <c r="M4289" s="10"/>
      <c r="N4289" s="10"/>
      <c r="O4289" s="21"/>
    </row>
    <row r="4290" spans="1:15" x14ac:dyDescent="0.35">
      <c r="A4290" s="15">
        <f t="shared" si="66"/>
        <v>4288</v>
      </c>
      <c r="B4290" s="16"/>
      <c r="C4290" s="19"/>
      <c r="D4290" s="10"/>
      <c r="E4290" s="10"/>
      <c r="F4290" s="47"/>
      <c r="G4290" s="10"/>
      <c r="H4290" s="20"/>
      <c r="I4290" s="20"/>
      <c r="J4290" s="10"/>
      <c r="K4290" s="10"/>
      <c r="L4290" s="10"/>
      <c r="M4290" s="10"/>
      <c r="N4290" s="10"/>
      <c r="O4290" s="21"/>
    </row>
    <row r="4291" spans="1:15" x14ac:dyDescent="0.35">
      <c r="A4291" s="15">
        <f t="shared" si="66"/>
        <v>4289</v>
      </c>
      <c r="B4291" s="16"/>
      <c r="C4291" s="19"/>
      <c r="D4291" s="10"/>
      <c r="E4291" s="10"/>
      <c r="F4291" s="47"/>
      <c r="G4291" s="10"/>
      <c r="H4291" s="20"/>
      <c r="I4291" s="20"/>
      <c r="J4291" s="10"/>
      <c r="K4291" s="10"/>
      <c r="L4291" s="10"/>
      <c r="M4291" s="10"/>
      <c r="N4291" s="10"/>
      <c r="O4291" s="21"/>
    </row>
    <row r="4292" spans="1:15" x14ac:dyDescent="0.35">
      <c r="A4292" s="15">
        <f t="shared" si="66"/>
        <v>4290</v>
      </c>
      <c r="B4292" s="16"/>
      <c r="C4292" s="19"/>
      <c r="D4292" s="10"/>
      <c r="E4292" s="10"/>
      <c r="F4292" s="47"/>
      <c r="G4292" s="10"/>
      <c r="H4292" s="20"/>
      <c r="I4292" s="20"/>
      <c r="J4292" s="10"/>
      <c r="K4292" s="10"/>
      <c r="L4292" s="10"/>
      <c r="M4292" s="10"/>
      <c r="N4292" s="10"/>
      <c r="O4292" s="21"/>
    </row>
    <row r="4293" spans="1:15" x14ac:dyDescent="0.35">
      <c r="A4293" s="15">
        <f t="shared" si="66"/>
        <v>4291</v>
      </c>
      <c r="B4293" s="16"/>
      <c r="C4293" s="19"/>
      <c r="D4293" s="10"/>
      <c r="E4293" s="10"/>
      <c r="F4293" s="47"/>
      <c r="G4293" s="10"/>
      <c r="H4293" s="20"/>
      <c r="I4293" s="20"/>
      <c r="J4293" s="10"/>
      <c r="K4293" s="10"/>
      <c r="L4293" s="10"/>
      <c r="M4293" s="10"/>
      <c r="N4293" s="10"/>
      <c r="O4293" s="21"/>
    </row>
    <row r="4294" spans="1:15" x14ac:dyDescent="0.35">
      <c r="A4294" s="15">
        <f t="shared" si="66"/>
        <v>4292</v>
      </c>
      <c r="B4294" s="16"/>
      <c r="C4294" s="19"/>
      <c r="D4294" s="10"/>
      <c r="E4294" s="10"/>
      <c r="F4294" s="47"/>
      <c r="G4294" s="10"/>
      <c r="H4294" s="20"/>
      <c r="I4294" s="20"/>
      <c r="J4294" s="10"/>
      <c r="K4294" s="10"/>
      <c r="L4294" s="10"/>
      <c r="M4294" s="10"/>
      <c r="N4294" s="10"/>
      <c r="O4294" s="21"/>
    </row>
    <row r="4295" spans="1:15" x14ac:dyDescent="0.35">
      <c r="A4295" s="15">
        <f t="shared" si="66"/>
        <v>4293</v>
      </c>
      <c r="B4295" s="16"/>
      <c r="C4295" s="19"/>
      <c r="D4295" s="10"/>
      <c r="E4295" s="10"/>
      <c r="F4295" s="47"/>
      <c r="G4295" s="10"/>
      <c r="H4295" s="20"/>
      <c r="I4295" s="20"/>
      <c r="J4295" s="10"/>
      <c r="K4295" s="10"/>
      <c r="L4295" s="10"/>
      <c r="M4295" s="10"/>
      <c r="N4295" s="10"/>
      <c r="O4295" s="21"/>
    </row>
    <row r="4296" spans="1:15" x14ac:dyDescent="0.35">
      <c r="A4296" s="15">
        <f t="shared" si="66"/>
        <v>4294</v>
      </c>
      <c r="B4296" s="16"/>
      <c r="C4296" s="19"/>
      <c r="D4296" s="10"/>
      <c r="E4296" s="10"/>
      <c r="F4296" s="47"/>
      <c r="G4296" s="10"/>
      <c r="H4296" s="20"/>
      <c r="I4296" s="20"/>
      <c r="J4296" s="10"/>
      <c r="K4296" s="10"/>
      <c r="L4296" s="10"/>
      <c r="M4296" s="10"/>
      <c r="N4296" s="10"/>
      <c r="O4296" s="21"/>
    </row>
    <row r="4297" spans="1:15" x14ac:dyDescent="0.35">
      <c r="A4297" s="15">
        <f t="shared" si="66"/>
        <v>4295</v>
      </c>
      <c r="B4297" s="16"/>
      <c r="C4297" s="19"/>
      <c r="D4297" s="10"/>
      <c r="E4297" s="10"/>
      <c r="F4297" s="47"/>
      <c r="G4297" s="10"/>
      <c r="H4297" s="20"/>
      <c r="I4297" s="20"/>
      <c r="J4297" s="10"/>
      <c r="K4297" s="10"/>
      <c r="L4297" s="10"/>
      <c r="M4297" s="10"/>
      <c r="N4297" s="10"/>
      <c r="O4297" s="21"/>
    </row>
    <row r="4298" spans="1:15" x14ac:dyDescent="0.35">
      <c r="A4298" s="15">
        <f t="shared" si="66"/>
        <v>4296</v>
      </c>
      <c r="B4298" s="16"/>
      <c r="C4298" s="19"/>
      <c r="D4298" s="10"/>
      <c r="E4298" s="10"/>
      <c r="F4298" s="47"/>
      <c r="G4298" s="10"/>
      <c r="H4298" s="20"/>
      <c r="I4298" s="20"/>
      <c r="J4298" s="10"/>
      <c r="K4298" s="10"/>
      <c r="L4298" s="10"/>
      <c r="M4298" s="10"/>
      <c r="N4298" s="10"/>
      <c r="O4298" s="21"/>
    </row>
    <row r="4299" spans="1:15" x14ac:dyDescent="0.35">
      <c r="A4299" s="15">
        <f t="shared" ref="A4299:A4362" si="67">+A4298+1</f>
        <v>4297</v>
      </c>
      <c r="B4299" s="16"/>
      <c r="C4299" s="19"/>
      <c r="D4299" s="10"/>
      <c r="E4299" s="10"/>
      <c r="F4299" s="47"/>
      <c r="G4299" s="10"/>
      <c r="H4299" s="20"/>
      <c r="I4299" s="20"/>
      <c r="J4299" s="10"/>
      <c r="K4299" s="10"/>
      <c r="L4299" s="10"/>
      <c r="M4299" s="10"/>
      <c r="N4299" s="10"/>
      <c r="O4299" s="21"/>
    </row>
    <row r="4300" spans="1:15" x14ac:dyDescent="0.35">
      <c r="A4300" s="15">
        <f t="shared" si="67"/>
        <v>4298</v>
      </c>
      <c r="B4300" s="16"/>
      <c r="C4300" s="19"/>
      <c r="D4300" s="10"/>
      <c r="E4300" s="10"/>
      <c r="F4300" s="47"/>
      <c r="G4300" s="10"/>
      <c r="H4300" s="20"/>
      <c r="I4300" s="20"/>
      <c r="J4300" s="10"/>
      <c r="K4300" s="10"/>
      <c r="L4300" s="10"/>
      <c r="M4300" s="10"/>
      <c r="N4300" s="10"/>
      <c r="O4300" s="21"/>
    </row>
    <row r="4301" spans="1:15" x14ac:dyDescent="0.35">
      <c r="A4301" s="15">
        <f t="shared" si="67"/>
        <v>4299</v>
      </c>
      <c r="B4301" s="16"/>
      <c r="C4301" s="19"/>
      <c r="D4301" s="10"/>
      <c r="E4301" s="10"/>
      <c r="F4301" s="47"/>
      <c r="G4301" s="10"/>
      <c r="H4301" s="20"/>
      <c r="I4301" s="20"/>
      <c r="J4301" s="10"/>
      <c r="K4301" s="10"/>
      <c r="L4301" s="10"/>
      <c r="M4301" s="10"/>
      <c r="N4301" s="10"/>
      <c r="O4301" s="21"/>
    </row>
    <row r="4302" spans="1:15" x14ac:dyDescent="0.35">
      <c r="A4302" s="15">
        <f t="shared" si="67"/>
        <v>4300</v>
      </c>
      <c r="B4302" s="16"/>
      <c r="C4302" s="19"/>
      <c r="D4302" s="10"/>
      <c r="E4302" s="10"/>
      <c r="F4302" s="47"/>
      <c r="G4302" s="10"/>
      <c r="H4302" s="20"/>
      <c r="I4302" s="20"/>
      <c r="J4302" s="10"/>
      <c r="K4302" s="10"/>
      <c r="L4302" s="10"/>
      <c r="M4302" s="10"/>
      <c r="N4302" s="10"/>
      <c r="O4302" s="21"/>
    </row>
    <row r="4303" spans="1:15" x14ac:dyDescent="0.35">
      <c r="A4303" s="15">
        <f t="shared" si="67"/>
        <v>4301</v>
      </c>
      <c r="B4303" s="16"/>
      <c r="C4303" s="19"/>
      <c r="D4303" s="10"/>
      <c r="E4303" s="10"/>
      <c r="F4303" s="47"/>
      <c r="G4303" s="10"/>
      <c r="H4303" s="20"/>
      <c r="I4303" s="20"/>
      <c r="J4303" s="10"/>
      <c r="K4303" s="10"/>
      <c r="L4303" s="10"/>
      <c r="M4303" s="10"/>
      <c r="N4303" s="10"/>
      <c r="O4303" s="21"/>
    </row>
    <row r="4304" spans="1:15" x14ac:dyDescent="0.35">
      <c r="A4304" s="15">
        <f t="shared" si="67"/>
        <v>4302</v>
      </c>
      <c r="B4304" s="16"/>
      <c r="C4304" s="19"/>
      <c r="D4304" s="10"/>
      <c r="E4304" s="10"/>
      <c r="F4304" s="47"/>
      <c r="G4304" s="10"/>
      <c r="H4304" s="20"/>
      <c r="I4304" s="20"/>
      <c r="J4304" s="10"/>
      <c r="K4304" s="10"/>
      <c r="L4304" s="10"/>
      <c r="M4304" s="10"/>
      <c r="N4304" s="10"/>
      <c r="O4304" s="21"/>
    </row>
    <row r="4305" spans="1:15" x14ac:dyDescent="0.35">
      <c r="A4305" s="15">
        <f t="shared" si="67"/>
        <v>4303</v>
      </c>
      <c r="B4305" s="16"/>
      <c r="C4305" s="19"/>
      <c r="D4305" s="10"/>
      <c r="E4305" s="10"/>
      <c r="F4305" s="47"/>
      <c r="G4305" s="10"/>
      <c r="H4305" s="20"/>
      <c r="I4305" s="20"/>
      <c r="J4305" s="10"/>
      <c r="K4305" s="10"/>
      <c r="L4305" s="10"/>
      <c r="M4305" s="10"/>
      <c r="N4305" s="10"/>
      <c r="O4305" s="21"/>
    </row>
    <row r="4306" spans="1:15" x14ac:dyDescent="0.35">
      <c r="A4306" s="15">
        <f t="shared" si="67"/>
        <v>4304</v>
      </c>
      <c r="B4306" s="16"/>
      <c r="C4306" s="19"/>
      <c r="D4306" s="10"/>
      <c r="E4306" s="10"/>
      <c r="F4306" s="47"/>
      <c r="G4306" s="10"/>
      <c r="H4306" s="20"/>
      <c r="I4306" s="20"/>
      <c r="J4306" s="10"/>
      <c r="K4306" s="10"/>
      <c r="L4306" s="10"/>
      <c r="M4306" s="10"/>
      <c r="N4306" s="10"/>
      <c r="O4306" s="21"/>
    </row>
    <row r="4307" spans="1:15" x14ac:dyDescent="0.35">
      <c r="A4307" s="15">
        <f t="shared" si="67"/>
        <v>4305</v>
      </c>
      <c r="B4307" s="16"/>
      <c r="C4307" s="19"/>
      <c r="D4307" s="10"/>
      <c r="E4307" s="10"/>
      <c r="F4307" s="47"/>
      <c r="G4307" s="10"/>
      <c r="H4307" s="20"/>
      <c r="I4307" s="20"/>
      <c r="J4307" s="10"/>
      <c r="K4307" s="10"/>
      <c r="L4307" s="10"/>
      <c r="M4307" s="10"/>
      <c r="N4307" s="10"/>
      <c r="O4307" s="21"/>
    </row>
    <row r="4308" spans="1:15" x14ac:dyDescent="0.35">
      <c r="A4308" s="15">
        <f t="shared" si="67"/>
        <v>4306</v>
      </c>
      <c r="B4308" s="16"/>
      <c r="C4308" s="19"/>
      <c r="D4308" s="10"/>
      <c r="E4308" s="10"/>
      <c r="F4308" s="47"/>
      <c r="G4308" s="10"/>
      <c r="H4308" s="20"/>
      <c r="I4308" s="20"/>
      <c r="J4308" s="10"/>
      <c r="K4308" s="10"/>
      <c r="L4308" s="10"/>
      <c r="M4308" s="10"/>
      <c r="N4308" s="10"/>
      <c r="O4308" s="21"/>
    </row>
    <row r="4309" spans="1:15" x14ac:dyDescent="0.35">
      <c r="A4309" s="15">
        <f t="shared" si="67"/>
        <v>4307</v>
      </c>
      <c r="B4309" s="16"/>
      <c r="C4309" s="19"/>
      <c r="D4309" s="10"/>
      <c r="E4309" s="10"/>
      <c r="F4309" s="47"/>
      <c r="G4309" s="10"/>
      <c r="H4309" s="20"/>
      <c r="I4309" s="20"/>
      <c r="J4309" s="10"/>
      <c r="K4309" s="10"/>
      <c r="L4309" s="10"/>
      <c r="M4309" s="10"/>
      <c r="N4309" s="10"/>
      <c r="O4309" s="21"/>
    </row>
    <row r="4310" spans="1:15" x14ac:dyDescent="0.35">
      <c r="A4310" s="15">
        <f t="shared" si="67"/>
        <v>4308</v>
      </c>
      <c r="B4310" s="16"/>
      <c r="C4310" s="19"/>
      <c r="D4310" s="10"/>
      <c r="E4310" s="10"/>
      <c r="F4310" s="47"/>
      <c r="G4310" s="10"/>
      <c r="H4310" s="20"/>
      <c r="I4310" s="20"/>
      <c r="J4310" s="10"/>
      <c r="K4310" s="10"/>
      <c r="L4310" s="10"/>
      <c r="M4310" s="10"/>
      <c r="N4310" s="10"/>
      <c r="O4310" s="21"/>
    </row>
    <row r="4311" spans="1:15" x14ac:dyDescent="0.35">
      <c r="A4311" s="15">
        <f t="shared" si="67"/>
        <v>4309</v>
      </c>
      <c r="B4311" s="16"/>
      <c r="C4311" s="19"/>
      <c r="D4311" s="10"/>
      <c r="E4311" s="10"/>
      <c r="F4311" s="47"/>
      <c r="G4311" s="10"/>
      <c r="H4311" s="20"/>
      <c r="I4311" s="20"/>
      <c r="J4311" s="10"/>
      <c r="K4311" s="10"/>
      <c r="L4311" s="10"/>
      <c r="M4311" s="10"/>
      <c r="N4311" s="10"/>
      <c r="O4311" s="21"/>
    </row>
    <row r="4312" spans="1:15" x14ac:dyDescent="0.35">
      <c r="A4312" s="15">
        <f t="shared" si="67"/>
        <v>4310</v>
      </c>
      <c r="B4312" s="16"/>
      <c r="C4312" s="19"/>
      <c r="D4312" s="10"/>
      <c r="E4312" s="10"/>
      <c r="F4312" s="47"/>
      <c r="G4312" s="10"/>
      <c r="H4312" s="20"/>
      <c r="I4312" s="20"/>
      <c r="J4312" s="10"/>
      <c r="K4312" s="10"/>
      <c r="L4312" s="10"/>
      <c r="M4312" s="10"/>
      <c r="N4312" s="10"/>
      <c r="O4312" s="21"/>
    </row>
    <row r="4313" spans="1:15" x14ac:dyDescent="0.35">
      <c r="A4313" s="15">
        <f t="shared" si="67"/>
        <v>4311</v>
      </c>
      <c r="B4313" s="16"/>
      <c r="C4313" s="19"/>
      <c r="D4313" s="10"/>
      <c r="E4313" s="10"/>
      <c r="F4313" s="47"/>
      <c r="G4313" s="10"/>
      <c r="H4313" s="20"/>
      <c r="I4313" s="20"/>
      <c r="J4313" s="10"/>
      <c r="K4313" s="10"/>
      <c r="L4313" s="10"/>
      <c r="M4313" s="10"/>
      <c r="N4313" s="10"/>
      <c r="O4313" s="21"/>
    </row>
    <row r="4314" spans="1:15" x14ac:dyDescent="0.35">
      <c r="A4314" s="15">
        <f t="shared" si="67"/>
        <v>4312</v>
      </c>
      <c r="B4314" s="16"/>
      <c r="C4314" s="19"/>
      <c r="D4314" s="10"/>
      <c r="E4314" s="10"/>
      <c r="F4314" s="47"/>
      <c r="G4314" s="10"/>
      <c r="H4314" s="20"/>
      <c r="I4314" s="20"/>
      <c r="J4314" s="10"/>
      <c r="K4314" s="10"/>
      <c r="L4314" s="10"/>
      <c r="M4314" s="10"/>
      <c r="N4314" s="10"/>
      <c r="O4314" s="21"/>
    </row>
    <row r="4315" spans="1:15" x14ac:dyDescent="0.35">
      <c r="A4315" s="15">
        <f t="shared" si="67"/>
        <v>4313</v>
      </c>
      <c r="B4315" s="16"/>
      <c r="C4315" s="19"/>
      <c r="D4315" s="10"/>
      <c r="E4315" s="10"/>
      <c r="F4315" s="47"/>
      <c r="G4315" s="10"/>
      <c r="H4315" s="20"/>
      <c r="I4315" s="20"/>
      <c r="J4315" s="10"/>
      <c r="K4315" s="10"/>
      <c r="L4315" s="10"/>
      <c r="M4315" s="10"/>
      <c r="N4315" s="10"/>
      <c r="O4315" s="21"/>
    </row>
    <row r="4316" spans="1:15" x14ac:dyDescent="0.35">
      <c r="A4316" s="15">
        <f t="shared" si="67"/>
        <v>4314</v>
      </c>
      <c r="B4316" s="16"/>
      <c r="C4316" s="19"/>
      <c r="D4316" s="10"/>
      <c r="E4316" s="10"/>
      <c r="F4316" s="47"/>
      <c r="G4316" s="10"/>
      <c r="H4316" s="20"/>
      <c r="I4316" s="20"/>
      <c r="J4316" s="10"/>
      <c r="K4316" s="10"/>
      <c r="L4316" s="10"/>
      <c r="M4316" s="10"/>
      <c r="N4316" s="10"/>
      <c r="O4316" s="21"/>
    </row>
    <row r="4317" spans="1:15" x14ac:dyDescent="0.35">
      <c r="A4317" s="15">
        <f t="shared" si="67"/>
        <v>4315</v>
      </c>
      <c r="B4317" s="16"/>
      <c r="C4317" s="19"/>
      <c r="D4317" s="10"/>
      <c r="E4317" s="10"/>
      <c r="F4317" s="47"/>
      <c r="G4317" s="10"/>
      <c r="H4317" s="20"/>
      <c r="I4317" s="20"/>
      <c r="J4317" s="10"/>
      <c r="K4317" s="10"/>
      <c r="L4317" s="10"/>
      <c r="M4317" s="10"/>
      <c r="N4317" s="10"/>
      <c r="O4317" s="21"/>
    </row>
    <row r="4318" spans="1:15" x14ac:dyDescent="0.35">
      <c r="A4318" s="15">
        <f t="shared" si="67"/>
        <v>4316</v>
      </c>
      <c r="B4318" s="16"/>
      <c r="C4318" s="19"/>
      <c r="D4318" s="10"/>
      <c r="E4318" s="10"/>
      <c r="F4318" s="47"/>
      <c r="G4318" s="10"/>
      <c r="H4318" s="20"/>
      <c r="I4318" s="20"/>
      <c r="J4318" s="10"/>
      <c r="K4318" s="10"/>
      <c r="L4318" s="10"/>
      <c r="M4318" s="10"/>
      <c r="N4318" s="10"/>
      <c r="O4318" s="21"/>
    </row>
    <row r="4319" spans="1:15" x14ac:dyDescent="0.35">
      <c r="A4319" s="15">
        <f t="shared" si="67"/>
        <v>4317</v>
      </c>
      <c r="B4319" s="16"/>
      <c r="C4319" s="19"/>
      <c r="D4319" s="10"/>
      <c r="E4319" s="10"/>
      <c r="F4319" s="47"/>
      <c r="G4319" s="10"/>
      <c r="H4319" s="20"/>
      <c r="I4319" s="20"/>
      <c r="J4319" s="10"/>
      <c r="K4319" s="10"/>
      <c r="L4319" s="10"/>
      <c r="M4319" s="10"/>
      <c r="N4319" s="10"/>
      <c r="O4319" s="21"/>
    </row>
    <row r="4320" spans="1:15" x14ac:dyDescent="0.35">
      <c r="A4320" s="15">
        <f t="shared" si="67"/>
        <v>4318</v>
      </c>
      <c r="B4320" s="16"/>
      <c r="C4320" s="19"/>
      <c r="D4320" s="10"/>
      <c r="E4320" s="10"/>
      <c r="F4320" s="47"/>
      <c r="G4320" s="10"/>
      <c r="H4320" s="20"/>
      <c r="I4320" s="20"/>
      <c r="J4320" s="10"/>
      <c r="K4320" s="10"/>
      <c r="L4320" s="10"/>
      <c r="M4320" s="10"/>
      <c r="N4320" s="10"/>
      <c r="O4320" s="21"/>
    </row>
    <row r="4321" spans="1:15" x14ac:dyDescent="0.35">
      <c r="A4321" s="15">
        <f t="shared" si="67"/>
        <v>4319</v>
      </c>
      <c r="B4321" s="16"/>
      <c r="C4321" s="19"/>
      <c r="D4321" s="10"/>
      <c r="E4321" s="10"/>
      <c r="F4321" s="47"/>
      <c r="G4321" s="10"/>
      <c r="H4321" s="20"/>
      <c r="I4321" s="20"/>
      <c r="J4321" s="10"/>
      <c r="K4321" s="10"/>
      <c r="L4321" s="10"/>
      <c r="M4321" s="10"/>
      <c r="N4321" s="10"/>
      <c r="O4321" s="21"/>
    </row>
    <row r="4322" spans="1:15" x14ac:dyDescent="0.35">
      <c r="A4322" s="15">
        <f t="shared" si="67"/>
        <v>4320</v>
      </c>
      <c r="B4322" s="16"/>
      <c r="C4322" s="19"/>
      <c r="D4322" s="10"/>
      <c r="E4322" s="10"/>
      <c r="F4322" s="47"/>
      <c r="G4322" s="10"/>
      <c r="H4322" s="20"/>
      <c r="I4322" s="20"/>
      <c r="J4322" s="10"/>
      <c r="K4322" s="10"/>
      <c r="L4322" s="10"/>
      <c r="M4322" s="10"/>
      <c r="N4322" s="10"/>
      <c r="O4322" s="21"/>
    </row>
    <row r="4323" spans="1:15" x14ac:dyDescent="0.35">
      <c r="A4323" s="15">
        <f t="shared" si="67"/>
        <v>4321</v>
      </c>
      <c r="B4323" s="16"/>
      <c r="C4323" s="19"/>
      <c r="D4323" s="10"/>
      <c r="E4323" s="10"/>
      <c r="F4323" s="47"/>
      <c r="G4323" s="10"/>
      <c r="H4323" s="20"/>
      <c r="I4323" s="20"/>
      <c r="J4323" s="10"/>
      <c r="K4323" s="10"/>
      <c r="L4323" s="10"/>
      <c r="M4323" s="10"/>
      <c r="N4323" s="10"/>
      <c r="O4323" s="21"/>
    </row>
    <row r="4324" spans="1:15" x14ac:dyDescent="0.35">
      <c r="A4324" s="15">
        <f t="shared" si="67"/>
        <v>4322</v>
      </c>
      <c r="B4324" s="16"/>
      <c r="C4324" s="19"/>
      <c r="D4324" s="10"/>
      <c r="E4324" s="10"/>
      <c r="F4324" s="47"/>
      <c r="G4324" s="10"/>
      <c r="H4324" s="20"/>
      <c r="I4324" s="20"/>
      <c r="J4324" s="10"/>
      <c r="K4324" s="10"/>
      <c r="L4324" s="10"/>
      <c r="M4324" s="10"/>
      <c r="N4324" s="10"/>
      <c r="O4324" s="21"/>
    </row>
    <row r="4325" spans="1:15" x14ac:dyDescent="0.35">
      <c r="A4325" s="15">
        <f t="shared" si="67"/>
        <v>4323</v>
      </c>
      <c r="B4325" s="16"/>
      <c r="C4325" s="19"/>
      <c r="D4325" s="10"/>
      <c r="E4325" s="10"/>
      <c r="F4325" s="47"/>
      <c r="G4325" s="10"/>
      <c r="H4325" s="20"/>
      <c r="I4325" s="20"/>
      <c r="J4325" s="10"/>
      <c r="K4325" s="10"/>
      <c r="L4325" s="10"/>
      <c r="M4325" s="10"/>
      <c r="N4325" s="10"/>
      <c r="O4325" s="21"/>
    </row>
    <row r="4326" spans="1:15" x14ac:dyDescent="0.35">
      <c r="A4326" s="15">
        <f t="shared" si="67"/>
        <v>4324</v>
      </c>
      <c r="B4326" s="16"/>
      <c r="C4326" s="19"/>
      <c r="D4326" s="10"/>
      <c r="E4326" s="10"/>
      <c r="F4326" s="47"/>
      <c r="G4326" s="10"/>
      <c r="H4326" s="20"/>
      <c r="I4326" s="20"/>
      <c r="J4326" s="10"/>
      <c r="K4326" s="10"/>
      <c r="L4326" s="10"/>
      <c r="M4326" s="10"/>
      <c r="N4326" s="10"/>
      <c r="O4326" s="21"/>
    </row>
    <row r="4327" spans="1:15" x14ac:dyDescent="0.35">
      <c r="A4327" s="15">
        <f t="shared" si="67"/>
        <v>4325</v>
      </c>
      <c r="B4327" s="16"/>
      <c r="C4327" s="19"/>
      <c r="D4327" s="10"/>
      <c r="E4327" s="10"/>
      <c r="F4327" s="47"/>
      <c r="G4327" s="10"/>
      <c r="H4327" s="20"/>
      <c r="I4327" s="20"/>
      <c r="J4327" s="10"/>
      <c r="K4327" s="10"/>
      <c r="L4327" s="10"/>
      <c r="M4327" s="10"/>
      <c r="N4327" s="10"/>
      <c r="O4327" s="21"/>
    </row>
    <row r="4328" spans="1:15" x14ac:dyDescent="0.35">
      <c r="A4328" s="15">
        <f t="shared" si="67"/>
        <v>4326</v>
      </c>
      <c r="B4328" s="16"/>
      <c r="C4328" s="19"/>
      <c r="D4328" s="10"/>
      <c r="E4328" s="10"/>
      <c r="F4328" s="47"/>
      <c r="G4328" s="10"/>
      <c r="H4328" s="20"/>
      <c r="I4328" s="20"/>
      <c r="J4328" s="10"/>
      <c r="K4328" s="10"/>
      <c r="L4328" s="10"/>
      <c r="M4328" s="10"/>
      <c r="N4328" s="10"/>
      <c r="O4328" s="21"/>
    </row>
    <row r="4329" spans="1:15" x14ac:dyDescent="0.35">
      <c r="A4329" s="15">
        <f t="shared" si="67"/>
        <v>4327</v>
      </c>
      <c r="B4329" s="16"/>
      <c r="C4329" s="19"/>
      <c r="D4329" s="10"/>
      <c r="E4329" s="10"/>
      <c r="F4329" s="47"/>
      <c r="G4329" s="10"/>
      <c r="H4329" s="20"/>
      <c r="I4329" s="20"/>
      <c r="J4329" s="10"/>
      <c r="K4329" s="10"/>
      <c r="L4329" s="10"/>
      <c r="M4329" s="10"/>
      <c r="N4329" s="10"/>
      <c r="O4329" s="21"/>
    </row>
    <row r="4330" spans="1:15" x14ac:dyDescent="0.35">
      <c r="A4330" s="15">
        <f t="shared" si="67"/>
        <v>4328</v>
      </c>
      <c r="B4330" s="16"/>
      <c r="C4330" s="19"/>
      <c r="D4330" s="10"/>
      <c r="E4330" s="10"/>
      <c r="F4330" s="47"/>
      <c r="G4330" s="10"/>
      <c r="H4330" s="20"/>
      <c r="I4330" s="20"/>
      <c r="J4330" s="10"/>
      <c r="K4330" s="10"/>
      <c r="L4330" s="10"/>
      <c r="M4330" s="10"/>
      <c r="N4330" s="10"/>
      <c r="O4330" s="21"/>
    </row>
    <row r="4331" spans="1:15" x14ac:dyDescent="0.35">
      <c r="A4331" s="15">
        <f t="shared" si="67"/>
        <v>4329</v>
      </c>
      <c r="B4331" s="16"/>
      <c r="C4331" s="19"/>
      <c r="D4331" s="10"/>
      <c r="E4331" s="10"/>
      <c r="F4331" s="47"/>
      <c r="G4331" s="10"/>
      <c r="H4331" s="20"/>
      <c r="I4331" s="20"/>
      <c r="J4331" s="10"/>
      <c r="K4331" s="10"/>
      <c r="L4331" s="10"/>
      <c r="M4331" s="10"/>
      <c r="N4331" s="10"/>
      <c r="O4331" s="21"/>
    </row>
    <row r="4332" spans="1:15" x14ac:dyDescent="0.35">
      <c r="A4332" s="15">
        <f t="shared" si="67"/>
        <v>4330</v>
      </c>
      <c r="B4332" s="16"/>
      <c r="C4332" s="19"/>
      <c r="D4332" s="10"/>
      <c r="E4332" s="10"/>
      <c r="F4332" s="47"/>
      <c r="G4332" s="10"/>
      <c r="H4332" s="20"/>
      <c r="I4332" s="20"/>
      <c r="J4332" s="10"/>
      <c r="K4332" s="10"/>
      <c r="L4332" s="10"/>
      <c r="M4332" s="10"/>
      <c r="N4332" s="10"/>
      <c r="O4332" s="21"/>
    </row>
    <row r="4333" spans="1:15" x14ac:dyDescent="0.35">
      <c r="A4333" s="15">
        <f t="shared" si="67"/>
        <v>4331</v>
      </c>
      <c r="B4333" s="16"/>
      <c r="C4333" s="19"/>
      <c r="D4333" s="10"/>
      <c r="E4333" s="10"/>
      <c r="F4333" s="47"/>
      <c r="G4333" s="10"/>
      <c r="H4333" s="20"/>
      <c r="I4333" s="20"/>
      <c r="J4333" s="10"/>
      <c r="K4333" s="10"/>
      <c r="L4333" s="10"/>
      <c r="M4333" s="10"/>
      <c r="N4333" s="10"/>
      <c r="O4333" s="21"/>
    </row>
    <row r="4334" spans="1:15" x14ac:dyDescent="0.35">
      <c r="A4334" s="15">
        <f t="shared" si="67"/>
        <v>4332</v>
      </c>
      <c r="B4334" s="16"/>
      <c r="C4334" s="19"/>
      <c r="D4334" s="10"/>
      <c r="E4334" s="10"/>
      <c r="F4334" s="47"/>
      <c r="G4334" s="10"/>
      <c r="H4334" s="20"/>
      <c r="I4334" s="20"/>
      <c r="J4334" s="10"/>
      <c r="K4334" s="10"/>
      <c r="L4334" s="10"/>
      <c r="M4334" s="10"/>
      <c r="N4334" s="10"/>
      <c r="O4334" s="21"/>
    </row>
    <row r="4335" spans="1:15" x14ac:dyDescent="0.35">
      <c r="A4335" s="15">
        <f t="shared" si="67"/>
        <v>4333</v>
      </c>
      <c r="B4335" s="16"/>
      <c r="C4335" s="19"/>
      <c r="D4335" s="10"/>
      <c r="E4335" s="10"/>
      <c r="F4335" s="47"/>
      <c r="G4335" s="10"/>
      <c r="H4335" s="20"/>
      <c r="I4335" s="20"/>
      <c r="J4335" s="10"/>
      <c r="K4335" s="10"/>
      <c r="L4335" s="10"/>
      <c r="M4335" s="10"/>
      <c r="N4335" s="10"/>
      <c r="O4335" s="21"/>
    </row>
    <row r="4336" spans="1:15" x14ac:dyDescent="0.35">
      <c r="A4336" s="15">
        <f t="shared" si="67"/>
        <v>4334</v>
      </c>
      <c r="B4336" s="16"/>
      <c r="C4336" s="19"/>
      <c r="D4336" s="10"/>
      <c r="E4336" s="10"/>
      <c r="F4336" s="47"/>
      <c r="G4336" s="10"/>
      <c r="H4336" s="20"/>
      <c r="I4336" s="20"/>
      <c r="J4336" s="10"/>
      <c r="K4336" s="10"/>
      <c r="L4336" s="10"/>
      <c r="M4336" s="10"/>
      <c r="N4336" s="10"/>
      <c r="O4336" s="21"/>
    </row>
    <row r="4337" spans="1:15" x14ac:dyDescent="0.35">
      <c r="A4337" s="15">
        <f t="shared" si="67"/>
        <v>4335</v>
      </c>
      <c r="B4337" s="16"/>
      <c r="C4337" s="19"/>
      <c r="D4337" s="10"/>
      <c r="E4337" s="10"/>
      <c r="F4337" s="47"/>
      <c r="G4337" s="10"/>
      <c r="H4337" s="20"/>
      <c r="I4337" s="20"/>
      <c r="J4337" s="10"/>
      <c r="K4337" s="10"/>
      <c r="L4337" s="10"/>
      <c r="M4337" s="10"/>
      <c r="N4337" s="10"/>
      <c r="O4337" s="21"/>
    </row>
    <row r="4338" spans="1:15" x14ac:dyDescent="0.35">
      <c r="A4338" s="15">
        <f t="shared" si="67"/>
        <v>4336</v>
      </c>
      <c r="B4338" s="16"/>
      <c r="C4338" s="19"/>
      <c r="D4338" s="10"/>
      <c r="E4338" s="10"/>
      <c r="F4338" s="47"/>
      <c r="G4338" s="10"/>
      <c r="H4338" s="20"/>
      <c r="I4338" s="20"/>
      <c r="J4338" s="10"/>
      <c r="K4338" s="10"/>
      <c r="L4338" s="10"/>
      <c r="M4338" s="10"/>
      <c r="N4338" s="10"/>
      <c r="O4338" s="21"/>
    </row>
    <row r="4339" spans="1:15" x14ac:dyDescent="0.35">
      <c r="A4339" s="15">
        <f t="shared" si="67"/>
        <v>4337</v>
      </c>
      <c r="B4339" s="16"/>
      <c r="C4339" s="19"/>
      <c r="D4339" s="10"/>
      <c r="E4339" s="10"/>
      <c r="F4339" s="47"/>
      <c r="G4339" s="10"/>
      <c r="H4339" s="20"/>
      <c r="I4339" s="20"/>
      <c r="J4339" s="10"/>
      <c r="K4339" s="10"/>
      <c r="L4339" s="10"/>
      <c r="M4339" s="10"/>
      <c r="N4339" s="10"/>
      <c r="O4339" s="21"/>
    </row>
    <row r="4340" spans="1:15" x14ac:dyDescent="0.35">
      <c r="A4340" s="15">
        <f t="shared" si="67"/>
        <v>4338</v>
      </c>
      <c r="B4340" s="16"/>
      <c r="C4340" s="19"/>
      <c r="D4340" s="10"/>
      <c r="E4340" s="10"/>
      <c r="F4340" s="47"/>
      <c r="G4340" s="10"/>
      <c r="H4340" s="20"/>
      <c r="I4340" s="20"/>
      <c r="J4340" s="10"/>
      <c r="K4340" s="10"/>
      <c r="L4340" s="10"/>
      <c r="M4340" s="10"/>
      <c r="N4340" s="10"/>
      <c r="O4340" s="21"/>
    </row>
    <row r="4341" spans="1:15" x14ac:dyDescent="0.35">
      <c r="A4341" s="15">
        <f t="shared" si="67"/>
        <v>4339</v>
      </c>
      <c r="B4341" s="16"/>
      <c r="C4341" s="19"/>
      <c r="D4341" s="10"/>
      <c r="E4341" s="10"/>
      <c r="F4341" s="47"/>
      <c r="G4341" s="10"/>
      <c r="H4341" s="20"/>
      <c r="I4341" s="20"/>
      <c r="J4341" s="10"/>
      <c r="K4341" s="10"/>
      <c r="L4341" s="10"/>
      <c r="M4341" s="10"/>
      <c r="N4341" s="10"/>
      <c r="O4341" s="21"/>
    </row>
    <row r="4342" spans="1:15" x14ac:dyDescent="0.35">
      <c r="A4342" s="15">
        <f t="shared" si="67"/>
        <v>4340</v>
      </c>
      <c r="B4342" s="16"/>
      <c r="C4342" s="19"/>
      <c r="D4342" s="10"/>
      <c r="E4342" s="10"/>
      <c r="F4342" s="47"/>
      <c r="G4342" s="10"/>
      <c r="H4342" s="20"/>
      <c r="I4342" s="20"/>
      <c r="J4342" s="10"/>
      <c r="K4342" s="10"/>
      <c r="L4342" s="10"/>
      <c r="M4342" s="10"/>
      <c r="N4342" s="10"/>
      <c r="O4342" s="21"/>
    </row>
    <row r="4343" spans="1:15" x14ac:dyDescent="0.35">
      <c r="A4343" s="15">
        <f t="shared" si="67"/>
        <v>4341</v>
      </c>
      <c r="B4343" s="16"/>
      <c r="C4343" s="19"/>
      <c r="D4343" s="10"/>
      <c r="E4343" s="10"/>
      <c r="F4343" s="47"/>
      <c r="G4343" s="10"/>
      <c r="H4343" s="20"/>
      <c r="I4343" s="20"/>
      <c r="J4343" s="10"/>
      <c r="K4343" s="10"/>
      <c r="L4343" s="10"/>
      <c r="M4343" s="10"/>
      <c r="N4343" s="10"/>
      <c r="O4343" s="21"/>
    </row>
    <row r="4344" spans="1:15" x14ac:dyDescent="0.35">
      <c r="A4344" s="15">
        <f t="shared" si="67"/>
        <v>4342</v>
      </c>
      <c r="B4344" s="16"/>
      <c r="C4344" s="19"/>
      <c r="D4344" s="10"/>
      <c r="E4344" s="10"/>
      <c r="F4344" s="47"/>
      <c r="G4344" s="10"/>
      <c r="H4344" s="20"/>
      <c r="I4344" s="20"/>
      <c r="J4344" s="10"/>
      <c r="K4344" s="10"/>
      <c r="L4344" s="10"/>
      <c r="M4344" s="10"/>
      <c r="N4344" s="10"/>
      <c r="O4344" s="21"/>
    </row>
    <row r="4345" spans="1:15" x14ac:dyDescent="0.35">
      <c r="A4345" s="15">
        <f t="shared" si="67"/>
        <v>4343</v>
      </c>
      <c r="B4345" s="16"/>
      <c r="C4345" s="19"/>
      <c r="D4345" s="10"/>
      <c r="E4345" s="10"/>
      <c r="F4345" s="47"/>
      <c r="G4345" s="10"/>
      <c r="H4345" s="20"/>
      <c r="I4345" s="20"/>
      <c r="J4345" s="10"/>
      <c r="K4345" s="10"/>
      <c r="L4345" s="10"/>
      <c r="M4345" s="10"/>
      <c r="N4345" s="10"/>
      <c r="O4345" s="21"/>
    </row>
    <row r="4346" spans="1:15" x14ac:dyDescent="0.35">
      <c r="A4346" s="15">
        <f t="shared" si="67"/>
        <v>4344</v>
      </c>
      <c r="B4346" s="16"/>
      <c r="C4346" s="19"/>
      <c r="D4346" s="10"/>
      <c r="E4346" s="10"/>
      <c r="F4346" s="47"/>
      <c r="G4346" s="10"/>
      <c r="H4346" s="20"/>
      <c r="I4346" s="20"/>
      <c r="J4346" s="10"/>
      <c r="K4346" s="10"/>
      <c r="L4346" s="10"/>
      <c r="M4346" s="10"/>
      <c r="N4346" s="10"/>
      <c r="O4346" s="21"/>
    </row>
    <row r="4347" spans="1:15" x14ac:dyDescent="0.35">
      <c r="A4347" s="15">
        <f t="shared" si="67"/>
        <v>4345</v>
      </c>
      <c r="B4347" s="16"/>
      <c r="C4347" s="19"/>
      <c r="D4347" s="10"/>
      <c r="E4347" s="10"/>
      <c r="F4347" s="47"/>
      <c r="G4347" s="10"/>
      <c r="H4347" s="20"/>
      <c r="I4347" s="20"/>
      <c r="J4347" s="10"/>
      <c r="K4347" s="10"/>
      <c r="L4347" s="10"/>
      <c r="M4347" s="10"/>
      <c r="N4347" s="10"/>
      <c r="O4347" s="21"/>
    </row>
    <row r="4348" spans="1:15" x14ac:dyDescent="0.35">
      <c r="A4348" s="15">
        <f t="shared" si="67"/>
        <v>4346</v>
      </c>
      <c r="B4348" s="16"/>
      <c r="C4348" s="19"/>
      <c r="D4348" s="10"/>
      <c r="E4348" s="10"/>
      <c r="F4348" s="47"/>
      <c r="G4348" s="10"/>
      <c r="H4348" s="20"/>
      <c r="I4348" s="20"/>
      <c r="J4348" s="10"/>
      <c r="K4348" s="10"/>
      <c r="L4348" s="10"/>
      <c r="M4348" s="10"/>
      <c r="N4348" s="10"/>
      <c r="O4348" s="21"/>
    </row>
    <row r="4349" spans="1:15" x14ac:dyDescent="0.35">
      <c r="A4349" s="15">
        <f t="shared" si="67"/>
        <v>4347</v>
      </c>
      <c r="B4349" s="16"/>
      <c r="C4349" s="19"/>
      <c r="D4349" s="10"/>
      <c r="E4349" s="10"/>
      <c r="F4349" s="47"/>
      <c r="G4349" s="10"/>
      <c r="H4349" s="20"/>
      <c r="I4349" s="20"/>
      <c r="J4349" s="10"/>
      <c r="K4349" s="10"/>
      <c r="L4349" s="10"/>
      <c r="M4349" s="10"/>
      <c r="N4349" s="10"/>
      <c r="O4349" s="21"/>
    </row>
    <row r="4350" spans="1:15" x14ac:dyDescent="0.35">
      <c r="A4350" s="15">
        <f t="shared" si="67"/>
        <v>4348</v>
      </c>
      <c r="B4350" s="16"/>
      <c r="C4350" s="19"/>
      <c r="D4350" s="10"/>
      <c r="E4350" s="10"/>
      <c r="F4350" s="47"/>
      <c r="G4350" s="10"/>
      <c r="H4350" s="20"/>
      <c r="I4350" s="20"/>
      <c r="J4350" s="10"/>
      <c r="K4350" s="10"/>
      <c r="L4350" s="10"/>
      <c r="M4350" s="10"/>
      <c r="N4350" s="10"/>
      <c r="O4350" s="21"/>
    </row>
    <row r="4351" spans="1:15" x14ac:dyDescent="0.35">
      <c r="A4351" s="15">
        <f t="shared" si="67"/>
        <v>4349</v>
      </c>
      <c r="B4351" s="16"/>
      <c r="C4351" s="19"/>
      <c r="D4351" s="10"/>
      <c r="E4351" s="10"/>
      <c r="F4351" s="47"/>
      <c r="G4351" s="10"/>
      <c r="H4351" s="20"/>
      <c r="I4351" s="20"/>
      <c r="J4351" s="10"/>
      <c r="K4351" s="10"/>
      <c r="L4351" s="10"/>
      <c r="M4351" s="10"/>
      <c r="N4351" s="10"/>
      <c r="O4351" s="21"/>
    </row>
    <row r="4352" spans="1:15" x14ac:dyDescent="0.35">
      <c r="A4352" s="15">
        <f t="shared" si="67"/>
        <v>4350</v>
      </c>
      <c r="B4352" s="16"/>
      <c r="C4352" s="19"/>
      <c r="D4352" s="10"/>
      <c r="E4352" s="10"/>
      <c r="F4352" s="47"/>
      <c r="G4352" s="10"/>
      <c r="H4352" s="20"/>
      <c r="I4352" s="20"/>
      <c r="J4352" s="10"/>
      <c r="K4352" s="10"/>
      <c r="L4352" s="10"/>
      <c r="M4352" s="10"/>
      <c r="N4352" s="10"/>
      <c r="O4352" s="21"/>
    </row>
    <row r="4353" spans="1:15" x14ac:dyDescent="0.35">
      <c r="A4353" s="15">
        <f t="shared" si="67"/>
        <v>4351</v>
      </c>
      <c r="B4353" s="16"/>
      <c r="C4353" s="19"/>
      <c r="D4353" s="10"/>
      <c r="E4353" s="10"/>
      <c r="F4353" s="47"/>
      <c r="G4353" s="10"/>
      <c r="H4353" s="20"/>
      <c r="I4353" s="20"/>
      <c r="J4353" s="10"/>
      <c r="K4353" s="10"/>
      <c r="L4353" s="10"/>
      <c r="M4353" s="10"/>
      <c r="N4353" s="10"/>
      <c r="O4353" s="21"/>
    </row>
    <row r="4354" spans="1:15" x14ac:dyDescent="0.35">
      <c r="A4354" s="15">
        <f t="shared" si="67"/>
        <v>4352</v>
      </c>
      <c r="B4354" s="16"/>
      <c r="C4354" s="19"/>
      <c r="D4354" s="10"/>
      <c r="E4354" s="10"/>
      <c r="F4354" s="47"/>
      <c r="G4354" s="10"/>
      <c r="H4354" s="20"/>
      <c r="I4354" s="20"/>
      <c r="J4354" s="10"/>
      <c r="K4354" s="10"/>
      <c r="L4354" s="10"/>
      <c r="M4354" s="10"/>
      <c r="N4354" s="10"/>
      <c r="O4354" s="21"/>
    </row>
    <row r="4355" spans="1:15" x14ac:dyDescent="0.35">
      <c r="A4355" s="15">
        <f t="shared" si="67"/>
        <v>4353</v>
      </c>
      <c r="B4355" s="16"/>
      <c r="C4355" s="19"/>
      <c r="D4355" s="10"/>
      <c r="E4355" s="10"/>
      <c r="F4355" s="47"/>
      <c r="G4355" s="10"/>
      <c r="H4355" s="20"/>
      <c r="I4355" s="20"/>
      <c r="J4355" s="10"/>
      <c r="K4355" s="10"/>
      <c r="L4355" s="10"/>
      <c r="M4355" s="10"/>
      <c r="N4355" s="10"/>
      <c r="O4355" s="21"/>
    </row>
    <row r="4356" spans="1:15" x14ac:dyDescent="0.35">
      <c r="A4356" s="15">
        <f t="shared" si="67"/>
        <v>4354</v>
      </c>
      <c r="B4356" s="16"/>
      <c r="C4356" s="19"/>
      <c r="D4356" s="10"/>
      <c r="E4356" s="10"/>
      <c r="F4356" s="47"/>
      <c r="G4356" s="10"/>
      <c r="H4356" s="20"/>
      <c r="I4356" s="20"/>
      <c r="J4356" s="10"/>
      <c r="K4356" s="10"/>
      <c r="L4356" s="10"/>
      <c r="M4356" s="10"/>
      <c r="N4356" s="10"/>
      <c r="O4356" s="21"/>
    </row>
    <row r="4357" spans="1:15" x14ac:dyDescent="0.35">
      <c r="A4357" s="15">
        <f t="shared" si="67"/>
        <v>4355</v>
      </c>
      <c r="B4357" s="16"/>
      <c r="C4357" s="19"/>
      <c r="D4357" s="10"/>
      <c r="E4357" s="10"/>
      <c r="F4357" s="47"/>
      <c r="G4357" s="10"/>
      <c r="H4357" s="20"/>
      <c r="I4357" s="20"/>
      <c r="J4357" s="10"/>
      <c r="K4357" s="10"/>
      <c r="L4357" s="10"/>
      <c r="M4357" s="10"/>
      <c r="N4357" s="10"/>
      <c r="O4357" s="21"/>
    </row>
    <row r="4358" spans="1:15" x14ac:dyDescent="0.35">
      <c r="A4358" s="15">
        <f t="shared" si="67"/>
        <v>4356</v>
      </c>
      <c r="B4358" s="16"/>
      <c r="C4358" s="19"/>
      <c r="D4358" s="10"/>
      <c r="E4358" s="10"/>
      <c r="F4358" s="47"/>
      <c r="G4358" s="10"/>
      <c r="H4358" s="20"/>
      <c r="I4358" s="20"/>
      <c r="J4358" s="10"/>
      <c r="K4358" s="10"/>
      <c r="L4358" s="10"/>
      <c r="M4358" s="10"/>
      <c r="N4358" s="10"/>
      <c r="O4358" s="21"/>
    </row>
    <row r="4359" spans="1:15" x14ac:dyDescent="0.35">
      <c r="A4359" s="15">
        <f t="shared" si="67"/>
        <v>4357</v>
      </c>
      <c r="B4359" s="16"/>
      <c r="C4359" s="19"/>
      <c r="D4359" s="10"/>
      <c r="E4359" s="10"/>
      <c r="F4359" s="47"/>
      <c r="G4359" s="10"/>
      <c r="H4359" s="20"/>
      <c r="I4359" s="20"/>
      <c r="J4359" s="10"/>
      <c r="K4359" s="10"/>
      <c r="L4359" s="10"/>
      <c r="M4359" s="10"/>
      <c r="N4359" s="10"/>
      <c r="O4359" s="21"/>
    </row>
    <row r="4360" spans="1:15" x14ac:dyDescent="0.35">
      <c r="A4360" s="15">
        <f t="shared" si="67"/>
        <v>4358</v>
      </c>
      <c r="B4360" s="16"/>
      <c r="C4360" s="19"/>
      <c r="D4360" s="10"/>
      <c r="E4360" s="10"/>
      <c r="F4360" s="47"/>
      <c r="G4360" s="10"/>
      <c r="H4360" s="20"/>
      <c r="I4360" s="20"/>
      <c r="J4360" s="10"/>
      <c r="K4360" s="10"/>
      <c r="L4360" s="10"/>
      <c r="M4360" s="10"/>
      <c r="N4360" s="10"/>
      <c r="O4360" s="21"/>
    </row>
    <row r="4361" spans="1:15" x14ac:dyDescent="0.35">
      <c r="A4361" s="15">
        <f t="shared" si="67"/>
        <v>4359</v>
      </c>
      <c r="B4361" s="16"/>
      <c r="C4361" s="19"/>
      <c r="D4361" s="10"/>
      <c r="E4361" s="10"/>
      <c r="F4361" s="47"/>
      <c r="G4361" s="10"/>
      <c r="H4361" s="20"/>
      <c r="I4361" s="20"/>
      <c r="J4361" s="10"/>
      <c r="K4361" s="10"/>
      <c r="L4361" s="10"/>
      <c r="M4361" s="10"/>
      <c r="N4361" s="10"/>
      <c r="O4361" s="21"/>
    </row>
    <row r="4362" spans="1:15" x14ac:dyDescent="0.35">
      <c r="A4362" s="15">
        <f t="shared" si="67"/>
        <v>4360</v>
      </c>
      <c r="B4362" s="16"/>
      <c r="C4362" s="19"/>
      <c r="D4362" s="10"/>
      <c r="E4362" s="10"/>
      <c r="F4362" s="47"/>
      <c r="G4362" s="10"/>
      <c r="H4362" s="20"/>
      <c r="I4362" s="20"/>
      <c r="J4362" s="10"/>
      <c r="K4362" s="10"/>
      <c r="L4362" s="10"/>
      <c r="M4362" s="10"/>
      <c r="N4362" s="10"/>
      <c r="O4362" s="21"/>
    </row>
    <row r="4363" spans="1:15" x14ac:dyDescent="0.35">
      <c r="A4363" s="15">
        <f t="shared" ref="A4363:A4426" si="68">+A4362+1</f>
        <v>4361</v>
      </c>
      <c r="B4363" s="16"/>
      <c r="C4363" s="19"/>
      <c r="D4363" s="10"/>
      <c r="E4363" s="10"/>
      <c r="F4363" s="47"/>
      <c r="G4363" s="10"/>
      <c r="H4363" s="20"/>
      <c r="I4363" s="20"/>
      <c r="J4363" s="10"/>
      <c r="K4363" s="10"/>
      <c r="L4363" s="10"/>
      <c r="M4363" s="10"/>
      <c r="N4363" s="10"/>
      <c r="O4363" s="21"/>
    </row>
    <row r="4364" spans="1:15" x14ac:dyDescent="0.35">
      <c r="A4364" s="15">
        <f t="shared" si="68"/>
        <v>4362</v>
      </c>
      <c r="B4364" s="16"/>
      <c r="C4364" s="19"/>
      <c r="D4364" s="10"/>
      <c r="E4364" s="10"/>
      <c r="F4364" s="47"/>
      <c r="G4364" s="10"/>
      <c r="H4364" s="20"/>
      <c r="I4364" s="20"/>
      <c r="J4364" s="10"/>
      <c r="K4364" s="10"/>
      <c r="L4364" s="10"/>
      <c r="M4364" s="10"/>
      <c r="N4364" s="10"/>
      <c r="O4364" s="21"/>
    </row>
    <row r="4365" spans="1:15" x14ac:dyDescent="0.35">
      <c r="A4365" s="15">
        <f t="shared" si="68"/>
        <v>4363</v>
      </c>
      <c r="B4365" s="16"/>
      <c r="C4365" s="19"/>
      <c r="D4365" s="10"/>
      <c r="E4365" s="10"/>
      <c r="F4365" s="47"/>
      <c r="G4365" s="10"/>
      <c r="H4365" s="20"/>
      <c r="I4365" s="20"/>
      <c r="J4365" s="10"/>
      <c r="K4365" s="10"/>
      <c r="L4365" s="10"/>
      <c r="M4365" s="10"/>
      <c r="N4365" s="10"/>
      <c r="O4365" s="21"/>
    </row>
    <row r="4366" spans="1:15" x14ac:dyDescent="0.35">
      <c r="A4366" s="15">
        <f t="shared" si="68"/>
        <v>4364</v>
      </c>
      <c r="B4366" s="16"/>
      <c r="C4366" s="19"/>
      <c r="D4366" s="10"/>
      <c r="E4366" s="10"/>
      <c r="F4366" s="47"/>
      <c r="G4366" s="10"/>
      <c r="H4366" s="20"/>
      <c r="I4366" s="20"/>
      <c r="J4366" s="10"/>
      <c r="K4366" s="10"/>
      <c r="L4366" s="10"/>
      <c r="M4366" s="10"/>
      <c r="N4366" s="10"/>
      <c r="O4366" s="21"/>
    </row>
    <row r="4367" spans="1:15" x14ac:dyDescent="0.35">
      <c r="A4367" s="15">
        <f t="shared" si="68"/>
        <v>4365</v>
      </c>
      <c r="B4367" s="16"/>
      <c r="C4367" s="19"/>
      <c r="D4367" s="10"/>
      <c r="E4367" s="10"/>
      <c r="F4367" s="47"/>
      <c r="G4367" s="10"/>
      <c r="H4367" s="20"/>
      <c r="I4367" s="20"/>
      <c r="J4367" s="10"/>
      <c r="K4367" s="10"/>
      <c r="L4367" s="10"/>
      <c r="M4367" s="10"/>
      <c r="N4367" s="10"/>
      <c r="O4367" s="21"/>
    </row>
    <row r="4368" spans="1:15" x14ac:dyDescent="0.35">
      <c r="A4368" s="15">
        <f t="shared" si="68"/>
        <v>4366</v>
      </c>
      <c r="B4368" s="16"/>
      <c r="C4368" s="19"/>
      <c r="D4368" s="10"/>
      <c r="E4368" s="10"/>
      <c r="F4368" s="47"/>
      <c r="G4368" s="10"/>
      <c r="H4368" s="20"/>
      <c r="I4368" s="20"/>
      <c r="J4368" s="10"/>
      <c r="K4368" s="10"/>
      <c r="L4368" s="10"/>
      <c r="M4368" s="10"/>
      <c r="N4368" s="10"/>
      <c r="O4368" s="21"/>
    </row>
    <row r="4369" spans="1:15" x14ac:dyDescent="0.35">
      <c r="A4369" s="15">
        <f t="shared" si="68"/>
        <v>4367</v>
      </c>
      <c r="B4369" s="16"/>
      <c r="C4369" s="19"/>
      <c r="D4369" s="10"/>
      <c r="E4369" s="10"/>
      <c r="F4369" s="47"/>
      <c r="G4369" s="10"/>
      <c r="H4369" s="20"/>
      <c r="I4369" s="20"/>
      <c r="J4369" s="10"/>
      <c r="K4369" s="10"/>
      <c r="L4369" s="10"/>
      <c r="M4369" s="10"/>
      <c r="N4369" s="10"/>
      <c r="O4369" s="21"/>
    </row>
    <row r="4370" spans="1:15" x14ac:dyDescent="0.35">
      <c r="A4370" s="15">
        <f t="shared" si="68"/>
        <v>4368</v>
      </c>
      <c r="B4370" s="16"/>
      <c r="C4370" s="19"/>
      <c r="D4370" s="10"/>
      <c r="E4370" s="10"/>
      <c r="F4370" s="47"/>
      <c r="G4370" s="10"/>
      <c r="H4370" s="20"/>
      <c r="I4370" s="20"/>
      <c r="J4370" s="10"/>
      <c r="K4370" s="10"/>
      <c r="L4370" s="10"/>
      <c r="M4370" s="10"/>
      <c r="N4370" s="10"/>
      <c r="O4370" s="21"/>
    </row>
    <row r="4371" spans="1:15" x14ac:dyDescent="0.35">
      <c r="A4371" s="15">
        <f t="shared" si="68"/>
        <v>4369</v>
      </c>
      <c r="B4371" s="16"/>
      <c r="C4371" s="19"/>
      <c r="D4371" s="10"/>
      <c r="E4371" s="10"/>
      <c r="F4371" s="47"/>
      <c r="G4371" s="10"/>
      <c r="H4371" s="20"/>
      <c r="I4371" s="20"/>
      <c r="J4371" s="10"/>
      <c r="K4371" s="10"/>
      <c r="L4371" s="10"/>
      <c r="M4371" s="10"/>
      <c r="N4371" s="10"/>
      <c r="O4371" s="21"/>
    </row>
    <row r="4372" spans="1:15" x14ac:dyDescent="0.35">
      <c r="A4372" s="15">
        <f t="shared" si="68"/>
        <v>4370</v>
      </c>
      <c r="B4372" s="16"/>
      <c r="C4372" s="19"/>
      <c r="D4372" s="10"/>
      <c r="E4372" s="10"/>
      <c r="F4372" s="47"/>
      <c r="G4372" s="10"/>
      <c r="H4372" s="20"/>
      <c r="I4372" s="20"/>
      <c r="J4372" s="10"/>
      <c r="K4372" s="10"/>
      <c r="L4372" s="10"/>
      <c r="M4372" s="10"/>
      <c r="N4372" s="10"/>
      <c r="O4372" s="21"/>
    </row>
    <row r="4373" spans="1:15" x14ac:dyDescent="0.35">
      <c r="A4373" s="15">
        <f t="shared" si="68"/>
        <v>4371</v>
      </c>
      <c r="B4373" s="16"/>
      <c r="C4373" s="19"/>
      <c r="D4373" s="10"/>
      <c r="E4373" s="10"/>
      <c r="F4373" s="47"/>
      <c r="G4373" s="10"/>
      <c r="H4373" s="20"/>
      <c r="I4373" s="20"/>
      <c r="J4373" s="10"/>
      <c r="K4373" s="10"/>
      <c r="L4373" s="10"/>
      <c r="M4373" s="10"/>
      <c r="N4373" s="10"/>
      <c r="O4373" s="21"/>
    </row>
    <row r="4374" spans="1:15" x14ac:dyDescent="0.35">
      <c r="A4374" s="15">
        <f t="shared" si="68"/>
        <v>4372</v>
      </c>
      <c r="B4374" s="16"/>
      <c r="C4374" s="19"/>
      <c r="D4374" s="10"/>
      <c r="E4374" s="10"/>
      <c r="F4374" s="47"/>
      <c r="G4374" s="10"/>
      <c r="H4374" s="20"/>
      <c r="I4374" s="20"/>
      <c r="J4374" s="10"/>
      <c r="K4374" s="10"/>
      <c r="L4374" s="10"/>
      <c r="M4374" s="10"/>
      <c r="N4374" s="10"/>
      <c r="O4374" s="21"/>
    </row>
    <row r="4375" spans="1:15" x14ac:dyDescent="0.35">
      <c r="A4375" s="15">
        <f t="shared" si="68"/>
        <v>4373</v>
      </c>
      <c r="B4375" s="16"/>
      <c r="C4375" s="19"/>
      <c r="D4375" s="10"/>
      <c r="E4375" s="10"/>
      <c r="F4375" s="47"/>
      <c r="G4375" s="10"/>
      <c r="H4375" s="20"/>
      <c r="I4375" s="20"/>
      <c r="J4375" s="10"/>
      <c r="K4375" s="10"/>
      <c r="L4375" s="10"/>
      <c r="M4375" s="10"/>
      <c r="N4375" s="10"/>
      <c r="O4375" s="21"/>
    </row>
    <row r="4376" spans="1:15" x14ac:dyDescent="0.35">
      <c r="A4376" s="15">
        <f t="shared" si="68"/>
        <v>4374</v>
      </c>
      <c r="B4376" s="16"/>
      <c r="C4376" s="19"/>
      <c r="D4376" s="10"/>
      <c r="E4376" s="10"/>
      <c r="F4376" s="47"/>
      <c r="G4376" s="10"/>
      <c r="H4376" s="20"/>
      <c r="I4376" s="20"/>
      <c r="J4376" s="10"/>
      <c r="K4376" s="10"/>
      <c r="L4376" s="10"/>
      <c r="M4376" s="10"/>
      <c r="N4376" s="10"/>
      <c r="O4376" s="21"/>
    </row>
    <row r="4377" spans="1:15" x14ac:dyDescent="0.35">
      <c r="A4377" s="15">
        <f t="shared" si="68"/>
        <v>4375</v>
      </c>
      <c r="B4377" s="16"/>
      <c r="C4377" s="19"/>
      <c r="D4377" s="10"/>
      <c r="E4377" s="10"/>
      <c r="F4377" s="47"/>
      <c r="G4377" s="10"/>
      <c r="H4377" s="20"/>
      <c r="I4377" s="20"/>
      <c r="J4377" s="10"/>
      <c r="K4377" s="10"/>
      <c r="L4377" s="10"/>
      <c r="M4377" s="10"/>
      <c r="N4377" s="10"/>
      <c r="O4377" s="21"/>
    </row>
    <row r="4378" spans="1:15" x14ac:dyDescent="0.35">
      <c r="A4378" s="15">
        <f t="shared" si="68"/>
        <v>4376</v>
      </c>
      <c r="B4378" s="16"/>
      <c r="C4378" s="19"/>
      <c r="D4378" s="10"/>
      <c r="E4378" s="10"/>
      <c r="F4378" s="47"/>
      <c r="G4378" s="10"/>
      <c r="H4378" s="20"/>
      <c r="I4378" s="20"/>
      <c r="J4378" s="10"/>
      <c r="K4378" s="10"/>
      <c r="L4378" s="10"/>
      <c r="M4378" s="10"/>
      <c r="N4378" s="10"/>
      <c r="O4378" s="21"/>
    </row>
    <row r="4379" spans="1:15" x14ac:dyDescent="0.35">
      <c r="A4379" s="15">
        <f t="shared" si="68"/>
        <v>4377</v>
      </c>
      <c r="B4379" s="16"/>
      <c r="C4379" s="19"/>
      <c r="D4379" s="10"/>
      <c r="E4379" s="10"/>
      <c r="F4379" s="47"/>
      <c r="G4379" s="10"/>
      <c r="H4379" s="20"/>
      <c r="I4379" s="20"/>
      <c r="J4379" s="10"/>
      <c r="K4379" s="10"/>
      <c r="L4379" s="10"/>
      <c r="M4379" s="10"/>
      <c r="N4379" s="10"/>
      <c r="O4379" s="21"/>
    </row>
    <row r="4380" spans="1:15" x14ac:dyDescent="0.35">
      <c r="A4380" s="15">
        <f t="shared" si="68"/>
        <v>4378</v>
      </c>
      <c r="B4380" s="16"/>
      <c r="C4380" s="19"/>
      <c r="D4380" s="10"/>
      <c r="E4380" s="10"/>
      <c r="F4380" s="47"/>
      <c r="G4380" s="10"/>
      <c r="H4380" s="20"/>
      <c r="I4380" s="20"/>
      <c r="J4380" s="10"/>
      <c r="K4380" s="10"/>
      <c r="L4380" s="10"/>
      <c r="M4380" s="10"/>
      <c r="N4380" s="10"/>
      <c r="O4380" s="21"/>
    </row>
    <row r="4381" spans="1:15" x14ac:dyDescent="0.35">
      <c r="A4381" s="15">
        <f t="shared" si="68"/>
        <v>4379</v>
      </c>
      <c r="B4381" s="16"/>
      <c r="C4381" s="19"/>
      <c r="D4381" s="10"/>
      <c r="E4381" s="10"/>
      <c r="F4381" s="47"/>
      <c r="G4381" s="10"/>
      <c r="H4381" s="20"/>
      <c r="I4381" s="20"/>
      <c r="J4381" s="10"/>
      <c r="K4381" s="10"/>
      <c r="L4381" s="10"/>
      <c r="M4381" s="10"/>
      <c r="N4381" s="10"/>
      <c r="O4381" s="21"/>
    </row>
    <row r="4382" spans="1:15" x14ac:dyDescent="0.35">
      <c r="A4382" s="15">
        <f t="shared" si="68"/>
        <v>4380</v>
      </c>
      <c r="B4382" s="16"/>
      <c r="C4382" s="19"/>
      <c r="D4382" s="10"/>
      <c r="E4382" s="10"/>
      <c r="F4382" s="47"/>
      <c r="G4382" s="10"/>
      <c r="H4382" s="20"/>
      <c r="I4382" s="20"/>
      <c r="J4382" s="10"/>
      <c r="K4382" s="10"/>
      <c r="L4382" s="10"/>
      <c r="M4382" s="10"/>
      <c r="N4382" s="10"/>
      <c r="O4382" s="21"/>
    </row>
    <row r="4383" spans="1:15" x14ac:dyDescent="0.35">
      <c r="A4383" s="15">
        <f t="shared" si="68"/>
        <v>4381</v>
      </c>
      <c r="B4383" s="16"/>
      <c r="C4383" s="19"/>
      <c r="D4383" s="10"/>
      <c r="E4383" s="10"/>
      <c r="F4383" s="47"/>
      <c r="G4383" s="10"/>
      <c r="H4383" s="20"/>
      <c r="I4383" s="20"/>
      <c r="J4383" s="10"/>
      <c r="K4383" s="10"/>
      <c r="L4383" s="10"/>
      <c r="M4383" s="10"/>
      <c r="N4383" s="10"/>
      <c r="O4383" s="21"/>
    </row>
    <row r="4384" spans="1:15" x14ac:dyDescent="0.35">
      <c r="A4384" s="15">
        <f t="shared" si="68"/>
        <v>4382</v>
      </c>
      <c r="B4384" s="16"/>
      <c r="C4384" s="19"/>
      <c r="D4384" s="10"/>
      <c r="E4384" s="10"/>
      <c r="F4384" s="47"/>
      <c r="G4384" s="10"/>
      <c r="H4384" s="20"/>
      <c r="I4384" s="20"/>
      <c r="J4384" s="10"/>
      <c r="K4384" s="10"/>
      <c r="L4384" s="10"/>
      <c r="M4384" s="10"/>
      <c r="N4384" s="10"/>
      <c r="O4384" s="21"/>
    </row>
    <row r="4385" spans="1:15" x14ac:dyDescent="0.35">
      <c r="A4385" s="15">
        <f t="shared" si="68"/>
        <v>4383</v>
      </c>
      <c r="B4385" s="16"/>
      <c r="C4385" s="19"/>
      <c r="D4385" s="10"/>
      <c r="E4385" s="10"/>
      <c r="F4385" s="47"/>
      <c r="G4385" s="10"/>
      <c r="H4385" s="20"/>
      <c r="I4385" s="20"/>
      <c r="J4385" s="10"/>
      <c r="K4385" s="10"/>
      <c r="L4385" s="10"/>
      <c r="M4385" s="10"/>
      <c r="N4385" s="10"/>
      <c r="O4385" s="21"/>
    </row>
    <row r="4386" spans="1:15" x14ac:dyDescent="0.35">
      <c r="A4386" s="15">
        <f t="shared" si="68"/>
        <v>4384</v>
      </c>
      <c r="B4386" s="16"/>
      <c r="C4386" s="19"/>
      <c r="D4386" s="10"/>
      <c r="E4386" s="10"/>
      <c r="F4386" s="47"/>
      <c r="G4386" s="10"/>
      <c r="H4386" s="20"/>
      <c r="I4386" s="20"/>
      <c r="J4386" s="10"/>
      <c r="K4386" s="10"/>
      <c r="L4386" s="10"/>
      <c r="M4386" s="10"/>
      <c r="N4386" s="10"/>
      <c r="O4386" s="21"/>
    </row>
    <row r="4387" spans="1:15" x14ac:dyDescent="0.35">
      <c r="A4387" s="15">
        <f t="shared" si="68"/>
        <v>4385</v>
      </c>
      <c r="B4387" s="16"/>
      <c r="C4387" s="19"/>
      <c r="D4387" s="10"/>
      <c r="E4387" s="10"/>
      <c r="F4387" s="47"/>
      <c r="G4387" s="10"/>
      <c r="H4387" s="20"/>
      <c r="I4387" s="20"/>
      <c r="J4387" s="10"/>
      <c r="K4387" s="10"/>
      <c r="L4387" s="10"/>
      <c r="M4387" s="10"/>
      <c r="N4387" s="10"/>
      <c r="O4387" s="21"/>
    </row>
    <row r="4388" spans="1:15" x14ac:dyDescent="0.35">
      <c r="A4388" s="15">
        <f t="shared" si="68"/>
        <v>4386</v>
      </c>
      <c r="B4388" s="16"/>
      <c r="C4388" s="19"/>
      <c r="D4388" s="10"/>
      <c r="E4388" s="10"/>
      <c r="F4388" s="47"/>
      <c r="G4388" s="10"/>
      <c r="H4388" s="20"/>
      <c r="I4388" s="20"/>
      <c r="J4388" s="10"/>
      <c r="K4388" s="10"/>
      <c r="L4388" s="10"/>
      <c r="M4388" s="10"/>
      <c r="N4388" s="10"/>
      <c r="O4388" s="21"/>
    </row>
    <row r="4389" spans="1:15" x14ac:dyDescent="0.35">
      <c r="A4389" s="15">
        <f t="shared" si="68"/>
        <v>4387</v>
      </c>
      <c r="B4389" s="16"/>
      <c r="C4389" s="19"/>
      <c r="D4389" s="10"/>
      <c r="E4389" s="10"/>
      <c r="F4389" s="47"/>
      <c r="G4389" s="10"/>
      <c r="H4389" s="20"/>
      <c r="I4389" s="20"/>
      <c r="J4389" s="10"/>
      <c r="K4389" s="10"/>
      <c r="L4389" s="10"/>
      <c r="M4389" s="10"/>
      <c r="N4389" s="10"/>
      <c r="O4389" s="21"/>
    </row>
    <row r="4390" spans="1:15" x14ac:dyDescent="0.35">
      <c r="A4390" s="15">
        <f t="shared" si="68"/>
        <v>4388</v>
      </c>
      <c r="B4390" s="16"/>
      <c r="C4390" s="19"/>
      <c r="D4390" s="10"/>
      <c r="E4390" s="10"/>
      <c r="F4390" s="47"/>
      <c r="G4390" s="10"/>
      <c r="H4390" s="20"/>
      <c r="I4390" s="20"/>
      <c r="J4390" s="10"/>
      <c r="K4390" s="10"/>
      <c r="L4390" s="10"/>
      <c r="M4390" s="10"/>
      <c r="N4390" s="10"/>
      <c r="O4390" s="21"/>
    </row>
    <row r="4391" spans="1:15" x14ac:dyDescent="0.35">
      <c r="A4391" s="15">
        <f t="shared" si="68"/>
        <v>4389</v>
      </c>
      <c r="B4391" s="16"/>
      <c r="C4391" s="19"/>
      <c r="D4391" s="10"/>
      <c r="E4391" s="10"/>
      <c r="F4391" s="47"/>
      <c r="G4391" s="10"/>
      <c r="H4391" s="20"/>
      <c r="I4391" s="20"/>
      <c r="J4391" s="10"/>
      <c r="K4391" s="10"/>
      <c r="L4391" s="10"/>
      <c r="M4391" s="10"/>
      <c r="N4391" s="10"/>
      <c r="O4391" s="21"/>
    </row>
    <row r="4392" spans="1:15" x14ac:dyDescent="0.35">
      <c r="A4392" s="15">
        <f t="shared" si="68"/>
        <v>4390</v>
      </c>
      <c r="B4392" s="16"/>
      <c r="C4392" s="19"/>
      <c r="D4392" s="10"/>
      <c r="E4392" s="10"/>
      <c r="F4392" s="47"/>
      <c r="G4392" s="10"/>
      <c r="H4392" s="20"/>
      <c r="I4392" s="20"/>
      <c r="J4392" s="10"/>
      <c r="K4392" s="10"/>
      <c r="L4392" s="10"/>
      <c r="M4392" s="10"/>
      <c r="N4392" s="10"/>
      <c r="O4392" s="21"/>
    </row>
    <row r="4393" spans="1:15" x14ac:dyDescent="0.35">
      <c r="A4393" s="15">
        <f t="shared" si="68"/>
        <v>4391</v>
      </c>
      <c r="B4393" s="16"/>
      <c r="C4393" s="19"/>
      <c r="D4393" s="10"/>
      <c r="E4393" s="10"/>
      <c r="F4393" s="47"/>
      <c r="G4393" s="10"/>
      <c r="H4393" s="20"/>
      <c r="I4393" s="20"/>
      <c r="J4393" s="10"/>
      <c r="K4393" s="10"/>
      <c r="L4393" s="10"/>
      <c r="M4393" s="10"/>
      <c r="N4393" s="10"/>
      <c r="O4393" s="21"/>
    </row>
    <row r="4394" spans="1:15" x14ac:dyDescent="0.35">
      <c r="A4394" s="15">
        <f t="shared" si="68"/>
        <v>4392</v>
      </c>
      <c r="B4394" s="16"/>
      <c r="C4394" s="19"/>
      <c r="D4394" s="10"/>
      <c r="E4394" s="10"/>
      <c r="F4394" s="47"/>
      <c r="G4394" s="10"/>
      <c r="H4394" s="20"/>
      <c r="I4394" s="20"/>
      <c r="J4394" s="10"/>
      <c r="K4394" s="10"/>
      <c r="L4394" s="10"/>
      <c r="M4394" s="10"/>
      <c r="N4394" s="10"/>
      <c r="O4394" s="21"/>
    </row>
    <row r="4395" spans="1:15" x14ac:dyDescent="0.35">
      <c r="A4395" s="15">
        <f t="shared" si="68"/>
        <v>4393</v>
      </c>
      <c r="B4395" s="16"/>
      <c r="C4395" s="19"/>
      <c r="D4395" s="10"/>
      <c r="E4395" s="10"/>
      <c r="F4395" s="47"/>
      <c r="G4395" s="10"/>
      <c r="H4395" s="20"/>
      <c r="I4395" s="20"/>
      <c r="J4395" s="10"/>
      <c r="K4395" s="10"/>
      <c r="L4395" s="10"/>
      <c r="M4395" s="10"/>
      <c r="N4395" s="10"/>
      <c r="O4395" s="21"/>
    </row>
    <row r="4396" spans="1:15" x14ac:dyDescent="0.35">
      <c r="A4396" s="15">
        <f t="shared" si="68"/>
        <v>4394</v>
      </c>
      <c r="B4396" s="16"/>
      <c r="C4396" s="19"/>
      <c r="D4396" s="10"/>
      <c r="E4396" s="10"/>
      <c r="F4396" s="47"/>
      <c r="G4396" s="10"/>
      <c r="H4396" s="20"/>
      <c r="I4396" s="20"/>
      <c r="J4396" s="10"/>
      <c r="K4396" s="10"/>
      <c r="L4396" s="10"/>
      <c r="M4396" s="10"/>
      <c r="N4396" s="10"/>
      <c r="O4396" s="21"/>
    </row>
    <row r="4397" spans="1:15" x14ac:dyDescent="0.35">
      <c r="A4397" s="15">
        <f t="shared" si="68"/>
        <v>4395</v>
      </c>
      <c r="B4397" s="16"/>
      <c r="C4397" s="19"/>
      <c r="D4397" s="10"/>
      <c r="E4397" s="10"/>
      <c r="F4397" s="47"/>
      <c r="G4397" s="10"/>
      <c r="H4397" s="20"/>
      <c r="I4397" s="20"/>
      <c r="J4397" s="10"/>
      <c r="K4397" s="10"/>
      <c r="L4397" s="10"/>
      <c r="M4397" s="10"/>
      <c r="N4397" s="10"/>
      <c r="O4397" s="21"/>
    </row>
    <row r="4398" spans="1:15" x14ac:dyDescent="0.35">
      <c r="A4398" s="15">
        <f t="shared" si="68"/>
        <v>4396</v>
      </c>
      <c r="B4398" s="16"/>
      <c r="C4398" s="19"/>
      <c r="D4398" s="10"/>
      <c r="E4398" s="10"/>
      <c r="F4398" s="47"/>
      <c r="G4398" s="10"/>
      <c r="H4398" s="20"/>
      <c r="I4398" s="20"/>
      <c r="J4398" s="10"/>
      <c r="K4398" s="10"/>
      <c r="L4398" s="10"/>
      <c r="M4398" s="10"/>
      <c r="N4398" s="10"/>
      <c r="O4398" s="21"/>
    </row>
    <row r="4399" spans="1:15" x14ac:dyDescent="0.35">
      <c r="A4399" s="15">
        <f t="shared" si="68"/>
        <v>4397</v>
      </c>
      <c r="B4399" s="16"/>
      <c r="C4399" s="19"/>
      <c r="D4399" s="10"/>
      <c r="E4399" s="10"/>
      <c r="F4399" s="47"/>
      <c r="G4399" s="10"/>
      <c r="H4399" s="20"/>
      <c r="I4399" s="20"/>
      <c r="J4399" s="10"/>
      <c r="K4399" s="10"/>
      <c r="L4399" s="10"/>
      <c r="M4399" s="10"/>
      <c r="N4399" s="10"/>
      <c r="O4399" s="21"/>
    </row>
    <row r="4400" spans="1:15" x14ac:dyDescent="0.35">
      <c r="A4400" s="15">
        <f t="shared" si="68"/>
        <v>4398</v>
      </c>
      <c r="B4400" s="16"/>
      <c r="C4400" s="19"/>
      <c r="D4400" s="10"/>
      <c r="E4400" s="10"/>
      <c r="F4400" s="47"/>
      <c r="G4400" s="10"/>
      <c r="H4400" s="20"/>
      <c r="I4400" s="20"/>
      <c r="J4400" s="10"/>
      <c r="K4400" s="10"/>
      <c r="L4400" s="10"/>
      <c r="M4400" s="10"/>
      <c r="N4400" s="10"/>
      <c r="O4400" s="21"/>
    </row>
    <row r="4401" spans="1:15" x14ac:dyDescent="0.35">
      <c r="A4401" s="15">
        <f t="shared" si="68"/>
        <v>4399</v>
      </c>
      <c r="B4401" s="16"/>
      <c r="C4401" s="19"/>
      <c r="D4401" s="10"/>
      <c r="E4401" s="10"/>
      <c r="F4401" s="47"/>
      <c r="G4401" s="10"/>
      <c r="H4401" s="20"/>
      <c r="I4401" s="20"/>
      <c r="J4401" s="10"/>
      <c r="K4401" s="10"/>
      <c r="L4401" s="10"/>
      <c r="M4401" s="10"/>
      <c r="N4401" s="10"/>
      <c r="O4401" s="21"/>
    </row>
    <row r="4402" spans="1:15" x14ac:dyDescent="0.35">
      <c r="A4402" s="15">
        <f t="shared" si="68"/>
        <v>4400</v>
      </c>
      <c r="B4402" s="16"/>
      <c r="C4402" s="19"/>
      <c r="D4402" s="10"/>
      <c r="E4402" s="10"/>
      <c r="F4402" s="47"/>
      <c r="G4402" s="10"/>
      <c r="H4402" s="20"/>
      <c r="I4402" s="20"/>
      <c r="J4402" s="10"/>
      <c r="K4402" s="10"/>
      <c r="L4402" s="10"/>
      <c r="M4402" s="10"/>
      <c r="N4402" s="10"/>
      <c r="O4402" s="21"/>
    </row>
    <row r="4403" spans="1:15" x14ac:dyDescent="0.35">
      <c r="A4403" s="15">
        <f t="shared" si="68"/>
        <v>4401</v>
      </c>
      <c r="B4403" s="16"/>
      <c r="C4403" s="19"/>
      <c r="D4403" s="10"/>
      <c r="E4403" s="10"/>
      <c r="F4403" s="47"/>
      <c r="G4403" s="10"/>
      <c r="H4403" s="20"/>
      <c r="I4403" s="20"/>
      <c r="J4403" s="10"/>
      <c r="K4403" s="10"/>
      <c r="L4403" s="10"/>
      <c r="M4403" s="10"/>
      <c r="N4403" s="10"/>
      <c r="O4403" s="21"/>
    </row>
    <row r="4404" spans="1:15" x14ac:dyDescent="0.35">
      <c r="A4404" s="15">
        <f t="shared" si="68"/>
        <v>4402</v>
      </c>
      <c r="B4404" s="16"/>
      <c r="C4404" s="19"/>
      <c r="D4404" s="10"/>
      <c r="E4404" s="10"/>
      <c r="F4404" s="47"/>
      <c r="G4404" s="10"/>
      <c r="H4404" s="20"/>
      <c r="I4404" s="20"/>
      <c r="J4404" s="10"/>
      <c r="K4404" s="10"/>
      <c r="L4404" s="10"/>
      <c r="M4404" s="10"/>
      <c r="N4404" s="10"/>
      <c r="O4404" s="21"/>
    </row>
    <row r="4405" spans="1:15" x14ac:dyDescent="0.35">
      <c r="A4405" s="15">
        <f t="shared" si="68"/>
        <v>4403</v>
      </c>
      <c r="B4405" s="16"/>
      <c r="C4405" s="19"/>
      <c r="D4405" s="10"/>
      <c r="E4405" s="10"/>
      <c r="F4405" s="47"/>
      <c r="G4405" s="10"/>
      <c r="H4405" s="20"/>
      <c r="I4405" s="20"/>
      <c r="J4405" s="10"/>
      <c r="K4405" s="10"/>
      <c r="L4405" s="10"/>
      <c r="M4405" s="10"/>
      <c r="N4405" s="10"/>
      <c r="O4405" s="21"/>
    </row>
    <row r="4406" spans="1:15" x14ac:dyDescent="0.35">
      <c r="A4406" s="15">
        <f t="shared" si="68"/>
        <v>4404</v>
      </c>
      <c r="B4406" s="16"/>
      <c r="C4406" s="19"/>
      <c r="D4406" s="10"/>
      <c r="E4406" s="10"/>
      <c r="F4406" s="47"/>
      <c r="G4406" s="10"/>
      <c r="H4406" s="20"/>
      <c r="I4406" s="20"/>
      <c r="J4406" s="10"/>
      <c r="K4406" s="10"/>
      <c r="L4406" s="10"/>
      <c r="M4406" s="10"/>
      <c r="N4406" s="10"/>
      <c r="O4406" s="21"/>
    </row>
    <row r="4407" spans="1:15" x14ac:dyDescent="0.35">
      <c r="A4407" s="15">
        <f t="shared" si="68"/>
        <v>4405</v>
      </c>
      <c r="B4407" s="16"/>
      <c r="C4407" s="19"/>
      <c r="D4407" s="10"/>
      <c r="E4407" s="10"/>
      <c r="F4407" s="47"/>
      <c r="G4407" s="10"/>
      <c r="H4407" s="20"/>
      <c r="I4407" s="20"/>
      <c r="J4407" s="10"/>
      <c r="K4407" s="10"/>
      <c r="L4407" s="10"/>
      <c r="M4407" s="10"/>
      <c r="N4407" s="10"/>
      <c r="O4407" s="21"/>
    </row>
    <row r="4408" spans="1:15" x14ac:dyDescent="0.35">
      <c r="A4408" s="15">
        <f t="shared" si="68"/>
        <v>4406</v>
      </c>
      <c r="B4408" s="16"/>
      <c r="C4408" s="19"/>
      <c r="D4408" s="10"/>
      <c r="E4408" s="10"/>
      <c r="F4408" s="47"/>
      <c r="G4408" s="10"/>
      <c r="H4408" s="20"/>
      <c r="I4408" s="20"/>
      <c r="J4408" s="10"/>
      <c r="K4408" s="10"/>
      <c r="L4408" s="10"/>
      <c r="M4408" s="10"/>
      <c r="N4408" s="10"/>
      <c r="O4408" s="21"/>
    </row>
    <row r="4409" spans="1:15" x14ac:dyDescent="0.35">
      <c r="A4409" s="15">
        <f t="shared" si="68"/>
        <v>4407</v>
      </c>
      <c r="B4409" s="16"/>
      <c r="C4409" s="19"/>
      <c r="D4409" s="10"/>
      <c r="E4409" s="10"/>
      <c r="F4409" s="47"/>
      <c r="G4409" s="10"/>
      <c r="H4409" s="20"/>
      <c r="I4409" s="20"/>
      <c r="J4409" s="10"/>
      <c r="K4409" s="10"/>
      <c r="L4409" s="10"/>
      <c r="M4409" s="10"/>
      <c r="N4409" s="10"/>
      <c r="O4409" s="21"/>
    </row>
    <row r="4410" spans="1:15" x14ac:dyDescent="0.35">
      <c r="A4410" s="15">
        <f t="shared" si="68"/>
        <v>4408</v>
      </c>
      <c r="B4410" s="16"/>
      <c r="C4410" s="19"/>
      <c r="D4410" s="10"/>
      <c r="E4410" s="10"/>
      <c r="F4410" s="47"/>
      <c r="G4410" s="10"/>
      <c r="H4410" s="20"/>
      <c r="I4410" s="20"/>
      <c r="J4410" s="10"/>
      <c r="K4410" s="10"/>
      <c r="L4410" s="10"/>
      <c r="M4410" s="10"/>
      <c r="N4410" s="10"/>
      <c r="O4410" s="21"/>
    </row>
    <row r="4411" spans="1:15" x14ac:dyDescent="0.35">
      <c r="A4411" s="15">
        <f t="shared" si="68"/>
        <v>4409</v>
      </c>
      <c r="B4411" s="16"/>
      <c r="C4411" s="19"/>
      <c r="D4411" s="10"/>
      <c r="E4411" s="10"/>
      <c r="F4411" s="47"/>
      <c r="G4411" s="10"/>
      <c r="H4411" s="20"/>
      <c r="I4411" s="20"/>
      <c r="J4411" s="10"/>
      <c r="K4411" s="10"/>
      <c r="L4411" s="10"/>
      <c r="M4411" s="10"/>
      <c r="N4411" s="10"/>
      <c r="O4411" s="21"/>
    </row>
    <row r="4412" spans="1:15" x14ac:dyDescent="0.35">
      <c r="A4412" s="15">
        <f t="shared" si="68"/>
        <v>4410</v>
      </c>
      <c r="B4412" s="16"/>
      <c r="C4412" s="19"/>
      <c r="D4412" s="10"/>
      <c r="E4412" s="10"/>
      <c r="F4412" s="47"/>
      <c r="G4412" s="10"/>
      <c r="H4412" s="20"/>
      <c r="I4412" s="20"/>
      <c r="J4412" s="10"/>
      <c r="K4412" s="10"/>
      <c r="L4412" s="10"/>
      <c r="M4412" s="10"/>
      <c r="N4412" s="10"/>
      <c r="O4412" s="21"/>
    </row>
    <row r="4413" spans="1:15" x14ac:dyDescent="0.35">
      <c r="A4413" s="15">
        <f t="shared" si="68"/>
        <v>4411</v>
      </c>
      <c r="B4413" s="16"/>
      <c r="C4413" s="19"/>
      <c r="D4413" s="10"/>
      <c r="E4413" s="10"/>
      <c r="F4413" s="47"/>
      <c r="G4413" s="10"/>
      <c r="H4413" s="20"/>
      <c r="I4413" s="20"/>
      <c r="J4413" s="10"/>
      <c r="K4413" s="10"/>
      <c r="L4413" s="10"/>
      <c r="M4413" s="10"/>
      <c r="N4413" s="10"/>
      <c r="O4413" s="21"/>
    </row>
    <row r="4414" spans="1:15" x14ac:dyDescent="0.35">
      <c r="A4414" s="15">
        <f t="shared" si="68"/>
        <v>4412</v>
      </c>
      <c r="B4414" s="16"/>
      <c r="C4414" s="19"/>
      <c r="D4414" s="10"/>
      <c r="E4414" s="10"/>
      <c r="F4414" s="47"/>
      <c r="G4414" s="10"/>
      <c r="H4414" s="20"/>
      <c r="I4414" s="20"/>
      <c r="J4414" s="10"/>
      <c r="K4414" s="10"/>
      <c r="L4414" s="10"/>
      <c r="M4414" s="10"/>
      <c r="N4414" s="10"/>
      <c r="O4414" s="21"/>
    </row>
    <row r="4415" spans="1:15" x14ac:dyDescent="0.35">
      <c r="A4415" s="15">
        <f t="shared" si="68"/>
        <v>4413</v>
      </c>
      <c r="B4415" s="16"/>
      <c r="C4415" s="19"/>
      <c r="D4415" s="10"/>
      <c r="E4415" s="10"/>
      <c r="F4415" s="47"/>
      <c r="G4415" s="10"/>
      <c r="H4415" s="20"/>
      <c r="I4415" s="20"/>
      <c r="J4415" s="10"/>
      <c r="K4415" s="10"/>
      <c r="L4415" s="10"/>
      <c r="M4415" s="10"/>
      <c r="N4415" s="10"/>
      <c r="O4415" s="21"/>
    </row>
    <row r="4416" spans="1:15" x14ac:dyDescent="0.35">
      <c r="A4416" s="15">
        <f t="shared" si="68"/>
        <v>4414</v>
      </c>
      <c r="B4416" s="16"/>
      <c r="C4416" s="19"/>
      <c r="D4416" s="10"/>
      <c r="E4416" s="10"/>
      <c r="F4416" s="47"/>
      <c r="G4416" s="10"/>
      <c r="H4416" s="20"/>
      <c r="I4416" s="20"/>
      <c r="J4416" s="10"/>
      <c r="K4416" s="10"/>
      <c r="L4416" s="10"/>
      <c r="M4416" s="10"/>
      <c r="N4416" s="10"/>
      <c r="O4416" s="21"/>
    </row>
    <row r="4417" spans="1:15" x14ac:dyDescent="0.35">
      <c r="A4417" s="15">
        <f t="shared" si="68"/>
        <v>4415</v>
      </c>
      <c r="B4417" s="16"/>
      <c r="C4417" s="19"/>
      <c r="D4417" s="10"/>
      <c r="E4417" s="10"/>
      <c r="F4417" s="47"/>
      <c r="G4417" s="10"/>
      <c r="H4417" s="20"/>
      <c r="I4417" s="20"/>
      <c r="J4417" s="10"/>
      <c r="K4417" s="10"/>
      <c r="L4417" s="10"/>
      <c r="M4417" s="10"/>
      <c r="N4417" s="10"/>
      <c r="O4417" s="21"/>
    </row>
    <row r="4418" spans="1:15" x14ac:dyDescent="0.35">
      <c r="A4418" s="15">
        <f t="shared" si="68"/>
        <v>4416</v>
      </c>
      <c r="B4418" s="16"/>
      <c r="C4418" s="19"/>
      <c r="D4418" s="10"/>
      <c r="E4418" s="10"/>
      <c r="F4418" s="47"/>
      <c r="G4418" s="10"/>
      <c r="H4418" s="20"/>
      <c r="I4418" s="20"/>
      <c r="J4418" s="10"/>
      <c r="K4418" s="10"/>
      <c r="L4418" s="10"/>
      <c r="M4418" s="10"/>
      <c r="N4418" s="10"/>
      <c r="O4418" s="21"/>
    </row>
    <row r="4419" spans="1:15" x14ac:dyDescent="0.35">
      <c r="A4419" s="15">
        <f t="shared" si="68"/>
        <v>4417</v>
      </c>
      <c r="B4419" s="16"/>
      <c r="C4419" s="19"/>
      <c r="D4419" s="10"/>
      <c r="E4419" s="10"/>
      <c r="F4419" s="47"/>
      <c r="G4419" s="10"/>
      <c r="H4419" s="20"/>
      <c r="I4419" s="20"/>
      <c r="J4419" s="10"/>
      <c r="K4419" s="10"/>
      <c r="L4419" s="10"/>
      <c r="M4419" s="10"/>
      <c r="N4419" s="10"/>
      <c r="O4419" s="21"/>
    </row>
    <row r="4420" spans="1:15" x14ac:dyDescent="0.35">
      <c r="A4420" s="15">
        <f t="shared" si="68"/>
        <v>4418</v>
      </c>
      <c r="B4420" s="16"/>
      <c r="C4420" s="19"/>
      <c r="D4420" s="10"/>
      <c r="E4420" s="10"/>
      <c r="F4420" s="47"/>
      <c r="G4420" s="10"/>
      <c r="H4420" s="20"/>
      <c r="I4420" s="20"/>
      <c r="J4420" s="10"/>
      <c r="K4420" s="10"/>
      <c r="L4420" s="10"/>
      <c r="M4420" s="10"/>
      <c r="N4420" s="10"/>
      <c r="O4420" s="21"/>
    </row>
    <row r="4421" spans="1:15" x14ac:dyDescent="0.35">
      <c r="A4421" s="15">
        <f t="shared" si="68"/>
        <v>4419</v>
      </c>
      <c r="B4421" s="16"/>
      <c r="C4421" s="19"/>
      <c r="D4421" s="10"/>
      <c r="E4421" s="10"/>
      <c r="F4421" s="47"/>
      <c r="G4421" s="10"/>
      <c r="H4421" s="20"/>
      <c r="I4421" s="20"/>
      <c r="J4421" s="10"/>
      <c r="K4421" s="10"/>
      <c r="L4421" s="10"/>
      <c r="M4421" s="10"/>
      <c r="N4421" s="10"/>
      <c r="O4421" s="21"/>
    </row>
    <row r="4422" spans="1:15" x14ac:dyDescent="0.35">
      <c r="A4422" s="15">
        <f t="shared" si="68"/>
        <v>4420</v>
      </c>
      <c r="B4422" s="16"/>
      <c r="C4422" s="19"/>
      <c r="D4422" s="10"/>
      <c r="E4422" s="10"/>
      <c r="F4422" s="47"/>
      <c r="G4422" s="10"/>
      <c r="H4422" s="20"/>
      <c r="I4422" s="20"/>
      <c r="J4422" s="10"/>
      <c r="K4422" s="10"/>
      <c r="L4422" s="10"/>
      <c r="M4422" s="10"/>
      <c r="N4422" s="10"/>
      <c r="O4422" s="21"/>
    </row>
    <row r="4423" spans="1:15" x14ac:dyDescent="0.35">
      <c r="A4423" s="15">
        <f t="shared" si="68"/>
        <v>4421</v>
      </c>
      <c r="B4423" s="16"/>
      <c r="C4423" s="19"/>
      <c r="D4423" s="10"/>
      <c r="E4423" s="10"/>
      <c r="F4423" s="47"/>
      <c r="G4423" s="10"/>
      <c r="H4423" s="20"/>
      <c r="I4423" s="20"/>
      <c r="J4423" s="10"/>
      <c r="K4423" s="10"/>
      <c r="L4423" s="10"/>
      <c r="M4423" s="10"/>
      <c r="N4423" s="10"/>
      <c r="O4423" s="21"/>
    </row>
    <row r="4424" spans="1:15" x14ac:dyDescent="0.35">
      <c r="A4424" s="15">
        <f t="shared" si="68"/>
        <v>4422</v>
      </c>
      <c r="B4424" s="16"/>
      <c r="C4424" s="19"/>
      <c r="D4424" s="10"/>
      <c r="E4424" s="10"/>
      <c r="F4424" s="47"/>
      <c r="G4424" s="10"/>
      <c r="H4424" s="20"/>
      <c r="I4424" s="20"/>
      <c r="J4424" s="10"/>
      <c r="K4424" s="10"/>
      <c r="L4424" s="10"/>
      <c r="M4424" s="10"/>
      <c r="N4424" s="10"/>
      <c r="O4424" s="21"/>
    </row>
    <row r="4425" spans="1:15" x14ac:dyDescent="0.35">
      <c r="A4425" s="15">
        <f t="shared" si="68"/>
        <v>4423</v>
      </c>
      <c r="B4425" s="16"/>
      <c r="C4425" s="19"/>
      <c r="D4425" s="10"/>
      <c r="E4425" s="10"/>
      <c r="F4425" s="47"/>
      <c r="G4425" s="10"/>
      <c r="H4425" s="20"/>
      <c r="I4425" s="20"/>
      <c r="J4425" s="10"/>
      <c r="K4425" s="10"/>
      <c r="L4425" s="10"/>
      <c r="M4425" s="10"/>
      <c r="N4425" s="10"/>
      <c r="O4425" s="21"/>
    </row>
    <row r="4426" spans="1:15" x14ac:dyDescent="0.35">
      <c r="A4426" s="15">
        <f t="shared" si="68"/>
        <v>4424</v>
      </c>
      <c r="B4426" s="16"/>
      <c r="C4426" s="19"/>
      <c r="D4426" s="10"/>
      <c r="E4426" s="10"/>
      <c r="F4426" s="47"/>
      <c r="G4426" s="10"/>
      <c r="H4426" s="20"/>
      <c r="I4426" s="20"/>
      <c r="J4426" s="10"/>
      <c r="K4426" s="10"/>
      <c r="L4426" s="10"/>
      <c r="M4426" s="10"/>
      <c r="N4426" s="10"/>
      <c r="O4426" s="21"/>
    </row>
    <row r="4427" spans="1:15" x14ac:dyDescent="0.35">
      <c r="A4427" s="15">
        <f t="shared" ref="A4427:A4490" si="69">+A4426+1</f>
        <v>4425</v>
      </c>
      <c r="B4427" s="16"/>
      <c r="C4427" s="19"/>
      <c r="D4427" s="10"/>
      <c r="E4427" s="10"/>
      <c r="F4427" s="47"/>
      <c r="G4427" s="10"/>
      <c r="H4427" s="20"/>
      <c r="I4427" s="20"/>
      <c r="J4427" s="10"/>
      <c r="K4427" s="10"/>
      <c r="L4427" s="10"/>
      <c r="M4427" s="10"/>
      <c r="N4427" s="10"/>
      <c r="O4427" s="21"/>
    </row>
    <row r="4428" spans="1:15" x14ac:dyDescent="0.35">
      <c r="A4428" s="15">
        <f t="shared" si="69"/>
        <v>4426</v>
      </c>
      <c r="B4428" s="16"/>
      <c r="C4428" s="19"/>
      <c r="D4428" s="10"/>
      <c r="E4428" s="10"/>
      <c r="F4428" s="47"/>
      <c r="G4428" s="10"/>
      <c r="H4428" s="20"/>
      <c r="I4428" s="20"/>
      <c r="J4428" s="10"/>
      <c r="K4428" s="10"/>
      <c r="L4428" s="10"/>
      <c r="M4428" s="10"/>
      <c r="N4428" s="10"/>
      <c r="O4428" s="21"/>
    </row>
    <row r="4429" spans="1:15" x14ac:dyDescent="0.35">
      <c r="A4429" s="15">
        <f t="shared" si="69"/>
        <v>4427</v>
      </c>
      <c r="B4429" s="16"/>
      <c r="C4429" s="19"/>
      <c r="D4429" s="10"/>
      <c r="E4429" s="10"/>
      <c r="F4429" s="47"/>
      <c r="G4429" s="10"/>
      <c r="H4429" s="20"/>
      <c r="I4429" s="20"/>
      <c r="J4429" s="10"/>
      <c r="K4429" s="10"/>
      <c r="L4429" s="10"/>
      <c r="M4429" s="10"/>
      <c r="N4429" s="10"/>
      <c r="O4429" s="21"/>
    </row>
    <row r="4430" spans="1:15" x14ac:dyDescent="0.35">
      <c r="A4430" s="15">
        <f t="shared" si="69"/>
        <v>4428</v>
      </c>
      <c r="B4430" s="16"/>
      <c r="C4430" s="19"/>
      <c r="D4430" s="10"/>
      <c r="E4430" s="10"/>
      <c r="F4430" s="47"/>
      <c r="G4430" s="10"/>
      <c r="H4430" s="20"/>
      <c r="I4430" s="20"/>
      <c r="J4430" s="10"/>
      <c r="K4430" s="10"/>
      <c r="L4430" s="10"/>
      <c r="M4430" s="10"/>
      <c r="N4430" s="10"/>
      <c r="O4430" s="21"/>
    </row>
    <row r="4431" spans="1:15" x14ac:dyDescent="0.35">
      <c r="A4431" s="15">
        <f t="shared" si="69"/>
        <v>4429</v>
      </c>
      <c r="B4431" s="16"/>
      <c r="C4431" s="19"/>
      <c r="D4431" s="10"/>
      <c r="E4431" s="10"/>
      <c r="F4431" s="47"/>
      <c r="G4431" s="10"/>
      <c r="H4431" s="20"/>
      <c r="I4431" s="20"/>
      <c r="J4431" s="10"/>
      <c r="K4431" s="10"/>
      <c r="L4431" s="10"/>
      <c r="M4431" s="10"/>
      <c r="N4431" s="10"/>
      <c r="O4431" s="21"/>
    </row>
    <row r="4432" spans="1:15" x14ac:dyDescent="0.35">
      <c r="A4432" s="15">
        <f t="shared" si="69"/>
        <v>4430</v>
      </c>
      <c r="B4432" s="16"/>
      <c r="C4432" s="19"/>
      <c r="D4432" s="10"/>
      <c r="E4432" s="10"/>
      <c r="F4432" s="47"/>
      <c r="G4432" s="10"/>
      <c r="H4432" s="20"/>
      <c r="I4432" s="20"/>
      <c r="J4432" s="10"/>
      <c r="K4432" s="10"/>
      <c r="L4432" s="10"/>
      <c r="M4432" s="10"/>
      <c r="N4432" s="10"/>
      <c r="O4432" s="21"/>
    </row>
    <row r="4433" spans="1:15" x14ac:dyDescent="0.35">
      <c r="A4433" s="15">
        <f t="shared" si="69"/>
        <v>4431</v>
      </c>
      <c r="B4433" s="16"/>
      <c r="C4433" s="19"/>
      <c r="D4433" s="10"/>
      <c r="E4433" s="10"/>
      <c r="F4433" s="47"/>
      <c r="G4433" s="10"/>
      <c r="H4433" s="20"/>
      <c r="I4433" s="20"/>
      <c r="J4433" s="10"/>
      <c r="K4433" s="10"/>
      <c r="L4433" s="10"/>
      <c r="M4433" s="10"/>
      <c r="N4433" s="10"/>
      <c r="O4433" s="21"/>
    </row>
    <row r="4434" spans="1:15" x14ac:dyDescent="0.35">
      <c r="A4434" s="15">
        <f t="shared" si="69"/>
        <v>4432</v>
      </c>
      <c r="B4434" s="16"/>
      <c r="C4434" s="19"/>
      <c r="D4434" s="10"/>
      <c r="E4434" s="10"/>
      <c r="F4434" s="47"/>
      <c r="G4434" s="10"/>
      <c r="H4434" s="20"/>
      <c r="I4434" s="20"/>
      <c r="J4434" s="10"/>
      <c r="K4434" s="10"/>
      <c r="L4434" s="10"/>
      <c r="M4434" s="10"/>
      <c r="N4434" s="10"/>
      <c r="O4434" s="21"/>
    </row>
    <row r="4435" spans="1:15" x14ac:dyDescent="0.35">
      <c r="A4435" s="15">
        <f t="shared" si="69"/>
        <v>4433</v>
      </c>
      <c r="B4435" s="16"/>
      <c r="C4435" s="19"/>
      <c r="D4435" s="10"/>
      <c r="E4435" s="10"/>
      <c r="F4435" s="47"/>
      <c r="G4435" s="10"/>
      <c r="H4435" s="20"/>
      <c r="I4435" s="20"/>
      <c r="J4435" s="10"/>
      <c r="K4435" s="10"/>
      <c r="L4435" s="10"/>
      <c r="M4435" s="10"/>
      <c r="N4435" s="10"/>
      <c r="O4435" s="21"/>
    </row>
    <row r="4436" spans="1:15" x14ac:dyDescent="0.35">
      <c r="A4436" s="15">
        <f t="shared" si="69"/>
        <v>4434</v>
      </c>
      <c r="B4436" s="16"/>
      <c r="C4436" s="19"/>
      <c r="D4436" s="10"/>
      <c r="E4436" s="10"/>
      <c r="F4436" s="47"/>
      <c r="G4436" s="10"/>
      <c r="H4436" s="20"/>
      <c r="I4436" s="20"/>
      <c r="J4436" s="10"/>
      <c r="K4436" s="10"/>
      <c r="L4436" s="10"/>
      <c r="M4436" s="10"/>
      <c r="N4436" s="10"/>
      <c r="O4436" s="21"/>
    </row>
    <row r="4437" spans="1:15" x14ac:dyDescent="0.35">
      <c r="A4437" s="15">
        <f t="shared" si="69"/>
        <v>4435</v>
      </c>
      <c r="B4437" s="16"/>
      <c r="C4437" s="19"/>
      <c r="D4437" s="10"/>
      <c r="E4437" s="10"/>
      <c r="F4437" s="47"/>
      <c r="G4437" s="10"/>
      <c r="H4437" s="20"/>
      <c r="I4437" s="20"/>
      <c r="J4437" s="10"/>
      <c r="K4437" s="10"/>
      <c r="L4437" s="10"/>
      <c r="M4437" s="10"/>
      <c r="N4437" s="10"/>
      <c r="O4437" s="21"/>
    </row>
    <row r="4438" spans="1:15" x14ac:dyDescent="0.35">
      <c r="A4438" s="15">
        <f t="shared" si="69"/>
        <v>4436</v>
      </c>
      <c r="B4438" s="16"/>
      <c r="C4438" s="19"/>
      <c r="D4438" s="10"/>
      <c r="E4438" s="10"/>
      <c r="F4438" s="47"/>
      <c r="G4438" s="10"/>
      <c r="H4438" s="20"/>
      <c r="I4438" s="20"/>
      <c r="J4438" s="10"/>
      <c r="K4438" s="10"/>
      <c r="L4438" s="10"/>
      <c r="M4438" s="10"/>
      <c r="N4438" s="10"/>
      <c r="O4438" s="21"/>
    </row>
    <row r="4439" spans="1:15" x14ac:dyDescent="0.35">
      <c r="A4439" s="15">
        <f t="shared" si="69"/>
        <v>4437</v>
      </c>
      <c r="B4439" s="16"/>
      <c r="C4439" s="19"/>
      <c r="D4439" s="10"/>
      <c r="E4439" s="10"/>
      <c r="F4439" s="47"/>
      <c r="G4439" s="10"/>
      <c r="H4439" s="20"/>
      <c r="I4439" s="20"/>
      <c r="J4439" s="10"/>
      <c r="K4439" s="10"/>
      <c r="L4439" s="10"/>
      <c r="M4439" s="10"/>
      <c r="N4439" s="10"/>
      <c r="O4439" s="21"/>
    </row>
    <row r="4440" spans="1:15" x14ac:dyDescent="0.35">
      <c r="A4440" s="15">
        <f t="shared" si="69"/>
        <v>4438</v>
      </c>
      <c r="B4440" s="16"/>
      <c r="C4440" s="19"/>
      <c r="D4440" s="10"/>
      <c r="E4440" s="10"/>
      <c r="F4440" s="47"/>
      <c r="G4440" s="10"/>
      <c r="H4440" s="20"/>
      <c r="I4440" s="20"/>
      <c r="J4440" s="10"/>
      <c r="K4440" s="10"/>
      <c r="L4440" s="10"/>
      <c r="M4440" s="10"/>
      <c r="N4440" s="10"/>
      <c r="O4440" s="21"/>
    </row>
    <row r="4441" spans="1:15" x14ac:dyDescent="0.35">
      <c r="A4441" s="15">
        <f t="shared" si="69"/>
        <v>4439</v>
      </c>
      <c r="B4441" s="16"/>
      <c r="C4441" s="19"/>
      <c r="D4441" s="10"/>
      <c r="E4441" s="10"/>
      <c r="F4441" s="47"/>
      <c r="G4441" s="10"/>
      <c r="H4441" s="20"/>
      <c r="I4441" s="20"/>
      <c r="J4441" s="10"/>
      <c r="K4441" s="10"/>
      <c r="L4441" s="10"/>
      <c r="M4441" s="10"/>
      <c r="N4441" s="10"/>
      <c r="O4441" s="21"/>
    </row>
    <row r="4442" spans="1:15" x14ac:dyDescent="0.35">
      <c r="A4442" s="15">
        <f t="shared" si="69"/>
        <v>4440</v>
      </c>
      <c r="B4442" s="16"/>
      <c r="C4442" s="19"/>
      <c r="D4442" s="10"/>
      <c r="E4442" s="10"/>
      <c r="F4442" s="47"/>
      <c r="G4442" s="10"/>
      <c r="H4442" s="20"/>
      <c r="I4442" s="20"/>
      <c r="J4442" s="10"/>
      <c r="K4442" s="10"/>
      <c r="L4442" s="10"/>
      <c r="M4442" s="10"/>
      <c r="N4442" s="10"/>
      <c r="O4442" s="21"/>
    </row>
    <row r="4443" spans="1:15" x14ac:dyDescent="0.35">
      <c r="A4443" s="15">
        <f t="shared" si="69"/>
        <v>4441</v>
      </c>
      <c r="B4443" s="16"/>
      <c r="C4443" s="19"/>
      <c r="D4443" s="10"/>
      <c r="E4443" s="10"/>
      <c r="F4443" s="47"/>
      <c r="G4443" s="10"/>
      <c r="H4443" s="20"/>
      <c r="I4443" s="20"/>
      <c r="J4443" s="10"/>
      <c r="K4443" s="10"/>
      <c r="L4443" s="10"/>
      <c r="M4443" s="10"/>
      <c r="N4443" s="10"/>
      <c r="O4443" s="21"/>
    </row>
    <row r="4444" spans="1:15" x14ac:dyDescent="0.35">
      <c r="A4444" s="15">
        <f t="shared" si="69"/>
        <v>4442</v>
      </c>
      <c r="B4444" s="16"/>
      <c r="C4444" s="19"/>
      <c r="D4444" s="10"/>
      <c r="E4444" s="10"/>
      <c r="F4444" s="47"/>
      <c r="G4444" s="10"/>
      <c r="H4444" s="20"/>
      <c r="I4444" s="20"/>
      <c r="J4444" s="10"/>
      <c r="K4444" s="10"/>
      <c r="L4444" s="10"/>
      <c r="M4444" s="10"/>
      <c r="N4444" s="10"/>
      <c r="O4444" s="21"/>
    </row>
    <row r="4445" spans="1:15" x14ac:dyDescent="0.35">
      <c r="A4445" s="15">
        <f t="shared" si="69"/>
        <v>4443</v>
      </c>
      <c r="B4445" s="16"/>
      <c r="C4445" s="19"/>
      <c r="D4445" s="10"/>
      <c r="E4445" s="10"/>
      <c r="F4445" s="47"/>
      <c r="G4445" s="10"/>
      <c r="H4445" s="20"/>
      <c r="I4445" s="20"/>
      <c r="J4445" s="10"/>
      <c r="K4445" s="10"/>
      <c r="L4445" s="10"/>
      <c r="M4445" s="10"/>
      <c r="N4445" s="10"/>
      <c r="O4445" s="21"/>
    </row>
    <row r="4446" spans="1:15" x14ac:dyDescent="0.35">
      <c r="A4446" s="15">
        <f t="shared" si="69"/>
        <v>4444</v>
      </c>
      <c r="B4446" s="16"/>
      <c r="C4446" s="19"/>
      <c r="D4446" s="10"/>
      <c r="E4446" s="10"/>
      <c r="F4446" s="47"/>
      <c r="G4446" s="10"/>
      <c r="H4446" s="20"/>
      <c r="I4446" s="20"/>
      <c r="J4446" s="10"/>
      <c r="K4446" s="10"/>
      <c r="L4446" s="10"/>
      <c r="M4446" s="10"/>
      <c r="N4446" s="10"/>
      <c r="O4446" s="21"/>
    </row>
    <row r="4447" spans="1:15" x14ac:dyDescent="0.35">
      <c r="A4447" s="15">
        <f t="shared" si="69"/>
        <v>4445</v>
      </c>
      <c r="B4447" s="16"/>
      <c r="C4447" s="19"/>
      <c r="D4447" s="10"/>
      <c r="E4447" s="10"/>
      <c r="F4447" s="47"/>
      <c r="G4447" s="10"/>
      <c r="H4447" s="20"/>
      <c r="I4447" s="20"/>
      <c r="J4447" s="10"/>
      <c r="K4447" s="10"/>
      <c r="L4447" s="10"/>
      <c r="M4447" s="10"/>
      <c r="N4447" s="10"/>
      <c r="O4447" s="21"/>
    </row>
    <row r="4448" spans="1:15" x14ac:dyDescent="0.35">
      <c r="A4448" s="15">
        <f t="shared" si="69"/>
        <v>4446</v>
      </c>
      <c r="B4448" s="16"/>
      <c r="C4448" s="19"/>
      <c r="D4448" s="10"/>
      <c r="E4448" s="10"/>
      <c r="F4448" s="47"/>
      <c r="G4448" s="10"/>
      <c r="H4448" s="20"/>
      <c r="I4448" s="20"/>
      <c r="J4448" s="10"/>
      <c r="K4448" s="10"/>
      <c r="L4448" s="10"/>
      <c r="M4448" s="10"/>
      <c r="N4448" s="10"/>
      <c r="O4448" s="21"/>
    </row>
    <row r="4449" spans="1:15" x14ac:dyDescent="0.35">
      <c r="A4449" s="15">
        <f t="shared" si="69"/>
        <v>4447</v>
      </c>
      <c r="B4449" s="16"/>
      <c r="C4449" s="19"/>
      <c r="D4449" s="10"/>
      <c r="E4449" s="10"/>
      <c r="F4449" s="47"/>
      <c r="G4449" s="10"/>
      <c r="H4449" s="20"/>
      <c r="I4449" s="20"/>
      <c r="J4449" s="10"/>
      <c r="K4449" s="10"/>
      <c r="L4449" s="10"/>
      <c r="M4449" s="10"/>
      <c r="N4449" s="10"/>
      <c r="O4449" s="21"/>
    </row>
    <row r="4450" spans="1:15" x14ac:dyDescent="0.35">
      <c r="A4450" s="15">
        <f t="shared" si="69"/>
        <v>4448</v>
      </c>
      <c r="B4450" s="16"/>
      <c r="C4450" s="19"/>
      <c r="D4450" s="10"/>
      <c r="E4450" s="10"/>
      <c r="F4450" s="47"/>
      <c r="G4450" s="10"/>
      <c r="H4450" s="20"/>
      <c r="I4450" s="20"/>
      <c r="J4450" s="10"/>
      <c r="K4450" s="10"/>
      <c r="L4450" s="10"/>
      <c r="M4450" s="10"/>
      <c r="N4450" s="10"/>
      <c r="O4450" s="21"/>
    </row>
    <row r="4451" spans="1:15" x14ac:dyDescent="0.35">
      <c r="A4451" s="15">
        <f t="shared" si="69"/>
        <v>4449</v>
      </c>
      <c r="B4451" s="16"/>
      <c r="C4451" s="19"/>
      <c r="D4451" s="10"/>
      <c r="E4451" s="10"/>
      <c r="F4451" s="47"/>
      <c r="G4451" s="10"/>
      <c r="H4451" s="20"/>
      <c r="I4451" s="20"/>
      <c r="J4451" s="10"/>
      <c r="K4451" s="10"/>
      <c r="L4451" s="10"/>
      <c r="M4451" s="10"/>
      <c r="N4451" s="10"/>
      <c r="O4451" s="21"/>
    </row>
    <row r="4452" spans="1:15" x14ac:dyDescent="0.35">
      <c r="A4452" s="15">
        <f t="shared" si="69"/>
        <v>4450</v>
      </c>
      <c r="B4452" s="16"/>
      <c r="C4452" s="19"/>
      <c r="D4452" s="10"/>
      <c r="E4452" s="10"/>
      <c r="F4452" s="47"/>
      <c r="G4452" s="10"/>
      <c r="H4452" s="20"/>
      <c r="I4452" s="20"/>
      <c r="J4452" s="10"/>
      <c r="K4452" s="10"/>
      <c r="L4452" s="10"/>
      <c r="M4452" s="10"/>
      <c r="N4452" s="10"/>
      <c r="O4452" s="21"/>
    </row>
    <row r="4453" spans="1:15" x14ac:dyDescent="0.35">
      <c r="A4453" s="15">
        <f t="shared" si="69"/>
        <v>4451</v>
      </c>
      <c r="B4453" s="16"/>
      <c r="C4453" s="19"/>
      <c r="D4453" s="10"/>
      <c r="E4453" s="10"/>
      <c r="F4453" s="47"/>
      <c r="G4453" s="10"/>
      <c r="H4453" s="20"/>
      <c r="I4453" s="20"/>
      <c r="J4453" s="10"/>
      <c r="K4453" s="10"/>
      <c r="L4453" s="10"/>
      <c r="M4453" s="10"/>
      <c r="N4453" s="10"/>
      <c r="O4453" s="21"/>
    </row>
    <row r="4454" spans="1:15" x14ac:dyDescent="0.35">
      <c r="A4454" s="15">
        <f t="shared" si="69"/>
        <v>4452</v>
      </c>
      <c r="B4454" s="16"/>
      <c r="C4454" s="19"/>
      <c r="D4454" s="10"/>
      <c r="E4454" s="10"/>
      <c r="F4454" s="47"/>
      <c r="G4454" s="10"/>
      <c r="H4454" s="20"/>
      <c r="I4454" s="20"/>
      <c r="J4454" s="10"/>
      <c r="K4454" s="10"/>
      <c r="L4454" s="10"/>
      <c r="M4454" s="10"/>
      <c r="N4454" s="10"/>
      <c r="O4454" s="21"/>
    </row>
    <row r="4455" spans="1:15" x14ac:dyDescent="0.35">
      <c r="A4455" s="15">
        <f t="shared" si="69"/>
        <v>4453</v>
      </c>
      <c r="B4455" s="16"/>
      <c r="C4455" s="19"/>
      <c r="D4455" s="10"/>
      <c r="E4455" s="10"/>
      <c r="F4455" s="47"/>
      <c r="G4455" s="10"/>
      <c r="H4455" s="20"/>
      <c r="I4455" s="20"/>
      <c r="J4455" s="10"/>
      <c r="K4455" s="10"/>
      <c r="L4455" s="10"/>
      <c r="M4455" s="10"/>
      <c r="N4455" s="10"/>
      <c r="O4455" s="21"/>
    </row>
    <row r="4456" spans="1:15" x14ac:dyDescent="0.35">
      <c r="A4456" s="15">
        <f t="shared" si="69"/>
        <v>4454</v>
      </c>
      <c r="B4456" s="16"/>
      <c r="C4456" s="19"/>
      <c r="D4456" s="10"/>
      <c r="E4456" s="10"/>
      <c r="F4456" s="47"/>
      <c r="G4456" s="10"/>
      <c r="H4456" s="20"/>
      <c r="I4456" s="20"/>
      <c r="J4456" s="10"/>
      <c r="K4456" s="10"/>
      <c r="L4456" s="10"/>
      <c r="M4456" s="10"/>
      <c r="N4456" s="10"/>
      <c r="O4456" s="21"/>
    </row>
    <row r="4457" spans="1:15" x14ac:dyDescent="0.35">
      <c r="A4457" s="15">
        <f t="shared" si="69"/>
        <v>4455</v>
      </c>
      <c r="B4457" s="16"/>
      <c r="C4457" s="19"/>
      <c r="D4457" s="10"/>
      <c r="E4457" s="10"/>
      <c r="F4457" s="47"/>
      <c r="G4457" s="10"/>
      <c r="H4457" s="20"/>
      <c r="I4457" s="20"/>
      <c r="J4457" s="10"/>
      <c r="K4457" s="10"/>
      <c r="L4457" s="10"/>
      <c r="M4457" s="10"/>
      <c r="N4457" s="10"/>
      <c r="O4457" s="21"/>
    </row>
    <row r="4458" spans="1:15" x14ac:dyDescent="0.35">
      <c r="A4458" s="15">
        <f t="shared" si="69"/>
        <v>4456</v>
      </c>
      <c r="B4458" s="16"/>
      <c r="C4458" s="19"/>
      <c r="D4458" s="10"/>
      <c r="E4458" s="10"/>
      <c r="F4458" s="47"/>
      <c r="G4458" s="10"/>
      <c r="H4458" s="20"/>
      <c r="I4458" s="20"/>
      <c r="J4458" s="10"/>
      <c r="K4458" s="10"/>
      <c r="L4458" s="10"/>
      <c r="M4458" s="10"/>
      <c r="N4458" s="10"/>
      <c r="O4458" s="21"/>
    </row>
    <row r="4459" spans="1:15" x14ac:dyDescent="0.35">
      <c r="A4459" s="15">
        <f t="shared" si="69"/>
        <v>4457</v>
      </c>
      <c r="B4459" s="16"/>
      <c r="C4459" s="19"/>
      <c r="D4459" s="10"/>
      <c r="E4459" s="10"/>
      <c r="F4459" s="47"/>
      <c r="G4459" s="10"/>
      <c r="H4459" s="20"/>
      <c r="I4459" s="20"/>
      <c r="J4459" s="10"/>
      <c r="K4459" s="10"/>
      <c r="L4459" s="10"/>
      <c r="M4459" s="10"/>
      <c r="N4459" s="10"/>
      <c r="O4459" s="21"/>
    </row>
    <row r="4460" spans="1:15" x14ac:dyDescent="0.35">
      <c r="A4460" s="15">
        <f t="shared" si="69"/>
        <v>4458</v>
      </c>
      <c r="B4460" s="16"/>
      <c r="C4460" s="19"/>
      <c r="D4460" s="10"/>
      <c r="E4460" s="10"/>
      <c r="F4460" s="47"/>
      <c r="G4460" s="10"/>
      <c r="H4460" s="20"/>
      <c r="I4460" s="20"/>
      <c r="J4460" s="10"/>
      <c r="K4460" s="10"/>
      <c r="L4460" s="10"/>
      <c r="M4460" s="10"/>
      <c r="N4460" s="10"/>
      <c r="O4460" s="21"/>
    </row>
    <row r="4461" spans="1:15" x14ac:dyDescent="0.35">
      <c r="A4461" s="15">
        <f t="shared" si="69"/>
        <v>4459</v>
      </c>
      <c r="B4461" s="16"/>
      <c r="C4461" s="19"/>
      <c r="D4461" s="10"/>
      <c r="E4461" s="10"/>
      <c r="F4461" s="47"/>
      <c r="G4461" s="10"/>
      <c r="H4461" s="20"/>
      <c r="I4461" s="20"/>
      <c r="J4461" s="10"/>
      <c r="K4461" s="10"/>
      <c r="L4461" s="10"/>
      <c r="M4461" s="10"/>
      <c r="N4461" s="10"/>
      <c r="O4461" s="21"/>
    </row>
    <row r="4462" spans="1:15" x14ac:dyDescent="0.35">
      <c r="A4462" s="15">
        <f t="shared" si="69"/>
        <v>4460</v>
      </c>
      <c r="B4462" s="16"/>
      <c r="C4462" s="19"/>
      <c r="D4462" s="10"/>
      <c r="E4462" s="10"/>
      <c r="F4462" s="47"/>
      <c r="G4462" s="10"/>
      <c r="H4462" s="20"/>
      <c r="I4462" s="20"/>
      <c r="J4462" s="10"/>
      <c r="K4462" s="10"/>
      <c r="L4462" s="10"/>
      <c r="M4462" s="10"/>
      <c r="N4462" s="10"/>
      <c r="O4462" s="21"/>
    </row>
    <row r="4463" spans="1:15" x14ac:dyDescent="0.35">
      <c r="A4463" s="15">
        <f t="shared" si="69"/>
        <v>4461</v>
      </c>
      <c r="B4463" s="16"/>
      <c r="C4463" s="19"/>
      <c r="D4463" s="10"/>
      <c r="E4463" s="10"/>
      <c r="F4463" s="47"/>
      <c r="G4463" s="10"/>
      <c r="H4463" s="20"/>
      <c r="I4463" s="20"/>
      <c r="J4463" s="10"/>
      <c r="K4463" s="10"/>
      <c r="L4463" s="10"/>
      <c r="M4463" s="10"/>
      <c r="N4463" s="10"/>
      <c r="O4463" s="21"/>
    </row>
    <row r="4464" spans="1:15" x14ac:dyDescent="0.35">
      <c r="A4464" s="15">
        <f t="shared" si="69"/>
        <v>4462</v>
      </c>
      <c r="B4464" s="16"/>
      <c r="C4464" s="19"/>
      <c r="D4464" s="10"/>
      <c r="E4464" s="10"/>
      <c r="F4464" s="47"/>
      <c r="G4464" s="10"/>
      <c r="H4464" s="20"/>
      <c r="I4464" s="20"/>
      <c r="J4464" s="10"/>
      <c r="K4464" s="10"/>
      <c r="L4464" s="10"/>
      <c r="M4464" s="10"/>
      <c r="N4464" s="10"/>
      <c r="O4464" s="21"/>
    </row>
    <row r="4465" spans="1:15" x14ac:dyDescent="0.35">
      <c r="A4465" s="15">
        <f t="shared" si="69"/>
        <v>4463</v>
      </c>
      <c r="B4465" s="16"/>
      <c r="C4465" s="19"/>
      <c r="D4465" s="10"/>
      <c r="E4465" s="10"/>
      <c r="F4465" s="47"/>
      <c r="G4465" s="10"/>
      <c r="H4465" s="20"/>
      <c r="I4465" s="20"/>
      <c r="J4465" s="10"/>
      <c r="K4465" s="10"/>
      <c r="L4465" s="10"/>
      <c r="M4465" s="10"/>
      <c r="N4465" s="10"/>
      <c r="O4465" s="21"/>
    </row>
    <row r="4466" spans="1:15" x14ac:dyDescent="0.35">
      <c r="A4466" s="15">
        <f t="shared" si="69"/>
        <v>4464</v>
      </c>
      <c r="B4466" s="16"/>
      <c r="C4466" s="19"/>
      <c r="D4466" s="10"/>
      <c r="E4466" s="10"/>
      <c r="F4466" s="47"/>
      <c r="G4466" s="10"/>
      <c r="H4466" s="20"/>
      <c r="I4466" s="20"/>
      <c r="J4466" s="10"/>
      <c r="K4466" s="10"/>
      <c r="L4466" s="10"/>
      <c r="M4466" s="10"/>
      <c r="N4466" s="10"/>
      <c r="O4466" s="21"/>
    </row>
    <row r="4467" spans="1:15" x14ac:dyDescent="0.35">
      <c r="A4467" s="15">
        <f t="shared" si="69"/>
        <v>4465</v>
      </c>
      <c r="B4467" s="16"/>
      <c r="C4467" s="19"/>
      <c r="D4467" s="10"/>
      <c r="E4467" s="10"/>
      <c r="F4467" s="47"/>
      <c r="G4467" s="10"/>
      <c r="H4467" s="20"/>
      <c r="I4467" s="20"/>
      <c r="J4467" s="10"/>
      <c r="K4467" s="10"/>
      <c r="L4467" s="10"/>
      <c r="M4467" s="10"/>
      <c r="N4467" s="10"/>
      <c r="O4467" s="21"/>
    </row>
    <row r="4468" spans="1:15" x14ac:dyDescent="0.35">
      <c r="A4468" s="15">
        <f t="shared" si="69"/>
        <v>4466</v>
      </c>
      <c r="B4468" s="16"/>
      <c r="C4468" s="19"/>
      <c r="D4468" s="10"/>
      <c r="E4468" s="10"/>
      <c r="F4468" s="47"/>
      <c r="G4468" s="10"/>
      <c r="H4468" s="20"/>
      <c r="I4468" s="20"/>
      <c r="J4468" s="10"/>
      <c r="K4468" s="10"/>
      <c r="L4468" s="10"/>
      <c r="M4468" s="10"/>
      <c r="N4468" s="10"/>
      <c r="O4468" s="21"/>
    </row>
    <row r="4469" spans="1:15" x14ac:dyDescent="0.35">
      <c r="A4469" s="15">
        <f t="shared" si="69"/>
        <v>4467</v>
      </c>
      <c r="B4469" s="16"/>
      <c r="C4469" s="19"/>
      <c r="D4469" s="10"/>
      <c r="E4469" s="10"/>
      <c r="F4469" s="47"/>
      <c r="G4469" s="10"/>
      <c r="H4469" s="20"/>
      <c r="I4469" s="20"/>
      <c r="J4469" s="10"/>
      <c r="K4469" s="10"/>
      <c r="L4469" s="10"/>
      <c r="M4469" s="10"/>
      <c r="N4469" s="10"/>
      <c r="O4469" s="21"/>
    </row>
    <row r="4470" spans="1:15" x14ac:dyDescent="0.35">
      <c r="A4470" s="15">
        <f t="shared" si="69"/>
        <v>4468</v>
      </c>
      <c r="B4470" s="16"/>
      <c r="C4470" s="19"/>
      <c r="D4470" s="10"/>
      <c r="E4470" s="10"/>
      <c r="F4470" s="47"/>
      <c r="G4470" s="10"/>
      <c r="H4470" s="20"/>
      <c r="I4470" s="20"/>
      <c r="J4470" s="10"/>
      <c r="K4470" s="10"/>
      <c r="L4470" s="10"/>
      <c r="M4470" s="10"/>
      <c r="N4470" s="10"/>
      <c r="O4470" s="21"/>
    </row>
    <row r="4471" spans="1:15" x14ac:dyDescent="0.35">
      <c r="A4471" s="15">
        <f t="shared" si="69"/>
        <v>4469</v>
      </c>
      <c r="B4471" s="16"/>
      <c r="C4471" s="19"/>
      <c r="D4471" s="10"/>
      <c r="E4471" s="10"/>
      <c r="F4471" s="47"/>
      <c r="G4471" s="10"/>
      <c r="H4471" s="20"/>
      <c r="I4471" s="20"/>
      <c r="J4471" s="10"/>
      <c r="K4471" s="10"/>
      <c r="L4471" s="10"/>
      <c r="M4471" s="10"/>
      <c r="N4471" s="10"/>
      <c r="O4471" s="21"/>
    </row>
    <row r="4472" spans="1:15" x14ac:dyDescent="0.35">
      <c r="A4472" s="15">
        <f t="shared" si="69"/>
        <v>4470</v>
      </c>
      <c r="B4472" s="16"/>
      <c r="C4472" s="19"/>
      <c r="D4472" s="10"/>
      <c r="E4472" s="10"/>
      <c r="F4472" s="47"/>
      <c r="G4472" s="10"/>
      <c r="H4472" s="20"/>
      <c r="I4472" s="20"/>
      <c r="J4472" s="10"/>
      <c r="K4472" s="10"/>
      <c r="L4472" s="10"/>
      <c r="M4472" s="10"/>
      <c r="N4472" s="10"/>
      <c r="O4472" s="21"/>
    </row>
    <row r="4473" spans="1:15" x14ac:dyDescent="0.35">
      <c r="A4473" s="15">
        <f t="shared" si="69"/>
        <v>4471</v>
      </c>
      <c r="B4473" s="16"/>
      <c r="C4473" s="19"/>
      <c r="D4473" s="10"/>
      <c r="E4473" s="10"/>
      <c r="F4473" s="47"/>
      <c r="G4473" s="10"/>
      <c r="H4473" s="20"/>
      <c r="I4473" s="20"/>
      <c r="J4473" s="10"/>
      <c r="K4473" s="10"/>
      <c r="L4473" s="10"/>
      <c r="M4473" s="10"/>
      <c r="N4473" s="10"/>
      <c r="O4473" s="21"/>
    </row>
    <row r="4474" spans="1:15" x14ac:dyDescent="0.35">
      <c r="A4474" s="15">
        <f t="shared" si="69"/>
        <v>4472</v>
      </c>
      <c r="B4474" s="16"/>
      <c r="C4474" s="19"/>
      <c r="D4474" s="10"/>
      <c r="E4474" s="10"/>
      <c r="F4474" s="47"/>
      <c r="G4474" s="10"/>
      <c r="H4474" s="20"/>
      <c r="I4474" s="20"/>
      <c r="J4474" s="10"/>
      <c r="K4474" s="10"/>
      <c r="L4474" s="10"/>
      <c r="M4474" s="10"/>
      <c r="N4474" s="10"/>
      <c r="O4474" s="21"/>
    </row>
    <row r="4475" spans="1:15" x14ac:dyDescent="0.35">
      <c r="A4475" s="15">
        <f t="shared" si="69"/>
        <v>4473</v>
      </c>
      <c r="B4475" s="16"/>
      <c r="C4475" s="19"/>
      <c r="D4475" s="10"/>
      <c r="E4475" s="10"/>
      <c r="F4475" s="47"/>
      <c r="G4475" s="10"/>
      <c r="H4475" s="20"/>
      <c r="I4475" s="20"/>
      <c r="J4475" s="10"/>
      <c r="K4475" s="10"/>
      <c r="L4475" s="10"/>
      <c r="M4475" s="10"/>
      <c r="N4475" s="10"/>
      <c r="O4475" s="21"/>
    </row>
    <row r="4476" spans="1:15" x14ac:dyDescent="0.35">
      <c r="A4476" s="15">
        <f t="shared" si="69"/>
        <v>4474</v>
      </c>
      <c r="B4476" s="16"/>
      <c r="C4476" s="19"/>
      <c r="D4476" s="10"/>
      <c r="E4476" s="10"/>
      <c r="F4476" s="47"/>
      <c r="G4476" s="10"/>
      <c r="H4476" s="20"/>
      <c r="I4476" s="20"/>
      <c r="J4476" s="10"/>
      <c r="K4476" s="10"/>
      <c r="L4476" s="10"/>
      <c r="M4476" s="10"/>
      <c r="N4476" s="10"/>
      <c r="O4476" s="21"/>
    </row>
    <row r="4477" spans="1:15" x14ac:dyDescent="0.35">
      <c r="A4477" s="15">
        <f t="shared" si="69"/>
        <v>4475</v>
      </c>
      <c r="B4477" s="16"/>
      <c r="C4477" s="19"/>
      <c r="D4477" s="10"/>
      <c r="E4477" s="10"/>
      <c r="F4477" s="47"/>
      <c r="G4477" s="10"/>
      <c r="H4477" s="20"/>
      <c r="I4477" s="20"/>
      <c r="J4477" s="10"/>
      <c r="K4477" s="10"/>
      <c r="L4477" s="10"/>
      <c r="M4477" s="10"/>
      <c r="N4477" s="10"/>
      <c r="O4477" s="21"/>
    </row>
    <row r="4478" spans="1:15" x14ac:dyDescent="0.35">
      <c r="A4478" s="15">
        <f t="shared" si="69"/>
        <v>4476</v>
      </c>
      <c r="B4478" s="16"/>
      <c r="C4478" s="19"/>
      <c r="D4478" s="10"/>
      <c r="E4478" s="10"/>
      <c r="F4478" s="47"/>
      <c r="G4478" s="10"/>
      <c r="H4478" s="20"/>
      <c r="I4478" s="20"/>
      <c r="J4478" s="10"/>
      <c r="K4478" s="10"/>
      <c r="L4478" s="10"/>
      <c r="M4478" s="10"/>
      <c r="N4478" s="10"/>
      <c r="O4478" s="21"/>
    </row>
    <row r="4479" spans="1:15" x14ac:dyDescent="0.35">
      <c r="A4479" s="15">
        <f t="shared" si="69"/>
        <v>4477</v>
      </c>
      <c r="B4479" s="16"/>
      <c r="C4479" s="19"/>
      <c r="D4479" s="10"/>
      <c r="E4479" s="10"/>
      <c r="F4479" s="47"/>
      <c r="G4479" s="10"/>
      <c r="H4479" s="20"/>
      <c r="I4479" s="20"/>
      <c r="J4479" s="10"/>
      <c r="K4479" s="10"/>
      <c r="L4479" s="10"/>
      <c r="M4479" s="10"/>
      <c r="N4479" s="10"/>
      <c r="O4479" s="21"/>
    </row>
    <row r="4480" spans="1:15" x14ac:dyDescent="0.35">
      <c r="A4480" s="15">
        <f t="shared" si="69"/>
        <v>4478</v>
      </c>
      <c r="B4480" s="16"/>
      <c r="C4480" s="19"/>
      <c r="D4480" s="10"/>
      <c r="E4480" s="10"/>
      <c r="F4480" s="47"/>
      <c r="G4480" s="10"/>
      <c r="H4480" s="20"/>
      <c r="I4480" s="20"/>
      <c r="J4480" s="10"/>
      <c r="K4480" s="10"/>
      <c r="L4480" s="10"/>
      <c r="M4480" s="10"/>
      <c r="N4480" s="10"/>
      <c r="O4480" s="21"/>
    </row>
    <row r="4481" spans="1:15" x14ac:dyDescent="0.35">
      <c r="A4481" s="15">
        <f t="shared" si="69"/>
        <v>4479</v>
      </c>
      <c r="B4481" s="16"/>
      <c r="C4481" s="19"/>
      <c r="D4481" s="10"/>
      <c r="E4481" s="10"/>
      <c r="F4481" s="47"/>
      <c r="G4481" s="10"/>
      <c r="H4481" s="20"/>
      <c r="I4481" s="20"/>
      <c r="J4481" s="10"/>
      <c r="K4481" s="10"/>
      <c r="L4481" s="10"/>
      <c r="M4481" s="10"/>
      <c r="N4481" s="10"/>
      <c r="O4481" s="21"/>
    </row>
    <row r="4482" spans="1:15" x14ac:dyDescent="0.35">
      <c r="A4482" s="15">
        <f t="shared" si="69"/>
        <v>4480</v>
      </c>
      <c r="B4482" s="16"/>
      <c r="C4482" s="19"/>
      <c r="D4482" s="10"/>
      <c r="E4482" s="10"/>
      <c r="F4482" s="47"/>
      <c r="G4482" s="10"/>
      <c r="H4482" s="20"/>
      <c r="I4482" s="20"/>
      <c r="J4482" s="10"/>
      <c r="K4482" s="10"/>
      <c r="L4482" s="10"/>
      <c r="M4482" s="10"/>
      <c r="N4482" s="10"/>
      <c r="O4482" s="21"/>
    </row>
    <row r="4483" spans="1:15" x14ac:dyDescent="0.35">
      <c r="A4483" s="15">
        <f t="shared" si="69"/>
        <v>4481</v>
      </c>
      <c r="B4483" s="16"/>
      <c r="C4483" s="19"/>
      <c r="D4483" s="10"/>
      <c r="E4483" s="10"/>
      <c r="F4483" s="47"/>
      <c r="G4483" s="10"/>
      <c r="H4483" s="20"/>
      <c r="I4483" s="20"/>
      <c r="J4483" s="10"/>
      <c r="K4483" s="10"/>
      <c r="L4483" s="10"/>
      <c r="M4483" s="10"/>
      <c r="N4483" s="10"/>
      <c r="O4483" s="21"/>
    </row>
    <row r="4484" spans="1:15" x14ac:dyDescent="0.35">
      <c r="A4484" s="15">
        <f t="shared" si="69"/>
        <v>4482</v>
      </c>
      <c r="B4484" s="16"/>
      <c r="C4484" s="19"/>
      <c r="D4484" s="10"/>
      <c r="E4484" s="10"/>
      <c r="F4484" s="47"/>
      <c r="G4484" s="10"/>
      <c r="H4484" s="20"/>
      <c r="I4484" s="20"/>
      <c r="J4484" s="10"/>
      <c r="K4484" s="10"/>
      <c r="L4484" s="10"/>
      <c r="M4484" s="10"/>
      <c r="N4484" s="10"/>
      <c r="O4484" s="21"/>
    </row>
    <row r="4485" spans="1:15" x14ac:dyDescent="0.35">
      <c r="A4485" s="15">
        <f t="shared" si="69"/>
        <v>4483</v>
      </c>
      <c r="B4485" s="16"/>
      <c r="C4485" s="19"/>
      <c r="D4485" s="10"/>
      <c r="E4485" s="10"/>
      <c r="F4485" s="47"/>
      <c r="G4485" s="10"/>
      <c r="H4485" s="20"/>
      <c r="I4485" s="20"/>
      <c r="J4485" s="10"/>
      <c r="K4485" s="10"/>
      <c r="L4485" s="10"/>
      <c r="M4485" s="10"/>
      <c r="N4485" s="10"/>
      <c r="O4485" s="21"/>
    </row>
    <row r="4486" spans="1:15" x14ac:dyDescent="0.35">
      <c r="A4486" s="15">
        <f t="shared" si="69"/>
        <v>4484</v>
      </c>
      <c r="B4486" s="16"/>
      <c r="C4486" s="19"/>
      <c r="D4486" s="10"/>
      <c r="E4486" s="10"/>
      <c r="F4486" s="47"/>
      <c r="G4486" s="10"/>
      <c r="H4486" s="20"/>
      <c r="I4486" s="20"/>
      <c r="J4486" s="10"/>
      <c r="K4486" s="10"/>
      <c r="L4486" s="10"/>
      <c r="M4486" s="10"/>
      <c r="N4486" s="10"/>
      <c r="O4486" s="21"/>
    </row>
    <row r="4487" spans="1:15" x14ac:dyDescent="0.35">
      <c r="A4487" s="15">
        <f t="shared" si="69"/>
        <v>4485</v>
      </c>
      <c r="B4487" s="16"/>
      <c r="C4487" s="19"/>
      <c r="D4487" s="10"/>
      <c r="E4487" s="10"/>
      <c r="F4487" s="47"/>
      <c r="G4487" s="10"/>
      <c r="H4487" s="20"/>
      <c r="I4487" s="20"/>
      <c r="J4487" s="10"/>
      <c r="K4487" s="10"/>
      <c r="L4487" s="10"/>
      <c r="M4487" s="10"/>
      <c r="N4487" s="10"/>
      <c r="O4487" s="21"/>
    </row>
    <row r="4488" spans="1:15" x14ac:dyDescent="0.35">
      <c r="A4488" s="15">
        <f t="shared" si="69"/>
        <v>4486</v>
      </c>
      <c r="B4488" s="16"/>
      <c r="C4488" s="19"/>
      <c r="D4488" s="10"/>
      <c r="E4488" s="10"/>
      <c r="F4488" s="47"/>
      <c r="G4488" s="10"/>
      <c r="H4488" s="20"/>
      <c r="I4488" s="20"/>
      <c r="J4488" s="10"/>
      <c r="K4488" s="10"/>
      <c r="L4488" s="10"/>
      <c r="M4488" s="10"/>
      <c r="N4488" s="10"/>
      <c r="O4488" s="21"/>
    </row>
    <row r="4489" spans="1:15" x14ac:dyDescent="0.35">
      <c r="A4489" s="15">
        <f t="shared" si="69"/>
        <v>4487</v>
      </c>
      <c r="B4489" s="16"/>
      <c r="C4489" s="19"/>
      <c r="D4489" s="10"/>
      <c r="E4489" s="10"/>
      <c r="F4489" s="47"/>
      <c r="G4489" s="10"/>
      <c r="H4489" s="20"/>
      <c r="I4489" s="20"/>
      <c r="J4489" s="10"/>
      <c r="K4489" s="10"/>
      <c r="L4489" s="10"/>
      <c r="M4489" s="10"/>
      <c r="N4489" s="10"/>
      <c r="O4489" s="21"/>
    </row>
    <row r="4490" spans="1:15" x14ac:dyDescent="0.35">
      <c r="A4490" s="15">
        <f t="shared" si="69"/>
        <v>4488</v>
      </c>
      <c r="B4490" s="16"/>
      <c r="C4490" s="19"/>
      <c r="D4490" s="10"/>
      <c r="E4490" s="10"/>
      <c r="F4490" s="47"/>
      <c r="G4490" s="10"/>
      <c r="H4490" s="20"/>
      <c r="I4490" s="20"/>
      <c r="J4490" s="10"/>
      <c r="K4490" s="10"/>
      <c r="L4490" s="10"/>
      <c r="M4490" s="10"/>
      <c r="N4490" s="10"/>
      <c r="O4490" s="21"/>
    </row>
    <row r="4491" spans="1:15" x14ac:dyDescent="0.35">
      <c r="A4491" s="15">
        <f t="shared" ref="A4491:A4554" si="70">+A4490+1</f>
        <v>4489</v>
      </c>
      <c r="B4491" s="16"/>
      <c r="C4491" s="19"/>
      <c r="D4491" s="10"/>
      <c r="E4491" s="10"/>
      <c r="F4491" s="47"/>
      <c r="G4491" s="10"/>
      <c r="H4491" s="20"/>
      <c r="I4491" s="20"/>
      <c r="J4491" s="10"/>
      <c r="K4491" s="10"/>
      <c r="L4491" s="10"/>
      <c r="M4491" s="10"/>
      <c r="N4491" s="10"/>
      <c r="O4491" s="21"/>
    </row>
    <row r="4492" spans="1:15" x14ac:dyDescent="0.35">
      <c r="A4492" s="15">
        <f t="shared" si="70"/>
        <v>4490</v>
      </c>
      <c r="B4492" s="16"/>
      <c r="C4492" s="19"/>
      <c r="D4492" s="10"/>
      <c r="E4492" s="10"/>
      <c r="F4492" s="47"/>
      <c r="G4492" s="10"/>
      <c r="H4492" s="20"/>
      <c r="I4492" s="20"/>
      <c r="J4492" s="10"/>
      <c r="K4492" s="10"/>
      <c r="L4492" s="10"/>
      <c r="M4492" s="10"/>
      <c r="N4492" s="10"/>
      <c r="O4492" s="21"/>
    </row>
    <row r="4493" spans="1:15" x14ac:dyDescent="0.35">
      <c r="A4493" s="15">
        <f t="shared" si="70"/>
        <v>4491</v>
      </c>
      <c r="B4493" s="16"/>
      <c r="C4493" s="19"/>
      <c r="D4493" s="10"/>
      <c r="E4493" s="10"/>
      <c r="F4493" s="47"/>
      <c r="G4493" s="10"/>
      <c r="H4493" s="20"/>
      <c r="I4493" s="20"/>
      <c r="J4493" s="10"/>
      <c r="K4493" s="10"/>
      <c r="L4493" s="10"/>
      <c r="M4493" s="10"/>
      <c r="N4493" s="10"/>
      <c r="O4493" s="21"/>
    </row>
    <row r="4494" spans="1:15" x14ac:dyDescent="0.35">
      <c r="A4494" s="15">
        <f t="shared" si="70"/>
        <v>4492</v>
      </c>
      <c r="B4494" s="16"/>
      <c r="C4494" s="19"/>
      <c r="D4494" s="10"/>
      <c r="E4494" s="10"/>
      <c r="F4494" s="47"/>
      <c r="G4494" s="10"/>
      <c r="H4494" s="20"/>
      <c r="I4494" s="20"/>
      <c r="J4494" s="10"/>
      <c r="K4494" s="10"/>
      <c r="L4494" s="10"/>
      <c r="M4494" s="10"/>
      <c r="N4494" s="10"/>
      <c r="O4494" s="21"/>
    </row>
    <row r="4495" spans="1:15" x14ac:dyDescent="0.35">
      <c r="A4495" s="15">
        <f t="shared" si="70"/>
        <v>4493</v>
      </c>
      <c r="B4495" s="16"/>
      <c r="C4495" s="19"/>
      <c r="D4495" s="10"/>
      <c r="E4495" s="10"/>
      <c r="F4495" s="47"/>
      <c r="G4495" s="10"/>
      <c r="H4495" s="20"/>
      <c r="I4495" s="20"/>
      <c r="J4495" s="10"/>
      <c r="K4495" s="10"/>
      <c r="L4495" s="10"/>
      <c r="M4495" s="10"/>
      <c r="N4495" s="10"/>
      <c r="O4495" s="21"/>
    </row>
    <row r="4496" spans="1:15" x14ac:dyDescent="0.35">
      <c r="A4496" s="15">
        <f t="shared" si="70"/>
        <v>4494</v>
      </c>
      <c r="B4496" s="16"/>
      <c r="C4496" s="19"/>
      <c r="D4496" s="10"/>
      <c r="E4496" s="10"/>
      <c r="F4496" s="47"/>
      <c r="G4496" s="10"/>
      <c r="H4496" s="20"/>
      <c r="I4496" s="20"/>
      <c r="J4496" s="10"/>
      <c r="K4496" s="10"/>
      <c r="L4496" s="10"/>
      <c r="M4496" s="10"/>
      <c r="N4496" s="10"/>
      <c r="O4496" s="21"/>
    </row>
    <row r="4497" spans="1:15" x14ac:dyDescent="0.35">
      <c r="A4497" s="15">
        <f t="shared" si="70"/>
        <v>4495</v>
      </c>
      <c r="B4497" s="16"/>
      <c r="C4497" s="19"/>
      <c r="D4497" s="10"/>
      <c r="E4497" s="10"/>
      <c r="F4497" s="47"/>
      <c r="G4497" s="10"/>
      <c r="H4497" s="20"/>
      <c r="I4497" s="20"/>
      <c r="J4497" s="10"/>
      <c r="K4497" s="10"/>
      <c r="L4497" s="10"/>
      <c r="M4497" s="10"/>
      <c r="N4497" s="10"/>
      <c r="O4497" s="21"/>
    </row>
    <row r="4498" spans="1:15" x14ac:dyDescent="0.35">
      <c r="A4498" s="15">
        <f t="shared" si="70"/>
        <v>4496</v>
      </c>
      <c r="B4498" s="16"/>
      <c r="C4498" s="19"/>
      <c r="D4498" s="10"/>
      <c r="E4498" s="10"/>
      <c r="F4498" s="47"/>
      <c r="G4498" s="10"/>
      <c r="H4498" s="20"/>
      <c r="I4498" s="20"/>
      <c r="J4498" s="10"/>
      <c r="K4498" s="10"/>
      <c r="L4498" s="10"/>
      <c r="M4498" s="10"/>
      <c r="N4498" s="10"/>
      <c r="O4498" s="21"/>
    </row>
    <row r="4499" spans="1:15" x14ac:dyDescent="0.35">
      <c r="A4499" s="15">
        <f t="shared" si="70"/>
        <v>4497</v>
      </c>
      <c r="B4499" s="16"/>
      <c r="C4499" s="19"/>
      <c r="D4499" s="10"/>
      <c r="E4499" s="10"/>
      <c r="F4499" s="47"/>
      <c r="G4499" s="10"/>
      <c r="H4499" s="20"/>
      <c r="I4499" s="20"/>
      <c r="J4499" s="10"/>
      <c r="K4499" s="10"/>
      <c r="L4499" s="10"/>
      <c r="M4499" s="10"/>
      <c r="N4499" s="10"/>
      <c r="O4499" s="21"/>
    </row>
    <row r="4500" spans="1:15" x14ac:dyDescent="0.35">
      <c r="A4500" s="15">
        <f t="shared" si="70"/>
        <v>4498</v>
      </c>
      <c r="B4500" s="16"/>
      <c r="C4500" s="19"/>
      <c r="D4500" s="10"/>
      <c r="E4500" s="10"/>
      <c r="F4500" s="47"/>
      <c r="G4500" s="10"/>
      <c r="H4500" s="20"/>
      <c r="I4500" s="20"/>
      <c r="J4500" s="10"/>
      <c r="K4500" s="10"/>
      <c r="L4500" s="10"/>
      <c r="M4500" s="10"/>
      <c r="N4500" s="10"/>
      <c r="O4500" s="21"/>
    </row>
    <row r="4501" spans="1:15" x14ac:dyDescent="0.35">
      <c r="A4501" s="15">
        <f t="shared" si="70"/>
        <v>4499</v>
      </c>
      <c r="B4501" s="16"/>
      <c r="C4501" s="19"/>
      <c r="D4501" s="10"/>
      <c r="E4501" s="10"/>
      <c r="F4501" s="47"/>
      <c r="G4501" s="10"/>
      <c r="H4501" s="20"/>
      <c r="I4501" s="20"/>
      <c r="J4501" s="10"/>
      <c r="K4501" s="10"/>
      <c r="L4501" s="10"/>
      <c r="M4501" s="10"/>
      <c r="N4501" s="10"/>
      <c r="O4501" s="21"/>
    </row>
    <row r="4502" spans="1:15" x14ac:dyDescent="0.35">
      <c r="A4502" s="15">
        <f t="shared" si="70"/>
        <v>4500</v>
      </c>
      <c r="B4502" s="16"/>
      <c r="C4502" s="19"/>
      <c r="D4502" s="10"/>
      <c r="E4502" s="10"/>
      <c r="F4502" s="47"/>
      <c r="G4502" s="10"/>
      <c r="H4502" s="20"/>
      <c r="I4502" s="20"/>
      <c r="J4502" s="10"/>
      <c r="K4502" s="10"/>
      <c r="L4502" s="10"/>
      <c r="M4502" s="10"/>
      <c r="N4502" s="10"/>
      <c r="O4502" s="21"/>
    </row>
    <row r="4503" spans="1:15" x14ac:dyDescent="0.35">
      <c r="A4503" s="15">
        <f t="shared" si="70"/>
        <v>4501</v>
      </c>
      <c r="B4503" s="16"/>
      <c r="C4503" s="19"/>
      <c r="D4503" s="10"/>
      <c r="E4503" s="10"/>
      <c r="F4503" s="47"/>
      <c r="G4503" s="10"/>
      <c r="H4503" s="20"/>
      <c r="I4503" s="20"/>
      <c r="J4503" s="10"/>
      <c r="K4503" s="10"/>
      <c r="L4503" s="10"/>
      <c r="M4503" s="10"/>
      <c r="N4503" s="10"/>
      <c r="O4503" s="21"/>
    </row>
    <row r="4504" spans="1:15" x14ac:dyDescent="0.35">
      <c r="A4504" s="15">
        <f t="shared" si="70"/>
        <v>4502</v>
      </c>
      <c r="B4504" s="16"/>
      <c r="C4504" s="19"/>
      <c r="D4504" s="10"/>
      <c r="E4504" s="10"/>
      <c r="F4504" s="47"/>
      <c r="G4504" s="10"/>
      <c r="H4504" s="20"/>
      <c r="I4504" s="20"/>
      <c r="J4504" s="10"/>
      <c r="K4504" s="10"/>
      <c r="L4504" s="10"/>
      <c r="M4504" s="10"/>
      <c r="N4504" s="10"/>
      <c r="O4504" s="21"/>
    </row>
    <row r="4505" spans="1:15" x14ac:dyDescent="0.35">
      <c r="A4505" s="15">
        <f t="shared" si="70"/>
        <v>4503</v>
      </c>
      <c r="B4505" s="16"/>
      <c r="C4505" s="19"/>
      <c r="D4505" s="10"/>
      <c r="E4505" s="10"/>
      <c r="F4505" s="47"/>
      <c r="G4505" s="10"/>
      <c r="H4505" s="20"/>
      <c r="I4505" s="20"/>
      <c r="J4505" s="10"/>
      <c r="K4505" s="10"/>
      <c r="L4505" s="10"/>
      <c r="M4505" s="10"/>
      <c r="N4505" s="10"/>
      <c r="O4505" s="21"/>
    </row>
    <row r="4506" spans="1:15" x14ac:dyDescent="0.35">
      <c r="A4506" s="15">
        <f t="shared" si="70"/>
        <v>4504</v>
      </c>
      <c r="B4506" s="16"/>
      <c r="C4506" s="19"/>
      <c r="D4506" s="10"/>
      <c r="E4506" s="10"/>
      <c r="F4506" s="47"/>
      <c r="G4506" s="10"/>
      <c r="H4506" s="20"/>
      <c r="I4506" s="20"/>
      <c r="J4506" s="10"/>
      <c r="K4506" s="10"/>
      <c r="L4506" s="10"/>
      <c r="M4506" s="10"/>
      <c r="N4506" s="10"/>
      <c r="O4506" s="21"/>
    </row>
    <row r="4507" spans="1:15" x14ac:dyDescent="0.35">
      <c r="A4507" s="15">
        <f t="shared" si="70"/>
        <v>4505</v>
      </c>
      <c r="B4507" s="16"/>
      <c r="C4507" s="19"/>
      <c r="D4507" s="10"/>
      <c r="E4507" s="10"/>
      <c r="F4507" s="47"/>
      <c r="G4507" s="10"/>
      <c r="H4507" s="20"/>
      <c r="I4507" s="20"/>
      <c r="J4507" s="10"/>
      <c r="K4507" s="10"/>
      <c r="L4507" s="10"/>
      <c r="M4507" s="10"/>
      <c r="N4507" s="10"/>
      <c r="O4507" s="21"/>
    </row>
    <row r="4508" spans="1:15" x14ac:dyDescent="0.35">
      <c r="A4508" s="15">
        <f t="shared" si="70"/>
        <v>4506</v>
      </c>
      <c r="B4508" s="16"/>
      <c r="C4508" s="19"/>
      <c r="D4508" s="10"/>
      <c r="E4508" s="10"/>
      <c r="F4508" s="47"/>
      <c r="G4508" s="10"/>
      <c r="H4508" s="20"/>
      <c r="I4508" s="20"/>
      <c r="J4508" s="10"/>
      <c r="K4508" s="10"/>
      <c r="L4508" s="10"/>
      <c r="M4508" s="10"/>
      <c r="N4508" s="10"/>
      <c r="O4508" s="21"/>
    </row>
    <row r="4509" spans="1:15" x14ac:dyDescent="0.35">
      <c r="A4509" s="15">
        <f t="shared" si="70"/>
        <v>4507</v>
      </c>
      <c r="B4509" s="16"/>
      <c r="C4509" s="19"/>
      <c r="D4509" s="10"/>
      <c r="E4509" s="10"/>
      <c r="F4509" s="47"/>
      <c r="G4509" s="10"/>
      <c r="H4509" s="20"/>
      <c r="I4509" s="20"/>
      <c r="J4509" s="10"/>
      <c r="K4509" s="10"/>
      <c r="L4509" s="10"/>
      <c r="M4509" s="10"/>
      <c r="N4509" s="10"/>
      <c r="O4509" s="21"/>
    </row>
    <row r="4510" spans="1:15" x14ac:dyDescent="0.35">
      <c r="A4510" s="15">
        <f t="shared" si="70"/>
        <v>4508</v>
      </c>
      <c r="B4510" s="16"/>
      <c r="C4510" s="19"/>
      <c r="D4510" s="10"/>
      <c r="E4510" s="10"/>
      <c r="F4510" s="47"/>
      <c r="G4510" s="10"/>
      <c r="H4510" s="20"/>
      <c r="I4510" s="20"/>
      <c r="J4510" s="10"/>
      <c r="K4510" s="10"/>
      <c r="L4510" s="10"/>
      <c r="M4510" s="10"/>
      <c r="N4510" s="10"/>
      <c r="O4510" s="21"/>
    </row>
    <row r="4511" spans="1:15" x14ac:dyDescent="0.35">
      <c r="A4511" s="15">
        <f t="shared" si="70"/>
        <v>4509</v>
      </c>
      <c r="B4511" s="16"/>
      <c r="C4511" s="19"/>
      <c r="D4511" s="10"/>
      <c r="E4511" s="10"/>
      <c r="F4511" s="47"/>
      <c r="G4511" s="10"/>
      <c r="H4511" s="20"/>
      <c r="I4511" s="20"/>
      <c r="J4511" s="10"/>
      <c r="K4511" s="10"/>
      <c r="L4511" s="10"/>
      <c r="M4511" s="10"/>
      <c r="N4511" s="10"/>
      <c r="O4511" s="21"/>
    </row>
    <row r="4512" spans="1:15" x14ac:dyDescent="0.35">
      <c r="A4512" s="15">
        <f t="shared" si="70"/>
        <v>4510</v>
      </c>
      <c r="B4512" s="16"/>
      <c r="C4512" s="19"/>
      <c r="D4512" s="10"/>
      <c r="E4512" s="10"/>
      <c r="F4512" s="47"/>
      <c r="G4512" s="10"/>
      <c r="H4512" s="20"/>
      <c r="I4512" s="20"/>
      <c r="J4512" s="10"/>
      <c r="K4512" s="10"/>
      <c r="L4512" s="10"/>
      <c r="M4512" s="10"/>
      <c r="N4512" s="10"/>
      <c r="O4512" s="21"/>
    </row>
    <row r="4513" spans="1:15" x14ac:dyDescent="0.35">
      <c r="A4513" s="15">
        <f t="shared" si="70"/>
        <v>4511</v>
      </c>
      <c r="B4513" s="16"/>
      <c r="C4513" s="19"/>
      <c r="D4513" s="10"/>
      <c r="E4513" s="10"/>
      <c r="F4513" s="47"/>
      <c r="G4513" s="10"/>
      <c r="H4513" s="20"/>
      <c r="I4513" s="20"/>
      <c r="J4513" s="10"/>
      <c r="K4513" s="10"/>
      <c r="L4513" s="10"/>
      <c r="M4513" s="10"/>
      <c r="N4513" s="10"/>
      <c r="O4513" s="21"/>
    </row>
    <row r="4514" spans="1:15" x14ac:dyDescent="0.35">
      <c r="A4514" s="15">
        <f t="shared" si="70"/>
        <v>4512</v>
      </c>
      <c r="B4514" s="16"/>
      <c r="C4514" s="19"/>
      <c r="D4514" s="10"/>
      <c r="E4514" s="10"/>
      <c r="F4514" s="47"/>
      <c r="G4514" s="10"/>
      <c r="H4514" s="20"/>
      <c r="I4514" s="20"/>
      <c r="J4514" s="10"/>
      <c r="K4514" s="10"/>
      <c r="L4514" s="10"/>
      <c r="M4514" s="10"/>
      <c r="N4514" s="10"/>
      <c r="O4514" s="21"/>
    </row>
    <row r="4515" spans="1:15" x14ac:dyDescent="0.35">
      <c r="A4515" s="15">
        <f t="shared" si="70"/>
        <v>4513</v>
      </c>
      <c r="B4515" s="16"/>
      <c r="C4515" s="19"/>
      <c r="D4515" s="10"/>
      <c r="E4515" s="10"/>
      <c r="F4515" s="47"/>
      <c r="G4515" s="10"/>
      <c r="H4515" s="20"/>
      <c r="I4515" s="20"/>
      <c r="J4515" s="10"/>
      <c r="K4515" s="10"/>
      <c r="L4515" s="10"/>
      <c r="M4515" s="10"/>
      <c r="N4515" s="10"/>
      <c r="O4515" s="21"/>
    </row>
    <row r="4516" spans="1:15" x14ac:dyDescent="0.35">
      <c r="A4516" s="15">
        <f t="shared" si="70"/>
        <v>4514</v>
      </c>
      <c r="B4516" s="16"/>
      <c r="C4516" s="19"/>
      <c r="D4516" s="10"/>
      <c r="E4516" s="10"/>
      <c r="F4516" s="47"/>
      <c r="G4516" s="10"/>
      <c r="H4516" s="20"/>
      <c r="I4516" s="20"/>
      <c r="J4516" s="10"/>
      <c r="K4516" s="10"/>
      <c r="L4516" s="10"/>
      <c r="M4516" s="10"/>
      <c r="N4516" s="10"/>
      <c r="O4516" s="21"/>
    </row>
    <row r="4517" spans="1:15" x14ac:dyDescent="0.35">
      <c r="A4517" s="15">
        <f t="shared" si="70"/>
        <v>4515</v>
      </c>
      <c r="B4517" s="16"/>
      <c r="C4517" s="19"/>
      <c r="D4517" s="10"/>
      <c r="E4517" s="10"/>
      <c r="F4517" s="47"/>
      <c r="G4517" s="10"/>
      <c r="H4517" s="20"/>
      <c r="I4517" s="20"/>
      <c r="J4517" s="10"/>
      <c r="K4517" s="10"/>
      <c r="L4517" s="10"/>
      <c r="M4517" s="10"/>
      <c r="N4517" s="10"/>
      <c r="O4517" s="21"/>
    </row>
    <row r="4518" spans="1:15" x14ac:dyDescent="0.35">
      <c r="A4518" s="15">
        <f t="shared" si="70"/>
        <v>4516</v>
      </c>
      <c r="B4518" s="16"/>
      <c r="C4518" s="19"/>
      <c r="D4518" s="10"/>
      <c r="E4518" s="10"/>
      <c r="F4518" s="47"/>
      <c r="G4518" s="10"/>
      <c r="H4518" s="20"/>
      <c r="I4518" s="20"/>
      <c r="J4518" s="10"/>
      <c r="K4518" s="10"/>
      <c r="L4518" s="10"/>
      <c r="M4518" s="10"/>
      <c r="N4518" s="10"/>
      <c r="O4518" s="21"/>
    </row>
    <row r="4519" spans="1:15" x14ac:dyDescent="0.35">
      <c r="A4519" s="15">
        <f t="shared" si="70"/>
        <v>4517</v>
      </c>
      <c r="B4519" s="16"/>
      <c r="C4519" s="19"/>
      <c r="D4519" s="10"/>
      <c r="E4519" s="10"/>
      <c r="F4519" s="47"/>
      <c r="G4519" s="10"/>
      <c r="H4519" s="20"/>
      <c r="I4519" s="20"/>
      <c r="J4519" s="10"/>
      <c r="K4519" s="10"/>
      <c r="L4519" s="10"/>
      <c r="M4519" s="10"/>
      <c r="N4519" s="10"/>
      <c r="O4519" s="21"/>
    </row>
    <row r="4520" spans="1:15" x14ac:dyDescent="0.35">
      <c r="A4520" s="15">
        <f t="shared" si="70"/>
        <v>4518</v>
      </c>
      <c r="B4520" s="16"/>
      <c r="C4520" s="19"/>
      <c r="D4520" s="10"/>
      <c r="E4520" s="10"/>
      <c r="F4520" s="47"/>
      <c r="G4520" s="10"/>
      <c r="H4520" s="20"/>
      <c r="I4520" s="20"/>
      <c r="J4520" s="10"/>
      <c r="K4520" s="10"/>
      <c r="L4520" s="10"/>
      <c r="M4520" s="10"/>
      <c r="N4520" s="10"/>
      <c r="O4520" s="21"/>
    </row>
    <row r="4521" spans="1:15" x14ac:dyDescent="0.35">
      <c r="A4521" s="15">
        <f t="shared" si="70"/>
        <v>4519</v>
      </c>
      <c r="B4521" s="16"/>
      <c r="C4521" s="19"/>
      <c r="D4521" s="10"/>
      <c r="E4521" s="10"/>
      <c r="F4521" s="47"/>
      <c r="G4521" s="10"/>
      <c r="H4521" s="20"/>
      <c r="I4521" s="20"/>
      <c r="J4521" s="10"/>
      <c r="K4521" s="10"/>
      <c r="L4521" s="10"/>
      <c r="M4521" s="10"/>
      <c r="N4521" s="10"/>
      <c r="O4521" s="21"/>
    </row>
    <row r="4522" spans="1:15" x14ac:dyDescent="0.35">
      <c r="A4522" s="15">
        <f t="shared" si="70"/>
        <v>4520</v>
      </c>
      <c r="B4522" s="16"/>
      <c r="C4522" s="19"/>
      <c r="D4522" s="10"/>
      <c r="E4522" s="10"/>
      <c r="F4522" s="47"/>
      <c r="G4522" s="10"/>
      <c r="H4522" s="20"/>
      <c r="I4522" s="20"/>
      <c r="J4522" s="10"/>
      <c r="K4522" s="10"/>
      <c r="L4522" s="10"/>
      <c r="M4522" s="10"/>
      <c r="N4522" s="10"/>
      <c r="O4522" s="21"/>
    </row>
    <row r="4523" spans="1:15" x14ac:dyDescent="0.35">
      <c r="A4523" s="15">
        <f t="shared" si="70"/>
        <v>4521</v>
      </c>
      <c r="B4523" s="16"/>
      <c r="C4523" s="19"/>
      <c r="D4523" s="10"/>
      <c r="E4523" s="10"/>
      <c r="F4523" s="47"/>
      <c r="G4523" s="10"/>
      <c r="H4523" s="20"/>
      <c r="I4523" s="20"/>
      <c r="J4523" s="10"/>
      <c r="K4523" s="10"/>
      <c r="L4523" s="10"/>
      <c r="M4523" s="10"/>
      <c r="N4523" s="10"/>
      <c r="O4523" s="21"/>
    </row>
    <row r="4524" spans="1:15" x14ac:dyDescent="0.35">
      <c r="A4524" s="15">
        <f t="shared" si="70"/>
        <v>4522</v>
      </c>
      <c r="B4524" s="16"/>
      <c r="C4524" s="19"/>
      <c r="D4524" s="10"/>
      <c r="E4524" s="10"/>
      <c r="F4524" s="47"/>
      <c r="G4524" s="10"/>
      <c r="H4524" s="20"/>
      <c r="I4524" s="20"/>
      <c r="J4524" s="10"/>
      <c r="K4524" s="10"/>
      <c r="L4524" s="10"/>
      <c r="M4524" s="10"/>
      <c r="N4524" s="10"/>
      <c r="O4524" s="21"/>
    </row>
    <row r="4525" spans="1:15" x14ac:dyDescent="0.35">
      <c r="A4525" s="15">
        <f t="shared" si="70"/>
        <v>4523</v>
      </c>
      <c r="B4525" s="16"/>
      <c r="C4525" s="19"/>
      <c r="D4525" s="10"/>
      <c r="E4525" s="10"/>
      <c r="F4525" s="47"/>
      <c r="G4525" s="10"/>
      <c r="H4525" s="20"/>
      <c r="I4525" s="20"/>
      <c r="J4525" s="10"/>
      <c r="K4525" s="10"/>
      <c r="L4525" s="10"/>
      <c r="M4525" s="10"/>
      <c r="N4525" s="10"/>
      <c r="O4525" s="21"/>
    </row>
    <row r="4526" spans="1:15" x14ac:dyDescent="0.35">
      <c r="A4526" s="15">
        <f t="shared" si="70"/>
        <v>4524</v>
      </c>
      <c r="B4526" s="16"/>
      <c r="C4526" s="19"/>
      <c r="D4526" s="10"/>
      <c r="E4526" s="10"/>
      <c r="F4526" s="47"/>
      <c r="G4526" s="10"/>
      <c r="H4526" s="20"/>
      <c r="I4526" s="20"/>
      <c r="J4526" s="10"/>
      <c r="K4526" s="10"/>
      <c r="L4526" s="10"/>
      <c r="M4526" s="10"/>
      <c r="N4526" s="10"/>
      <c r="O4526" s="21"/>
    </row>
    <row r="4527" spans="1:15" x14ac:dyDescent="0.35">
      <c r="A4527" s="15">
        <f t="shared" si="70"/>
        <v>4525</v>
      </c>
      <c r="B4527" s="16"/>
      <c r="C4527" s="19"/>
      <c r="D4527" s="10"/>
      <c r="E4527" s="10"/>
      <c r="F4527" s="47"/>
      <c r="G4527" s="10"/>
      <c r="H4527" s="20"/>
      <c r="I4527" s="20"/>
      <c r="J4527" s="10"/>
      <c r="K4527" s="10"/>
      <c r="L4527" s="10"/>
      <c r="M4527" s="10"/>
      <c r="N4527" s="10"/>
      <c r="O4527" s="21"/>
    </row>
    <row r="4528" spans="1:15" x14ac:dyDescent="0.35">
      <c r="A4528" s="15">
        <f t="shared" si="70"/>
        <v>4526</v>
      </c>
      <c r="B4528" s="16"/>
      <c r="C4528" s="19"/>
      <c r="D4528" s="10"/>
      <c r="E4528" s="10"/>
      <c r="F4528" s="47"/>
      <c r="G4528" s="10"/>
      <c r="H4528" s="20"/>
      <c r="I4528" s="20"/>
      <c r="J4528" s="10"/>
      <c r="K4528" s="10"/>
      <c r="L4528" s="10"/>
      <c r="M4528" s="10"/>
      <c r="N4528" s="10"/>
      <c r="O4528" s="21"/>
    </row>
    <row r="4529" spans="1:15" x14ac:dyDescent="0.35">
      <c r="A4529" s="15">
        <f t="shared" si="70"/>
        <v>4527</v>
      </c>
      <c r="B4529" s="16"/>
      <c r="C4529" s="19"/>
      <c r="D4529" s="10"/>
      <c r="E4529" s="10"/>
      <c r="F4529" s="47"/>
      <c r="G4529" s="10"/>
      <c r="H4529" s="20"/>
      <c r="I4529" s="20"/>
      <c r="J4529" s="10"/>
      <c r="K4529" s="10"/>
      <c r="L4529" s="10"/>
      <c r="M4529" s="10"/>
      <c r="N4529" s="10"/>
      <c r="O4529" s="21"/>
    </row>
    <row r="4530" spans="1:15" x14ac:dyDescent="0.35">
      <c r="A4530" s="15">
        <f t="shared" si="70"/>
        <v>4528</v>
      </c>
      <c r="B4530" s="16"/>
      <c r="C4530" s="19"/>
      <c r="D4530" s="10"/>
      <c r="E4530" s="10"/>
      <c r="F4530" s="47"/>
      <c r="G4530" s="10"/>
      <c r="H4530" s="20"/>
      <c r="I4530" s="20"/>
      <c r="J4530" s="10"/>
      <c r="K4530" s="10"/>
      <c r="L4530" s="10"/>
      <c r="M4530" s="10"/>
      <c r="N4530" s="10"/>
      <c r="O4530" s="21"/>
    </row>
    <row r="4531" spans="1:15" x14ac:dyDescent="0.35">
      <c r="A4531" s="15">
        <f t="shared" si="70"/>
        <v>4529</v>
      </c>
      <c r="B4531" s="16"/>
      <c r="C4531" s="19"/>
      <c r="D4531" s="10"/>
      <c r="E4531" s="10"/>
      <c r="F4531" s="47"/>
      <c r="G4531" s="10"/>
      <c r="H4531" s="20"/>
      <c r="I4531" s="20"/>
      <c r="J4531" s="10"/>
      <c r="K4531" s="10"/>
      <c r="L4531" s="10"/>
      <c r="M4531" s="10"/>
      <c r="N4531" s="10"/>
      <c r="O4531" s="21"/>
    </row>
    <row r="4532" spans="1:15" x14ac:dyDescent="0.35">
      <c r="A4532" s="15">
        <f t="shared" si="70"/>
        <v>4530</v>
      </c>
      <c r="B4532" s="16"/>
      <c r="C4532" s="19"/>
      <c r="D4532" s="10"/>
      <c r="E4532" s="10"/>
      <c r="F4532" s="47"/>
      <c r="G4532" s="10"/>
      <c r="H4532" s="20"/>
      <c r="I4532" s="20"/>
      <c r="J4532" s="10"/>
      <c r="K4532" s="10"/>
      <c r="L4532" s="10"/>
      <c r="M4532" s="10"/>
      <c r="N4532" s="10"/>
      <c r="O4532" s="21"/>
    </row>
    <row r="4533" spans="1:15" x14ac:dyDescent="0.35">
      <c r="A4533" s="15">
        <f t="shared" si="70"/>
        <v>4531</v>
      </c>
      <c r="B4533" s="16"/>
      <c r="C4533" s="19"/>
      <c r="D4533" s="10"/>
      <c r="E4533" s="10"/>
      <c r="F4533" s="47"/>
      <c r="G4533" s="10"/>
      <c r="H4533" s="20"/>
      <c r="I4533" s="20"/>
      <c r="J4533" s="10"/>
      <c r="K4533" s="10"/>
      <c r="L4533" s="10"/>
      <c r="M4533" s="10"/>
      <c r="N4533" s="10"/>
      <c r="O4533" s="21"/>
    </row>
    <row r="4534" spans="1:15" x14ac:dyDescent="0.35">
      <c r="A4534" s="15">
        <f t="shared" si="70"/>
        <v>4532</v>
      </c>
      <c r="B4534" s="16"/>
      <c r="C4534" s="19"/>
      <c r="D4534" s="10"/>
      <c r="E4534" s="10"/>
      <c r="F4534" s="47"/>
      <c r="G4534" s="10"/>
      <c r="H4534" s="20"/>
      <c r="I4534" s="20"/>
      <c r="J4534" s="10"/>
      <c r="K4534" s="10"/>
      <c r="L4534" s="10"/>
      <c r="M4534" s="10"/>
      <c r="N4534" s="10"/>
      <c r="O4534" s="21"/>
    </row>
    <row r="4535" spans="1:15" x14ac:dyDescent="0.35">
      <c r="A4535" s="15">
        <f t="shared" si="70"/>
        <v>4533</v>
      </c>
      <c r="B4535" s="16"/>
      <c r="C4535" s="19"/>
      <c r="D4535" s="10"/>
      <c r="E4535" s="10"/>
      <c r="F4535" s="47"/>
      <c r="G4535" s="10"/>
      <c r="H4535" s="20"/>
      <c r="I4535" s="20"/>
      <c r="J4535" s="10"/>
      <c r="K4535" s="10"/>
      <c r="L4535" s="10"/>
      <c r="M4535" s="10"/>
      <c r="N4535" s="10"/>
      <c r="O4535" s="21"/>
    </row>
    <row r="4536" spans="1:15" x14ac:dyDescent="0.35">
      <c r="A4536" s="15">
        <f t="shared" si="70"/>
        <v>4534</v>
      </c>
      <c r="B4536" s="16"/>
      <c r="C4536" s="19"/>
      <c r="D4536" s="10"/>
      <c r="E4536" s="10"/>
      <c r="F4536" s="47"/>
      <c r="G4536" s="10"/>
      <c r="H4536" s="20"/>
      <c r="I4536" s="20"/>
      <c r="J4536" s="10"/>
      <c r="K4536" s="10"/>
      <c r="L4536" s="10"/>
      <c r="M4536" s="10"/>
      <c r="N4536" s="10"/>
      <c r="O4536" s="21"/>
    </row>
    <row r="4537" spans="1:15" x14ac:dyDescent="0.35">
      <c r="A4537" s="15">
        <f t="shared" si="70"/>
        <v>4535</v>
      </c>
      <c r="B4537" s="16"/>
      <c r="C4537" s="19"/>
      <c r="D4537" s="10"/>
      <c r="E4537" s="10"/>
      <c r="F4537" s="47"/>
      <c r="G4537" s="10"/>
      <c r="H4537" s="20"/>
      <c r="I4537" s="20"/>
      <c r="J4537" s="10"/>
      <c r="K4537" s="10"/>
      <c r="L4537" s="10"/>
      <c r="M4537" s="10"/>
      <c r="N4537" s="10"/>
      <c r="O4537" s="21"/>
    </row>
    <row r="4538" spans="1:15" x14ac:dyDescent="0.35">
      <c r="A4538" s="15">
        <f t="shared" si="70"/>
        <v>4536</v>
      </c>
      <c r="B4538" s="16"/>
      <c r="C4538" s="19"/>
      <c r="D4538" s="10"/>
      <c r="E4538" s="10"/>
      <c r="F4538" s="47"/>
      <c r="G4538" s="10"/>
      <c r="H4538" s="20"/>
      <c r="I4538" s="20"/>
      <c r="J4538" s="10"/>
      <c r="K4538" s="10"/>
      <c r="L4538" s="10"/>
      <c r="M4538" s="10"/>
      <c r="N4538" s="10"/>
      <c r="O4538" s="21"/>
    </row>
    <row r="4539" spans="1:15" x14ac:dyDescent="0.35">
      <c r="A4539" s="15">
        <f t="shared" si="70"/>
        <v>4537</v>
      </c>
      <c r="B4539" s="16"/>
      <c r="C4539" s="19"/>
      <c r="D4539" s="10"/>
      <c r="E4539" s="10"/>
      <c r="F4539" s="47"/>
      <c r="G4539" s="10"/>
      <c r="H4539" s="20"/>
      <c r="I4539" s="20"/>
      <c r="J4539" s="10"/>
      <c r="K4539" s="10"/>
      <c r="L4539" s="10"/>
      <c r="M4539" s="10"/>
      <c r="N4539" s="10"/>
      <c r="O4539" s="21"/>
    </row>
    <row r="4540" spans="1:15" x14ac:dyDescent="0.35">
      <c r="A4540" s="15">
        <f t="shared" si="70"/>
        <v>4538</v>
      </c>
      <c r="B4540" s="16"/>
      <c r="C4540" s="19"/>
      <c r="D4540" s="10"/>
      <c r="E4540" s="10"/>
      <c r="F4540" s="47"/>
      <c r="G4540" s="10"/>
      <c r="H4540" s="20"/>
      <c r="I4540" s="20"/>
      <c r="J4540" s="10"/>
      <c r="K4540" s="10"/>
      <c r="L4540" s="10"/>
      <c r="M4540" s="10"/>
      <c r="N4540" s="10"/>
      <c r="O4540" s="21"/>
    </row>
    <row r="4541" spans="1:15" x14ac:dyDescent="0.35">
      <c r="A4541" s="15">
        <f t="shared" si="70"/>
        <v>4539</v>
      </c>
      <c r="B4541" s="16"/>
      <c r="C4541" s="19"/>
      <c r="D4541" s="10"/>
      <c r="E4541" s="10"/>
      <c r="F4541" s="47"/>
      <c r="G4541" s="10"/>
      <c r="H4541" s="20"/>
      <c r="I4541" s="20"/>
      <c r="J4541" s="10"/>
      <c r="K4541" s="10"/>
      <c r="L4541" s="10"/>
      <c r="M4541" s="10"/>
      <c r="N4541" s="10"/>
      <c r="O4541" s="21"/>
    </row>
    <row r="4542" spans="1:15" x14ac:dyDescent="0.35">
      <c r="A4542" s="15">
        <f t="shared" si="70"/>
        <v>4540</v>
      </c>
      <c r="B4542" s="16"/>
      <c r="C4542" s="19"/>
      <c r="D4542" s="10"/>
      <c r="E4542" s="10"/>
      <c r="F4542" s="47"/>
      <c r="G4542" s="10"/>
      <c r="H4542" s="20"/>
      <c r="I4542" s="20"/>
      <c r="J4542" s="10"/>
      <c r="K4542" s="10"/>
      <c r="L4542" s="10"/>
      <c r="M4542" s="10"/>
      <c r="N4542" s="10"/>
      <c r="O4542" s="21"/>
    </row>
    <row r="4543" spans="1:15" x14ac:dyDescent="0.35">
      <c r="A4543" s="15">
        <f t="shared" si="70"/>
        <v>4541</v>
      </c>
      <c r="B4543" s="16"/>
      <c r="C4543" s="19"/>
      <c r="D4543" s="10"/>
      <c r="E4543" s="10"/>
      <c r="F4543" s="47"/>
      <c r="G4543" s="10"/>
      <c r="H4543" s="20"/>
      <c r="I4543" s="20"/>
      <c r="J4543" s="10"/>
      <c r="K4543" s="10"/>
      <c r="L4543" s="10"/>
      <c r="M4543" s="10"/>
      <c r="N4543" s="10"/>
      <c r="O4543" s="21"/>
    </row>
    <row r="4544" spans="1:15" x14ac:dyDescent="0.35">
      <c r="A4544" s="15">
        <f t="shared" si="70"/>
        <v>4542</v>
      </c>
      <c r="B4544" s="16"/>
      <c r="C4544" s="19"/>
      <c r="D4544" s="10"/>
      <c r="E4544" s="10"/>
      <c r="F4544" s="47"/>
      <c r="G4544" s="10"/>
      <c r="H4544" s="20"/>
      <c r="I4544" s="20"/>
      <c r="J4544" s="10"/>
      <c r="K4544" s="10"/>
      <c r="L4544" s="10"/>
      <c r="M4544" s="10"/>
      <c r="N4544" s="10"/>
      <c r="O4544" s="21"/>
    </row>
    <row r="4545" spans="1:15" x14ac:dyDescent="0.35">
      <c r="A4545" s="15">
        <f t="shared" si="70"/>
        <v>4543</v>
      </c>
      <c r="B4545" s="16"/>
      <c r="C4545" s="19"/>
      <c r="D4545" s="10"/>
      <c r="E4545" s="10"/>
      <c r="F4545" s="47"/>
      <c r="G4545" s="10"/>
      <c r="H4545" s="20"/>
      <c r="I4545" s="20"/>
      <c r="J4545" s="10"/>
      <c r="K4545" s="10"/>
      <c r="L4545" s="10"/>
      <c r="M4545" s="10"/>
      <c r="N4545" s="10"/>
      <c r="O4545" s="21"/>
    </row>
    <row r="4546" spans="1:15" x14ac:dyDescent="0.35">
      <c r="A4546" s="15">
        <f t="shared" si="70"/>
        <v>4544</v>
      </c>
      <c r="B4546" s="16"/>
      <c r="C4546" s="19"/>
      <c r="D4546" s="10"/>
      <c r="E4546" s="10"/>
      <c r="F4546" s="47"/>
      <c r="G4546" s="10"/>
      <c r="H4546" s="20"/>
      <c r="I4546" s="20"/>
      <c r="J4546" s="10"/>
      <c r="K4546" s="10"/>
      <c r="L4546" s="10"/>
      <c r="M4546" s="10"/>
      <c r="N4546" s="10"/>
      <c r="O4546" s="21"/>
    </row>
    <row r="4547" spans="1:15" x14ac:dyDescent="0.35">
      <c r="A4547" s="15">
        <f t="shared" si="70"/>
        <v>4545</v>
      </c>
      <c r="B4547" s="16"/>
      <c r="C4547" s="19"/>
      <c r="D4547" s="10"/>
      <c r="E4547" s="10"/>
      <c r="F4547" s="47"/>
      <c r="G4547" s="10"/>
      <c r="H4547" s="20"/>
      <c r="I4547" s="20"/>
      <c r="J4547" s="10"/>
      <c r="K4547" s="10"/>
      <c r="L4547" s="10"/>
      <c r="M4547" s="10"/>
      <c r="N4547" s="10"/>
      <c r="O4547" s="21"/>
    </row>
    <row r="4548" spans="1:15" x14ac:dyDescent="0.35">
      <c r="A4548" s="15">
        <f t="shared" si="70"/>
        <v>4546</v>
      </c>
      <c r="B4548" s="16"/>
      <c r="C4548" s="19"/>
      <c r="D4548" s="10"/>
      <c r="E4548" s="10"/>
      <c r="F4548" s="47"/>
      <c r="G4548" s="10"/>
      <c r="H4548" s="20"/>
      <c r="I4548" s="20"/>
      <c r="J4548" s="10"/>
      <c r="K4548" s="10"/>
      <c r="L4548" s="10"/>
      <c r="M4548" s="10"/>
      <c r="N4548" s="10"/>
      <c r="O4548" s="21"/>
    </row>
    <row r="4549" spans="1:15" x14ac:dyDescent="0.35">
      <c r="A4549" s="15">
        <f t="shared" si="70"/>
        <v>4547</v>
      </c>
      <c r="B4549" s="16"/>
      <c r="C4549" s="19"/>
      <c r="D4549" s="10"/>
      <c r="E4549" s="10"/>
      <c r="F4549" s="47"/>
      <c r="G4549" s="10"/>
      <c r="H4549" s="20"/>
      <c r="I4549" s="20"/>
      <c r="J4549" s="10"/>
      <c r="K4549" s="10"/>
      <c r="L4549" s="10"/>
      <c r="M4549" s="10"/>
      <c r="N4549" s="10"/>
      <c r="O4549" s="21"/>
    </row>
    <row r="4550" spans="1:15" x14ac:dyDescent="0.35">
      <c r="A4550" s="15">
        <f t="shared" si="70"/>
        <v>4548</v>
      </c>
      <c r="B4550" s="16"/>
      <c r="C4550" s="19"/>
      <c r="D4550" s="10"/>
      <c r="E4550" s="10"/>
      <c r="F4550" s="47"/>
      <c r="G4550" s="10"/>
      <c r="H4550" s="20"/>
      <c r="I4550" s="20"/>
      <c r="J4550" s="10"/>
      <c r="K4550" s="10"/>
      <c r="L4550" s="10"/>
      <c r="M4550" s="10"/>
      <c r="N4550" s="10"/>
      <c r="O4550" s="21"/>
    </row>
    <row r="4551" spans="1:15" x14ac:dyDescent="0.35">
      <c r="A4551" s="15">
        <f t="shared" si="70"/>
        <v>4549</v>
      </c>
      <c r="B4551" s="16"/>
      <c r="C4551" s="19"/>
      <c r="D4551" s="10"/>
      <c r="E4551" s="10"/>
      <c r="F4551" s="47"/>
      <c r="G4551" s="10"/>
      <c r="H4551" s="20"/>
      <c r="I4551" s="20"/>
      <c r="J4551" s="10"/>
      <c r="K4551" s="10"/>
      <c r="L4551" s="10"/>
      <c r="M4551" s="10"/>
      <c r="N4551" s="10"/>
      <c r="O4551" s="21"/>
    </row>
    <row r="4552" spans="1:15" x14ac:dyDescent="0.35">
      <c r="A4552" s="15">
        <f t="shared" si="70"/>
        <v>4550</v>
      </c>
      <c r="B4552" s="16"/>
      <c r="C4552" s="19"/>
      <c r="D4552" s="10"/>
      <c r="E4552" s="10"/>
      <c r="F4552" s="47"/>
      <c r="G4552" s="10"/>
      <c r="H4552" s="20"/>
      <c r="I4552" s="20"/>
      <c r="J4552" s="10"/>
      <c r="K4552" s="10"/>
      <c r="L4552" s="10"/>
      <c r="M4552" s="10"/>
      <c r="N4552" s="10"/>
      <c r="O4552" s="21"/>
    </row>
    <row r="4553" spans="1:15" x14ac:dyDescent="0.35">
      <c r="A4553" s="15">
        <f t="shared" si="70"/>
        <v>4551</v>
      </c>
      <c r="B4553" s="16"/>
      <c r="C4553" s="19"/>
      <c r="D4553" s="10"/>
      <c r="E4553" s="10"/>
      <c r="F4553" s="47"/>
      <c r="G4553" s="10"/>
      <c r="H4553" s="20"/>
      <c r="I4553" s="20"/>
      <c r="J4553" s="10"/>
      <c r="K4553" s="10"/>
      <c r="L4553" s="10"/>
      <c r="M4553" s="10"/>
      <c r="N4553" s="10"/>
      <c r="O4553" s="21"/>
    </row>
    <row r="4554" spans="1:15" x14ac:dyDescent="0.35">
      <c r="A4554" s="15">
        <f t="shared" si="70"/>
        <v>4552</v>
      </c>
      <c r="B4554" s="16"/>
      <c r="C4554" s="19"/>
      <c r="D4554" s="10"/>
      <c r="E4554" s="10"/>
      <c r="F4554" s="47"/>
      <c r="G4554" s="10"/>
      <c r="H4554" s="20"/>
      <c r="I4554" s="20"/>
      <c r="J4554" s="10"/>
      <c r="K4554" s="10"/>
      <c r="L4554" s="10"/>
      <c r="M4554" s="10"/>
      <c r="N4554" s="10"/>
      <c r="O4554" s="21"/>
    </row>
    <row r="4555" spans="1:15" x14ac:dyDescent="0.35">
      <c r="A4555" s="15">
        <f t="shared" ref="A4555:A4618" si="71">+A4554+1</f>
        <v>4553</v>
      </c>
      <c r="B4555" s="16"/>
      <c r="C4555" s="19"/>
      <c r="D4555" s="10"/>
      <c r="E4555" s="10"/>
      <c r="F4555" s="47"/>
      <c r="G4555" s="10"/>
      <c r="H4555" s="20"/>
      <c r="I4555" s="20"/>
      <c r="J4555" s="10"/>
      <c r="K4555" s="10"/>
      <c r="L4555" s="10"/>
      <c r="M4555" s="10"/>
      <c r="N4555" s="10"/>
      <c r="O4555" s="21"/>
    </row>
    <row r="4556" spans="1:15" x14ac:dyDescent="0.35">
      <c r="A4556" s="15">
        <f t="shared" si="71"/>
        <v>4554</v>
      </c>
      <c r="B4556" s="16"/>
      <c r="C4556" s="19"/>
      <c r="D4556" s="10"/>
      <c r="E4556" s="10"/>
      <c r="F4556" s="47"/>
      <c r="G4556" s="10"/>
      <c r="H4556" s="20"/>
      <c r="I4556" s="20"/>
      <c r="J4556" s="10"/>
      <c r="K4556" s="10"/>
      <c r="L4556" s="10"/>
      <c r="M4556" s="10"/>
      <c r="N4556" s="10"/>
      <c r="O4556" s="21"/>
    </row>
    <row r="4557" spans="1:15" x14ac:dyDescent="0.35">
      <c r="A4557" s="15">
        <f t="shared" si="71"/>
        <v>4555</v>
      </c>
      <c r="B4557" s="16"/>
      <c r="C4557" s="19"/>
      <c r="D4557" s="10"/>
      <c r="E4557" s="10"/>
      <c r="F4557" s="47"/>
      <c r="G4557" s="10"/>
      <c r="H4557" s="20"/>
      <c r="I4557" s="20"/>
      <c r="J4557" s="10"/>
      <c r="K4557" s="10"/>
      <c r="L4557" s="10"/>
      <c r="M4557" s="10"/>
      <c r="N4557" s="10"/>
      <c r="O4557" s="21"/>
    </row>
    <row r="4558" spans="1:15" x14ac:dyDescent="0.35">
      <c r="A4558" s="15">
        <f t="shared" si="71"/>
        <v>4556</v>
      </c>
      <c r="B4558" s="16"/>
      <c r="C4558" s="19"/>
      <c r="D4558" s="10"/>
      <c r="E4558" s="10"/>
      <c r="F4558" s="47"/>
      <c r="G4558" s="10"/>
      <c r="H4558" s="20"/>
      <c r="I4558" s="20"/>
      <c r="J4558" s="10"/>
      <c r="K4558" s="10"/>
      <c r="L4558" s="10"/>
      <c r="M4558" s="10"/>
      <c r="N4558" s="10"/>
      <c r="O4558" s="21"/>
    </row>
    <row r="4559" spans="1:15" x14ac:dyDescent="0.35">
      <c r="A4559" s="15">
        <f t="shared" si="71"/>
        <v>4557</v>
      </c>
      <c r="B4559" s="16"/>
      <c r="C4559" s="19"/>
      <c r="D4559" s="10"/>
      <c r="E4559" s="10"/>
      <c r="F4559" s="47"/>
      <c r="G4559" s="10"/>
      <c r="H4559" s="20"/>
      <c r="I4559" s="20"/>
      <c r="J4559" s="10"/>
      <c r="K4559" s="10"/>
      <c r="L4559" s="10"/>
      <c r="M4559" s="10"/>
      <c r="N4559" s="10"/>
      <c r="O4559" s="21"/>
    </row>
    <row r="4560" spans="1:15" x14ac:dyDescent="0.35">
      <c r="A4560" s="15">
        <f t="shared" si="71"/>
        <v>4558</v>
      </c>
      <c r="B4560" s="16"/>
      <c r="C4560" s="19"/>
      <c r="D4560" s="10"/>
      <c r="E4560" s="10"/>
      <c r="F4560" s="47"/>
      <c r="G4560" s="10"/>
      <c r="H4560" s="20"/>
      <c r="I4560" s="20"/>
      <c r="J4560" s="10"/>
      <c r="K4560" s="10"/>
      <c r="L4560" s="10"/>
      <c r="M4560" s="10"/>
      <c r="N4560" s="10"/>
      <c r="O4560" s="21"/>
    </row>
    <row r="4561" spans="1:15" x14ac:dyDescent="0.35">
      <c r="A4561" s="15">
        <f t="shared" si="71"/>
        <v>4559</v>
      </c>
      <c r="B4561" s="16"/>
      <c r="C4561" s="19"/>
      <c r="D4561" s="10"/>
      <c r="E4561" s="10"/>
      <c r="F4561" s="47"/>
      <c r="G4561" s="10"/>
      <c r="H4561" s="20"/>
      <c r="I4561" s="20"/>
      <c r="J4561" s="10"/>
      <c r="K4561" s="10"/>
      <c r="L4561" s="10"/>
      <c r="M4561" s="10"/>
      <c r="N4561" s="10"/>
      <c r="O4561" s="21"/>
    </row>
    <row r="4562" spans="1:15" x14ac:dyDescent="0.35">
      <c r="A4562" s="15">
        <f t="shared" si="71"/>
        <v>4560</v>
      </c>
      <c r="B4562" s="16"/>
      <c r="C4562" s="19"/>
      <c r="D4562" s="10"/>
      <c r="E4562" s="10"/>
      <c r="F4562" s="47"/>
      <c r="G4562" s="10"/>
      <c r="H4562" s="20"/>
      <c r="I4562" s="20"/>
      <c r="J4562" s="10"/>
      <c r="K4562" s="10"/>
      <c r="L4562" s="10"/>
      <c r="M4562" s="10"/>
      <c r="N4562" s="10"/>
      <c r="O4562" s="21"/>
    </row>
    <row r="4563" spans="1:15" x14ac:dyDescent="0.35">
      <c r="A4563" s="15">
        <f t="shared" si="71"/>
        <v>4561</v>
      </c>
      <c r="B4563" s="16"/>
      <c r="C4563" s="19"/>
      <c r="D4563" s="10"/>
      <c r="E4563" s="10"/>
      <c r="F4563" s="47"/>
      <c r="G4563" s="10"/>
      <c r="H4563" s="20"/>
      <c r="I4563" s="20"/>
      <c r="J4563" s="10"/>
      <c r="K4563" s="10"/>
      <c r="L4563" s="10"/>
      <c r="M4563" s="10"/>
      <c r="N4563" s="10"/>
      <c r="O4563" s="21"/>
    </row>
    <row r="4564" spans="1:15" x14ac:dyDescent="0.35">
      <c r="A4564" s="15">
        <f t="shared" si="71"/>
        <v>4562</v>
      </c>
      <c r="B4564" s="16"/>
      <c r="C4564" s="19"/>
      <c r="D4564" s="10"/>
      <c r="E4564" s="10"/>
      <c r="F4564" s="47"/>
      <c r="G4564" s="10"/>
      <c r="H4564" s="20"/>
      <c r="I4564" s="20"/>
      <c r="J4564" s="10"/>
      <c r="K4564" s="10"/>
      <c r="L4564" s="10"/>
      <c r="M4564" s="10"/>
      <c r="N4564" s="10"/>
      <c r="O4564" s="21"/>
    </row>
    <row r="4565" spans="1:15" x14ac:dyDescent="0.35">
      <c r="A4565" s="15">
        <f t="shared" si="71"/>
        <v>4563</v>
      </c>
      <c r="B4565" s="16"/>
      <c r="C4565" s="19"/>
      <c r="D4565" s="10"/>
      <c r="E4565" s="10"/>
      <c r="F4565" s="47"/>
      <c r="G4565" s="10"/>
      <c r="H4565" s="20"/>
      <c r="I4565" s="20"/>
      <c r="J4565" s="10"/>
      <c r="K4565" s="10"/>
      <c r="L4565" s="10"/>
      <c r="M4565" s="10"/>
      <c r="N4565" s="10"/>
      <c r="O4565" s="21"/>
    </row>
    <row r="4566" spans="1:15" x14ac:dyDescent="0.35">
      <c r="A4566" s="15">
        <f t="shared" si="71"/>
        <v>4564</v>
      </c>
      <c r="B4566" s="16"/>
      <c r="C4566" s="19"/>
      <c r="D4566" s="10"/>
      <c r="E4566" s="10"/>
      <c r="F4566" s="47"/>
      <c r="G4566" s="10"/>
      <c r="H4566" s="20"/>
      <c r="I4566" s="20"/>
      <c r="J4566" s="10"/>
      <c r="K4566" s="10"/>
      <c r="L4566" s="10"/>
      <c r="M4566" s="10"/>
      <c r="N4566" s="10"/>
      <c r="O4566" s="21"/>
    </row>
    <row r="4567" spans="1:15" x14ac:dyDescent="0.35">
      <c r="A4567" s="15">
        <f t="shared" si="71"/>
        <v>4565</v>
      </c>
      <c r="B4567" s="16"/>
      <c r="C4567" s="19"/>
      <c r="D4567" s="10"/>
      <c r="E4567" s="10"/>
      <c r="F4567" s="47"/>
      <c r="G4567" s="10"/>
      <c r="H4567" s="20"/>
      <c r="I4567" s="20"/>
      <c r="J4567" s="10"/>
      <c r="K4567" s="10"/>
      <c r="L4567" s="10"/>
      <c r="M4567" s="10"/>
      <c r="N4567" s="10"/>
      <c r="O4567" s="21"/>
    </row>
    <row r="4568" spans="1:15" x14ac:dyDescent="0.35">
      <c r="A4568" s="15">
        <f t="shared" si="71"/>
        <v>4566</v>
      </c>
      <c r="B4568" s="16"/>
      <c r="C4568" s="19"/>
      <c r="D4568" s="10"/>
      <c r="E4568" s="10"/>
      <c r="F4568" s="47"/>
      <c r="G4568" s="10"/>
      <c r="H4568" s="20"/>
      <c r="I4568" s="20"/>
      <c r="J4568" s="10"/>
      <c r="K4568" s="10"/>
      <c r="L4568" s="10"/>
      <c r="M4568" s="10"/>
      <c r="N4568" s="10"/>
      <c r="O4568" s="21"/>
    </row>
    <row r="4569" spans="1:15" x14ac:dyDescent="0.35">
      <c r="A4569" s="15">
        <f t="shared" si="71"/>
        <v>4567</v>
      </c>
      <c r="B4569" s="16"/>
      <c r="C4569" s="19"/>
      <c r="D4569" s="10"/>
      <c r="E4569" s="10"/>
      <c r="F4569" s="47"/>
      <c r="G4569" s="10"/>
      <c r="H4569" s="20"/>
      <c r="I4569" s="20"/>
      <c r="J4569" s="10"/>
      <c r="K4569" s="10"/>
      <c r="L4569" s="10"/>
      <c r="M4569" s="10"/>
      <c r="N4569" s="10"/>
      <c r="O4569" s="21"/>
    </row>
    <row r="4570" spans="1:15" x14ac:dyDescent="0.35">
      <c r="A4570" s="15">
        <f t="shared" si="71"/>
        <v>4568</v>
      </c>
      <c r="B4570" s="16"/>
      <c r="C4570" s="19"/>
      <c r="D4570" s="10"/>
      <c r="E4570" s="10"/>
      <c r="F4570" s="47"/>
      <c r="G4570" s="10"/>
      <c r="H4570" s="20"/>
      <c r="I4570" s="20"/>
      <c r="J4570" s="10"/>
      <c r="K4570" s="10"/>
      <c r="L4570" s="10"/>
      <c r="M4570" s="10"/>
      <c r="N4570" s="10"/>
      <c r="O4570" s="21"/>
    </row>
    <row r="4571" spans="1:15" x14ac:dyDescent="0.35">
      <c r="A4571" s="15">
        <f t="shared" si="71"/>
        <v>4569</v>
      </c>
      <c r="B4571" s="16"/>
      <c r="C4571" s="19"/>
      <c r="D4571" s="10"/>
      <c r="E4571" s="10"/>
      <c r="F4571" s="47"/>
      <c r="G4571" s="10"/>
      <c r="H4571" s="20"/>
      <c r="I4571" s="20"/>
      <c r="J4571" s="10"/>
      <c r="K4571" s="10"/>
      <c r="L4571" s="10"/>
      <c r="M4571" s="10"/>
      <c r="N4571" s="10"/>
      <c r="O4571" s="21"/>
    </row>
    <row r="4572" spans="1:15" x14ac:dyDescent="0.35">
      <c r="A4572" s="15">
        <f t="shared" si="71"/>
        <v>4570</v>
      </c>
      <c r="B4572" s="16"/>
      <c r="C4572" s="19"/>
      <c r="D4572" s="10"/>
      <c r="E4572" s="10"/>
      <c r="F4572" s="47"/>
      <c r="G4572" s="10"/>
      <c r="H4572" s="20"/>
      <c r="I4572" s="20"/>
      <c r="J4572" s="10"/>
      <c r="K4572" s="10"/>
      <c r="L4572" s="10"/>
      <c r="M4572" s="10"/>
      <c r="N4572" s="10"/>
      <c r="O4572" s="21"/>
    </row>
    <row r="4573" spans="1:15" x14ac:dyDescent="0.35">
      <c r="A4573" s="15">
        <f t="shared" si="71"/>
        <v>4571</v>
      </c>
      <c r="B4573" s="16"/>
      <c r="C4573" s="19"/>
      <c r="D4573" s="10"/>
      <c r="E4573" s="10"/>
      <c r="F4573" s="47"/>
      <c r="G4573" s="10"/>
      <c r="H4573" s="20"/>
      <c r="I4573" s="20"/>
      <c r="J4573" s="10"/>
      <c r="K4573" s="10"/>
      <c r="L4573" s="10"/>
      <c r="M4573" s="10"/>
      <c r="N4573" s="10"/>
      <c r="O4573" s="21"/>
    </row>
    <row r="4574" spans="1:15" x14ac:dyDescent="0.35">
      <c r="A4574" s="15">
        <f t="shared" si="71"/>
        <v>4572</v>
      </c>
      <c r="B4574" s="16"/>
      <c r="C4574" s="19"/>
      <c r="D4574" s="10"/>
      <c r="E4574" s="10"/>
      <c r="F4574" s="47"/>
      <c r="G4574" s="10"/>
      <c r="H4574" s="20"/>
      <c r="I4574" s="20"/>
      <c r="J4574" s="10"/>
      <c r="K4574" s="10"/>
      <c r="L4574" s="10"/>
      <c r="M4574" s="10"/>
      <c r="N4574" s="10"/>
      <c r="O4574" s="21"/>
    </row>
    <row r="4575" spans="1:15" x14ac:dyDescent="0.35">
      <c r="A4575" s="15">
        <f t="shared" si="71"/>
        <v>4573</v>
      </c>
      <c r="B4575" s="16"/>
      <c r="C4575" s="19"/>
      <c r="D4575" s="10"/>
      <c r="E4575" s="10"/>
      <c r="F4575" s="47"/>
      <c r="G4575" s="10"/>
      <c r="H4575" s="20"/>
      <c r="I4575" s="20"/>
      <c r="J4575" s="10"/>
      <c r="K4575" s="10"/>
      <c r="L4575" s="10"/>
      <c r="M4575" s="10"/>
      <c r="N4575" s="10"/>
      <c r="O4575" s="21"/>
    </row>
    <row r="4576" spans="1:15" x14ac:dyDescent="0.35">
      <c r="A4576" s="15">
        <f t="shared" si="71"/>
        <v>4574</v>
      </c>
      <c r="B4576" s="16"/>
      <c r="C4576" s="19"/>
      <c r="D4576" s="10"/>
      <c r="E4576" s="10"/>
      <c r="F4576" s="47"/>
      <c r="G4576" s="10"/>
      <c r="H4576" s="20"/>
      <c r="I4576" s="20"/>
      <c r="J4576" s="10"/>
      <c r="K4576" s="10"/>
      <c r="L4576" s="10"/>
      <c r="M4576" s="10"/>
      <c r="N4576" s="10"/>
      <c r="O4576" s="21"/>
    </row>
    <row r="4577" spans="1:15" x14ac:dyDescent="0.35">
      <c r="A4577" s="15">
        <f t="shared" si="71"/>
        <v>4575</v>
      </c>
      <c r="B4577" s="16"/>
      <c r="C4577" s="19"/>
      <c r="D4577" s="10"/>
      <c r="E4577" s="10"/>
      <c r="F4577" s="47"/>
      <c r="G4577" s="10"/>
      <c r="H4577" s="20"/>
      <c r="I4577" s="20"/>
      <c r="J4577" s="10"/>
      <c r="K4577" s="10"/>
      <c r="L4577" s="10"/>
      <c r="M4577" s="10"/>
      <c r="N4577" s="10"/>
      <c r="O4577" s="21"/>
    </row>
    <row r="4578" spans="1:15" x14ac:dyDescent="0.35">
      <c r="A4578" s="15">
        <f t="shared" si="71"/>
        <v>4576</v>
      </c>
      <c r="B4578" s="16"/>
      <c r="C4578" s="19"/>
      <c r="D4578" s="10"/>
      <c r="E4578" s="10"/>
      <c r="F4578" s="47"/>
      <c r="G4578" s="10"/>
      <c r="H4578" s="20"/>
      <c r="I4578" s="20"/>
      <c r="J4578" s="10"/>
      <c r="K4578" s="10"/>
      <c r="L4578" s="10"/>
      <c r="M4578" s="10"/>
      <c r="N4578" s="10"/>
      <c r="O4578" s="21"/>
    </row>
    <row r="4579" spans="1:15" x14ac:dyDescent="0.35">
      <c r="A4579" s="15">
        <f t="shared" si="71"/>
        <v>4577</v>
      </c>
      <c r="B4579" s="16"/>
      <c r="C4579" s="19"/>
      <c r="D4579" s="10"/>
      <c r="E4579" s="10"/>
      <c r="F4579" s="47"/>
      <c r="G4579" s="10"/>
      <c r="H4579" s="20"/>
      <c r="I4579" s="20"/>
      <c r="J4579" s="10"/>
      <c r="K4579" s="10"/>
      <c r="L4579" s="10"/>
      <c r="M4579" s="10"/>
      <c r="N4579" s="10"/>
      <c r="O4579" s="21"/>
    </row>
    <row r="4580" spans="1:15" x14ac:dyDescent="0.35">
      <c r="A4580" s="15">
        <f t="shared" si="71"/>
        <v>4578</v>
      </c>
      <c r="B4580" s="16"/>
      <c r="C4580" s="19"/>
      <c r="D4580" s="10"/>
      <c r="E4580" s="10"/>
      <c r="F4580" s="47"/>
      <c r="G4580" s="10"/>
      <c r="H4580" s="20"/>
      <c r="I4580" s="20"/>
      <c r="J4580" s="10"/>
      <c r="K4580" s="10"/>
      <c r="L4580" s="10"/>
      <c r="M4580" s="10"/>
      <c r="N4580" s="10"/>
      <c r="O4580" s="21"/>
    </row>
    <row r="4581" spans="1:15" x14ac:dyDescent="0.35">
      <c r="A4581" s="15">
        <f t="shared" si="71"/>
        <v>4579</v>
      </c>
      <c r="B4581" s="16"/>
      <c r="C4581" s="19"/>
      <c r="D4581" s="10"/>
      <c r="E4581" s="10"/>
      <c r="F4581" s="47"/>
      <c r="G4581" s="10"/>
      <c r="H4581" s="20"/>
      <c r="I4581" s="20"/>
      <c r="J4581" s="10"/>
      <c r="K4581" s="10"/>
      <c r="L4581" s="10"/>
      <c r="M4581" s="10"/>
      <c r="N4581" s="10"/>
      <c r="O4581" s="21"/>
    </row>
    <row r="4582" spans="1:15" x14ac:dyDescent="0.35">
      <c r="A4582" s="15">
        <f t="shared" si="71"/>
        <v>4580</v>
      </c>
      <c r="B4582" s="16"/>
      <c r="C4582" s="19"/>
      <c r="D4582" s="10"/>
      <c r="E4582" s="10"/>
      <c r="F4582" s="47"/>
      <c r="G4582" s="10"/>
      <c r="H4582" s="20"/>
      <c r="I4582" s="20"/>
      <c r="J4582" s="10"/>
      <c r="K4582" s="10"/>
      <c r="L4582" s="10"/>
      <c r="M4582" s="10"/>
      <c r="N4582" s="10"/>
      <c r="O4582" s="21"/>
    </row>
    <row r="4583" spans="1:15" x14ac:dyDescent="0.35">
      <c r="A4583" s="15">
        <f t="shared" si="71"/>
        <v>4581</v>
      </c>
      <c r="B4583" s="16"/>
      <c r="C4583" s="19"/>
      <c r="D4583" s="10"/>
      <c r="E4583" s="10"/>
      <c r="F4583" s="47"/>
      <c r="G4583" s="10"/>
      <c r="H4583" s="20"/>
      <c r="I4583" s="20"/>
      <c r="J4583" s="10"/>
      <c r="K4583" s="10"/>
      <c r="L4583" s="10"/>
      <c r="M4583" s="10"/>
      <c r="N4583" s="10"/>
      <c r="O4583" s="21"/>
    </row>
    <row r="4584" spans="1:15" x14ac:dyDescent="0.35">
      <c r="A4584" s="15">
        <f t="shared" si="71"/>
        <v>4582</v>
      </c>
      <c r="B4584" s="16"/>
      <c r="C4584" s="19"/>
      <c r="D4584" s="10"/>
      <c r="E4584" s="10"/>
      <c r="F4584" s="47"/>
      <c r="G4584" s="10"/>
      <c r="H4584" s="20"/>
      <c r="I4584" s="20"/>
      <c r="J4584" s="10"/>
      <c r="K4584" s="10"/>
      <c r="L4584" s="10"/>
      <c r="M4584" s="10"/>
      <c r="N4584" s="10"/>
      <c r="O4584" s="21"/>
    </row>
    <row r="4585" spans="1:15" x14ac:dyDescent="0.35">
      <c r="A4585" s="15">
        <f t="shared" si="71"/>
        <v>4583</v>
      </c>
      <c r="B4585" s="16"/>
      <c r="C4585" s="19"/>
      <c r="D4585" s="10"/>
      <c r="E4585" s="10"/>
      <c r="F4585" s="47"/>
      <c r="G4585" s="10"/>
      <c r="H4585" s="20"/>
      <c r="I4585" s="20"/>
      <c r="J4585" s="10"/>
      <c r="K4585" s="10"/>
      <c r="L4585" s="10"/>
      <c r="M4585" s="10"/>
      <c r="N4585" s="10"/>
      <c r="O4585" s="21"/>
    </row>
    <row r="4586" spans="1:15" x14ac:dyDescent="0.35">
      <c r="A4586" s="15">
        <f t="shared" si="71"/>
        <v>4584</v>
      </c>
      <c r="B4586" s="16"/>
      <c r="C4586" s="19"/>
      <c r="D4586" s="10"/>
      <c r="E4586" s="10"/>
      <c r="F4586" s="47"/>
      <c r="G4586" s="10"/>
      <c r="H4586" s="20"/>
      <c r="I4586" s="20"/>
      <c r="J4586" s="10"/>
      <c r="K4586" s="10"/>
      <c r="L4586" s="10"/>
      <c r="M4586" s="10"/>
      <c r="N4586" s="10"/>
      <c r="O4586" s="21"/>
    </row>
    <row r="4587" spans="1:15" x14ac:dyDescent="0.35">
      <c r="A4587" s="15">
        <f t="shared" si="71"/>
        <v>4585</v>
      </c>
      <c r="B4587" s="16"/>
      <c r="C4587" s="19"/>
      <c r="D4587" s="10"/>
      <c r="E4587" s="10"/>
      <c r="F4587" s="47"/>
      <c r="G4587" s="10"/>
      <c r="H4587" s="20"/>
      <c r="I4587" s="20"/>
      <c r="J4587" s="10"/>
      <c r="K4587" s="10"/>
      <c r="L4587" s="10"/>
      <c r="M4587" s="10"/>
      <c r="N4587" s="10"/>
      <c r="O4587" s="21"/>
    </row>
    <row r="4588" spans="1:15" x14ac:dyDescent="0.35">
      <c r="A4588" s="15">
        <f t="shared" si="71"/>
        <v>4586</v>
      </c>
      <c r="B4588" s="16"/>
      <c r="C4588" s="19"/>
      <c r="D4588" s="10"/>
      <c r="E4588" s="10"/>
      <c r="F4588" s="47"/>
      <c r="G4588" s="10"/>
      <c r="H4588" s="20"/>
      <c r="I4588" s="20"/>
      <c r="J4588" s="10"/>
      <c r="K4588" s="10"/>
      <c r="L4588" s="10"/>
      <c r="M4588" s="10"/>
      <c r="N4588" s="10"/>
      <c r="O4588" s="21"/>
    </row>
    <row r="4589" spans="1:15" x14ac:dyDescent="0.35">
      <c r="A4589" s="15">
        <f t="shared" si="71"/>
        <v>4587</v>
      </c>
      <c r="B4589" s="16"/>
      <c r="C4589" s="19"/>
      <c r="D4589" s="10"/>
      <c r="E4589" s="10"/>
      <c r="F4589" s="47"/>
      <c r="G4589" s="10"/>
      <c r="H4589" s="20"/>
      <c r="I4589" s="20"/>
      <c r="J4589" s="10"/>
      <c r="K4589" s="10"/>
      <c r="L4589" s="10"/>
      <c r="M4589" s="10"/>
      <c r="N4589" s="10"/>
      <c r="O4589" s="21"/>
    </row>
    <row r="4590" spans="1:15" x14ac:dyDescent="0.35">
      <c r="A4590" s="15">
        <f t="shared" si="71"/>
        <v>4588</v>
      </c>
      <c r="B4590" s="16"/>
      <c r="C4590" s="19"/>
      <c r="D4590" s="10"/>
      <c r="E4590" s="10"/>
      <c r="F4590" s="47"/>
      <c r="G4590" s="10"/>
      <c r="H4590" s="20"/>
      <c r="I4590" s="20"/>
      <c r="J4590" s="10"/>
      <c r="K4590" s="10"/>
      <c r="L4590" s="10"/>
      <c r="M4590" s="10"/>
      <c r="N4590" s="10"/>
      <c r="O4590" s="21"/>
    </row>
    <row r="4591" spans="1:15" x14ac:dyDescent="0.35">
      <c r="A4591" s="15">
        <f t="shared" si="71"/>
        <v>4589</v>
      </c>
      <c r="B4591" s="16"/>
      <c r="C4591" s="19"/>
      <c r="D4591" s="10"/>
      <c r="E4591" s="10"/>
      <c r="F4591" s="47"/>
      <c r="G4591" s="10"/>
      <c r="H4591" s="20"/>
      <c r="I4591" s="20"/>
      <c r="J4591" s="10"/>
      <c r="K4591" s="10"/>
      <c r="L4591" s="10"/>
      <c r="M4591" s="10"/>
      <c r="N4591" s="10"/>
      <c r="O4591" s="21"/>
    </row>
    <row r="4592" spans="1:15" x14ac:dyDescent="0.35">
      <c r="A4592" s="15">
        <f t="shared" si="71"/>
        <v>4590</v>
      </c>
      <c r="B4592" s="16"/>
      <c r="C4592" s="19"/>
      <c r="D4592" s="10"/>
      <c r="E4592" s="10"/>
      <c r="F4592" s="47"/>
      <c r="G4592" s="10"/>
      <c r="H4592" s="20"/>
      <c r="I4592" s="20"/>
      <c r="J4592" s="10"/>
      <c r="K4592" s="10"/>
      <c r="L4592" s="10"/>
      <c r="M4592" s="10"/>
      <c r="N4592" s="10"/>
      <c r="O4592" s="21"/>
    </row>
    <row r="4593" spans="1:15" x14ac:dyDescent="0.35">
      <c r="A4593" s="15">
        <f t="shared" si="71"/>
        <v>4591</v>
      </c>
      <c r="B4593" s="16"/>
      <c r="C4593" s="19"/>
      <c r="D4593" s="10"/>
      <c r="E4593" s="10"/>
      <c r="F4593" s="47"/>
      <c r="G4593" s="10"/>
      <c r="H4593" s="20"/>
      <c r="I4593" s="20"/>
      <c r="J4593" s="10"/>
      <c r="K4593" s="10"/>
      <c r="L4593" s="10"/>
      <c r="M4593" s="10"/>
      <c r="N4593" s="10"/>
      <c r="O4593" s="21"/>
    </row>
    <row r="4594" spans="1:15" x14ac:dyDescent="0.35">
      <c r="A4594" s="15">
        <f t="shared" si="71"/>
        <v>4592</v>
      </c>
      <c r="B4594" s="16"/>
      <c r="C4594" s="19"/>
      <c r="D4594" s="10"/>
      <c r="E4594" s="10"/>
      <c r="F4594" s="47"/>
      <c r="G4594" s="10"/>
      <c r="H4594" s="20"/>
      <c r="I4594" s="20"/>
      <c r="J4594" s="10"/>
      <c r="K4594" s="10"/>
      <c r="L4594" s="10"/>
      <c r="M4594" s="10"/>
      <c r="N4594" s="10"/>
      <c r="O4594" s="21"/>
    </row>
    <row r="4595" spans="1:15" x14ac:dyDescent="0.35">
      <c r="A4595" s="15">
        <f t="shared" si="71"/>
        <v>4593</v>
      </c>
      <c r="B4595" s="16"/>
      <c r="C4595" s="19"/>
      <c r="D4595" s="10"/>
      <c r="E4595" s="10"/>
      <c r="F4595" s="47"/>
      <c r="G4595" s="10"/>
      <c r="H4595" s="20"/>
      <c r="I4595" s="20"/>
      <c r="J4595" s="10"/>
      <c r="K4595" s="10"/>
      <c r="L4595" s="10"/>
      <c r="M4595" s="10"/>
      <c r="N4595" s="10"/>
      <c r="O4595" s="21"/>
    </row>
    <row r="4596" spans="1:15" x14ac:dyDescent="0.35">
      <c r="A4596" s="15">
        <f t="shared" si="71"/>
        <v>4594</v>
      </c>
      <c r="B4596" s="16"/>
      <c r="C4596" s="19"/>
      <c r="D4596" s="10"/>
      <c r="E4596" s="10"/>
      <c r="F4596" s="47"/>
      <c r="G4596" s="10"/>
      <c r="H4596" s="20"/>
      <c r="I4596" s="20"/>
      <c r="J4596" s="10"/>
      <c r="K4596" s="10"/>
      <c r="L4596" s="10"/>
      <c r="M4596" s="10"/>
      <c r="N4596" s="10"/>
      <c r="O4596" s="21"/>
    </row>
    <row r="4597" spans="1:15" x14ac:dyDescent="0.35">
      <c r="A4597" s="15">
        <f t="shared" si="71"/>
        <v>4595</v>
      </c>
      <c r="B4597" s="16"/>
      <c r="C4597" s="19"/>
      <c r="D4597" s="10"/>
      <c r="E4597" s="10"/>
      <c r="F4597" s="47"/>
      <c r="G4597" s="10"/>
      <c r="H4597" s="20"/>
      <c r="I4597" s="20"/>
      <c r="J4597" s="10"/>
      <c r="K4597" s="10"/>
      <c r="L4597" s="10"/>
      <c r="M4597" s="10"/>
      <c r="N4597" s="10"/>
      <c r="O4597" s="21"/>
    </row>
    <row r="4598" spans="1:15" x14ac:dyDescent="0.35">
      <c r="A4598" s="15">
        <f t="shared" si="71"/>
        <v>4596</v>
      </c>
      <c r="B4598" s="16"/>
      <c r="C4598" s="19"/>
      <c r="D4598" s="10"/>
      <c r="E4598" s="10"/>
      <c r="F4598" s="47"/>
      <c r="G4598" s="10"/>
      <c r="H4598" s="20"/>
      <c r="I4598" s="20"/>
      <c r="J4598" s="10"/>
      <c r="K4598" s="10"/>
      <c r="L4598" s="10"/>
      <c r="M4598" s="10"/>
      <c r="N4598" s="10"/>
      <c r="O4598" s="21"/>
    </row>
    <row r="4599" spans="1:15" x14ac:dyDescent="0.35">
      <c r="A4599" s="15">
        <f t="shared" si="71"/>
        <v>4597</v>
      </c>
      <c r="B4599" s="16"/>
      <c r="C4599" s="19"/>
      <c r="D4599" s="10"/>
      <c r="E4599" s="10"/>
      <c r="F4599" s="47"/>
      <c r="G4599" s="10"/>
      <c r="H4599" s="20"/>
      <c r="I4599" s="20"/>
      <c r="J4599" s="10"/>
      <c r="K4599" s="10"/>
      <c r="L4599" s="10"/>
      <c r="M4599" s="10"/>
      <c r="N4599" s="10"/>
      <c r="O4599" s="21"/>
    </row>
    <row r="4600" spans="1:15" x14ac:dyDescent="0.35">
      <c r="A4600" s="15">
        <f t="shared" si="71"/>
        <v>4598</v>
      </c>
      <c r="B4600" s="16"/>
      <c r="C4600" s="19"/>
      <c r="D4600" s="10"/>
      <c r="E4600" s="10"/>
      <c r="F4600" s="47"/>
      <c r="G4600" s="10"/>
      <c r="H4600" s="20"/>
      <c r="I4600" s="20"/>
      <c r="J4600" s="10"/>
      <c r="K4600" s="10"/>
      <c r="L4600" s="10"/>
      <c r="M4600" s="10"/>
      <c r="N4600" s="10"/>
      <c r="O4600" s="21"/>
    </row>
    <row r="4601" spans="1:15" x14ac:dyDescent="0.35">
      <c r="A4601" s="15">
        <f t="shared" si="71"/>
        <v>4599</v>
      </c>
      <c r="B4601" s="16"/>
      <c r="C4601" s="19"/>
      <c r="D4601" s="10"/>
      <c r="E4601" s="10"/>
      <c r="F4601" s="47"/>
      <c r="G4601" s="10"/>
      <c r="H4601" s="20"/>
      <c r="I4601" s="20"/>
      <c r="J4601" s="10"/>
      <c r="K4601" s="10"/>
      <c r="L4601" s="10"/>
      <c r="M4601" s="10"/>
      <c r="N4601" s="10"/>
      <c r="O4601" s="21"/>
    </row>
    <row r="4602" spans="1:15" x14ac:dyDescent="0.35">
      <c r="A4602" s="15">
        <f t="shared" si="71"/>
        <v>4600</v>
      </c>
      <c r="B4602" s="16"/>
      <c r="C4602" s="19"/>
      <c r="D4602" s="10"/>
      <c r="E4602" s="10"/>
      <c r="F4602" s="47"/>
      <c r="G4602" s="10"/>
      <c r="H4602" s="20"/>
      <c r="I4602" s="20"/>
      <c r="J4602" s="10"/>
      <c r="K4602" s="10"/>
      <c r="L4602" s="10"/>
      <c r="M4602" s="10"/>
      <c r="N4602" s="10"/>
      <c r="O4602" s="21"/>
    </row>
    <row r="4603" spans="1:15" x14ac:dyDescent="0.35">
      <c r="A4603" s="15">
        <f t="shared" si="71"/>
        <v>4601</v>
      </c>
      <c r="B4603" s="16"/>
      <c r="C4603" s="19"/>
      <c r="D4603" s="10"/>
      <c r="E4603" s="10"/>
      <c r="F4603" s="47"/>
      <c r="G4603" s="10"/>
      <c r="H4603" s="20"/>
      <c r="I4603" s="20"/>
      <c r="J4603" s="10"/>
      <c r="K4603" s="10"/>
      <c r="L4603" s="10"/>
      <c r="M4603" s="10"/>
      <c r="N4603" s="10"/>
      <c r="O4603" s="21"/>
    </row>
    <row r="4604" spans="1:15" x14ac:dyDescent="0.35">
      <c r="A4604" s="15">
        <f t="shared" si="71"/>
        <v>4602</v>
      </c>
      <c r="B4604" s="16"/>
      <c r="C4604" s="19"/>
      <c r="D4604" s="10"/>
      <c r="E4604" s="10"/>
      <c r="F4604" s="47"/>
      <c r="G4604" s="10"/>
      <c r="H4604" s="20"/>
      <c r="I4604" s="20"/>
      <c r="J4604" s="10"/>
      <c r="K4604" s="10"/>
      <c r="L4604" s="10"/>
      <c r="M4604" s="10"/>
      <c r="N4604" s="10"/>
      <c r="O4604" s="21"/>
    </row>
    <row r="4605" spans="1:15" x14ac:dyDescent="0.35">
      <c r="A4605" s="15">
        <f t="shared" si="71"/>
        <v>4603</v>
      </c>
      <c r="B4605" s="16"/>
      <c r="C4605" s="19"/>
      <c r="D4605" s="10"/>
      <c r="E4605" s="10"/>
      <c r="F4605" s="47"/>
      <c r="G4605" s="10"/>
      <c r="H4605" s="20"/>
      <c r="I4605" s="20"/>
      <c r="J4605" s="10"/>
      <c r="K4605" s="10"/>
      <c r="L4605" s="10"/>
      <c r="M4605" s="10"/>
      <c r="N4605" s="10"/>
      <c r="O4605" s="21"/>
    </row>
    <row r="4606" spans="1:15" x14ac:dyDescent="0.35">
      <c r="A4606" s="15">
        <f t="shared" si="71"/>
        <v>4604</v>
      </c>
      <c r="B4606" s="16"/>
      <c r="C4606" s="19"/>
      <c r="D4606" s="10"/>
      <c r="E4606" s="10"/>
      <c r="F4606" s="47"/>
      <c r="G4606" s="10"/>
      <c r="H4606" s="20"/>
      <c r="I4606" s="20"/>
      <c r="J4606" s="10"/>
      <c r="K4606" s="10"/>
      <c r="L4606" s="10"/>
      <c r="M4606" s="10"/>
      <c r="N4606" s="10"/>
      <c r="O4606" s="21"/>
    </row>
    <row r="4607" spans="1:15" x14ac:dyDescent="0.35">
      <c r="A4607" s="15">
        <f t="shared" si="71"/>
        <v>4605</v>
      </c>
      <c r="B4607" s="16"/>
      <c r="C4607" s="19"/>
      <c r="D4607" s="10"/>
      <c r="E4607" s="10"/>
      <c r="F4607" s="47"/>
      <c r="G4607" s="10"/>
      <c r="H4607" s="20"/>
      <c r="I4607" s="20"/>
      <c r="J4607" s="10"/>
      <c r="K4607" s="10"/>
      <c r="L4607" s="10"/>
      <c r="M4607" s="10"/>
      <c r="N4607" s="10"/>
      <c r="O4607" s="21"/>
    </row>
    <row r="4608" spans="1:15" x14ac:dyDescent="0.35">
      <c r="A4608" s="15">
        <f t="shared" si="71"/>
        <v>4606</v>
      </c>
      <c r="B4608" s="16"/>
      <c r="C4608" s="19"/>
      <c r="D4608" s="10"/>
      <c r="E4608" s="10"/>
      <c r="F4608" s="47"/>
      <c r="G4608" s="10"/>
      <c r="H4608" s="20"/>
      <c r="I4608" s="20"/>
      <c r="J4608" s="10"/>
      <c r="K4608" s="10"/>
      <c r="L4608" s="10"/>
      <c r="M4608" s="10"/>
      <c r="N4608" s="10"/>
      <c r="O4608" s="21"/>
    </row>
    <row r="4609" spans="1:15" x14ac:dyDescent="0.35">
      <c r="A4609" s="15">
        <f t="shared" si="71"/>
        <v>4607</v>
      </c>
      <c r="B4609" s="16"/>
      <c r="C4609" s="19"/>
      <c r="D4609" s="10"/>
      <c r="E4609" s="10"/>
      <c r="F4609" s="47"/>
      <c r="G4609" s="10"/>
      <c r="H4609" s="20"/>
      <c r="I4609" s="20"/>
      <c r="J4609" s="10"/>
      <c r="K4609" s="10"/>
      <c r="L4609" s="10"/>
      <c r="M4609" s="10"/>
      <c r="N4609" s="10"/>
      <c r="O4609" s="21"/>
    </row>
    <row r="4610" spans="1:15" x14ac:dyDescent="0.35">
      <c r="A4610" s="15">
        <f t="shared" si="71"/>
        <v>4608</v>
      </c>
      <c r="B4610" s="16"/>
      <c r="C4610" s="19"/>
      <c r="D4610" s="10"/>
      <c r="E4610" s="10"/>
      <c r="F4610" s="47"/>
      <c r="G4610" s="10"/>
      <c r="H4610" s="20"/>
      <c r="I4610" s="20"/>
      <c r="J4610" s="10"/>
      <c r="K4610" s="10"/>
      <c r="L4610" s="10"/>
      <c r="M4610" s="10"/>
      <c r="N4610" s="10"/>
      <c r="O4610" s="21"/>
    </row>
    <row r="4611" spans="1:15" x14ac:dyDescent="0.35">
      <c r="A4611" s="15">
        <f t="shared" si="71"/>
        <v>4609</v>
      </c>
      <c r="B4611" s="16"/>
      <c r="C4611" s="19"/>
      <c r="D4611" s="10"/>
      <c r="E4611" s="10"/>
      <c r="F4611" s="47"/>
      <c r="G4611" s="10"/>
      <c r="H4611" s="20"/>
      <c r="I4611" s="20"/>
      <c r="J4611" s="10"/>
      <c r="K4611" s="10"/>
      <c r="L4611" s="10"/>
      <c r="M4611" s="10"/>
      <c r="N4611" s="10"/>
      <c r="O4611" s="21"/>
    </row>
    <row r="4612" spans="1:15" x14ac:dyDescent="0.35">
      <c r="A4612" s="15">
        <f t="shared" si="71"/>
        <v>4610</v>
      </c>
      <c r="B4612" s="16"/>
      <c r="C4612" s="19"/>
      <c r="D4612" s="10"/>
      <c r="E4612" s="10"/>
      <c r="F4612" s="47"/>
      <c r="G4612" s="10"/>
      <c r="H4612" s="20"/>
      <c r="I4612" s="20"/>
      <c r="J4612" s="10"/>
      <c r="K4612" s="10"/>
      <c r="L4612" s="10"/>
      <c r="M4612" s="10"/>
      <c r="N4612" s="10"/>
      <c r="O4612" s="21"/>
    </row>
    <row r="4613" spans="1:15" x14ac:dyDescent="0.35">
      <c r="A4613" s="15">
        <f t="shared" si="71"/>
        <v>4611</v>
      </c>
      <c r="B4613" s="16"/>
      <c r="C4613" s="19"/>
      <c r="D4613" s="10"/>
      <c r="E4613" s="10"/>
      <c r="F4613" s="47"/>
      <c r="G4613" s="10"/>
      <c r="H4613" s="20"/>
      <c r="I4613" s="20"/>
      <c r="J4613" s="10"/>
      <c r="K4613" s="10"/>
      <c r="L4613" s="10"/>
      <c r="M4613" s="10"/>
      <c r="N4613" s="10"/>
      <c r="O4613" s="21"/>
    </row>
    <row r="4614" spans="1:15" x14ac:dyDescent="0.35">
      <c r="A4614" s="15">
        <f t="shared" si="71"/>
        <v>4612</v>
      </c>
      <c r="B4614" s="16"/>
      <c r="C4614" s="19"/>
      <c r="D4614" s="10"/>
      <c r="E4614" s="10"/>
      <c r="F4614" s="47"/>
      <c r="G4614" s="10"/>
      <c r="H4614" s="20"/>
      <c r="I4614" s="20"/>
      <c r="J4614" s="10"/>
      <c r="K4614" s="10"/>
      <c r="L4614" s="10"/>
      <c r="M4614" s="10"/>
      <c r="N4614" s="10"/>
      <c r="O4614" s="21"/>
    </row>
    <row r="4615" spans="1:15" x14ac:dyDescent="0.35">
      <c r="A4615" s="15">
        <f t="shared" si="71"/>
        <v>4613</v>
      </c>
      <c r="B4615" s="16"/>
      <c r="C4615" s="19"/>
      <c r="D4615" s="10"/>
      <c r="E4615" s="10"/>
      <c r="F4615" s="47"/>
      <c r="G4615" s="10"/>
      <c r="H4615" s="20"/>
      <c r="I4615" s="20"/>
      <c r="J4615" s="10"/>
      <c r="K4615" s="10"/>
      <c r="L4615" s="10"/>
      <c r="M4615" s="10"/>
      <c r="N4615" s="10"/>
      <c r="O4615" s="21"/>
    </row>
    <row r="4616" spans="1:15" x14ac:dyDescent="0.35">
      <c r="A4616" s="15">
        <f t="shared" si="71"/>
        <v>4614</v>
      </c>
      <c r="B4616" s="16"/>
      <c r="C4616" s="19"/>
      <c r="D4616" s="10"/>
      <c r="E4616" s="10"/>
      <c r="F4616" s="47"/>
      <c r="G4616" s="10"/>
      <c r="H4616" s="20"/>
      <c r="I4616" s="20"/>
      <c r="J4616" s="10"/>
      <c r="K4616" s="10"/>
      <c r="L4616" s="10"/>
      <c r="M4616" s="10"/>
      <c r="N4616" s="10"/>
      <c r="O4616" s="21"/>
    </row>
    <row r="4617" spans="1:15" x14ac:dyDescent="0.35">
      <c r="A4617" s="15">
        <f t="shared" si="71"/>
        <v>4615</v>
      </c>
      <c r="B4617" s="16"/>
      <c r="C4617" s="19"/>
      <c r="D4617" s="10"/>
      <c r="E4617" s="10"/>
      <c r="F4617" s="47"/>
      <c r="G4617" s="10"/>
      <c r="H4617" s="20"/>
      <c r="I4617" s="20"/>
      <c r="J4617" s="10"/>
      <c r="K4617" s="10"/>
      <c r="L4617" s="10"/>
      <c r="M4617" s="10"/>
      <c r="N4617" s="10"/>
      <c r="O4617" s="21"/>
    </row>
    <row r="4618" spans="1:15" x14ac:dyDescent="0.35">
      <c r="A4618" s="15">
        <f t="shared" si="71"/>
        <v>4616</v>
      </c>
      <c r="B4618" s="16"/>
      <c r="C4618" s="19"/>
      <c r="D4618" s="10"/>
      <c r="E4618" s="10"/>
      <c r="F4618" s="47"/>
      <c r="G4618" s="10"/>
      <c r="H4618" s="20"/>
      <c r="I4618" s="20"/>
      <c r="J4618" s="10"/>
      <c r="K4618" s="10"/>
      <c r="L4618" s="10"/>
      <c r="M4618" s="10"/>
      <c r="N4618" s="10"/>
      <c r="O4618" s="21"/>
    </row>
    <row r="4619" spans="1:15" x14ac:dyDescent="0.35">
      <c r="A4619" s="15">
        <f t="shared" ref="A4619:A4682" si="72">+A4618+1</f>
        <v>4617</v>
      </c>
      <c r="B4619" s="16"/>
      <c r="C4619" s="19"/>
      <c r="D4619" s="10"/>
      <c r="E4619" s="10"/>
      <c r="F4619" s="47"/>
      <c r="G4619" s="10"/>
      <c r="H4619" s="20"/>
      <c r="I4619" s="20"/>
      <c r="J4619" s="10"/>
      <c r="K4619" s="10"/>
      <c r="L4619" s="10"/>
      <c r="M4619" s="10"/>
      <c r="N4619" s="10"/>
      <c r="O4619" s="21"/>
    </row>
    <row r="4620" spans="1:15" x14ac:dyDescent="0.35">
      <c r="A4620" s="15">
        <f t="shared" si="72"/>
        <v>4618</v>
      </c>
      <c r="B4620" s="16"/>
      <c r="C4620" s="19"/>
      <c r="D4620" s="10"/>
      <c r="E4620" s="10"/>
      <c r="F4620" s="47"/>
      <c r="G4620" s="10"/>
      <c r="H4620" s="20"/>
      <c r="I4620" s="20"/>
      <c r="J4620" s="10"/>
      <c r="K4620" s="10"/>
      <c r="L4620" s="10"/>
      <c r="M4620" s="10"/>
      <c r="N4620" s="10"/>
      <c r="O4620" s="21"/>
    </row>
    <row r="4621" spans="1:15" x14ac:dyDescent="0.35">
      <c r="A4621" s="15">
        <f t="shared" si="72"/>
        <v>4619</v>
      </c>
      <c r="B4621" s="16"/>
      <c r="C4621" s="19"/>
      <c r="D4621" s="10"/>
      <c r="E4621" s="10"/>
      <c r="F4621" s="47"/>
      <c r="G4621" s="10"/>
      <c r="H4621" s="20"/>
      <c r="I4621" s="20"/>
      <c r="J4621" s="10"/>
      <c r="K4621" s="10"/>
      <c r="L4621" s="10"/>
      <c r="M4621" s="10"/>
      <c r="N4621" s="10"/>
      <c r="O4621" s="21"/>
    </row>
    <row r="4622" spans="1:15" x14ac:dyDescent="0.35">
      <c r="A4622" s="15">
        <f t="shared" si="72"/>
        <v>4620</v>
      </c>
      <c r="B4622" s="16"/>
      <c r="C4622" s="19"/>
      <c r="D4622" s="10"/>
      <c r="E4622" s="10"/>
      <c r="F4622" s="47"/>
      <c r="G4622" s="10"/>
      <c r="H4622" s="20"/>
      <c r="I4622" s="20"/>
      <c r="J4622" s="10"/>
      <c r="K4622" s="10"/>
      <c r="L4622" s="10"/>
      <c r="M4622" s="10"/>
      <c r="N4622" s="10"/>
      <c r="O4622" s="21"/>
    </row>
    <row r="4623" spans="1:15" x14ac:dyDescent="0.35">
      <c r="A4623" s="15">
        <f t="shared" si="72"/>
        <v>4621</v>
      </c>
      <c r="B4623" s="16"/>
      <c r="C4623" s="19"/>
      <c r="D4623" s="10"/>
      <c r="E4623" s="10"/>
      <c r="F4623" s="47"/>
      <c r="G4623" s="10"/>
      <c r="H4623" s="20"/>
      <c r="I4623" s="20"/>
      <c r="J4623" s="10"/>
      <c r="K4623" s="10"/>
      <c r="L4623" s="10"/>
      <c r="M4623" s="10"/>
      <c r="N4623" s="10"/>
      <c r="O4623" s="21"/>
    </row>
    <row r="4624" spans="1:15" x14ac:dyDescent="0.35">
      <c r="A4624" s="15">
        <f t="shared" si="72"/>
        <v>4622</v>
      </c>
      <c r="B4624" s="16"/>
      <c r="C4624" s="19"/>
      <c r="D4624" s="10"/>
      <c r="E4624" s="10"/>
      <c r="F4624" s="47"/>
      <c r="G4624" s="10"/>
      <c r="H4624" s="20"/>
      <c r="I4624" s="20"/>
      <c r="J4624" s="10"/>
      <c r="K4624" s="10"/>
      <c r="L4624" s="10"/>
      <c r="M4624" s="10"/>
      <c r="N4624" s="10"/>
      <c r="O4624" s="21"/>
    </row>
    <row r="4625" spans="1:15" x14ac:dyDescent="0.35">
      <c r="A4625" s="15">
        <f t="shared" si="72"/>
        <v>4623</v>
      </c>
      <c r="B4625" s="16"/>
      <c r="C4625" s="19"/>
      <c r="D4625" s="10"/>
      <c r="E4625" s="10"/>
      <c r="F4625" s="47"/>
      <c r="G4625" s="10"/>
      <c r="H4625" s="20"/>
      <c r="I4625" s="20"/>
      <c r="J4625" s="10"/>
      <c r="K4625" s="10"/>
      <c r="L4625" s="10"/>
      <c r="M4625" s="10"/>
      <c r="N4625" s="10"/>
      <c r="O4625" s="21"/>
    </row>
    <row r="4626" spans="1:15" x14ac:dyDescent="0.35">
      <c r="A4626" s="15">
        <f t="shared" si="72"/>
        <v>4624</v>
      </c>
      <c r="B4626" s="16"/>
      <c r="C4626" s="19"/>
      <c r="D4626" s="10"/>
      <c r="E4626" s="10"/>
      <c r="F4626" s="47"/>
      <c r="G4626" s="10"/>
      <c r="H4626" s="20"/>
      <c r="I4626" s="20"/>
      <c r="J4626" s="10"/>
      <c r="K4626" s="10"/>
      <c r="L4626" s="10"/>
      <c r="M4626" s="10"/>
      <c r="N4626" s="10"/>
      <c r="O4626" s="21"/>
    </row>
    <row r="4627" spans="1:15" x14ac:dyDescent="0.35">
      <c r="A4627" s="15">
        <f t="shared" si="72"/>
        <v>4625</v>
      </c>
      <c r="B4627" s="16"/>
      <c r="C4627" s="19"/>
      <c r="D4627" s="10"/>
      <c r="E4627" s="10"/>
      <c r="F4627" s="47"/>
      <c r="G4627" s="10"/>
      <c r="H4627" s="20"/>
      <c r="I4627" s="20"/>
      <c r="J4627" s="10"/>
      <c r="K4627" s="10"/>
      <c r="L4627" s="10"/>
      <c r="M4627" s="10"/>
      <c r="N4627" s="10"/>
      <c r="O4627" s="21"/>
    </row>
    <row r="4628" spans="1:15" x14ac:dyDescent="0.35">
      <c r="A4628" s="15">
        <f t="shared" si="72"/>
        <v>4626</v>
      </c>
      <c r="B4628" s="16"/>
      <c r="C4628" s="19"/>
      <c r="D4628" s="10"/>
      <c r="E4628" s="10"/>
      <c r="F4628" s="47"/>
      <c r="G4628" s="10"/>
      <c r="H4628" s="20"/>
      <c r="I4628" s="20"/>
      <c r="J4628" s="10"/>
      <c r="K4628" s="10"/>
      <c r="L4628" s="10"/>
      <c r="M4628" s="10"/>
      <c r="N4628" s="10"/>
      <c r="O4628" s="21"/>
    </row>
    <row r="4629" spans="1:15" x14ac:dyDescent="0.35">
      <c r="A4629" s="15">
        <f t="shared" si="72"/>
        <v>4627</v>
      </c>
      <c r="B4629" s="16"/>
      <c r="C4629" s="19"/>
      <c r="D4629" s="10"/>
      <c r="E4629" s="10"/>
      <c r="F4629" s="47"/>
      <c r="G4629" s="10"/>
      <c r="H4629" s="20"/>
      <c r="I4629" s="20"/>
      <c r="J4629" s="10"/>
      <c r="K4629" s="10"/>
      <c r="L4629" s="10"/>
      <c r="M4629" s="10"/>
      <c r="N4629" s="10"/>
      <c r="O4629" s="21"/>
    </row>
    <row r="4630" spans="1:15" x14ac:dyDescent="0.35">
      <c r="A4630" s="15">
        <f t="shared" si="72"/>
        <v>4628</v>
      </c>
      <c r="B4630" s="16"/>
      <c r="C4630" s="19"/>
      <c r="D4630" s="10"/>
      <c r="E4630" s="10"/>
      <c r="F4630" s="47"/>
      <c r="G4630" s="10"/>
      <c r="H4630" s="20"/>
      <c r="I4630" s="20"/>
      <c r="J4630" s="10"/>
      <c r="K4630" s="10"/>
      <c r="L4630" s="10"/>
      <c r="M4630" s="10"/>
      <c r="N4630" s="10"/>
      <c r="O4630" s="21"/>
    </row>
    <row r="4631" spans="1:15" x14ac:dyDescent="0.35">
      <c r="A4631" s="15">
        <f t="shared" si="72"/>
        <v>4629</v>
      </c>
      <c r="B4631" s="16"/>
      <c r="C4631" s="19"/>
      <c r="D4631" s="10"/>
      <c r="E4631" s="10"/>
      <c r="F4631" s="47"/>
      <c r="G4631" s="10"/>
      <c r="H4631" s="20"/>
      <c r="I4631" s="20"/>
      <c r="J4631" s="10"/>
      <c r="K4631" s="10"/>
      <c r="L4631" s="10"/>
      <c r="M4631" s="10"/>
      <c r="N4631" s="10"/>
      <c r="O4631" s="21"/>
    </row>
    <row r="4632" spans="1:15" x14ac:dyDescent="0.35">
      <c r="A4632" s="15">
        <f t="shared" si="72"/>
        <v>4630</v>
      </c>
      <c r="B4632" s="16"/>
      <c r="C4632" s="19"/>
      <c r="D4632" s="10"/>
      <c r="E4632" s="10"/>
      <c r="F4632" s="47"/>
      <c r="G4632" s="10"/>
      <c r="H4632" s="20"/>
      <c r="I4632" s="20"/>
      <c r="J4632" s="10"/>
      <c r="K4632" s="10"/>
      <c r="L4632" s="10"/>
      <c r="M4632" s="10"/>
      <c r="N4632" s="10"/>
      <c r="O4632" s="21"/>
    </row>
    <row r="4633" spans="1:15" x14ac:dyDescent="0.35">
      <c r="A4633" s="15">
        <f t="shared" si="72"/>
        <v>4631</v>
      </c>
      <c r="B4633" s="16"/>
      <c r="C4633" s="19"/>
      <c r="D4633" s="10"/>
      <c r="E4633" s="10"/>
      <c r="F4633" s="47"/>
      <c r="G4633" s="10"/>
      <c r="H4633" s="20"/>
      <c r="I4633" s="20"/>
      <c r="J4633" s="10"/>
      <c r="K4633" s="10"/>
      <c r="L4633" s="10"/>
      <c r="M4633" s="10"/>
      <c r="N4633" s="10"/>
      <c r="O4633" s="21"/>
    </row>
    <row r="4634" spans="1:15" x14ac:dyDescent="0.35">
      <c r="A4634" s="15">
        <f t="shared" si="72"/>
        <v>4632</v>
      </c>
      <c r="B4634" s="16"/>
      <c r="C4634" s="19"/>
      <c r="D4634" s="10"/>
      <c r="E4634" s="10"/>
      <c r="F4634" s="47"/>
      <c r="G4634" s="10"/>
      <c r="H4634" s="20"/>
      <c r="I4634" s="20"/>
      <c r="J4634" s="10"/>
      <c r="K4634" s="10"/>
      <c r="L4634" s="10"/>
      <c r="M4634" s="10"/>
      <c r="N4634" s="10"/>
      <c r="O4634" s="21"/>
    </row>
    <row r="4635" spans="1:15" x14ac:dyDescent="0.35">
      <c r="A4635" s="15">
        <f t="shared" si="72"/>
        <v>4633</v>
      </c>
      <c r="B4635" s="16"/>
      <c r="C4635" s="19"/>
      <c r="D4635" s="10"/>
      <c r="E4635" s="10"/>
      <c r="F4635" s="47"/>
      <c r="G4635" s="10"/>
      <c r="H4635" s="20"/>
      <c r="I4635" s="20"/>
      <c r="J4635" s="10"/>
      <c r="K4635" s="10"/>
      <c r="L4635" s="10"/>
      <c r="M4635" s="10"/>
      <c r="N4635" s="10"/>
      <c r="O4635" s="21"/>
    </row>
    <row r="4636" spans="1:15" x14ac:dyDescent="0.35">
      <c r="A4636" s="15">
        <f t="shared" si="72"/>
        <v>4634</v>
      </c>
      <c r="B4636" s="16"/>
      <c r="C4636" s="19"/>
      <c r="D4636" s="10"/>
      <c r="E4636" s="10"/>
      <c r="F4636" s="47"/>
      <c r="G4636" s="10"/>
      <c r="H4636" s="20"/>
      <c r="I4636" s="20"/>
      <c r="J4636" s="10"/>
      <c r="K4636" s="10"/>
      <c r="L4636" s="10"/>
      <c r="M4636" s="10"/>
      <c r="N4636" s="10"/>
      <c r="O4636" s="21"/>
    </row>
    <row r="4637" spans="1:15" x14ac:dyDescent="0.35">
      <c r="A4637" s="15">
        <f t="shared" si="72"/>
        <v>4635</v>
      </c>
      <c r="B4637" s="16"/>
      <c r="C4637" s="19"/>
      <c r="D4637" s="10"/>
      <c r="E4637" s="10"/>
      <c r="F4637" s="47"/>
      <c r="G4637" s="10"/>
      <c r="H4637" s="20"/>
      <c r="I4637" s="20"/>
      <c r="J4637" s="10"/>
      <c r="K4637" s="10"/>
      <c r="L4637" s="10"/>
      <c r="M4637" s="10"/>
      <c r="N4637" s="10"/>
      <c r="O4637" s="21"/>
    </row>
    <row r="4638" spans="1:15" x14ac:dyDescent="0.35">
      <c r="A4638" s="15">
        <f t="shared" si="72"/>
        <v>4636</v>
      </c>
      <c r="B4638" s="16"/>
      <c r="C4638" s="19"/>
      <c r="D4638" s="10"/>
      <c r="E4638" s="10"/>
      <c r="F4638" s="47"/>
      <c r="G4638" s="10"/>
      <c r="H4638" s="20"/>
      <c r="I4638" s="20"/>
      <c r="J4638" s="10"/>
      <c r="K4638" s="10"/>
      <c r="L4638" s="10"/>
      <c r="M4638" s="10"/>
      <c r="N4638" s="10"/>
      <c r="O4638" s="21"/>
    </row>
    <row r="4639" spans="1:15" x14ac:dyDescent="0.35">
      <c r="A4639" s="15">
        <f t="shared" si="72"/>
        <v>4637</v>
      </c>
      <c r="B4639" s="16"/>
      <c r="C4639" s="19"/>
      <c r="D4639" s="10"/>
      <c r="E4639" s="10"/>
      <c r="F4639" s="47"/>
      <c r="G4639" s="10"/>
      <c r="H4639" s="20"/>
      <c r="I4639" s="20"/>
      <c r="J4639" s="10"/>
      <c r="K4639" s="10"/>
      <c r="L4639" s="10"/>
      <c r="M4639" s="10"/>
      <c r="N4639" s="10"/>
      <c r="O4639" s="21"/>
    </row>
    <row r="4640" spans="1:15" x14ac:dyDescent="0.35">
      <c r="A4640" s="15">
        <f t="shared" si="72"/>
        <v>4638</v>
      </c>
      <c r="B4640" s="16"/>
      <c r="C4640" s="19"/>
      <c r="D4640" s="10"/>
      <c r="E4640" s="10"/>
      <c r="F4640" s="47"/>
      <c r="G4640" s="10"/>
      <c r="H4640" s="20"/>
      <c r="I4640" s="20"/>
      <c r="J4640" s="10"/>
      <c r="K4640" s="10"/>
      <c r="L4640" s="10"/>
      <c r="M4640" s="10"/>
      <c r="N4640" s="10"/>
      <c r="O4640" s="21"/>
    </row>
    <row r="4641" spans="1:15" x14ac:dyDescent="0.35">
      <c r="A4641" s="15">
        <f t="shared" si="72"/>
        <v>4639</v>
      </c>
      <c r="B4641" s="16"/>
      <c r="C4641" s="19"/>
      <c r="D4641" s="10"/>
      <c r="E4641" s="10"/>
      <c r="F4641" s="47"/>
      <c r="G4641" s="10"/>
      <c r="H4641" s="20"/>
      <c r="I4641" s="20"/>
      <c r="J4641" s="10"/>
      <c r="K4641" s="10"/>
      <c r="L4641" s="10"/>
      <c r="M4641" s="10"/>
      <c r="N4641" s="10"/>
      <c r="O4641" s="21"/>
    </row>
    <row r="4642" spans="1:15" x14ac:dyDescent="0.35">
      <c r="A4642" s="15">
        <f t="shared" si="72"/>
        <v>4640</v>
      </c>
      <c r="B4642" s="16"/>
      <c r="C4642" s="19"/>
      <c r="D4642" s="10"/>
      <c r="E4642" s="10"/>
      <c r="F4642" s="47"/>
      <c r="G4642" s="10"/>
      <c r="H4642" s="20"/>
      <c r="I4642" s="20"/>
      <c r="J4642" s="10"/>
      <c r="K4642" s="10"/>
      <c r="L4642" s="10"/>
      <c r="M4642" s="10"/>
      <c r="N4642" s="10"/>
      <c r="O4642" s="21"/>
    </row>
    <row r="4643" spans="1:15" x14ac:dyDescent="0.35">
      <c r="A4643" s="15">
        <f t="shared" si="72"/>
        <v>4641</v>
      </c>
      <c r="B4643" s="16"/>
      <c r="C4643" s="19"/>
      <c r="D4643" s="10"/>
      <c r="E4643" s="10"/>
      <c r="F4643" s="47"/>
      <c r="G4643" s="10"/>
      <c r="H4643" s="20"/>
      <c r="I4643" s="20"/>
      <c r="J4643" s="10"/>
      <c r="K4643" s="10"/>
      <c r="L4643" s="10"/>
      <c r="M4643" s="10"/>
      <c r="N4643" s="10"/>
      <c r="O4643" s="21"/>
    </row>
    <row r="4644" spans="1:15" x14ac:dyDescent="0.35">
      <c r="A4644" s="15">
        <f t="shared" si="72"/>
        <v>4642</v>
      </c>
      <c r="B4644" s="16"/>
      <c r="C4644" s="19"/>
      <c r="D4644" s="10"/>
      <c r="E4644" s="10"/>
      <c r="F4644" s="47"/>
      <c r="G4644" s="10"/>
      <c r="H4644" s="20"/>
      <c r="I4644" s="20"/>
      <c r="J4644" s="10"/>
      <c r="K4644" s="10"/>
      <c r="L4644" s="10"/>
      <c r="M4644" s="10"/>
      <c r="N4644" s="10"/>
      <c r="O4644" s="21"/>
    </row>
    <row r="4645" spans="1:15" x14ac:dyDescent="0.35">
      <c r="A4645" s="15">
        <f t="shared" si="72"/>
        <v>4643</v>
      </c>
      <c r="B4645" s="16"/>
      <c r="C4645" s="19"/>
      <c r="D4645" s="10"/>
      <c r="E4645" s="10"/>
      <c r="F4645" s="47"/>
      <c r="G4645" s="10"/>
      <c r="H4645" s="20"/>
      <c r="I4645" s="20"/>
      <c r="J4645" s="10"/>
      <c r="K4645" s="10"/>
      <c r="L4645" s="10"/>
      <c r="M4645" s="10"/>
      <c r="N4645" s="10"/>
      <c r="O4645" s="21"/>
    </row>
    <row r="4646" spans="1:15" x14ac:dyDescent="0.35">
      <c r="A4646" s="15">
        <f t="shared" si="72"/>
        <v>4644</v>
      </c>
      <c r="B4646" s="16"/>
      <c r="C4646" s="19"/>
      <c r="D4646" s="10"/>
      <c r="E4646" s="10"/>
      <c r="F4646" s="47"/>
      <c r="G4646" s="10"/>
      <c r="H4646" s="20"/>
      <c r="I4646" s="20"/>
      <c r="J4646" s="10"/>
      <c r="K4646" s="10"/>
      <c r="L4646" s="10"/>
      <c r="M4646" s="10"/>
      <c r="N4646" s="10"/>
      <c r="O4646" s="21"/>
    </row>
    <row r="4647" spans="1:15" x14ac:dyDescent="0.35">
      <c r="A4647" s="15">
        <f t="shared" si="72"/>
        <v>4645</v>
      </c>
      <c r="B4647" s="16"/>
      <c r="C4647" s="19"/>
      <c r="D4647" s="10"/>
      <c r="E4647" s="10"/>
      <c r="F4647" s="47"/>
      <c r="G4647" s="10"/>
      <c r="H4647" s="20"/>
      <c r="I4647" s="20"/>
      <c r="J4647" s="10"/>
      <c r="K4647" s="10"/>
      <c r="L4647" s="10"/>
      <c r="M4647" s="10"/>
      <c r="N4647" s="10"/>
      <c r="O4647" s="21"/>
    </row>
    <row r="4648" spans="1:15" x14ac:dyDescent="0.35">
      <c r="A4648" s="15">
        <f t="shared" si="72"/>
        <v>4646</v>
      </c>
      <c r="B4648" s="16"/>
      <c r="C4648" s="19"/>
      <c r="D4648" s="10"/>
      <c r="E4648" s="10"/>
      <c r="F4648" s="47"/>
      <c r="G4648" s="10"/>
      <c r="H4648" s="20"/>
      <c r="I4648" s="20"/>
      <c r="J4648" s="10"/>
      <c r="K4648" s="10"/>
      <c r="L4648" s="10"/>
      <c r="M4648" s="10"/>
      <c r="N4648" s="10"/>
      <c r="O4648" s="21"/>
    </row>
    <row r="4649" spans="1:15" x14ac:dyDescent="0.35">
      <c r="A4649" s="15">
        <f t="shared" si="72"/>
        <v>4647</v>
      </c>
      <c r="B4649" s="16"/>
      <c r="C4649" s="19"/>
      <c r="D4649" s="10"/>
      <c r="E4649" s="10"/>
      <c r="F4649" s="47"/>
      <c r="G4649" s="10"/>
      <c r="H4649" s="20"/>
      <c r="I4649" s="20"/>
      <c r="J4649" s="10"/>
      <c r="K4649" s="10"/>
      <c r="L4649" s="10"/>
      <c r="M4649" s="10"/>
      <c r="N4649" s="10"/>
      <c r="O4649" s="21"/>
    </row>
    <row r="4650" spans="1:15" x14ac:dyDescent="0.35">
      <c r="A4650" s="15">
        <f t="shared" si="72"/>
        <v>4648</v>
      </c>
      <c r="B4650" s="16"/>
      <c r="C4650" s="19"/>
      <c r="D4650" s="10"/>
      <c r="E4650" s="10"/>
      <c r="F4650" s="47"/>
      <c r="G4650" s="10"/>
      <c r="H4650" s="20"/>
      <c r="I4650" s="20"/>
      <c r="J4650" s="10"/>
      <c r="K4650" s="10"/>
      <c r="L4650" s="10"/>
      <c r="M4650" s="10"/>
      <c r="N4650" s="10"/>
      <c r="O4650" s="21"/>
    </row>
    <row r="4651" spans="1:15" x14ac:dyDescent="0.35">
      <c r="A4651" s="15">
        <f t="shared" si="72"/>
        <v>4649</v>
      </c>
      <c r="B4651" s="16"/>
      <c r="C4651" s="19"/>
      <c r="D4651" s="10"/>
      <c r="E4651" s="10"/>
      <c r="F4651" s="47"/>
      <c r="G4651" s="10"/>
      <c r="H4651" s="20"/>
      <c r="I4651" s="20"/>
      <c r="J4651" s="10"/>
      <c r="K4651" s="10"/>
      <c r="L4651" s="10"/>
      <c r="M4651" s="10"/>
      <c r="N4651" s="10"/>
      <c r="O4651" s="21"/>
    </row>
    <row r="4652" spans="1:15" x14ac:dyDescent="0.35">
      <c r="A4652" s="15">
        <f t="shared" si="72"/>
        <v>4650</v>
      </c>
      <c r="B4652" s="16"/>
      <c r="C4652" s="19"/>
      <c r="D4652" s="10"/>
      <c r="E4652" s="10"/>
      <c r="F4652" s="47"/>
      <c r="G4652" s="10"/>
      <c r="H4652" s="20"/>
      <c r="I4652" s="20"/>
      <c r="J4652" s="10"/>
      <c r="K4652" s="10"/>
      <c r="L4652" s="10"/>
      <c r="M4652" s="10"/>
      <c r="N4652" s="10"/>
      <c r="O4652" s="21"/>
    </row>
    <row r="4653" spans="1:15" x14ac:dyDescent="0.35">
      <c r="A4653" s="15">
        <f t="shared" si="72"/>
        <v>4651</v>
      </c>
      <c r="B4653" s="16"/>
      <c r="C4653" s="19"/>
      <c r="D4653" s="10"/>
      <c r="E4653" s="10"/>
      <c r="F4653" s="47"/>
      <c r="G4653" s="10"/>
      <c r="H4653" s="20"/>
      <c r="I4653" s="20"/>
      <c r="J4653" s="10"/>
      <c r="K4653" s="10"/>
      <c r="L4653" s="10"/>
      <c r="M4653" s="10"/>
      <c r="N4653" s="10"/>
      <c r="O4653" s="21"/>
    </row>
    <row r="4654" spans="1:15" x14ac:dyDescent="0.35">
      <c r="A4654" s="15">
        <f t="shared" si="72"/>
        <v>4652</v>
      </c>
      <c r="B4654" s="16"/>
      <c r="C4654" s="19"/>
      <c r="D4654" s="10"/>
      <c r="E4654" s="10"/>
      <c r="F4654" s="47"/>
      <c r="G4654" s="10"/>
      <c r="H4654" s="20"/>
      <c r="I4654" s="20"/>
      <c r="J4654" s="10"/>
      <c r="K4654" s="10"/>
      <c r="L4654" s="10"/>
      <c r="M4654" s="10"/>
      <c r="N4654" s="10"/>
      <c r="O4654" s="21"/>
    </row>
    <row r="4655" spans="1:15" x14ac:dyDescent="0.35">
      <c r="A4655" s="15">
        <f t="shared" si="72"/>
        <v>4653</v>
      </c>
      <c r="B4655" s="16"/>
      <c r="C4655" s="19"/>
      <c r="D4655" s="10"/>
      <c r="E4655" s="10"/>
      <c r="F4655" s="47"/>
      <c r="G4655" s="10"/>
      <c r="H4655" s="20"/>
      <c r="I4655" s="20"/>
      <c r="J4655" s="10"/>
      <c r="K4655" s="10"/>
      <c r="L4655" s="10"/>
      <c r="M4655" s="10"/>
      <c r="N4655" s="10"/>
      <c r="O4655" s="21"/>
    </row>
    <row r="4656" spans="1:15" x14ac:dyDescent="0.35">
      <c r="A4656" s="15">
        <f t="shared" si="72"/>
        <v>4654</v>
      </c>
      <c r="B4656" s="16"/>
      <c r="C4656" s="19"/>
      <c r="D4656" s="10"/>
      <c r="E4656" s="10"/>
      <c r="F4656" s="47"/>
      <c r="G4656" s="10"/>
      <c r="H4656" s="20"/>
      <c r="I4656" s="20"/>
      <c r="J4656" s="10"/>
      <c r="K4656" s="10"/>
      <c r="L4656" s="10"/>
      <c r="M4656" s="10"/>
      <c r="N4656" s="10"/>
      <c r="O4656" s="21"/>
    </row>
    <row r="4657" spans="1:15" x14ac:dyDescent="0.35">
      <c r="A4657" s="15">
        <f t="shared" si="72"/>
        <v>4655</v>
      </c>
      <c r="B4657" s="16"/>
      <c r="C4657" s="19"/>
      <c r="D4657" s="10"/>
      <c r="E4657" s="10"/>
      <c r="F4657" s="47"/>
      <c r="G4657" s="10"/>
      <c r="H4657" s="20"/>
      <c r="I4657" s="20"/>
      <c r="J4657" s="10"/>
      <c r="K4657" s="10"/>
      <c r="L4657" s="10"/>
      <c r="M4657" s="10"/>
      <c r="N4657" s="10"/>
      <c r="O4657" s="21"/>
    </row>
    <row r="4658" spans="1:15" x14ac:dyDescent="0.35">
      <c r="A4658" s="15">
        <f t="shared" si="72"/>
        <v>4656</v>
      </c>
      <c r="B4658" s="16"/>
      <c r="C4658" s="19"/>
      <c r="D4658" s="10"/>
      <c r="E4658" s="10"/>
      <c r="F4658" s="47"/>
      <c r="G4658" s="10"/>
      <c r="H4658" s="20"/>
      <c r="I4658" s="20"/>
      <c r="J4658" s="10"/>
      <c r="K4658" s="10"/>
      <c r="L4658" s="10"/>
      <c r="M4658" s="10"/>
      <c r="N4658" s="10"/>
      <c r="O4658" s="21"/>
    </row>
    <row r="4659" spans="1:15" x14ac:dyDescent="0.35">
      <c r="A4659" s="15">
        <f t="shared" si="72"/>
        <v>4657</v>
      </c>
      <c r="B4659" s="16"/>
      <c r="C4659" s="19"/>
      <c r="D4659" s="10"/>
      <c r="E4659" s="10"/>
      <c r="F4659" s="47"/>
      <c r="G4659" s="10"/>
      <c r="H4659" s="20"/>
      <c r="I4659" s="20"/>
      <c r="J4659" s="10"/>
      <c r="K4659" s="10"/>
      <c r="L4659" s="10"/>
      <c r="M4659" s="10"/>
      <c r="N4659" s="10"/>
      <c r="O4659" s="21"/>
    </row>
    <row r="4660" spans="1:15" x14ac:dyDescent="0.35">
      <c r="A4660" s="15">
        <f t="shared" si="72"/>
        <v>4658</v>
      </c>
      <c r="B4660" s="16"/>
      <c r="C4660" s="19"/>
      <c r="D4660" s="10"/>
      <c r="E4660" s="10"/>
      <c r="F4660" s="47"/>
      <c r="G4660" s="10"/>
      <c r="H4660" s="20"/>
      <c r="I4660" s="20"/>
      <c r="J4660" s="10"/>
      <c r="K4660" s="10"/>
      <c r="L4660" s="10"/>
      <c r="M4660" s="10"/>
      <c r="N4660" s="10"/>
      <c r="O4660" s="21"/>
    </row>
    <row r="4661" spans="1:15" x14ac:dyDescent="0.35">
      <c r="A4661" s="15">
        <f t="shared" si="72"/>
        <v>4659</v>
      </c>
      <c r="B4661" s="16"/>
      <c r="C4661" s="19"/>
      <c r="D4661" s="10"/>
      <c r="E4661" s="10"/>
      <c r="F4661" s="47"/>
      <c r="G4661" s="10"/>
      <c r="H4661" s="20"/>
      <c r="I4661" s="20"/>
      <c r="J4661" s="10"/>
      <c r="K4661" s="10"/>
      <c r="L4661" s="10"/>
      <c r="M4661" s="10"/>
      <c r="N4661" s="10"/>
      <c r="O4661" s="21"/>
    </row>
    <row r="4662" spans="1:15" x14ac:dyDescent="0.35">
      <c r="A4662" s="15">
        <f t="shared" si="72"/>
        <v>4660</v>
      </c>
      <c r="B4662" s="16"/>
      <c r="C4662" s="19"/>
      <c r="D4662" s="10"/>
      <c r="E4662" s="10"/>
      <c r="F4662" s="47"/>
      <c r="G4662" s="10"/>
      <c r="H4662" s="20"/>
      <c r="I4662" s="20"/>
      <c r="J4662" s="10"/>
      <c r="K4662" s="10"/>
      <c r="L4662" s="10"/>
      <c r="M4662" s="10"/>
      <c r="N4662" s="10"/>
      <c r="O4662" s="21"/>
    </row>
    <row r="4663" spans="1:15" x14ac:dyDescent="0.35">
      <c r="A4663" s="15">
        <f t="shared" si="72"/>
        <v>4661</v>
      </c>
      <c r="B4663" s="16"/>
      <c r="C4663" s="19"/>
      <c r="D4663" s="10"/>
      <c r="E4663" s="10"/>
      <c r="F4663" s="47"/>
      <c r="G4663" s="10"/>
      <c r="H4663" s="20"/>
      <c r="I4663" s="20"/>
      <c r="J4663" s="10"/>
      <c r="K4663" s="10"/>
      <c r="L4663" s="10"/>
      <c r="M4663" s="10"/>
      <c r="N4663" s="10"/>
      <c r="O4663" s="21"/>
    </row>
    <row r="4664" spans="1:15" x14ac:dyDescent="0.35">
      <c r="A4664" s="15">
        <f t="shared" si="72"/>
        <v>4662</v>
      </c>
      <c r="B4664" s="16"/>
      <c r="C4664" s="19"/>
      <c r="D4664" s="10"/>
      <c r="E4664" s="10"/>
      <c r="F4664" s="47"/>
      <c r="G4664" s="10"/>
      <c r="H4664" s="20"/>
      <c r="I4664" s="20"/>
      <c r="J4664" s="10"/>
      <c r="K4664" s="10"/>
      <c r="L4664" s="10"/>
      <c r="M4664" s="10"/>
      <c r="N4664" s="10"/>
      <c r="O4664" s="21"/>
    </row>
    <row r="4665" spans="1:15" x14ac:dyDescent="0.35">
      <c r="A4665" s="15">
        <f t="shared" si="72"/>
        <v>4663</v>
      </c>
      <c r="B4665" s="16"/>
      <c r="C4665" s="19"/>
      <c r="D4665" s="10"/>
      <c r="E4665" s="10"/>
      <c r="F4665" s="47"/>
      <c r="G4665" s="10"/>
      <c r="H4665" s="20"/>
      <c r="I4665" s="20"/>
      <c r="J4665" s="10"/>
      <c r="K4665" s="10"/>
      <c r="L4665" s="10"/>
      <c r="M4665" s="10"/>
      <c r="N4665" s="10"/>
      <c r="O4665" s="21"/>
    </row>
    <row r="4666" spans="1:15" x14ac:dyDescent="0.35">
      <c r="A4666" s="15">
        <f t="shared" si="72"/>
        <v>4664</v>
      </c>
      <c r="B4666" s="16"/>
      <c r="C4666" s="19"/>
      <c r="D4666" s="10"/>
      <c r="E4666" s="10"/>
      <c r="F4666" s="47"/>
      <c r="G4666" s="10"/>
      <c r="H4666" s="20"/>
      <c r="I4666" s="20"/>
      <c r="J4666" s="10"/>
      <c r="K4666" s="10"/>
      <c r="L4666" s="10"/>
      <c r="M4666" s="10"/>
      <c r="N4666" s="10"/>
      <c r="O4666" s="21"/>
    </row>
    <row r="4667" spans="1:15" x14ac:dyDescent="0.35">
      <c r="A4667" s="15">
        <f t="shared" si="72"/>
        <v>4665</v>
      </c>
      <c r="B4667" s="16"/>
      <c r="C4667" s="19"/>
      <c r="D4667" s="10"/>
      <c r="E4667" s="10"/>
      <c r="F4667" s="47"/>
      <c r="G4667" s="10"/>
      <c r="H4667" s="20"/>
      <c r="I4667" s="20"/>
      <c r="J4667" s="10"/>
      <c r="K4667" s="10"/>
      <c r="L4667" s="10"/>
      <c r="M4667" s="10"/>
      <c r="N4667" s="10"/>
      <c r="O4667" s="21"/>
    </row>
    <row r="4668" spans="1:15" x14ac:dyDescent="0.35">
      <c r="A4668" s="15">
        <f t="shared" si="72"/>
        <v>4666</v>
      </c>
      <c r="B4668" s="16"/>
      <c r="C4668" s="19"/>
      <c r="D4668" s="10"/>
      <c r="E4668" s="10"/>
      <c r="F4668" s="47"/>
      <c r="G4668" s="10"/>
      <c r="H4668" s="20"/>
      <c r="I4668" s="20"/>
      <c r="J4668" s="10"/>
      <c r="K4668" s="10"/>
      <c r="L4668" s="10"/>
      <c r="M4668" s="10"/>
      <c r="N4668" s="10"/>
      <c r="O4668" s="21"/>
    </row>
    <row r="4669" spans="1:15" x14ac:dyDescent="0.35">
      <c r="A4669" s="15">
        <f t="shared" si="72"/>
        <v>4667</v>
      </c>
      <c r="B4669" s="16"/>
      <c r="C4669" s="19"/>
      <c r="D4669" s="10"/>
      <c r="E4669" s="10"/>
      <c r="F4669" s="47"/>
      <c r="G4669" s="10"/>
      <c r="H4669" s="20"/>
      <c r="I4669" s="20"/>
      <c r="J4669" s="10"/>
      <c r="K4669" s="10"/>
      <c r="L4669" s="10"/>
      <c r="M4669" s="10"/>
      <c r="N4669" s="10"/>
      <c r="O4669" s="21"/>
    </row>
    <row r="4670" spans="1:15" x14ac:dyDescent="0.35">
      <c r="A4670" s="15">
        <f t="shared" si="72"/>
        <v>4668</v>
      </c>
      <c r="B4670" s="16"/>
      <c r="C4670" s="19"/>
      <c r="D4670" s="10"/>
      <c r="E4670" s="10"/>
      <c r="F4670" s="47"/>
      <c r="G4670" s="10"/>
      <c r="H4670" s="20"/>
      <c r="I4670" s="20"/>
      <c r="J4670" s="10"/>
      <c r="K4670" s="10"/>
      <c r="L4670" s="10"/>
      <c r="M4670" s="10"/>
      <c r="N4670" s="10"/>
      <c r="O4670" s="21"/>
    </row>
    <row r="4671" spans="1:15" x14ac:dyDescent="0.35">
      <c r="A4671" s="15">
        <f t="shared" si="72"/>
        <v>4669</v>
      </c>
      <c r="B4671" s="16"/>
      <c r="C4671" s="19"/>
      <c r="D4671" s="10"/>
      <c r="E4671" s="10"/>
      <c r="F4671" s="47"/>
      <c r="G4671" s="10"/>
      <c r="H4671" s="20"/>
      <c r="I4671" s="20"/>
      <c r="J4671" s="10"/>
      <c r="K4671" s="10"/>
      <c r="L4671" s="10"/>
      <c r="M4671" s="10"/>
      <c r="N4671" s="10"/>
      <c r="O4671" s="21"/>
    </row>
    <row r="4672" spans="1:15" x14ac:dyDescent="0.35">
      <c r="A4672" s="15">
        <f t="shared" si="72"/>
        <v>4670</v>
      </c>
      <c r="B4672" s="16"/>
      <c r="C4672" s="19"/>
      <c r="D4672" s="10"/>
      <c r="E4672" s="10"/>
      <c r="F4672" s="47"/>
      <c r="G4672" s="10"/>
      <c r="H4672" s="20"/>
      <c r="I4672" s="20"/>
      <c r="J4672" s="10"/>
      <c r="K4672" s="10"/>
      <c r="L4672" s="10"/>
      <c r="M4672" s="10"/>
      <c r="N4672" s="10"/>
      <c r="O4672" s="21"/>
    </row>
    <row r="4673" spans="1:15" x14ac:dyDescent="0.35">
      <c r="A4673" s="15">
        <f t="shared" si="72"/>
        <v>4671</v>
      </c>
      <c r="B4673" s="16"/>
      <c r="C4673" s="19"/>
      <c r="D4673" s="10"/>
      <c r="E4673" s="10"/>
      <c r="F4673" s="47"/>
      <c r="G4673" s="10"/>
      <c r="H4673" s="20"/>
      <c r="I4673" s="20"/>
      <c r="J4673" s="10"/>
      <c r="K4673" s="10"/>
      <c r="L4673" s="10"/>
      <c r="M4673" s="10"/>
      <c r="N4673" s="10"/>
      <c r="O4673" s="21"/>
    </row>
    <row r="4674" spans="1:15" x14ac:dyDescent="0.35">
      <c r="A4674" s="15">
        <f t="shared" si="72"/>
        <v>4672</v>
      </c>
      <c r="B4674" s="16"/>
      <c r="C4674" s="19"/>
      <c r="D4674" s="10"/>
      <c r="E4674" s="10"/>
      <c r="F4674" s="47"/>
      <c r="G4674" s="10"/>
      <c r="H4674" s="20"/>
      <c r="I4674" s="20"/>
      <c r="J4674" s="10"/>
      <c r="K4674" s="10"/>
      <c r="L4674" s="10"/>
      <c r="M4674" s="10"/>
      <c r="N4674" s="10"/>
      <c r="O4674" s="21"/>
    </row>
    <row r="4675" spans="1:15" x14ac:dyDescent="0.35">
      <c r="A4675" s="15">
        <f t="shared" si="72"/>
        <v>4673</v>
      </c>
      <c r="B4675" s="16"/>
      <c r="C4675" s="19"/>
      <c r="D4675" s="10"/>
      <c r="E4675" s="10"/>
      <c r="F4675" s="47"/>
      <c r="G4675" s="10"/>
      <c r="H4675" s="20"/>
      <c r="I4675" s="20"/>
      <c r="J4675" s="10"/>
      <c r="K4675" s="10"/>
      <c r="L4675" s="10"/>
      <c r="M4675" s="10"/>
      <c r="N4675" s="10"/>
      <c r="O4675" s="21"/>
    </row>
    <row r="4676" spans="1:15" x14ac:dyDescent="0.35">
      <c r="A4676" s="15">
        <f t="shared" si="72"/>
        <v>4674</v>
      </c>
      <c r="B4676" s="16"/>
      <c r="C4676" s="19"/>
      <c r="D4676" s="10"/>
      <c r="E4676" s="10"/>
      <c r="F4676" s="47"/>
      <c r="G4676" s="10"/>
      <c r="H4676" s="20"/>
      <c r="I4676" s="20"/>
      <c r="J4676" s="10"/>
      <c r="K4676" s="10"/>
      <c r="L4676" s="10"/>
      <c r="M4676" s="10"/>
      <c r="N4676" s="10"/>
      <c r="O4676" s="21"/>
    </row>
    <row r="4677" spans="1:15" x14ac:dyDescent="0.35">
      <c r="A4677" s="15">
        <f t="shared" si="72"/>
        <v>4675</v>
      </c>
      <c r="B4677" s="16"/>
      <c r="C4677" s="19"/>
      <c r="D4677" s="10"/>
      <c r="E4677" s="10"/>
      <c r="F4677" s="47"/>
      <c r="G4677" s="10"/>
      <c r="H4677" s="20"/>
      <c r="I4677" s="20"/>
      <c r="J4677" s="10"/>
      <c r="K4677" s="10"/>
      <c r="L4677" s="10"/>
      <c r="M4677" s="10"/>
      <c r="N4677" s="10"/>
      <c r="O4677" s="21"/>
    </row>
    <row r="4678" spans="1:15" x14ac:dyDescent="0.35">
      <c r="A4678" s="15">
        <f t="shared" si="72"/>
        <v>4676</v>
      </c>
      <c r="B4678" s="16"/>
      <c r="C4678" s="19"/>
      <c r="D4678" s="10"/>
      <c r="E4678" s="10"/>
      <c r="F4678" s="47"/>
      <c r="G4678" s="10"/>
      <c r="H4678" s="20"/>
      <c r="I4678" s="20"/>
      <c r="J4678" s="10"/>
      <c r="K4678" s="10"/>
      <c r="L4678" s="10"/>
      <c r="M4678" s="10"/>
      <c r="N4678" s="10"/>
      <c r="O4678" s="21"/>
    </row>
    <row r="4679" spans="1:15" x14ac:dyDescent="0.35">
      <c r="A4679" s="15">
        <f t="shared" si="72"/>
        <v>4677</v>
      </c>
      <c r="B4679" s="16"/>
      <c r="C4679" s="19"/>
      <c r="D4679" s="10"/>
      <c r="E4679" s="10"/>
      <c r="F4679" s="47"/>
      <c r="G4679" s="10"/>
      <c r="H4679" s="20"/>
      <c r="I4679" s="20"/>
      <c r="J4679" s="10"/>
      <c r="K4679" s="10"/>
      <c r="L4679" s="10"/>
      <c r="M4679" s="10"/>
      <c r="N4679" s="10"/>
      <c r="O4679" s="21"/>
    </row>
    <row r="4680" spans="1:15" x14ac:dyDescent="0.35">
      <c r="A4680" s="15">
        <f t="shared" si="72"/>
        <v>4678</v>
      </c>
      <c r="B4680" s="16"/>
      <c r="C4680" s="19"/>
      <c r="D4680" s="10"/>
      <c r="E4680" s="10"/>
      <c r="F4680" s="47"/>
      <c r="G4680" s="10"/>
      <c r="H4680" s="20"/>
      <c r="I4680" s="20"/>
      <c r="J4680" s="10"/>
      <c r="K4680" s="10"/>
      <c r="L4680" s="10"/>
      <c r="M4680" s="10"/>
      <c r="N4680" s="10"/>
      <c r="O4680" s="21"/>
    </row>
    <row r="4681" spans="1:15" x14ac:dyDescent="0.35">
      <c r="A4681" s="15">
        <f t="shared" si="72"/>
        <v>4679</v>
      </c>
      <c r="B4681" s="16"/>
      <c r="C4681" s="19"/>
      <c r="D4681" s="10"/>
      <c r="E4681" s="10"/>
      <c r="F4681" s="47"/>
      <c r="G4681" s="10"/>
      <c r="H4681" s="20"/>
      <c r="I4681" s="20"/>
      <c r="J4681" s="10"/>
      <c r="K4681" s="10"/>
      <c r="L4681" s="10"/>
      <c r="M4681" s="10"/>
      <c r="N4681" s="10"/>
      <c r="O4681" s="21"/>
    </row>
    <row r="4682" spans="1:15" x14ac:dyDescent="0.35">
      <c r="A4682" s="15">
        <f t="shared" si="72"/>
        <v>4680</v>
      </c>
      <c r="B4682" s="16"/>
      <c r="C4682" s="19"/>
      <c r="D4682" s="10"/>
      <c r="E4682" s="10"/>
      <c r="F4682" s="47"/>
      <c r="G4682" s="10"/>
      <c r="H4682" s="20"/>
      <c r="I4682" s="20"/>
      <c r="J4682" s="10"/>
      <c r="K4682" s="10"/>
      <c r="L4682" s="10"/>
      <c r="M4682" s="10"/>
      <c r="N4682" s="10"/>
      <c r="O4682" s="21"/>
    </row>
    <row r="4683" spans="1:15" x14ac:dyDescent="0.35">
      <c r="A4683" s="15">
        <f t="shared" ref="A4683:A4746" si="73">+A4682+1</f>
        <v>4681</v>
      </c>
      <c r="B4683" s="16"/>
      <c r="C4683" s="19"/>
      <c r="D4683" s="10"/>
      <c r="E4683" s="10"/>
      <c r="F4683" s="47"/>
      <c r="G4683" s="10"/>
      <c r="H4683" s="20"/>
      <c r="I4683" s="20"/>
      <c r="J4683" s="10"/>
      <c r="K4683" s="10"/>
      <c r="L4683" s="10"/>
      <c r="M4683" s="10"/>
      <c r="N4683" s="10"/>
      <c r="O4683" s="21"/>
    </row>
    <row r="4684" spans="1:15" x14ac:dyDescent="0.35">
      <c r="A4684" s="15">
        <f t="shared" si="73"/>
        <v>4682</v>
      </c>
      <c r="B4684" s="16"/>
      <c r="C4684" s="19"/>
      <c r="D4684" s="10"/>
      <c r="E4684" s="10"/>
      <c r="F4684" s="47"/>
      <c r="G4684" s="10"/>
      <c r="H4684" s="20"/>
      <c r="I4684" s="20"/>
      <c r="J4684" s="10"/>
      <c r="K4684" s="10"/>
      <c r="L4684" s="10"/>
      <c r="M4684" s="10"/>
      <c r="N4684" s="10"/>
      <c r="O4684" s="21"/>
    </row>
    <row r="4685" spans="1:15" x14ac:dyDescent="0.35">
      <c r="A4685" s="15">
        <f t="shared" si="73"/>
        <v>4683</v>
      </c>
      <c r="B4685" s="16"/>
      <c r="C4685" s="19"/>
      <c r="D4685" s="10"/>
      <c r="E4685" s="10"/>
      <c r="F4685" s="47"/>
      <c r="G4685" s="10"/>
      <c r="H4685" s="20"/>
      <c r="I4685" s="20"/>
      <c r="J4685" s="10"/>
      <c r="K4685" s="10"/>
      <c r="L4685" s="10"/>
      <c r="M4685" s="10"/>
      <c r="N4685" s="10"/>
      <c r="O4685" s="21"/>
    </row>
    <row r="4686" spans="1:15" x14ac:dyDescent="0.35">
      <c r="A4686" s="15">
        <f t="shared" si="73"/>
        <v>4684</v>
      </c>
      <c r="B4686" s="16"/>
      <c r="C4686" s="19"/>
      <c r="D4686" s="10"/>
      <c r="E4686" s="10"/>
      <c r="F4686" s="47"/>
      <c r="G4686" s="10"/>
      <c r="H4686" s="20"/>
      <c r="I4686" s="20"/>
      <c r="J4686" s="10"/>
      <c r="K4686" s="10"/>
      <c r="L4686" s="10"/>
      <c r="M4686" s="10"/>
      <c r="N4686" s="10"/>
      <c r="O4686" s="21"/>
    </row>
    <row r="4687" spans="1:15" x14ac:dyDescent="0.35">
      <c r="A4687" s="15">
        <f t="shared" si="73"/>
        <v>4685</v>
      </c>
      <c r="B4687" s="16"/>
      <c r="C4687" s="19"/>
      <c r="D4687" s="10"/>
      <c r="E4687" s="10"/>
      <c r="F4687" s="47"/>
      <c r="G4687" s="10"/>
      <c r="H4687" s="20"/>
      <c r="I4687" s="20"/>
      <c r="J4687" s="10"/>
      <c r="K4687" s="10"/>
      <c r="L4687" s="10"/>
      <c r="M4687" s="10"/>
      <c r="N4687" s="10"/>
      <c r="O4687" s="21"/>
    </row>
    <row r="4688" spans="1:15" x14ac:dyDescent="0.35">
      <c r="A4688" s="15">
        <f t="shared" si="73"/>
        <v>4686</v>
      </c>
      <c r="B4688" s="16"/>
      <c r="C4688" s="19"/>
      <c r="D4688" s="10"/>
      <c r="E4688" s="10"/>
      <c r="F4688" s="47"/>
      <c r="G4688" s="10"/>
      <c r="H4688" s="20"/>
      <c r="I4688" s="20"/>
      <c r="J4688" s="10"/>
      <c r="K4688" s="10"/>
      <c r="L4688" s="10"/>
      <c r="M4688" s="10"/>
      <c r="N4688" s="10"/>
      <c r="O4688" s="21"/>
    </row>
    <row r="4689" spans="1:15" x14ac:dyDescent="0.35">
      <c r="A4689" s="15">
        <f t="shared" si="73"/>
        <v>4687</v>
      </c>
      <c r="B4689" s="16"/>
      <c r="C4689" s="19"/>
      <c r="D4689" s="10"/>
      <c r="E4689" s="10"/>
      <c r="F4689" s="47"/>
      <c r="G4689" s="10"/>
      <c r="H4689" s="20"/>
      <c r="I4689" s="20"/>
      <c r="J4689" s="10"/>
      <c r="K4689" s="10"/>
      <c r="L4689" s="10"/>
      <c r="M4689" s="10"/>
      <c r="N4689" s="10"/>
      <c r="O4689" s="21"/>
    </row>
    <row r="4690" spans="1:15" x14ac:dyDescent="0.35">
      <c r="A4690" s="15">
        <f t="shared" si="73"/>
        <v>4688</v>
      </c>
      <c r="B4690" s="16"/>
      <c r="C4690" s="19"/>
      <c r="D4690" s="10"/>
      <c r="E4690" s="10"/>
      <c r="F4690" s="47"/>
      <c r="G4690" s="10"/>
      <c r="H4690" s="20"/>
      <c r="I4690" s="20"/>
      <c r="J4690" s="10"/>
      <c r="K4690" s="10"/>
      <c r="L4690" s="10"/>
      <c r="M4690" s="10"/>
      <c r="N4690" s="10"/>
      <c r="O4690" s="21"/>
    </row>
    <row r="4691" spans="1:15" x14ac:dyDescent="0.35">
      <c r="A4691" s="15">
        <f t="shared" si="73"/>
        <v>4689</v>
      </c>
      <c r="B4691" s="16"/>
      <c r="C4691" s="19"/>
      <c r="D4691" s="10"/>
      <c r="E4691" s="10"/>
      <c r="F4691" s="47"/>
      <c r="G4691" s="10"/>
      <c r="H4691" s="20"/>
      <c r="I4691" s="20"/>
      <c r="J4691" s="10"/>
      <c r="K4691" s="10"/>
      <c r="L4691" s="10"/>
      <c r="M4691" s="10"/>
      <c r="N4691" s="10"/>
      <c r="O4691" s="21"/>
    </row>
    <row r="4692" spans="1:15" x14ac:dyDescent="0.35">
      <c r="A4692" s="15">
        <f t="shared" si="73"/>
        <v>4690</v>
      </c>
      <c r="B4692" s="16"/>
      <c r="C4692" s="19"/>
      <c r="D4692" s="10"/>
      <c r="E4692" s="10"/>
      <c r="F4692" s="47"/>
      <c r="G4692" s="10"/>
      <c r="H4692" s="20"/>
      <c r="I4692" s="20"/>
      <c r="J4692" s="10"/>
      <c r="K4692" s="10"/>
      <c r="L4692" s="10"/>
      <c r="M4692" s="10"/>
      <c r="N4692" s="10"/>
      <c r="O4692" s="21"/>
    </row>
    <row r="4693" spans="1:15" x14ac:dyDescent="0.35">
      <c r="A4693" s="15">
        <f t="shared" si="73"/>
        <v>4691</v>
      </c>
      <c r="B4693" s="16"/>
      <c r="C4693" s="19"/>
      <c r="D4693" s="10"/>
      <c r="E4693" s="10"/>
      <c r="F4693" s="47"/>
      <c r="G4693" s="10"/>
      <c r="H4693" s="20"/>
      <c r="I4693" s="20"/>
      <c r="J4693" s="10"/>
      <c r="K4693" s="10"/>
      <c r="L4693" s="10"/>
      <c r="M4693" s="10"/>
      <c r="N4693" s="10"/>
      <c r="O4693" s="21"/>
    </row>
    <row r="4694" spans="1:15" x14ac:dyDescent="0.35">
      <c r="A4694" s="15">
        <f t="shared" si="73"/>
        <v>4692</v>
      </c>
      <c r="B4694" s="16"/>
      <c r="C4694" s="19"/>
      <c r="D4694" s="10"/>
      <c r="E4694" s="10"/>
      <c r="F4694" s="47"/>
      <c r="G4694" s="10"/>
      <c r="H4694" s="20"/>
      <c r="I4694" s="20"/>
      <c r="J4694" s="10"/>
      <c r="K4694" s="10"/>
      <c r="L4694" s="10"/>
      <c r="M4694" s="10"/>
      <c r="N4694" s="10"/>
      <c r="O4694" s="21"/>
    </row>
    <row r="4695" spans="1:15" x14ac:dyDescent="0.35">
      <c r="A4695" s="15">
        <f t="shared" si="73"/>
        <v>4693</v>
      </c>
      <c r="B4695" s="16"/>
      <c r="C4695" s="19"/>
      <c r="D4695" s="10"/>
      <c r="E4695" s="10"/>
      <c r="F4695" s="47"/>
      <c r="G4695" s="10"/>
      <c r="H4695" s="20"/>
      <c r="I4695" s="20"/>
      <c r="J4695" s="10"/>
      <c r="K4695" s="10"/>
      <c r="L4695" s="10"/>
      <c r="M4695" s="10"/>
      <c r="N4695" s="10"/>
      <c r="O4695" s="21"/>
    </row>
    <row r="4696" spans="1:15" x14ac:dyDescent="0.35">
      <c r="A4696" s="15">
        <f t="shared" si="73"/>
        <v>4694</v>
      </c>
      <c r="B4696" s="16"/>
      <c r="C4696" s="19"/>
      <c r="D4696" s="10"/>
      <c r="E4696" s="10"/>
      <c r="F4696" s="47"/>
      <c r="G4696" s="10"/>
      <c r="H4696" s="20"/>
      <c r="I4696" s="20"/>
      <c r="J4696" s="10"/>
      <c r="K4696" s="10"/>
      <c r="L4696" s="10"/>
      <c r="M4696" s="10"/>
      <c r="N4696" s="10"/>
      <c r="O4696" s="21"/>
    </row>
    <row r="4697" spans="1:15" x14ac:dyDescent="0.35">
      <c r="A4697" s="15">
        <f t="shared" si="73"/>
        <v>4695</v>
      </c>
      <c r="B4697" s="16"/>
      <c r="C4697" s="19"/>
      <c r="D4697" s="10"/>
      <c r="E4697" s="10"/>
      <c r="F4697" s="47"/>
      <c r="G4697" s="10"/>
      <c r="H4697" s="20"/>
      <c r="I4697" s="20"/>
      <c r="J4697" s="10"/>
      <c r="K4697" s="10"/>
      <c r="L4697" s="10"/>
      <c r="M4697" s="10"/>
      <c r="N4697" s="10"/>
      <c r="O4697" s="21"/>
    </row>
    <row r="4698" spans="1:15" x14ac:dyDescent="0.35">
      <c r="A4698" s="15">
        <f t="shared" si="73"/>
        <v>4696</v>
      </c>
      <c r="B4698" s="16"/>
      <c r="C4698" s="19"/>
      <c r="D4698" s="10"/>
      <c r="E4698" s="10"/>
      <c r="F4698" s="47"/>
      <c r="G4698" s="10"/>
      <c r="H4698" s="20"/>
      <c r="I4698" s="20"/>
      <c r="J4698" s="10"/>
      <c r="K4698" s="10"/>
      <c r="L4698" s="10"/>
      <c r="M4698" s="10"/>
      <c r="N4698" s="10"/>
      <c r="O4698" s="21"/>
    </row>
    <row r="4699" spans="1:15" x14ac:dyDescent="0.35">
      <c r="A4699" s="15">
        <f t="shared" si="73"/>
        <v>4697</v>
      </c>
      <c r="B4699" s="16"/>
      <c r="C4699" s="19"/>
      <c r="D4699" s="10"/>
      <c r="E4699" s="10"/>
      <c r="F4699" s="47"/>
      <c r="G4699" s="10"/>
      <c r="H4699" s="20"/>
      <c r="I4699" s="20"/>
      <c r="J4699" s="10"/>
      <c r="K4699" s="10"/>
      <c r="L4699" s="10"/>
      <c r="M4699" s="10"/>
      <c r="N4699" s="10"/>
      <c r="O4699" s="21"/>
    </row>
    <row r="4700" spans="1:15" x14ac:dyDescent="0.35">
      <c r="A4700" s="15">
        <f t="shared" si="73"/>
        <v>4698</v>
      </c>
      <c r="B4700" s="16"/>
      <c r="C4700" s="19"/>
      <c r="D4700" s="10"/>
      <c r="E4700" s="10"/>
      <c r="F4700" s="47"/>
      <c r="G4700" s="10"/>
      <c r="H4700" s="20"/>
      <c r="I4700" s="20"/>
      <c r="J4700" s="10"/>
      <c r="K4700" s="10"/>
      <c r="L4700" s="10"/>
      <c r="M4700" s="10"/>
      <c r="N4700" s="10"/>
      <c r="O4700" s="21"/>
    </row>
    <row r="4701" spans="1:15" x14ac:dyDescent="0.35">
      <c r="A4701" s="15">
        <f t="shared" si="73"/>
        <v>4699</v>
      </c>
      <c r="B4701" s="16"/>
      <c r="C4701" s="19"/>
      <c r="D4701" s="10"/>
      <c r="E4701" s="10"/>
      <c r="F4701" s="47"/>
      <c r="G4701" s="10"/>
      <c r="H4701" s="20"/>
      <c r="I4701" s="20"/>
      <c r="J4701" s="10"/>
      <c r="K4701" s="10"/>
      <c r="L4701" s="10"/>
      <c r="M4701" s="10"/>
      <c r="N4701" s="10"/>
      <c r="O4701" s="21"/>
    </row>
    <row r="4702" spans="1:15" x14ac:dyDescent="0.35">
      <c r="A4702" s="15">
        <f t="shared" si="73"/>
        <v>4700</v>
      </c>
      <c r="B4702" s="16"/>
      <c r="C4702" s="19"/>
      <c r="D4702" s="10"/>
      <c r="E4702" s="10"/>
      <c r="F4702" s="47"/>
      <c r="G4702" s="10"/>
      <c r="H4702" s="20"/>
      <c r="I4702" s="20"/>
      <c r="J4702" s="10"/>
      <c r="K4702" s="10"/>
      <c r="L4702" s="10"/>
      <c r="M4702" s="10"/>
      <c r="N4702" s="10"/>
      <c r="O4702" s="21"/>
    </row>
    <row r="4703" spans="1:15" x14ac:dyDescent="0.35">
      <c r="A4703" s="15">
        <f t="shared" si="73"/>
        <v>4701</v>
      </c>
      <c r="B4703" s="16"/>
      <c r="C4703" s="19"/>
      <c r="D4703" s="10"/>
      <c r="E4703" s="10"/>
      <c r="F4703" s="47"/>
      <c r="G4703" s="10"/>
      <c r="H4703" s="20"/>
      <c r="I4703" s="20"/>
      <c r="J4703" s="10"/>
      <c r="K4703" s="10"/>
      <c r="L4703" s="10"/>
      <c r="M4703" s="10"/>
      <c r="N4703" s="10"/>
      <c r="O4703" s="21"/>
    </row>
    <row r="4704" spans="1:15" x14ac:dyDescent="0.35">
      <c r="A4704" s="15">
        <f t="shared" si="73"/>
        <v>4702</v>
      </c>
      <c r="B4704" s="16"/>
      <c r="C4704" s="19"/>
      <c r="D4704" s="10"/>
      <c r="E4704" s="10"/>
      <c r="F4704" s="47"/>
      <c r="G4704" s="10"/>
      <c r="H4704" s="20"/>
      <c r="I4704" s="20"/>
      <c r="J4704" s="10"/>
      <c r="K4704" s="10"/>
      <c r="L4704" s="10"/>
      <c r="M4704" s="10"/>
      <c r="N4704" s="10"/>
      <c r="O4704" s="21"/>
    </row>
    <row r="4705" spans="1:15" x14ac:dyDescent="0.35">
      <c r="A4705" s="15">
        <f t="shared" si="73"/>
        <v>4703</v>
      </c>
      <c r="B4705" s="16"/>
      <c r="C4705" s="19"/>
      <c r="D4705" s="10"/>
      <c r="E4705" s="10"/>
      <c r="F4705" s="47"/>
      <c r="G4705" s="10"/>
      <c r="H4705" s="20"/>
      <c r="I4705" s="20"/>
      <c r="J4705" s="10"/>
      <c r="K4705" s="10"/>
      <c r="L4705" s="10"/>
      <c r="M4705" s="10"/>
      <c r="N4705" s="10"/>
      <c r="O4705" s="21"/>
    </row>
    <row r="4706" spans="1:15" x14ac:dyDescent="0.35">
      <c r="A4706" s="15">
        <f t="shared" si="73"/>
        <v>4704</v>
      </c>
      <c r="B4706" s="16"/>
      <c r="C4706" s="19"/>
      <c r="D4706" s="10"/>
      <c r="E4706" s="10"/>
      <c r="F4706" s="47"/>
      <c r="G4706" s="10"/>
      <c r="H4706" s="20"/>
      <c r="I4706" s="20"/>
      <c r="J4706" s="10"/>
      <c r="K4706" s="10"/>
      <c r="L4706" s="10"/>
      <c r="M4706" s="10"/>
      <c r="N4706" s="10"/>
      <c r="O4706" s="21"/>
    </row>
    <row r="4707" spans="1:15" x14ac:dyDescent="0.35">
      <c r="A4707" s="15">
        <f t="shared" si="73"/>
        <v>4705</v>
      </c>
      <c r="B4707" s="16"/>
      <c r="C4707" s="19"/>
      <c r="D4707" s="10"/>
      <c r="E4707" s="10"/>
      <c r="F4707" s="47"/>
      <c r="G4707" s="10"/>
      <c r="H4707" s="20"/>
      <c r="I4707" s="20"/>
      <c r="J4707" s="10"/>
      <c r="K4707" s="10"/>
      <c r="L4707" s="10"/>
      <c r="M4707" s="10"/>
      <c r="N4707" s="10"/>
      <c r="O4707" s="21"/>
    </row>
    <row r="4708" spans="1:15" x14ac:dyDescent="0.35">
      <c r="A4708" s="15">
        <f t="shared" si="73"/>
        <v>4706</v>
      </c>
      <c r="B4708" s="16"/>
      <c r="C4708" s="19"/>
      <c r="D4708" s="10"/>
      <c r="E4708" s="10"/>
      <c r="F4708" s="47"/>
      <c r="G4708" s="10"/>
      <c r="H4708" s="20"/>
      <c r="I4708" s="20"/>
      <c r="J4708" s="10"/>
      <c r="K4708" s="10"/>
      <c r="L4708" s="10"/>
      <c r="M4708" s="10"/>
      <c r="N4708" s="10"/>
      <c r="O4708" s="21"/>
    </row>
    <row r="4709" spans="1:15" x14ac:dyDescent="0.35">
      <c r="A4709" s="15">
        <f t="shared" si="73"/>
        <v>4707</v>
      </c>
      <c r="B4709" s="16"/>
      <c r="C4709" s="19"/>
      <c r="D4709" s="10"/>
      <c r="E4709" s="10"/>
      <c r="F4709" s="47"/>
      <c r="G4709" s="10"/>
      <c r="H4709" s="20"/>
      <c r="I4709" s="20"/>
      <c r="J4709" s="10"/>
      <c r="K4709" s="10"/>
      <c r="L4709" s="10"/>
      <c r="M4709" s="10"/>
      <c r="N4709" s="10"/>
      <c r="O4709" s="21"/>
    </row>
    <row r="4710" spans="1:15" x14ac:dyDescent="0.35">
      <c r="A4710" s="15">
        <f t="shared" si="73"/>
        <v>4708</v>
      </c>
      <c r="B4710" s="16"/>
      <c r="C4710" s="19"/>
      <c r="D4710" s="10"/>
      <c r="E4710" s="10"/>
      <c r="F4710" s="47"/>
      <c r="G4710" s="10"/>
      <c r="H4710" s="20"/>
      <c r="I4710" s="20"/>
      <c r="J4710" s="10"/>
      <c r="K4710" s="10"/>
      <c r="L4710" s="10"/>
      <c r="M4710" s="10"/>
      <c r="N4710" s="10"/>
      <c r="O4710" s="21"/>
    </row>
    <row r="4711" spans="1:15" x14ac:dyDescent="0.35">
      <c r="A4711" s="15">
        <f t="shared" si="73"/>
        <v>4709</v>
      </c>
      <c r="B4711" s="16"/>
      <c r="C4711" s="19"/>
      <c r="D4711" s="10"/>
      <c r="E4711" s="10"/>
      <c r="F4711" s="47"/>
      <c r="G4711" s="10"/>
      <c r="H4711" s="20"/>
      <c r="I4711" s="20"/>
      <c r="J4711" s="10"/>
      <c r="K4711" s="10"/>
      <c r="L4711" s="10"/>
      <c r="M4711" s="10"/>
      <c r="N4711" s="10"/>
      <c r="O4711" s="21"/>
    </row>
    <row r="4712" spans="1:15" x14ac:dyDescent="0.35">
      <c r="A4712" s="15">
        <f t="shared" si="73"/>
        <v>4710</v>
      </c>
      <c r="B4712" s="16"/>
      <c r="C4712" s="19"/>
      <c r="D4712" s="10"/>
      <c r="E4712" s="10"/>
      <c r="F4712" s="47"/>
      <c r="G4712" s="10"/>
      <c r="H4712" s="20"/>
      <c r="I4712" s="20"/>
      <c r="J4712" s="10"/>
      <c r="K4712" s="10"/>
      <c r="L4712" s="10"/>
      <c r="M4712" s="10"/>
      <c r="N4712" s="10"/>
      <c r="O4712" s="21"/>
    </row>
    <row r="4713" spans="1:15" x14ac:dyDescent="0.35">
      <c r="A4713" s="15">
        <f t="shared" si="73"/>
        <v>4711</v>
      </c>
      <c r="B4713" s="16"/>
      <c r="C4713" s="19"/>
      <c r="D4713" s="10"/>
      <c r="E4713" s="10"/>
      <c r="F4713" s="47"/>
      <c r="G4713" s="10"/>
      <c r="H4713" s="20"/>
      <c r="I4713" s="20"/>
      <c r="J4713" s="10"/>
      <c r="K4713" s="10"/>
      <c r="L4713" s="10"/>
      <c r="M4713" s="10"/>
      <c r="N4713" s="10"/>
      <c r="O4713" s="21"/>
    </row>
    <row r="4714" spans="1:15" x14ac:dyDescent="0.35">
      <c r="A4714" s="15">
        <f t="shared" si="73"/>
        <v>4712</v>
      </c>
      <c r="B4714" s="16"/>
      <c r="C4714" s="19"/>
      <c r="D4714" s="10"/>
      <c r="E4714" s="10"/>
      <c r="F4714" s="47"/>
      <c r="G4714" s="10"/>
      <c r="H4714" s="20"/>
      <c r="I4714" s="20"/>
      <c r="J4714" s="10"/>
      <c r="K4714" s="10"/>
      <c r="L4714" s="10"/>
      <c r="M4714" s="10"/>
      <c r="N4714" s="10"/>
      <c r="O4714" s="21"/>
    </row>
    <row r="4715" spans="1:15" x14ac:dyDescent="0.35">
      <c r="A4715" s="15">
        <f t="shared" si="73"/>
        <v>4713</v>
      </c>
      <c r="B4715" s="16"/>
      <c r="C4715" s="19"/>
      <c r="D4715" s="10"/>
      <c r="E4715" s="10"/>
      <c r="F4715" s="47"/>
      <c r="G4715" s="10"/>
      <c r="H4715" s="20"/>
      <c r="I4715" s="20"/>
      <c r="J4715" s="10"/>
      <c r="K4715" s="10"/>
      <c r="L4715" s="10"/>
      <c r="M4715" s="10"/>
      <c r="N4715" s="10"/>
      <c r="O4715" s="21"/>
    </row>
    <row r="4716" spans="1:15" x14ac:dyDescent="0.35">
      <c r="A4716" s="15">
        <f t="shared" si="73"/>
        <v>4714</v>
      </c>
      <c r="B4716" s="16"/>
      <c r="C4716" s="19"/>
      <c r="D4716" s="10"/>
      <c r="E4716" s="10"/>
      <c r="F4716" s="47"/>
      <c r="G4716" s="10"/>
      <c r="H4716" s="20"/>
      <c r="I4716" s="20"/>
      <c r="J4716" s="10"/>
      <c r="K4716" s="10"/>
      <c r="L4716" s="10"/>
      <c r="M4716" s="10"/>
      <c r="N4716" s="10"/>
      <c r="O4716" s="21"/>
    </row>
    <row r="4717" spans="1:15" x14ac:dyDescent="0.35">
      <c r="A4717" s="15">
        <f t="shared" si="73"/>
        <v>4715</v>
      </c>
      <c r="B4717" s="16"/>
      <c r="C4717" s="19"/>
      <c r="D4717" s="10"/>
      <c r="E4717" s="10"/>
      <c r="F4717" s="47"/>
      <c r="G4717" s="10"/>
      <c r="H4717" s="20"/>
      <c r="I4717" s="20"/>
      <c r="J4717" s="10"/>
      <c r="K4717" s="10"/>
      <c r="L4717" s="10"/>
      <c r="M4717" s="10"/>
      <c r="N4717" s="10"/>
      <c r="O4717" s="21"/>
    </row>
    <row r="4718" spans="1:15" x14ac:dyDescent="0.35">
      <c r="A4718" s="15">
        <f t="shared" si="73"/>
        <v>4716</v>
      </c>
      <c r="B4718" s="16"/>
      <c r="C4718" s="19"/>
      <c r="D4718" s="10"/>
      <c r="E4718" s="10"/>
      <c r="F4718" s="47"/>
      <c r="G4718" s="10"/>
      <c r="H4718" s="20"/>
      <c r="I4718" s="20"/>
      <c r="J4718" s="10"/>
      <c r="K4718" s="10"/>
      <c r="L4718" s="10"/>
      <c r="M4718" s="10"/>
      <c r="N4718" s="10"/>
      <c r="O4718" s="21"/>
    </row>
    <row r="4719" spans="1:15" x14ac:dyDescent="0.35">
      <c r="A4719" s="15">
        <f t="shared" si="73"/>
        <v>4717</v>
      </c>
      <c r="B4719" s="16"/>
      <c r="C4719" s="19"/>
      <c r="D4719" s="10"/>
      <c r="E4719" s="10"/>
      <c r="F4719" s="47"/>
      <c r="G4719" s="10"/>
      <c r="H4719" s="20"/>
      <c r="I4719" s="20"/>
      <c r="J4719" s="10"/>
      <c r="K4719" s="10"/>
      <c r="L4719" s="10"/>
      <c r="M4719" s="10"/>
      <c r="N4719" s="10"/>
      <c r="O4719" s="21"/>
    </row>
    <row r="4720" spans="1:15" x14ac:dyDescent="0.35">
      <c r="A4720" s="15">
        <f t="shared" si="73"/>
        <v>4718</v>
      </c>
      <c r="B4720" s="16"/>
      <c r="C4720" s="19"/>
      <c r="D4720" s="10"/>
      <c r="E4720" s="10"/>
      <c r="F4720" s="47"/>
      <c r="G4720" s="10"/>
      <c r="H4720" s="20"/>
      <c r="I4720" s="20"/>
      <c r="J4720" s="10"/>
      <c r="K4720" s="10"/>
      <c r="L4720" s="10"/>
      <c r="M4720" s="10"/>
      <c r="N4720" s="10"/>
      <c r="O4720" s="21"/>
    </row>
    <row r="4721" spans="1:15" x14ac:dyDescent="0.35">
      <c r="A4721" s="15">
        <f t="shared" si="73"/>
        <v>4719</v>
      </c>
      <c r="B4721" s="16"/>
      <c r="C4721" s="19"/>
      <c r="D4721" s="10"/>
      <c r="E4721" s="10"/>
      <c r="F4721" s="47"/>
      <c r="G4721" s="10"/>
      <c r="H4721" s="20"/>
      <c r="I4721" s="20"/>
      <c r="J4721" s="10"/>
      <c r="K4721" s="10"/>
      <c r="L4721" s="10"/>
      <c r="M4721" s="10"/>
      <c r="N4721" s="10"/>
      <c r="O4721" s="21"/>
    </row>
    <row r="4722" spans="1:15" x14ac:dyDescent="0.35">
      <c r="A4722" s="15">
        <f t="shared" si="73"/>
        <v>4720</v>
      </c>
      <c r="B4722" s="16"/>
      <c r="C4722" s="19"/>
      <c r="D4722" s="10"/>
      <c r="E4722" s="10"/>
      <c r="F4722" s="47"/>
      <c r="G4722" s="10"/>
      <c r="H4722" s="20"/>
      <c r="I4722" s="20"/>
      <c r="J4722" s="10"/>
      <c r="K4722" s="10"/>
      <c r="L4722" s="10"/>
      <c r="M4722" s="10"/>
      <c r="N4722" s="10"/>
      <c r="O4722" s="21"/>
    </row>
    <row r="4723" spans="1:15" x14ac:dyDescent="0.35">
      <c r="A4723" s="15">
        <f t="shared" si="73"/>
        <v>4721</v>
      </c>
      <c r="B4723" s="16"/>
      <c r="C4723" s="19"/>
      <c r="D4723" s="10"/>
      <c r="E4723" s="10"/>
      <c r="F4723" s="47"/>
      <c r="G4723" s="10"/>
      <c r="H4723" s="20"/>
      <c r="I4723" s="20"/>
      <c r="J4723" s="10"/>
      <c r="K4723" s="10"/>
      <c r="L4723" s="10"/>
      <c r="M4723" s="10"/>
      <c r="N4723" s="10"/>
      <c r="O4723" s="21"/>
    </row>
    <row r="4724" spans="1:15" x14ac:dyDescent="0.35">
      <c r="A4724" s="15">
        <f t="shared" si="73"/>
        <v>4722</v>
      </c>
      <c r="B4724" s="16"/>
      <c r="C4724" s="19"/>
      <c r="D4724" s="10"/>
      <c r="E4724" s="10"/>
      <c r="F4724" s="47"/>
      <c r="G4724" s="10"/>
      <c r="H4724" s="20"/>
      <c r="I4724" s="20"/>
      <c r="J4724" s="10"/>
      <c r="K4724" s="10"/>
      <c r="L4724" s="10"/>
      <c r="M4724" s="10"/>
      <c r="N4724" s="10"/>
      <c r="O4724" s="21"/>
    </row>
    <row r="4725" spans="1:15" x14ac:dyDescent="0.35">
      <c r="A4725" s="15">
        <f t="shared" si="73"/>
        <v>4723</v>
      </c>
      <c r="B4725" s="16"/>
      <c r="C4725" s="19"/>
      <c r="D4725" s="10"/>
      <c r="E4725" s="10"/>
      <c r="F4725" s="47"/>
      <c r="G4725" s="10"/>
      <c r="H4725" s="20"/>
      <c r="I4725" s="20"/>
      <c r="J4725" s="10"/>
      <c r="K4725" s="10"/>
      <c r="L4725" s="10"/>
      <c r="M4725" s="10"/>
      <c r="N4725" s="10"/>
      <c r="O4725" s="21"/>
    </row>
    <row r="4726" spans="1:15" x14ac:dyDescent="0.35">
      <c r="A4726" s="15">
        <f t="shared" si="73"/>
        <v>4724</v>
      </c>
      <c r="B4726" s="16"/>
      <c r="C4726" s="19"/>
      <c r="D4726" s="10"/>
      <c r="E4726" s="10"/>
      <c r="F4726" s="47"/>
      <c r="G4726" s="10"/>
      <c r="H4726" s="20"/>
      <c r="I4726" s="20"/>
      <c r="J4726" s="10"/>
      <c r="K4726" s="10"/>
      <c r="L4726" s="10"/>
      <c r="M4726" s="10"/>
      <c r="N4726" s="10"/>
      <c r="O4726" s="21"/>
    </row>
    <row r="4727" spans="1:15" x14ac:dyDescent="0.35">
      <c r="A4727" s="15">
        <f t="shared" si="73"/>
        <v>4725</v>
      </c>
      <c r="B4727" s="16"/>
      <c r="C4727" s="19"/>
      <c r="D4727" s="10"/>
      <c r="E4727" s="10"/>
      <c r="F4727" s="47"/>
      <c r="G4727" s="10"/>
      <c r="H4727" s="20"/>
      <c r="I4727" s="20"/>
      <c r="J4727" s="10"/>
      <c r="K4727" s="10"/>
      <c r="L4727" s="10"/>
      <c r="M4727" s="10"/>
      <c r="N4727" s="10"/>
      <c r="O4727" s="21"/>
    </row>
    <row r="4728" spans="1:15" x14ac:dyDescent="0.35">
      <c r="A4728" s="15">
        <f t="shared" si="73"/>
        <v>4726</v>
      </c>
      <c r="B4728" s="16"/>
      <c r="C4728" s="19"/>
      <c r="D4728" s="10"/>
      <c r="E4728" s="10"/>
      <c r="F4728" s="47"/>
      <c r="G4728" s="10"/>
      <c r="H4728" s="20"/>
      <c r="I4728" s="20"/>
      <c r="J4728" s="10"/>
      <c r="K4728" s="10"/>
      <c r="L4728" s="10"/>
      <c r="M4728" s="10"/>
      <c r="N4728" s="10"/>
      <c r="O4728" s="21"/>
    </row>
    <row r="4729" spans="1:15" x14ac:dyDescent="0.35">
      <c r="A4729" s="15">
        <f t="shared" si="73"/>
        <v>4727</v>
      </c>
      <c r="B4729" s="16"/>
      <c r="C4729" s="19"/>
      <c r="D4729" s="10"/>
      <c r="E4729" s="10"/>
      <c r="F4729" s="47"/>
      <c r="G4729" s="10"/>
      <c r="H4729" s="20"/>
      <c r="I4729" s="20"/>
      <c r="J4729" s="10"/>
      <c r="K4729" s="10"/>
      <c r="L4729" s="10"/>
      <c r="M4729" s="10"/>
      <c r="N4729" s="10"/>
      <c r="O4729" s="21"/>
    </row>
    <row r="4730" spans="1:15" x14ac:dyDescent="0.35">
      <c r="A4730" s="15">
        <f t="shared" si="73"/>
        <v>4728</v>
      </c>
      <c r="B4730" s="16"/>
      <c r="C4730" s="19"/>
      <c r="D4730" s="10"/>
      <c r="E4730" s="10"/>
      <c r="F4730" s="47"/>
      <c r="G4730" s="10"/>
      <c r="H4730" s="20"/>
      <c r="I4730" s="20"/>
      <c r="J4730" s="10"/>
      <c r="K4730" s="10"/>
      <c r="L4730" s="10"/>
      <c r="M4730" s="10"/>
      <c r="N4730" s="10"/>
      <c r="O4730" s="21"/>
    </row>
    <row r="4731" spans="1:15" x14ac:dyDescent="0.35">
      <c r="A4731" s="15">
        <f t="shared" si="73"/>
        <v>4729</v>
      </c>
      <c r="B4731" s="16"/>
      <c r="C4731" s="19"/>
      <c r="D4731" s="10"/>
      <c r="E4731" s="10"/>
      <c r="F4731" s="47"/>
      <c r="G4731" s="10"/>
      <c r="H4731" s="20"/>
      <c r="I4731" s="20"/>
      <c r="J4731" s="10"/>
      <c r="K4731" s="10"/>
      <c r="L4731" s="10"/>
      <c r="M4731" s="10"/>
      <c r="N4731" s="10"/>
      <c r="O4731" s="21"/>
    </row>
    <row r="4732" spans="1:15" x14ac:dyDescent="0.35">
      <c r="A4732" s="15">
        <f t="shared" si="73"/>
        <v>4730</v>
      </c>
      <c r="B4732" s="16"/>
      <c r="C4732" s="19"/>
      <c r="D4732" s="10"/>
      <c r="E4732" s="10"/>
      <c r="F4732" s="47"/>
      <c r="G4732" s="10"/>
      <c r="H4732" s="20"/>
      <c r="I4732" s="20"/>
      <c r="J4732" s="10"/>
      <c r="K4732" s="10"/>
      <c r="L4732" s="10"/>
      <c r="M4732" s="10"/>
      <c r="N4732" s="10"/>
      <c r="O4732" s="21"/>
    </row>
    <row r="4733" spans="1:15" x14ac:dyDescent="0.35">
      <c r="A4733" s="15">
        <f t="shared" si="73"/>
        <v>4731</v>
      </c>
      <c r="B4733" s="16"/>
      <c r="C4733" s="19"/>
      <c r="D4733" s="10"/>
      <c r="E4733" s="10"/>
      <c r="F4733" s="47"/>
      <c r="G4733" s="10"/>
      <c r="H4733" s="20"/>
      <c r="I4733" s="20"/>
      <c r="J4733" s="10"/>
      <c r="K4733" s="10"/>
      <c r="L4733" s="10"/>
      <c r="M4733" s="10"/>
      <c r="N4733" s="10"/>
      <c r="O4733" s="21"/>
    </row>
    <row r="4734" spans="1:15" x14ac:dyDescent="0.35">
      <c r="A4734" s="15">
        <f t="shared" si="73"/>
        <v>4732</v>
      </c>
      <c r="B4734" s="16"/>
      <c r="C4734" s="19"/>
      <c r="D4734" s="10"/>
      <c r="E4734" s="10"/>
      <c r="F4734" s="47"/>
      <c r="G4734" s="10"/>
      <c r="H4734" s="20"/>
      <c r="I4734" s="20"/>
      <c r="J4734" s="10"/>
      <c r="K4734" s="10"/>
      <c r="L4734" s="10"/>
      <c r="M4734" s="10"/>
      <c r="N4734" s="10"/>
      <c r="O4734" s="21"/>
    </row>
    <row r="4735" spans="1:15" x14ac:dyDescent="0.35">
      <c r="A4735" s="15">
        <f t="shared" si="73"/>
        <v>4733</v>
      </c>
      <c r="B4735" s="16"/>
      <c r="C4735" s="19"/>
      <c r="D4735" s="10"/>
      <c r="E4735" s="10"/>
      <c r="F4735" s="47"/>
      <c r="G4735" s="10"/>
      <c r="H4735" s="20"/>
      <c r="I4735" s="20"/>
      <c r="J4735" s="10"/>
      <c r="K4735" s="10"/>
      <c r="L4735" s="10"/>
      <c r="M4735" s="10"/>
      <c r="N4735" s="10"/>
      <c r="O4735" s="21"/>
    </row>
    <row r="4736" spans="1:15" x14ac:dyDescent="0.35">
      <c r="A4736" s="15">
        <f t="shared" si="73"/>
        <v>4734</v>
      </c>
      <c r="B4736" s="16"/>
      <c r="C4736" s="19"/>
      <c r="D4736" s="10"/>
      <c r="E4736" s="10"/>
      <c r="F4736" s="47"/>
      <c r="G4736" s="10"/>
      <c r="H4736" s="20"/>
      <c r="I4736" s="20"/>
      <c r="J4736" s="10"/>
      <c r="K4736" s="10"/>
      <c r="L4736" s="10"/>
      <c r="M4736" s="10"/>
      <c r="N4736" s="10"/>
      <c r="O4736" s="21"/>
    </row>
    <row r="4737" spans="1:15" x14ac:dyDescent="0.35">
      <c r="A4737" s="15">
        <f t="shared" si="73"/>
        <v>4735</v>
      </c>
      <c r="B4737" s="16"/>
      <c r="C4737" s="19"/>
      <c r="D4737" s="10"/>
      <c r="E4737" s="10"/>
      <c r="F4737" s="47"/>
      <c r="G4737" s="10"/>
      <c r="H4737" s="20"/>
      <c r="I4737" s="20"/>
      <c r="J4737" s="10"/>
      <c r="K4737" s="10"/>
      <c r="L4737" s="10"/>
      <c r="M4737" s="10"/>
      <c r="N4737" s="10"/>
      <c r="O4737" s="21"/>
    </row>
    <row r="4738" spans="1:15" x14ac:dyDescent="0.35">
      <c r="A4738" s="15">
        <f t="shared" si="73"/>
        <v>4736</v>
      </c>
      <c r="B4738" s="16"/>
      <c r="C4738" s="19"/>
      <c r="D4738" s="10"/>
      <c r="E4738" s="10"/>
      <c r="F4738" s="47"/>
      <c r="G4738" s="10"/>
      <c r="H4738" s="20"/>
      <c r="I4738" s="20"/>
      <c r="J4738" s="10"/>
      <c r="K4738" s="10"/>
      <c r="L4738" s="10"/>
      <c r="M4738" s="10"/>
      <c r="N4738" s="10"/>
      <c r="O4738" s="21"/>
    </row>
    <row r="4739" spans="1:15" x14ac:dyDescent="0.35">
      <c r="A4739" s="15">
        <f t="shared" si="73"/>
        <v>4737</v>
      </c>
      <c r="B4739" s="16"/>
      <c r="C4739" s="19"/>
      <c r="D4739" s="10"/>
      <c r="E4739" s="10"/>
      <c r="F4739" s="47"/>
      <c r="G4739" s="10"/>
      <c r="H4739" s="20"/>
      <c r="I4739" s="20"/>
      <c r="J4739" s="10"/>
      <c r="K4739" s="10"/>
      <c r="L4739" s="10"/>
      <c r="M4739" s="10"/>
      <c r="N4739" s="10"/>
      <c r="O4739" s="21"/>
    </row>
    <row r="4740" spans="1:15" x14ac:dyDescent="0.35">
      <c r="A4740" s="15">
        <f t="shared" si="73"/>
        <v>4738</v>
      </c>
      <c r="B4740" s="16"/>
      <c r="C4740" s="19"/>
      <c r="D4740" s="10"/>
      <c r="E4740" s="10"/>
      <c r="F4740" s="47"/>
      <c r="G4740" s="10"/>
      <c r="H4740" s="20"/>
      <c r="I4740" s="20"/>
      <c r="J4740" s="10"/>
      <c r="K4740" s="10"/>
      <c r="L4740" s="10"/>
      <c r="M4740" s="10"/>
      <c r="N4740" s="10"/>
      <c r="O4740" s="21"/>
    </row>
    <row r="4741" spans="1:15" x14ac:dyDescent="0.35">
      <c r="A4741" s="15">
        <f t="shared" si="73"/>
        <v>4739</v>
      </c>
      <c r="B4741" s="16"/>
      <c r="C4741" s="19"/>
      <c r="D4741" s="10"/>
      <c r="E4741" s="10"/>
      <c r="F4741" s="47"/>
      <c r="G4741" s="10"/>
      <c r="H4741" s="20"/>
      <c r="I4741" s="20"/>
      <c r="J4741" s="10"/>
      <c r="K4741" s="10"/>
      <c r="L4741" s="10"/>
      <c r="M4741" s="10"/>
      <c r="N4741" s="10"/>
      <c r="O4741" s="21"/>
    </row>
    <row r="4742" spans="1:15" x14ac:dyDescent="0.35">
      <c r="A4742" s="15">
        <f t="shared" si="73"/>
        <v>4740</v>
      </c>
      <c r="B4742" s="16"/>
      <c r="C4742" s="19"/>
      <c r="D4742" s="10"/>
      <c r="E4742" s="10"/>
      <c r="F4742" s="47"/>
      <c r="G4742" s="10"/>
      <c r="H4742" s="20"/>
      <c r="I4742" s="20"/>
      <c r="J4742" s="10"/>
      <c r="K4742" s="10"/>
      <c r="L4742" s="10"/>
      <c r="M4742" s="10"/>
      <c r="N4742" s="10"/>
      <c r="O4742" s="21"/>
    </row>
    <row r="4743" spans="1:15" x14ac:dyDescent="0.35">
      <c r="A4743" s="15">
        <f t="shared" si="73"/>
        <v>4741</v>
      </c>
      <c r="B4743" s="16"/>
      <c r="C4743" s="19"/>
      <c r="D4743" s="10"/>
      <c r="E4743" s="10"/>
      <c r="F4743" s="47"/>
      <c r="G4743" s="10"/>
      <c r="H4743" s="20"/>
      <c r="I4743" s="20"/>
      <c r="J4743" s="10"/>
      <c r="K4743" s="10"/>
      <c r="L4743" s="10"/>
      <c r="M4743" s="10"/>
      <c r="N4743" s="10"/>
      <c r="O4743" s="21"/>
    </row>
    <row r="4744" spans="1:15" x14ac:dyDescent="0.35">
      <c r="A4744" s="15">
        <f t="shared" si="73"/>
        <v>4742</v>
      </c>
      <c r="B4744" s="16"/>
      <c r="C4744" s="19"/>
      <c r="D4744" s="10"/>
      <c r="E4744" s="10"/>
      <c r="F4744" s="47"/>
      <c r="G4744" s="10"/>
      <c r="H4744" s="20"/>
      <c r="I4744" s="20"/>
      <c r="J4744" s="10"/>
      <c r="K4744" s="10"/>
      <c r="L4744" s="10"/>
      <c r="M4744" s="10"/>
      <c r="N4744" s="10"/>
      <c r="O4744" s="21"/>
    </row>
    <row r="4745" spans="1:15" x14ac:dyDescent="0.35">
      <c r="A4745" s="15">
        <f t="shared" si="73"/>
        <v>4743</v>
      </c>
      <c r="B4745" s="16"/>
      <c r="C4745" s="19"/>
      <c r="D4745" s="10"/>
      <c r="E4745" s="10"/>
      <c r="F4745" s="47"/>
      <c r="G4745" s="10"/>
      <c r="H4745" s="20"/>
      <c r="I4745" s="20"/>
      <c r="J4745" s="10"/>
      <c r="K4745" s="10"/>
      <c r="L4745" s="10"/>
      <c r="M4745" s="10"/>
      <c r="N4745" s="10"/>
      <c r="O4745" s="21"/>
    </row>
    <row r="4746" spans="1:15" x14ac:dyDescent="0.35">
      <c r="A4746" s="15">
        <f t="shared" si="73"/>
        <v>4744</v>
      </c>
      <c r="B4746" s="16"/>
      <c r="C4746" s="19"/>
      <c r="D4746" s="10"/>
      <c r="E4746" s="10"/>
      <c r="F4746" s="47"/>
      <c r="G4746" s="10"/>
      <c r="H4746" s="20"/>
      <c r="I4746" s="20"/>
      <c r="J4746" s="10"/>
      <c r="K4746" s="10"/>
      <c r="L4746" s="10"/>
      <c r="M4746" s="10"/>
      <c r="N4746" s="10"/>
      <c r="O4746" s="21"/>
    </row>
    <row r="4747" spans="1:15" x14ac:dyDescent="0.35">
      <c r="A4747" s="15">
        <f t="shared" ref="A4747:A4810" si="74">+A4746+1</f>
        <v>4745</v>
      </c>
      <c r="B4747" s="16"/>
      <c r="C4747" s="19"/>
      <c r="D4747" s="10"/>
      <c r="E4747" s="10"/>
      <c r="F4747" s="47"/>
      <c r="G4747" s="10"/>
      <c r="H4747" s="20"/>
      <c r="I4747" s="20"/>
      <c r="J4747" s="10"/>
      <c r="K4747" s="10"/>
      <c r="L4747" s="10"/>
      <c r="M4747" s="10"/>
      <c r="N4747" s="10"/>
      <c r="O4747" s="21"/>
    </row>
    <row r="4748" spans="1:15" x14ac:dyDescent="0.35">
      <c r="A4748" s="15">
        <f t="shared" si="74"/>
        <v>4746</v>
      </c>
      <c r="B4748" s="16"/>
      <c r="C4748" s="19"/>
      <c r="D4748" s="10"/>
      <c r="E4748" s="10"/>
      <c r="F4748" s="47"/>
      <c r="G4748" s="10"/>
      <c r="H4748" s="20"/>
      <c r="I4748" s="20"/>
      <c r="J4748" s="10"/>
      <c r="K4748" s="10"/>
      <c r="L4748" s="10"/>
      <c r="M4748" s="10"/>
      <c r="N4748" s="10"/>
      <c r="O4748" s="21"/>
    </row>
    <row r="4749" spans="1:15" x14ac:dyDescent="0.35">
      <c r="A4749" s="15">
        <f t="shared" si="74"/>
        <v>4747</v>
      </c>
      <c r="B4749" s="16"/>
      <c r="C4749" s="19"/>
      <c r="D4749" s="10"/>
      <c r="E4749" s="10"/>
      <c r="F4749" s="47"/>
      <c r="G4749" s="10"/>
      <c r="H4749" s="20"/>
      <c r="I4749" s="20"/>
      <c r="J4749" s="10"/>
      <c r="K4749" s="10"/>
      <c r="L4749" s="10"/>
      <c r="M4749" s="10"/>
      <c r="N4749" s="10"/>
      <c r="O4749" s="21"/>
    </row>
    <row r="4750" spans="1:15" x14ac:dyDescent="0.35">
      <c r="A4750" s="15">
        <f t="shared" si="74"/>
        <v>4748</v>
      </c>
      <c r="B4750" s="16"/>
      <c r="C4750" s="19"/>
      <c r="D4750" s="10"/>
      <c r="E4750" s="10"/>
      <c r="F4750" s="47"/>
      <c r="G4750" s="10"/>
      <c r="H4750" s="20"/>
      <c r="I4750" s="20"/>
      <c r="J4750" s="10"/>
      <c r="K4750" s="10"/>
      <c r="L4750" s="10"/>
      <c r="M4750" s="10"/>
      <c r="N4750" s="10"/>
      <c r="O4750" s="21"/>
    </row>
    <row r="4751" spans="1:15" x14ac:dyDescent="0.35">
      <c r="A4751" s="15">
        <f t="shared" si="74"/>
        <v>4749</v>
      </c>
      <c r="B4751" s="16"/>
      <c r="C4751" s="19"/>
      <c r="D4751" s="10"/>
      <c r="E4751" s="10"/>
      <c r="F4751" s="47"/>
      <c r="G4751" s="10"/>
      <c r="H4751" s="20"/>
      <c r="I4751" s="20"/>
      <c r="J4751" s="10"/>
      <c r="K4751" s="10"/>
      <c r="L4751" s="10"/>
      <c r="M4751" s="10"/>
      <c r="N4751" s="10"/>
      <c r="O4751" s="21"/>
    </row>
    <row r="4752" spans="1:15" x14ac:dyDescent="0.35">
      <c r="A4752" s="15">
        <f t="shared" si="74"/>
        <v>4750</v>
      </c>
      <c r="B4752" s="16"/>
      <c r="C4752" s="19"/>
      <c r="D4752" s="10"/>
      <c r="E4752" s="10"/>
      <c r="F4752" s="47"/>
      <c r="G4752" s="10"/>
      <c r="H4752" s="20"/>
      <c r="I4752" s="20"/>
      <c r="J4752" s="10"/>
      <c r="K4752" s="10"/>
      <c r="L4752" s="10"/>
      <c r="M4752" s="10"/>
      <c r="N4752" s="10"/>
      <c r="O4752" s="21"/>
    </row>
    <row r="4753" spans="1:15" x14ac:dyDescent="0.35">
      <c r="A4753" s="15">
        <f t="shared" si="74"/>
        <v>4751</v>
      </c>
      <c r="B4753" s="16"/>
      <c r="C4753" s="19"/>
      <c r="D4753" s="10"/>
      <c r="E4753" s="10"/>
      <c r="F4753" s="47"/>
      <c r="G4753" s="10"/>
      <c r="H4753" s="20"/>
      <c r="I4753" s="20"/>
      <c r="J4753" s="10"/>
      <c r="K4753" s="10"/>
      <c r="L4753" s="10"/>
      <c r="M4753" s="10"/>
      <c r="N4753" s="10"/>
      <c r="O4753" s="21"/>
    </row>
    <row r="4754" spans="1:15" x14ac:dyDescent="0.35">
      <c r="A4754" s="15">
        <f t="shared" si="74"/>
        <v>4752</v>
      </c>
      <c r="B4754" s="16"/>
      <c r="C4754" s="19"/>
      <c r="D4754" s="10"/>
      <c r="E4754" s="10"/>
      <c r="F4754" s="47"/>
      <c r="G4754" s="10"/>
      <c r="H4754" s="20"/>
      <c r="I4754" s="20"/>
      <c r="J4754" s="10"/>
      <c r="K4754" s="10"/>
      <c r="L4754" s="10"/>
      <c r="M4754" s="10"/>
      <c r="N4754" s="10"/>
      <c r="O4754" s="21"/>
    </row>
    <row r="4755" spans="1:15" x14ac:dyDescent="0.35">
      <c r="A4755" s="15">
        <f t="shared" si="74"/>
        <v>4753</v>
      </c>
      <c r="B4755" s="16"/>
      <c r="C4755" s="19"/>
      <c r="D4755" s="10"/>
      <c r="E4755" s="10"/>
      <c r="F4755" s="47"/>
      <c r="G4755" s="10"/>
      <c r="H4755" s="20"/>
      <c r="I4755" s="20"/>
      <c r="J4755" s="10"/>
      <c r="K4755" s="10"/>
      <c r="L4755" s="10"/>
      <c r="M4755" s="10"/>
      <c r="N4755" s="10"/>
      <c r="O4755" s="21"/>
    </row>
    <row r="4756" spans="1:15" x14ac:dyDescent="0.35">
      <c r="A4756" s="15">
        <f t="shared" si="74"/>
        <v>4754</v>
      </c>
      <c r="B4756" s="16"/>
      <c r="C4756" s="19"/>
      <c r="D4756" s="10"/>
      <c r="E4756" s="10"/>
      <c r="F4756" s="47"/>
      <c r="G4756" s="10"/>
      <c r="H4756" s="20"/>
      <c r="I4756" s="20"/>
      <c r="J4756" s="10"/>
      <c r="K4756" s="10"/>
      <c r="L4756" s="10"/>
      <c r="M4756" s="10"/>
      <c r="N4756" s="10"/>
      <c r="O4756" s="21"/>
    </row>
    <row r="4757" spans="1:15" x14ac:dyDescent="0.35">
      <c r="A4757" s="15">
        <f t="shared" si="74"/>
        <v>4755</v>
      </c>
      <c r="B4757" s="16"/>
      <c r="C4757" s="19"/>
      <c r="D4757" s="10"/>
      <c r="E4757" s="10"/>
      <c r="F4757" s="47"/>
      <c r="G4757" s="10"/>
      <c r="H4757" s="20"/>
      <c r="I4757" s="20"/>
      <c r="J4757" s="10"/>
      <c r="K4757" s="10"/>
      <c r="L4757" s="10"/>
      <c r="M4757" s="10"/>
      <c r="N4757" s="10"/>
      <c r="O4757" s="21"/>
    </row>
    <row r="4758" spans="1:15" x14ac:dyDescent="0.35">
      <c r="A4758" s="15">
        <f t="shared" si="74"/>
        <v>4756</v>
      </c>
      <c r="B4758" s="16"/>
      <c r="C4758" s="19"/>
      <c r="D4758" s="10"/>
      <c r="E4758" s="10"/>
      <c r="F4758" s="47"/>
      <c r="G4758" s="10"/>
      <c r="H4758" s="20"/>
      <c r="I4758" s="20"/>
      <c r="J4758" s="10"/>
      <c r="K4758" s="10"/>
      <c r="L4758" s="10"/>
      <c r="M4758" s="10"/>
      <c r="N4758" s="10"/>
      <c r="O4758" s="21"/>
    </row>
    <row r="4759" spans="1:15" x14ac:dyDescent="0.35">
      <c r="A4759" s="15">
        <f t="shared" si="74"/>
        <v>4757</v>
      </c>
      <c r="B4759" s="16"/>
      <c r="C4759" s="19"/>
      <c r="D4759" s="10"/>
      <c r="E4759" s="10"/>
      <c r="F4759" s="47"/>
      <c r="G4759" s="10"/>
      <c r="H4759" s="20"/>
      <c r="I4759" s="20"/>
      <c r="J4759" s="10"/>
      <c r="K4759" s="10"/>
      <c r="L4759" s="10"/>
      <c r="M4759" s="10"/>
      <c r="N4759" s="10"/>
      <c r="O4759" s="21"/>
    </row>
    <row r="4760" spans="1:15" x14ac:dyDescent="0.35">
      <c r="A4760" s="15">
        <f t="shared" si="74"/>
        <v>4758</v>
      </c>
      <c r="B4760" s="16"/>
      <c r="C4760" s="19"/>
      <c r="D4760" s="10"/>
      <c r="E4760" s="10"/>
      <c r="F4760" s="47"/>
      <c r="G4760" s="10"/>
      <c r="H4760" s="20"/>
      <c r="I4760" s="20"/>
      <c r="J4760" s="10"/>
      <c r="K4760" s="10"/>
      <c r="L4760" s="10"/>
      <c r="M4760" s="10"/>
      <c r="N4760" s="10"/>
      <c r="O4760" s="21"/>
    </row>
    <row r="4761" spans="1:15" x14ac:dyDescent="0.35">
      <c r="A4761" s="15">
        <f t="shared" si="74"/>
        <v>4759</v>
      </c>
      <c r="B4761" s="16"/>
      <c r="C4761" s="19"/>
      <c r="D4761" s="10"/>
      <c r="E4761" s="10"/>
      <c r="F4761" s="47"/>
      <c r="G4761" s="10"/>
      <c r="H4761" s="20"/>
      <c r="I4761" s="20"/>
      <c r="J4761" s="10"/>
      <c r="K4761" s="10"/>
      <c r="L4761" s="10"/>
      <c r="M4761" s="10"/>
      <c r="N4761" s="10"/>
      <c r="O4761" s="21"/>
    </row>
    <row r="4762" spans="1:15" x14ac:dyDescent="0.35">
      <c r="A4762" s="15">
        <f t="shared" si="74"/>
        <v>4760</v>
      </c>
      <c r="B4762" s="16"/>
      <c r="C4762" s="19"/>
      <c r="D4762" s="10"/>
      <c r="E4762" s="10"/>
      <c r="F4762" s="47"/>
      <c r="G4762" s="10"/>
      <c r="H4762" s="20"/>
      <c r="I4762" s="20"/>
      <c r="J4762" s="10"/>
      <c r="K4762" s="10"/>
      <c r="L4762" s="10"/>
      <c r="M4762" s="10"/>
      <c r="N4762" s="10"/>
      <c r="O4762" s="21"/>
    </row>
    <row r="4763" spans="1:15" x14ac:dyDescent="0.35">
      <c r="A4763" s="15">
        <f t="shared" si="74"/>
        <v>4761</v>
      </c>
      <c r="B4763" s="16"/>
      <c r="C4763" s="19"/>
      <c r="D4763" s="10"/>
      <c r="E4763" s="10"/>
      <c r="F4763" s="47"/>
      <c r="G4763" s="10"/>
      <c r="H4763" s="20"/>
      <c r="I4763" s="20"/>
      <c r="J4763" s="10"/>
      <c r="K4763" s="10"/>
      <c r="L4763" s="10"/>
      <c r="M4763" s="10"/>
      <c r="N4763" s="10"/>
      <c r="O4763" s="21"/>
    </row>
    <row r="4764" spans="1:15" x14ac:dyDescent="0.35">
      <c r="A4764" s="15">
        <f t="shared" si="74"/>
        <v>4762</v>
      </c>
      <c r="B4764" s="16"/>
      <c r="C4764" s="19"/>
      <c r="D4764" s="10"/>
      <c r="E4764" s="10"/>
      <c r="F4764" s="47"/>
      <c r="G4764" s="10"/>
      <c r="H4764" s="20"/>
      <c r="I4764" s="20"/>
      <c r="J4764" s="10"/>
      <c r="K4764" s="10"/>
      <c r="L4764" s="10"/>
      <c r="M4764" s="10"/>
      <c r="N4764" s="10"/>
      <c r="O4764" s="21"/>
    </row>
    <row r="4765" spans="1:15" x14ac:dyDescent="0.35">
      <c r="A4765" s="15">
        <f t="shared" si="74"/>
        <v>4763</v>
      </c>
      <c r="B4765" s="16"/>
      <c r="C4765" s="19"/>
      <c r="D4765" s="10"/>
      <c r="E4765" s="10"/>
      <c r="F4765" s="47"/>
      <c r="G4765" s="10"/>
      <c r="H4765" s="20"/>
      <c r="I4765" s="20"/>
      <c r="J4765" s="10"/>
      <c r="K4765" s="10"/>
      <c r="L4765" s="10"/>
      <c r="M4765" s="10"/>
      <c r="N4765" s="10"/>
      <c r="O4765" s="21"/>
    </row>
    <row r="4766" spans="1:15" x14ac:dyDescent="0.35">
      <c r="A4766" s="15">
        <f t="shared" si="74"/>
        <v>4764</v>
      </c>
      <c r="B4766" s="16"/>
      <c r="C4766" s="19"/>
      <c r="D4766" s="10"/>
      <c r="E4766" s="10"/>
      <c r="F4766" s="47"/>
      <c r="G4766" s="10"/>
      <c r="H4766" s="20"/>
      <c r="I4766" s="20"/>
      <c r="J4766" s="10"/>
      <c r="K4766" s="10"/>
      <c r="L4766" s="10"/>
      <c r="M4766" s="10"/>
      <c r="N4766" s="10"/>
      <c r="O4766" s="21"/>
    </row>
    <row r="4767" spans="1:15" x14ac:dyDescent="0.35">
      <c r="A4767" s="15">
        <f t="shared" si="74"/>
        <v>4765</v>
      </c>
      <c r="B4767" s="16"/>
      <c r="C4767" s="19"/>
      <c r="D4767" s="10"/>
      <c r="E4767" s="10"/>
      <c r="F4767" s="47"/>
      <c r="G4767" s="10"/>
      <c r="H4767" s="20"/>
      <c r="I4767" s="20"/>
      <c r="J4767" s="10"/>
      <c r="K4767" s="10"/>
      <c r="L4767" s="10"/>
      <c r="M4767" s="10"/>
      <c r="N4767" s="10"/>
      <c r="O4767" s="21"/>
    </row>
    <row r="4768" spans="1:15" x14ac:dyDescent="0.35">
      <c r="A4768" s="15">
        <f t="shared" si="74"/>
        <v>4766</v>
      </c>
      <c r="B4768" s="16"/>
      <c r="C4768" s="19"/>
      <c r="D4768" s="10"/>
      <c r="E4768" s="10"/>
      <c r="F4768" s="47"/>
      <c r="G4768" s="10"/>
      <c r="H4768" s="20"/>
      <c r="I4768" s="20"/>
      <c r="J4768" s="10"/>
      <c r="K4768" s="10"/>
      <c r="L4768" s="10"/>
      <c r="M4768" s="10"/>
      <c r="N4768" s="10"/>
      <c r="O4768" s="21"/>
    </row>
    <row r="4769" spans="1:15" x14ac:dyDescent="0.35">
      <c r="A4769" s="15">
        <f t="shared" si="74"/>
        <v>4767</v>
      </c>
      <c r="B4769" s="16"/>
      <c r="C4769" s="19"/>
      <c r="D4769" s="10"/>
      <c r="E4769" s="10"/>
      <c r="F4769" s="47"/>
      <c r="G4769" s="10"/>
      <c r="H4769" s="20"/>
      <c r="I4769" s="20"/>
      <c r="J4769" s="10"/>
      <c r="K4769" s="10"/>
      <c r="L4769" s="10"/>
      <c r="M4769" s="10"/>
      <c r="N4769" s="10"/>
      <c r="O4769" s="21"/>
    </row>
    <row r="4770" spans="1:15" x14ac:dyDescent="0.35">
      <c r="A4770" s="15">
        <f t="shared" si="74"/>
        <v>4768</v>
      </c>
      <c r="B4770" s="16"/>
      <c r="C4770" s="19"/>
      <c r="D4770" s="10"/>
      <c r="E4770" s="10"/>
      <c r="F4770" s="47"/>
      <c r="G4770" s="10"/>
      <c r="H4770" s="20"/>
      <c r="I4770" s="20"/>
      <c r="J4770" s="10"/>
      <c r="K4770" s="10"/>
      <c r="L4770" s="10"/>
      <c r="M4770" s="10"/>
      <c r="N4770" s="10"/>
      <c r="O4770" s="21"/>
    </row>
    <row r="4771" spans="1:15" x14ac:dyDescent="0.35">
      <c r="A4771" s="15">
        <f t="shared" si="74"/>
        <v>4769</v>
      </c>
      <c r="B4771" s="16"/>
      <c r="C4771" s="19"/>
      <c r="D4771" s="10"/>
      <c r="E4771" s="10"/>
      <c r="F4771" s="47"/>
      <c r="G4771" s="10"/>
      <c r="H4771" s="20"/>
      <c r="I4771" s="20"/>
      <c r="J4771" s="10"/>
      <c r="K4771" s="10"/>
      <c r="L4771" s="10"/>
      <c r="M4771" s="10"/>
      <c r="N4771" s="10"/>
      <c r="O4771" s="21"/>
    </row>
    <row r="4772" spans="1:15" x14ac:dyDescent="0.35">
      <c r="A4772" s="15">
        <f t="shared" si="74"/>
        <v>4770</v>
      </c>
      <c r="B4772" s="16"/>
      <c r="C4772" s="19"/>
      <c r="D4772" s="10"/>
      <c r="E4772" s="10"/>
      <c r="F4772" s="47"/>
      <c r="G4772" s="10"/>
      <c r="H4772" s="20"/>
      <c r="I4772" s="20"/>
      <c r="J4772" s="10"/>
      <c r="K4772" s="10"/>
      <c r="L4772" s="10"/>
      <c r="M4772" s="10"/>
      <c r="N4772" s="10"/>
      <c r="O4772" s="21"/>
    </row>
    <row r="4773" spans="1:15" x14ac:dyDescent="0.35">
      <c r="A4773" s="15">
        <f t="shared" si="74"/>
        <v>4771</v>
      </c>
      <c r="B4773" s="16"/>
      <c r="C4773" s="19"/>
      <c r="D4773" s="10"/>
      <c r="E4773" s="10"/>
      <c r="F4773" s="47"/>
      <c r="G4773" s="10"/>
      <c r="H4773" s="20"/>
      <c r="I4773" s="20"/>
      <c r="J4773" s="10"/>
      <c r="K4773" s="10"/>
      <c r="L4773" s="10"/>
      <c r="M4773" s="10"/>
      <c r="N4773" s="10"/>
      <c r="O4773" s="21"/>
    </row>
    <row r="4774" spans="1:15" x14ac:dyDescent="0.35">
      <c r="A4774" s="15">
        <f t="shared" si="74"/>
        <v>4772</v>
      </c>
      <c r="B4774" s="16"/>
      <c r="C4774" s="19"/>
      <c r="D4774" s="10"/>
      <c r="E4774" s="10"/>
      <c r="F4774" s="47"/>
      <c r="G4774" s="10"/>
      <c r="H4774" s="20"/>
      <c r="I4774" s="20"/>
      <c r="J4774" s="10"/>
      <c r="K4774" s="10"/>
      <c r="L4774" s="10"/>
      <c r="M4774" s="10"/>
      <c r="N4774" s="10"/>
      <c r="O4774" s="21"/>
    </row>
    <row r="4775" spans="1:15" x14ac:dyDescent="0.35">
      <c r="A4775" s="15">
        <f t="shared" si="74"/>
        <v>4773</v>
      </c>
      <c r="B4775" s="16"/>
      <c r="C4775" s="19"/>
      <c r="D4775" s="10"/>
      <c r="E4775" s="10"/>
      <c r="F4775" s="47"/>
      <c r="G4775" s="10"/>
      <c r="H4775" s="20"/>
      <c r="I4775" s="20"/>
      <c r="J4775" s="10"/>
      <c r="K4775" s="10"/>
      <c r="L4775" s="10"/>
      <c r="M4775" s="10"/>
      <c r="N4775" s="10"/>
      <c r="O4775" s="21"/>
    </row>
    <row r="4776" spans="1:15" x14ac:dyDescent="0.35">
      <c r="A4776" s="15">
        <f t="shared" si="74"/>
        <v>4774</v>
      </c>
      <c r="B4776" s="16"/>
      <c r="C4776" s="19"/>
      <c r="D4776" s="10"/>
      <c r="E4776" s="10"/>
      <c r="F4776" s="47"/>
      <c r="G4776" s="10"/>
      <c r="H4776" s="20"/>
      <c r="I4776" s="20"/>
      <c r="J4776" s="10"/>
      <c r="K4776" s="10"/>
      <c r="L4776" s="10"/>
      <c r="M4776" s="10"/>
      <c r="N4776" s="10"/>
      <c r="O4776" s="21"/>
    </row>
    <row r="4777" spans="1:15" x14ac:dyDescent="0.35">
      <c r="A4777" s="15">
        <f t="shared" si="74"/>
        <v>4775</v>
      </c>
      <c r="B4777" s="16"/>
      <c r="C4777" s="19"/>
      <c r="D4777" s="10"/>
      <c r="E4777" s="10"/>
      <c r="F4777" s="47"/>
      <c r="G4777" s="10"/>
      <c r="H4777" s="20"/>
      <c r="I4777" s="20"/>
      <c r="J4777" s="10"/>
      <c r="K4777" s="10"/>
      <c r="L4777" s="10"/>
      <c r="M4777" s="10"/>
      <c r="N4777" s="10"/>
      <c r="O4777" s="21"/>
    </row>
    <row r="4778" spans="1:15" x14ac:dyDescent="0.35">
      <c r="A4778" s="15">
        <f t="shared" si="74"/>
        <v>4776</v>
      </c>
      <c r="B4778" s="16"/>
      <c r="C4778" s="19"/>
      <c r="D4778" s="10"/>
      <c r="E4778" s="10"/>
      <c r="F4778" s="47"/>
      <c r="G4778" s="10"/>
      <c r="H4778" s="20"/>
      <c r="I4778" s="20"/>
      <c r="J4778" s="10"/>
      <c r="K4778" s="10"/>
      <c r="L4778" s="10"/>
      <c r="M4778" s="10"/>
      <c r="N4778" s="10"/>
      <c r="O4778" s="21"/>
    </row>
    <row r="4779" spans="1:15" x14ac:dyDescent="0.35">
      <c r="A4779" s="15">
        <f t="shared" si="74"/>
        <v>4777</v>
      </c>
      <c r="B4779" s="16"/>
      <c r="C4779" s="19"/>
      <c r="D4779" s="10"/>
      <c r="E4779" s="10"/>
      <c r="F4779" s="47"/>
      <c r="G4779" s="10"/>
      <c r="H4779" s="20"/>
      <c r="I4779" s="20"/>
      <c r="J4779" s="10"/>
      <c r="K4779" s="10"/>
      <c r="L4779" s="10"/>
      <c r="M4779" s="10"/>
      <c r="N4779" s="10"/>
      <c r="O4779" s="21"/>
    </row>
    <row r="4780" spans="1:15" x14ac:dyDescent="0.35">
      <c r="A4780" s="15">
        <f t="shared" si="74"/>
        <v>4778</v>
      </c>
      <c r="B4780" s="16"/>
      <c r="C4780" s="19"/>
      <c r="D4780" s="10"/>
      <c r="E4780" s="10"/>
      <c r="F4780" s="47"/>
      <c r="G4780" s="10"/>
      <c r="H4780" s="20"/>
      <c r="I4780" s="20"/>
      <c r="J4780" s="10"/>
      <c r="K4780" s="10"/>
      <c r="L4780" s="10"/>
      <c r="M4780" s="10"/>
      <c r="N4780" s="10"/>
      <c r="O4780" s="21"/>
    </row>
    <row r="4781" spans="1:15" x14ac:dyDescent="0.35">
      <c r="A4781" s="15">
        <f t="shared" si="74"/>
        <v>4779</v>
      </c>
      <c r="B4781" s="16"/>
      <c r="C4781" s="19"/>
      <c r="D4781" s="10"/>
      <c r="E4781" s="10"/>
      <c r="F4781" s="47"/>
      <c r="G4781" s="10"/>
      <c r="H4781" s="20"/>
      <c r="I4781" s="20"/>
      <c r="J4781" s="10"/>
      <c r="K4781" s="10"/>
      <c r="L4781" s="10"/>
      <c r="M4781" s="10"/>
      <c r="N4781" s="10"/>
      <c r="O4781" s="21"/>
    </row>
    <row r="4782" spans="1:15" x14ac:dyDescent="0.35">
      <c r="A4782" s="15">
        <f t="shared" si="74"/>
        <v>4780</v>
      </c>
      <c r="B4782" s="16"/>
      <c r="C4782" s="19"/>
      <c r="D4782" s="10"/>
      <c r="E4782" s="10"/>
      <c r="F4782" s="47"/>
      <c r="G4782" s="10"/>
      <c r="H4782" s="20"/>
      <c r="I4782" s="20"/>
      <c r="J4782" s="10"/>
      <c r="K4782" s="10"/>
      <c r="L4782" s="10"/>
      <c r="M4782" s="10"/>
      <c r="N4782" s="10"/>
      <c r="O4782" s="21"/>
    </row>
    <row r="4783" spans="1:15" x14ac:dyDescent="0.35">
      <c r="A4783" s="15">
        <f t="shared" si="74"/>
        <v>4781</v>
      </c>
      <c r="B4783" s="16"/>
      <c r="C4783" s="19"/>
      <c r="D4783" s="10"/>
      <c r="E4783" s="10"/>
      <c r="F4783" s="47"/>
      <c r="G4783" s="10"/>
      <c r="H4783" s="20"/>
      <c r="I4783" s="20"/>
      <c r="J4783" s="10"/>
      <c r="K4783" s="10"/>
      <c r="L4783" s="10"/>
      <c r="M4783" s="10"/>
      <c r="N4783" s="10"/>
      <c r="O4783" s="21"/>
    </row>
    <row r="4784" spans="1:15" x14ac:dyDescent="0.35">
      <c r="A4784" s="15">
        <f t="shared" si="74"/>
        <v>4782</v>
      </c>
      <c r="B4784" s="16"/>
      <c r="C4784" s="19"/>
      <c r="D4784" s="10"/>
      <c r="E4784" s="10"/>
      <c r="F4784" s="47"/>
      <c r="G4784" s="10"/>
      <c r="H4784" s="20"/>
      <c r="I4784" s="20"/>
      <c r="J4784" s="10"/>
      <c r="K4784" s="10"/>
      <c r="L4784" s="10"/>
      <c r="M4784" s="10"/>
      <c r="N4784" s="10"/>
      <c r="O4784" s="21"/>
    </row>
    <row r="4785" spans="1:15" x14ac:dyDescent="0.35">
      <c r="A4785" s="15">
        <f t="shared" si="74"/>
        <v>4783</v>
      </c>
      <c r="B4785" s="16"/>
      <c r="C4785" s="19"/>
      <c r="D4785" s="10"/>
      <c r="E4785" s="10"/>
      <c r="F4785" s="47"/>
      <c r="G4785" s="10"/>
      <c r="H4785" s="20"/>
      <c r="I4785" s="20"/>
      <c r="J4785" s="10"/>
      <c r="K4785" s="10"/>
      <c r="L4785" s="10"/>
      <c r="M4785" s="10"/>
      <c r="N4785" s="10"/>
      <c r="O4785" s="21"/>
    </row>
    <row r="4786" spans="1:15" x14ac:dyDescent="0.35">
      <c r="A4786" s="15">
        <f t="shared" si="74"/>
        <v>4784</v>
      </c>
      <c r="B4786" s="16"/>
      <c r="C4786" s="19"/>
      <c r="D4786" s="10"/>
      <c r="E4786" s="10"/>
      <c r="F4786" s="47"/>
      <c r="G4786" s="10"/>
      <c r="H4786" s="20"/>
      <c r="I4786" s="20"/>
      <c r="J4786" s="10"/>
      <c r="K4786" s="10"/>
      <c r="L4786" s="10"/>
      <c r="M4786" s="10"/>
      <c r="N4786" s="10"/>
      <c r="O4786" s="21"/>
    </row>
    <row r="4787" spans="1:15" x14ac:dyDescent="0.35">
      <c r="A4787" s="15">
        <f t="shared" si="74"/>
        <v>4785</v>
      </c>
      <c r="B4787" s="16"/>
      <c r="C4787" s="19"/>
      <c r="D4787" s="10"/>
      <c r="E4787" s="10"/>
      <c r="F4787" s="47"/>
      <c r="G4787" s="10"/>
      <c r="H4787" s="20"/>
      <c r="I4787" s="20"/>
      <c r="J4787" s="10"/>
      <c r="K4787" s="10"/>
      <c r="L4787" s="10"/>
      <c r="M4787" s="10"/>
      <c r="N4787" s="10"/>
      <c r="O4787" s="21"/>
    </row>
    <row r="4788" spans="1:15" x14ac:dyDescent="0.35">
      <c r="A4788" s="15">
        <f t="shared" si="74"/>
        <v>4786</v>
      </c>
      <c r="B4788" s="16"/>
      <c r="C4788" s="19"/>
      <c r="D4788" s="10"/>
      <c r="E4788" s="10"/>
      <c r="F4788" s="47"/>
      <c r="G4788" s="10"/>
      <c r="H4788" s="20"/>
      <c r="I4788" s="20"/>
      <c r="J4788" s="10"/>
      <c r="K4788" s="10"/>
      <c r="L4788" s="10"/>
      <c r="M4788" s="10"/>
      <c r="N4788" s="10"/>
      <c r="O4788" s="21"/>
    </row>
    <row r="4789" spans="1:15" x14ac:dyDescent="0.35">
      <c r="A4789" s="15">
        <f t="shared" si="74"/>
        <v>4787</v>
      </c>
      <c r="B4789" s="16"/>
      <c r="C4789" s="19"/>
      <c r="D4789" s="10"/>
      <c r="E4789" s="10"/>
      <c r="F4789" s="47"/>
      <c r="G4789" s="10"/>
      <c r="H4789" s="20"/>
      <c r="I4789" s="20"/>
      <c r="J4789" s="10"/>
      <c r="K4789" s="10"/>
      <c r="L4789" s="10"/>
      <c r="M4789" s="10"/>
      <c r="N4789" s="10"/>
      <c r="O4789" s="21"/>
    </row>
    <row r="4790" spans="1:15" x14ac:dyDescent="0.35">
      <c r="A4790" s="15">
        <f t="shared" si="74"/>
        <v>4788</v>
      </c>
      <c r="B4790" s="16"/>
      <c r="C4790" s="19"/>
      <c r="D4790" s="10"/>
      <c r="E4790" s="10"/>
      <c r="F4790" s="47"/>
      <c r="G4790" s="10"/>
      <c r="H4790" s="20"/>
      <c r="I4790" s="20"/>
      <c r="J4790" s="10"/>
      <c r="K4790" s="10"/>
      <c r="L4790" s="10"/>
      <c r="M4790" s="10"/>
      <c r="N4790" s="10"/>
      <c r="O4790" s="21"/>
    </row>
    <row r="4791" spans="1:15" x14ac:dyDescent="0.35">
      <c r="A4791" s="15">
        <f t="shared" si="74"/>
        <v>4789</v>
      </c>
      <c r="B4791" s="16"/>
      <c r="C4791" s="19"/>
      <c r="D4791" s="10"/>
      <c r="E4791" s="10"/>
      <c r="F4791" s="47"/>
      <c r="G4791" s="10"/>
      <c r="H4791" s="20"/>
      <c r="I4791" s="20"/>
      <c r="J4791" s="10"/>
      <c r="K4791" s="10"/>
      <c r="L4791" s="10"/>
      <c r="M4791" s="10"/>
      <c r="N4791" s="10"/>
      <c r="O4791" s="21"/>
    </row>
    <row r="4792" spans="1:15" x14ac:dyDescent="0.35">
      <c r="A4792" s="15">
        <f t="shared" si="74"/>
        <v>4790</v>
      </c>
      <c r="B4792" s="16"/>
      <c r="C4792" s="19"/>
      <c r="D4792" s="10"/>
      <c r="E4792" s="10"/>
      <c r="F4792" s="47"/>
      <c r="G4792" s="10"/>
      <c r="H4792" s="20"/>
      <c r="I4792" s="20"/>
      <c r="J4792" s="10"/>
      <c r="K4792" s="10"/>
      <c r="L4792" s="10"/>
      <c r="M4792" s="10"/>
      <c r="N4792" s="10"/>
      <c r="O4792" s="21"/>
    </row>
    <row r="4793" spans="1:15" x14ac:dyDescent="0.35">
      <c r="A4793" s="15">
        <f t="shared" si="74"/>
        <v>4791</v>
      </c>
      <c r="B4793" s="16"/>
      <c r="C4793" s="19"/>
      <c r="D4793" s="10"/>
      <c r="E4793" s="10"/>
      <c r="F4793" s="47"/>
      <c r="G4793" s="10"/>
      <c r="H4793" s="20"/>
      <c r="I4793" s="20"/>
      <c r="J4793" s="10"/>
      <c r="K4793" s="10"/>
      <c r="L4793" s="10"/>
      <c r="M4793" s="10"/>
      <c r="N4793" s="10"/>
      <c r="O4793" s="21"/>
    </row>
    <row r="4794" spans="1:15" x14ac:dyDescent="0.35">
      <c r="A4794" s="15">
        <f t="shared" si="74"/>
        <v>4792</v>
      </c>
      <c r="B4794" s="16"/>
      <c r="C4794" s="19"/>
      <c r="D4794" s="10"/>
      <c r="E4794" s="10"/>
      <c r="F4794" s="47"/>
      <c r="G4794" s="10"/>
      <c r="H4794" s="20"/>
      <c r="I4794" s="20"/>
      <c r="J4794" s="10"/>
      <c r="K4794" s="10"/>
      <c r="L4794" s="10"/>
      <c r="M4794" s="10"/>
      <c r="N4794" s="10"/>
      <c r="O4794" s="21"/>
    </row>
    <row r="4795" spans="1:15" x14ac:dyDescent="0.35">
      <c r="A4795" s="15">
        <f t="shared" si="74"/>
        <v>4793</v>
      </c>
      <c r="B4795" s="16"/>
      <c r="C4795" s="19"/>
      <c r="D4795" s="10"/>
      <c r="E4795" s="10"/>
      <c r="F4795" s="47"/>
      <c r="G4795" s="10"/>
      <c r="H4795" s="20"/>
      <c r="I4795" s="20"/>
      <c r="J4795" s="10"/>
      <c r="K4795" s="10"/>
      <c r="L4795" s="10"/>
      <c r="M4795" s="10"/>
      <c r="N4795" s="10"/>
      <c r="O4795" s="21"/>
    </row>
    <row r="4796" spans="1:15" x14ac:dyDescent="0.35">
      <c r="A4796" s="15">
        <f t="shared" si="74"/>
        <v>4794</v>
      </c>
      <c r="B4796" s="16"/>
      <c r="C4796" s="19"/>
      <c r="D4796" s="10"/>
      <c r="E4796" s="10"/>
      <c r="F4796" s="47"/>
      <c r="G4796" s="10"/>
      <c r="H4796" s="20"/>
      <c r="I4796" s="20"/>
      <c r="J4796" s="10"/>
      <c r="K4796" s="10"/>
      <c r="L4796" s="10"/>
      <c r="M4796" s="10"/>
      <c r="N4796" s="10"/>
      <c r="O4796" s="21"/>
    </row>
    <row r="4797" spans="1:15" x14ac:dyDescent="0.35">
      <c r="A4797" s="15">
        <f t="shared" si="74"/>
        <v>4795</v>
      </c>
      <c r="B4797" s="16"/>
      <c r="C4797" s="19"/>
      <c r="D4797" s="10"/>
      <c r="E4797" s="10"/>
      <c r="F4797" s="47"/>
      <c r="G4797" s="10"/>
      <c r="H4797" s="20"/>
      <c r="I4797" s="20"/>
      <c r="J4797" s="10"/>
      <c r="K4797" s="10"/>
      <c r="L4797" s="10"/>
      <c r="M4797" s="10"/>
      <c r="N4797" s="10"/>
      <c r="O4797" s="21"/>
    </row>
    <row r="4798" spans="1:15" x14ac:dyDescent="0.35">
      <c r="A4798" s="15">
        <f t="shared" si="74"/>
        <v>4796</v>
      </c>
      <c r="B4798" s="16"/>
      <c r="C4798" s="19"/>
      <c r="D4798" s="10"/>
      <c r="E4798" s="10"/>
      <c r="F4798" s="47"/>
      <c r="G4798" s="10"/>
      <c r="H4798" s="20"/>
      <c r="I4798" s="20"/>
      <c r="J4798" s="10"/>
      <c r="K4798" s="10"/>
      <c r="L4798" s="10"/>
      <c r="M4798" s="10"/>
      <c r="N4798" s="10"/>
      <c r="O4798" s="21"/>
    </row>
    <row r="4799" spans="1:15" x14ac:dyDescent="0.35">
      <c r="A4799" s="15">
        <f t="shared" si="74"/>
        <v>4797</v>
      </c>
      <c r="B4799" s="16"/>
      <c r="C4799" s="19"/>
      <c r="D4799" s="10"/>
      <c r="E4799" s="10"/>
      <c r="F4799" s="47"/>
      <c r="G4799" s="10"/>
      <c r="H4799" s="20"/>
      <c r="I4799" s="20"/>
      <c r="J4799" s="10"/>
      <c r="K4799" s="10"/>
      <c r="L4799" s="10"/>
      <c r="M4799" s="10"/>
      <c r="N4799" s="10"/>
      <c r="O4799" s="21"/>
    </row>
    <row r="4800" spans="1:15" x14ac:dyDescent="0.35">
      <c r="A4800" s="15">
        <f t="shared" si="74"/>
        <v>4798</v>
      </c>
      <c r="B4800" s="16"/>
      <c r="C4800" s="19"/>
      <c r="D4800" s="10"/>
      <c r="E4800" s="10"/>
      <c r="F4800" s="47"/>
      <c r="G4800" s="10"/>
      <c r="H4800" s="20"/>
      <c r="I4800" s="20"/>
      <c r="J4800" s="10"/>
      <c r="K4800" s="10"/>
      <c r="L4800" s="10"/>
      <c r="M4800" s="10"/>
      <c r="N4800" s="10"/>
      <c r="O4800" s="21"/>
    </row>
    <row r="4801" spans="1:15" x14ac:dyDescent="0.35">
      <c r="A4801" s="15">
        <f t="shared" si="74"/>
        <v>4799</v>
      </c>
      <c r="B4801" s="16"/>
      <c r="C4801" s="19"/>
      <c r="D4801" s="10"/>
      <c r="E4801" s="10"/>
      <c r="F4801" s="47"/>
      <c r="G4801" s="10"/>
      <c r="H4801" s="20"/>
      <c r="I4801" s="20"/>
      <c r="J4801" s="10"/>
      <c r="K4801" s="10"/>
      <c r="L4801" s="10"/>
      <c r="M4801" s="10"/>
      <c r="N4801" s="10"/>
      <c r="O4801" s="21"/>
    </row>
    <row r="4802" spans="1:15" x14ac:dyDescent="0.35">
      <c r="A4802" s="15">
        <f t="shared" si="74"/>
        <v>4800</v>
      </c>
      <c r="B4802" s="16"/>
      <c r="C4802" s="19"/>
      <c r="D4802" s="10"/>
      <c r="E4802" s="10"/>
      <c r="F4802" s="47"/>
      <c r="G4802" s="10"/>
      <c r="H4802" s="20"/>
      <c r="I4802" s="20"/>
      <c r="J4802" s="10"/>
      <c r="K4802" s="10"/>
      <c r="L4802" s="10"/>
      <c r="M4802" s="10"/>
      <c r="N4802" s="10"/>
      <c r="O4802" s="21"/>
    </row>
    <row r="4803" spans="1:15" x14ac:dyDescent="0.35">
      <c r="A4803" s="15">
        <f t="shared" si="74"/>
        <v>4801</v>
      </c>
      <c r="B4803" s="16"/>
      <c r="C4803" s="19"/>
      <c r="D4803" s="10"/>
      <c r="E4803" s="10"/>
      <c r="F4803" s="47"/>
      <c r="G4803" s="10"/>
      <c r="H4803" s="20"/>
      <c r="I4803" s="20"/>
      <c r="J4803" s="10"/>
      <c r="K4803" s="10"/>
      <c r="L4803" s="10"/>
      <c r="M4803" s="10"/>
      <c r="N4803" s="10"/>
      <c r="O4803" s="21"/>
    </row>
    <row r="4804" spans="1:15" x14ac:dyDescent="0.35">
      <c r="A4804" s="15">
        <f t="shared" si="74"/>
        <v>4802</v>
      </c>
      <c r="B4804" s="16"/>
      <c r="C4804" s="19"/>
      <c r="D4804" s="10"/>
      <c r="E4804" s="10"/>
      <c r="F4804" s="47"/>
      <c r="G4804" s="10"/>
      <c r="H4804" s="20"/>
      <c r="I4804" s="20"/>
      <c r="J4804" s="10"/>
      <c r="K4804" s="10"/>
      <c r="L4804" s="10"/>
      <c r="M4804" s="10"/>
      <c r="N4804" s="10"/>
      <c r="O4804" s="21"/>
    </row>
    <row r="4805" spans="1:15" x14ac:dyDescent="0.35">
      <c r="A4805" s="15">
        <f t="shared" si="74"/>
        <v>4803</v>
      </c>
      <c r="B4805" s="16"/>
      <c r="C4805" s="19"/>
      <c r="D4805" s="10"/>
      <c r="E4805" s="10"/>
      <c r="F4805" s="47"/>
      <c r="G4805" s="10"/>
      <c r="H4805" s="20"/>
      <c r="I4805" s="20"/>
      <c r="J4805" s="10"/>
      <c r="K4805" s="10"/>
      <c r="L4805" s="10"/>
      <c r="M4805" s="10"/>
      <c r="N4805" s="10"/>
      <c r="O4805" s="21"/>
    </row>
    <row r="4806" spans="1:15" x14ac:dyDescent="0.35">
      <c r="A4806" s="15">
        <f t="shared" si="74"/>
        <v>4804</v>
      </c>
      <c r="B4806" s="16"/>
      <c r="C4806" s="19"/>
      <c r="D4806" s="10"/>
      <c r="E4806" s="10"/>
      <c r="F4806" s="47"/>
      <c r="G4806" s="10"/>
      <c r="H4806" s="20"/>
      <c r="I4806" s="20"/>
      <c r="J4806" s="10"/>
      <c r="K4806" s="10"/>
      <c r="L4806" s="10"/>
      <c r="M4806" s="10"/>
      <c r="N4806" s="10"/>
      <c r="O4806" s="21"/>
    </row>
    <row r="4807" spans="1:15" x14ac:dyDescent="0.35">
      <c r="A4807" s="15">
        <f t="shared" si="74"/>
        <v>4805</v>
      </c>
      <c r="B4807" s="16"/>
      <c r="C4807" s="19"/>
      <c r="D4807" s="10"/>
      <c r="E4807" s="10"/>
      <c r="F4807" s="47"/>
      <c r="G4807" s="10"/>
      <c r="H4807" s="20"/>
      <c r="I4807" s="20"/>
      <c r="J4807" s="10"/>
      <c r="K4807" s="10"/>
      <c r="L4807" s="10"/>
      <c r="M4807" s="10"/>
      <c r="N4807" s="10"/>
      <c r="O4807" s="21"/>
    </row>
    <row r="4808" spans="1:15" x14ac:dyDescent="0.35">
      <c r="A4808" s="15">
        <f t="shared" si="74"/>
        <v>4806</v>
      </c>
      <c r="B4808" s="16"/>
      <c r="C4808" s="19"/>
      <c r="D4808" s="10"/>
      <c r="E4808" s="10"/>
      <c r="F4808" s="47"/>
      <c r="G4808" s="10"/>
      <c r="H4808" s="20"/>
      <c r="I4808" s="20"/>
      <c r="J4808" s="10"/>
      <c r="K4808" s="10"/>
      <c r="L4808" s="10"/>
      <c r="M4808" s="10"/>
      <c r="N4808" s="10"/>
      <c r="O4808" s="21"/>
    </row>
    <row r="4809" spans="1:15" x14ac:dyDescent="0.35">
      <c r="A4809" s="15">
        <f t="shared" si="74"/>
        <v>4807</v>
      </c>
      <c r="B4809" s="16"/>
      <c r="C4809" s="19"/>
      <c r="D4809" s="10"/>
      <c r="E4809" s="10"/>
      <c r="F4809" s="47"/>
      <c r="G4809" s="10"/>
      <c r="H4809" s="20"/>
      <c r="I4809" s="20"/>
      <c r="J4809" s="10"/>
      <c r="K4809" s="10"/>
      <c r="L4809" s="10"/>
      <c r="M4809" s="10"/>
      <c r="N4809" s="10"/>
      <c r="O4809" s="21"/>
    </row>
    <row r="4810" spans="1:15" x14ac:dyDescent="0.35">
      <c r="A4810" s="15">
        <f t="shared" si="74"/>
        <v>4808</v>
      </c>
      <c r="B4810" s="16"/>
      <c r="C4810" s="19"/>
      <c r="D4810" s="10"/>
      <c r="E4810" s="10"/>
      <c r="F4810" s="47"/>
      <c r="G4810" s="10"/>
      <c r="H4810" s="20"/>
      <c r="I4810" s="20"/>
      <c r="J4810" s="10"/>
      <c r="K4810" s="10"/>
      <c r="L4810" s="10"/>
      <c r="M4810" s="10"/>
      <c r="N4810" s="10"/>
      <c r="O4810" s="21"/>
    </row>
    <row r="4811" spans="1:15" x14ac:dyDescent="0.35">
      <c r="A4811" s="15">
        <f t="shared" ref="A4811:A4874" si="75">+A4810+1</f>
        <v>4809</v>
      </c>
      <c r="B4811" s="16"/>
      <c r="C4811" s="19"/>
      <c r="D4811" s="10"/>
      <c r="E4811" s="10"/>
      <c r="F4811" s="47"/>
      <c r="G4811" s="10"/>
      <c r="H4811" s="20"/>
      <c r="I4811" s="20"/>
      <c r="J4811" s="10"/>
      <c r="K4811" s="10"/>
      <c r="L4811" s="10"/>
      <c r="M4811" s="10"/>
      <c r="N4811" s="10"/>
      <c r="O4811" s="21"/>
    </row>
    <row r="4812" spans="1:15" x14ac:dyDescent="0.35">
      <c r="A4812" s="15">
        <f t="shared" si="75"/>
        <v>4810</v>
      </c>
      <c r="B4812" s="16"/>
      <c r="C4812" s="19"/>
      <c r="D4812" s="10"/>
      <c r="E4812" s="10"/>
      <c r="F4812" s="47"/>
      <c r="G4812" s="10"/>
      <c r="H4812" s="20"/>
      <c r="I4812" s="20"/>
      <c r="J4812" s="10"/>
      <c r="K4812" s="10"/>
      <c r="L4812" s="10"/>
      <c r="M4812" s="10"/>
      <c r="N4812" s="10"/>
      <c r="O4812" s="21"/>
    </row>
    <row r="4813" spans="1:15" x14ac:dyDescent="0.35">
      <c r="A4813" s="15">
        <f t="shared" si="75"/>
        <v>4811</v>
      </c>
      <c r="B4813" s="16"/>
      <c r="C4813" s="19"/>
      <c r="D4813" s="10"/>
      <c r="E4813" s="10"/>
      <c r="F4813" s="47"/>
      <c r="G4813" s="10"/>
      <c r="H4813" s="20"/>
      <c r="I4813" s="20"/>
      <c r="J4813" s="10"/>
      <c r="K4813" s="10"/>
      <c r="L4813" s="10"/>
      <c r="M4813" s="10"/>
      <c r="N4813" s="10"/>
      <c r="O4813" s="21"/>
    </row>
    <row r="4814" spans="1:15" x14ac:dyDescent="0.35">
      <c r="A4814" s="15">
        <f t="shared" si="75"/>
        <v>4812</v>
      </c>
      <c r="B4814" s="16"/>
      <c r="C4814" s="19"/>
      <c r="D4814" s="10"/>
      <c r="E4814" s="10"/>
      <c r="F4814" s="47"/>
      <c r="G4814" s="10"/>
      <c r="H4814" s="20"/>
      <c r="I4814" s="20"/>
      <c r="J4814" s="10"/>
      <c r="K4814" s="10"/>
      <c r="L4814" s="10"/>
      <c r="M4814" s="10"/>
      <c r="N4814" s="10"/>
      <c r="O4814" s="21"/>
    </row>
    <row r="4815" spans="1:15" x14ac:dyDescent="0.35">
      <c r="A4815" s="15">
        <f t="shared" si="75"/>
        <v>4813</v>
      </c>
      <c r="B4815" s="16"/>
      <c r="C4815" s="19"/>
      <c r="D4815" s="10"/>
      <c r="E4815" s="10"/>
      <c r="F4815" s="47"/>
      <c r="G4815" s="10"/>
      <c r="H4815" s="20"/>
      <c r="I4815" s="20"/>
      <c r="J4815" s="10"/>
      <c r="K4815" s="10"/>
      <c r="L4815" s="10"/>
      <c r="M4815" s="10"/>
      <c r="N4815" s="10"/>
      <c r="O4815" s="21"/>
    </row>
    <row r="4816" spans="1:15" x14ac:dyDescent="0.35">
      <c r="A4816" s="15">
        <f t="shared" si="75"/>
        <v>4814</v>
      </c>
      <c r="B4816" s="16"/>
      <c r="C4816" s="19"/>
      <c r="D4816" s="10"/>
      <c r="E4816" s="10"/>
      <c r="F4816" s="47"/>
      <c r="G4816" s="10"/>
      <c r="H4816" s="20"/>
      <c r="I4816" s="20"/>
      <c r="J4816" s="10"/>
      <c r="K4816" s="10"/>
      <c r="L4816" s="10"/>
      <c r="M4816" s="10"/>
      <c r="N4816" s="10"/>
      <c r="O4816" s="21"/>
    </row>
    <row r="4817" spans="1:15" x14ac:dyDescent="0.35">
      <c r="A4817" s="15">
        <f t="shared" si="75"/>
        <v>4815</v>
      </c>
      <c r="B4817" s="16"/>
      <c r="C4817" s="19"/>
      <c r="D4817" s="10"/>
      <c r="E4817" s="10"/>
      <c r="F4817" s="47"/>
      <c r="G4817" s="10"/>
      <c r="H4817" s="20"/>
      <c r="I4817" s="20"/>
      <c r="J4817" s="10"/>
      <c r="K4817" s="10"/>
      <c r="L4817" s="10"/>
      <c r="M4817" s="10"/>
      <c r="N4817" s="10"/>
      <c r="O4817" s="21"/>
    </row>
    <row r="4818" spans="1:15" x14ac:dyDescent="0.35">
      <c r="A4818" s="15">
        <f t="shared" si="75"/>
        <v>4816</v>
      </c>
      <c r="B4818" s="16"/>
      <c r="C4818" s="19"/>
      <c r="D4818" s="10"/>
      <c r="E4818" s="10"/>
      <c r="F4818" s="47"/>
      <c r="G4818" s="10"/>
      <c r="H4818" s="20"/>
      <c r="I4818" s="20"/>
      <c r="J4818" s="10"/>
      <c r="K4818" s="10"/>
      <c r="L4818" s="10"/>
      <c r="M4818" s="10"/>
      <c r="N4818" s="10"/>
      <c r="O4818" s="21"/>
    </row>
    <row r="4819" spans="1:15" x14ac:dyDescent="0.35">
      <c r="A4819" s="15">
        <f t="shared" si="75"/>
        <v>4817</v>
      </c>
      <c r="B4819" s="16"/>
      <c r="C4819" s="19"/>
      <c r="D4819" s="10"/>
      <c r="E4819" s="10"/>
      <c r="F4819" s="47"/>
      <c r="G4819" s="10"/>
      <c r="H4819" s="20"/>
      <c r="I4819" s="20"/>
      <c r="J4819" s="10"/>
      <c r="K4819" s="10"/>
      <c r="L4819" s="10"/>
      <c r="M4819" s="10"/>
      <c r="N4819" s="10"/>
      <c r="O4819" s="21"/>
    </row>
    <row r="4820" spans="1:15" x14ac:dyDescent="0.35">
      <c r="A4820" s="15">
        <f t="shared" si="75"/>
        <v>4818</v>
      </c>
      <c r="B4820" s="16"/>
      <c r="C4820" s="19"/>
      <c r="D4820" s="10"/>
      <c r="E4820" s="10"/>
      <c r="F4820" s="47"/>
      <c r="G4820" s="10"/>
      <c r="H4820" s="20"/>
      <c r="I4820" s="20"/>
      <c r="J4820" s="10"/>
      <c r="K4820" s="10"/>
      <c r="L4820" s="10"/>
      <c r="M4820" s="10"/>
      <c r="N4820" s="10"/>
      <c r="O4820" s="21"/>
    </row>
    <row r="4821" spans="1:15" x14ac:dyDescent="0.35">
      <c r="A4821" s="15">
        <f t="shared" si="75"/>
        <v>4819</v>
      </c>
      <c r="B4821" s="16"/>
      <c r="C4821" s="19"/>
      <c r="D4821" s="10"/>
      <c r="E4821" s="10"/>
      <c r="F4821" s="47"/>
      <c r="G4821" s="10"/>
      <c r="H4821" s="20"/>
      <c r="I4821" s="20"/>
      <c r="J4821" s="10"/>
      <c r="K4821" s="10"/>
      <c r="L4821" s="10"/>
      <c r="M4821" s="10"/>
      <c r="N4821" s="10"/>
      <c r="O4821" s="21"/>
    </row>
    <row r="4822" spans="1:15" x14ac:dyDescent="0.35">
      <c r="A4822" s="15">
        <f t="shared" si="75"/>
        <v>4820</v>
      </c>
      <c r="B4822" s="16"/>
      <c r="C4822" s="19"/>
      <c r="D4822" s="10"/>
      <c r="E4822" s="10"/>
      <c r="F4822" s="47"/>
      <c r="G4822" s="10"/>
      <c r="H4822" s="20"/>
      <c r="I4822" s="20"/>
      <c r="J4822" s="10"/>
      <c r="K4822" s="10"/>
      <c r="L4822" s="10"/>
      <c r="M4822" s="10"/>
      <c r="N4822" s="10"/>
      <c r="O4822" s="21"/>
    </row>
    <row r="4823" spans="1:15" x14ac:dyDescent="0.35">
      <c r="A4823" s="15">
        <f t="shared" si="75"/>
        <v>4821</v>
      </c>
      <c r="B4823" s="16"/>
      <c r="C4823" s="19"/>
      <c r="D4823" s="10"/>
      <c r="E4823" s="10"/>
      <c r="F4823" s="47"/>
      <c r="G4823" s="10"/>
      <c r="H4823" s="20"/>
      <c r="I4823" s="20"/>
      <c r="J4823" s="10"/>
      <c r="K4823" s="10"/>
      <c r="L4823" s="10"/>
      <c r="M4823" s="10"/>
      <c r="N4823" s="10"/>
      <c r="O4823" s="21"/>
    </row>
    <row r="4824" spans="1:15" x14ac:dyDescent="0.35">
      <c r="A4824" s="15">
        <f t="shared" si="75"/>
        <v>4822</v>
      </c>
      <c r="B4824" s="16"/>
      <c r="C4824" s="19"/>
      <c r="D4824" s="10"/>
      <c r="E4824" s="10"/>
      <c r="F4824" s="47"/>
      <c r="G4824" s="10"/>
      <c r="H4824" s="20"/>
      <c r="I4824" s="20"/>
      <c r="J4824" s="10"/>
      <c r="K4824" s="10"/>
      <c r="L4824" s="10"/>
      <c r="M4824" s="10"/>
      <c r="N4824" s="10"/>
      <c r="O4824" s="21"/>
    </row>
    <row r="4825" spans="1:15" x14ac:dyDescent="0.35">
      <c r="A4825" s="15">
        <f t="shared" si="75"/>
        <v>4823</v>
      </c>
      <c r="B4825" s="16"/>
      <c r="C4825" s="19"/>
      <c r="D4825" s="10"/>
      <c r="E4825" s="10"/>
      <c r="F4825" s="47"/>
      <c r="G4825" s="10"/>
      <c r="H4825" s="20"/>
      <c r="I4825" s="20"/>
      <c r="J4825" s="10"/>
      <c r="K4825" s="10"/>
      <c r="L4825" s="10"/>
      <c r="M4825" s="10"/>
      <c r="N4825" s="10"/>
      <c r="O4825" s="21"/>
    </row>
    <row r="4826" spans="1:15" x14ac:dyDescent="0.35">
      <c r="A4826" s="15">
        <f t="shared" si="75"/>
        <v>4824</v>
      </c>
      <c r="B4826" s="16"/>
      <c r="C4826" s="19"/>
      <c r="D4826" s="10"/>
      <c r="E4826" s="10"/>
      <c r="F4826" s="47"/>
      <c r="G4826" s="10"/>
      <c r="H4826" s="20"/>
      <c r="I4826" s="20"/>
      <c r="J4826" s="10"/>
      <c r="K4826" s="10"/>
      <c r="L4826" s="10"/>
      <c r="M4826" s="10"/>
      <c r="N4826" s="10"/>
      <c r="O4826" s="21"/>
    </row>
    <row r="4827" spans="1:15" x14ac:dyDescent="0.35">
      <c r="A4827" s="15">
        <f t="shared" si="75"/>
        <v>4825</v>
      </c>
      <c r="B4827" s="16"/>
      <c r="C4827" s="19"/>
      <c r="D4827" s="10"/>
      <c r="E4827" s="10"/>
      <c r="F4827" s="47"/>
      <c r="G4827" s="10"/>
      <c r="H4827" s="20"/>
      <c r="I4827" s="20"/>
      <c r="J4827" s="10"/>
      <c r="K4827" s="10"/>
      <c r="L4827" s="10"/>
      <c r="M4827" s="10"/>
      <c r="N4827" s="10"/>
      <c r="O4827" s="21"/>
    </row>
    <row r="4828" spans="1:15" x14ac:dyDescent="0.35">
      <c r="A4828" s="15">
        <f t="shared" si="75"/>
        <v>4826</v>
      </c>
      <c r="B4828" s="16"/>
      <c r="C4828" s="19"/>
      <c r="D4828" s="10"/>
      <c r="E4828" s="10"/>
      <c r="F4828" s="47"/>
      <c r="G4828" s="10"/>
      <c r="H4828" s="20"/>
      <c r="I4828" s="20"/>
      <c r="J4828" s="10"/>
      <c r="K4828" s="10"/>
      <c r="L4828" s="10"/>
      <c r="M4828" s="10"/>
      <c r="N4828" s="10"/>
      <c r="O4828" s="21"/>
    </row>
    <row r="4829" spans="1:15" x14ac:dyDescent="0.35">
      <c r="A4829" s="15">
        <f t="shared" si="75"/>
        <v>4827</v>
      </c>
      <c r="B4829" s="16"/>
      <c r="C4829" s="19"/>
      <c r="D4829" s="10"/>
      <c r="E4829" s="10"/>
      <c r="F4829" s="47"/>
      <c r="G4829" s="10"/>
      <c r="H4829" s="20"/>
      <c r="I4829" s="20"/>
      <c r="J4829" s="10"/>
      <c r="K4829" s="10"/>
      <c r="L4829" s="10"/>
      <c r="M4829" s="10"/>
      <c r="N4829" s="10"/>
      <c r="O4829" s="21"/>
    </row>
    <row r="4830" spans="1:15" x14ac:dyDescent="0.35">
      <c r="A4830" s="15">
        <f t="shared" si="75"/>
        <v>4828</v>
      </c>
      <c r="B4830" s="16"/>
      <c r="C4830" s="19"/>
      <c r="D4830" s="10"/>
      <c r="E4830" s="10"/>
      <c r="F4830" s="47"/>
      <c r="G4830" s="10"/>
      <c r="H4830" s="20"/>
      <c r="I4830" s="20"/>
      <c r="J4830" s="10"/>
      <c r="K4830" s="10"/>
      <c r="L4830" s="10"/>
      <c r="M4830" s="10"/>
      <c r="N4830" s="10"/>
      <c r="O4830" s="21"/>
    </row>
    <row r="4831" spans="1:15" x14ac:dyDescent="0.35">
      <c r="A4831" s="15">
        <f t="shared" si="75"/>
        <v>4829</v>
      </c>
      <c r="B4831" s="16"/>
      <c r="C4831" s="19"/>
      <c r="D4831" s="10"/>
      <c r="E4831" s="10"/>
      <c r="F4831" s="47"/>
      <c r="G4831" s="10"/>
      <c r="H4831" s="20"/>
      <c r="I4831" s="20"/>
      <c r="J4831" s="10"/>
      <c r="K4831" s="10"/>
      <c r="L4831" s="10"/>
      <c r="M4831" s="10"/>
      <c r="N4831" s="10"/>
      <c r="O4831" s="21"/>
    </row>
    <row r="4832" spans="1:15" x14ac:dyDescent="0.35">
      <c r="A4832" s="15">
        <f t="shared" si="75"/>
        <v>4830</v>
      </c>
      <c r="B4832" s="16"/>
      <c r="C4832" s="19"/>
      <c r="D4832" s="10"/>
      <c r="E4832" s="10"/>
      <c r="F4832" s="47"/>
      <c r="G4832" s="10"/>
      <c r="H4832" s="20"/>
      <c r="I4832" s="20"/>
      <c r="J4832" s="10"/>
      <c r="K4832" s="10"/>
      <c r="L4832" s="10"/>
      <c r="M4832" s="10"/>
      <c r="N4832" s="10"/>
      <c r="O4832" s="21"/>
    </row>
    <row r="4833" spans="1:15" x14ac:dyDescent="0.35">
      <c r="A4833" s="15">
        <f t="shared" si="75"/>
        <v>4831</v>
      </c>
      <c r="B4833" s="16"/>
      <c r="C4833" s="19"/>
      <c r="D4833" s="10"/>
      <c r="E4833" s="10"/>
      <c r="F4833" s="47"/>
      <c r="G4833" s="10"/>
      <c r="H4833" s="20"/>
      <c r="I4833" s="20"/>
      <c r="J4833" s="10"/>
      <c r="K4833" s="10"/>
      <c r="L4833" s="10"/>
      <c r="M4833" s="10"/>
      <c r="N4833" s="10"/>
      <c r="O4833" s="21"/>
    </row>
    <row r="4834" spans="1:15" x14ac:dyDescent="0.35">
      <c r="A4834" s="15">
        <f t="shared" si="75"/>
        <v>4832</v>
      </c>
      <c r="B4834" s="16"/>
      <c r="C4834" s="19"/>
      <c r="D4834" s="10"/>
      <c r="E4834" s="10"/>
      <c r="F4834" s="47"/>
      <c r="G4834" s="10"/>
      <c r="H4834" s="20"/>
      <c r="I4834" s="20"/>
      <c r="J4834" s="10"/>
      <c r="K4834" s="10"/>
      <c r="L4834" s="10"/>
      <c r="M4834" s="10"/>
      <c r="N4834" s="10"/>
      <c r="O4834" s="21"/>
    </row>
    <row r="4835" spans="1:15" x14ac:dyDescent="0.35">
      <c r="A4835" s="15">
        <f t="shared" si="75"/>
        <v>4833</v>
      </c>
      <c r="B4835" s="16"/>
      <c r="C4835" s="19"/>
      <c r="D4835" s="10"/>
      <c r="E4835" s="10"/>
      <c r="F4835" s="47"/>
      <c r="G4835" s="10"/>
      <c r="H4835" s="20"/>
      <c r="I4835" s="20"/>
      <c r="J4835" s="10"/>
      <c r="K4835" s="10"/>
      <c r="L4835" s="10"/>
      <c r="M4835" s="10"/>
      <c r="N4835" s="10"/>
      <c r="O4835" s="21"/>
    </row>
    <row r="4836" spans="1:15" x14ac:dyDescent="0.35">
      <c r="A4836" s="15">
        <f t="shared" si="75"/>
        <v>4834</v>
      </c>
      <c r="B4836" s="16"/>
      <c r="C4836" s="19"/>
      <c r="D4836" s="10"/>
      <c r="E4836" s="10"/>
      <c r="F4836" s="47"/>
      <c r="G4836" s="10"/>
      <c r="H4836" s="20"/>
      <c r="I4836" s="20"/>
      <c r="J4836" s="10"/>
      <c r="K4836" s="10"/>
      <c r="L4836" s="10"/>
      <c r="M4836" s="10"/>
      <c r="N4836" s="10"/>
      <c r="O4836" s="21"/>
    </row>
    <row r="4837" spans="1:15" x14ac:dyDescent="0.35">
      <c r="A4837" s="15">
        <f t="shared" si="75"/>
        <v>4835</v>
      </c>
      <c r="B4837" s="16"/>
      <c r="C4837" s="19"/>
      <c r="D4837" s="10"/>
      <c r="E4837" s="10"/>
      <c r="F4837" s="47"/>
      <c r="G4837" s="10"/>
      <c r="H4837" s="20"/>
      <c r="I4837" s="20"/>
      <c r="J4837" s="10"/>
      <c r="K4837" s="10"/>
      <c r="L4837" s="10"/>
      <c r="M4837" s="10"/>
      <c r="N4837" s="10"/>
      <c r="O4837" s="21"/>
    </row>
    <row r="4838" spans="1:15" x14ac:dyDescent="0.35">
      <c r="A4838" s="15">
        <f t="shared" si="75"/>
        <v>4836</v>
      </c>
      <c r="B4838" s="16"/>
      <c r="C4838" s="19"/>
      <c r="D4838" s="10"/>
      <c r="E4838" s="10"/>
      <c r="F4838" s="47"/>
      <c r="G4838" s="10"/>
      <c r="H4838" s="20"/>
      <c r="I4838" s="20"/>
      <c r="J4838" s="10"/>
      <c r="K4838" s="10"/>
      <c r="L4838" s="10"/>
      <c r="M4838" s="10"/>
      <c r="N4838" s="10"/>
      <c r="O4838" s="21"/>
    </row>
    <row r="4839" spans="1:15" x14ac:dyDescent="0.35">
      <c r="A4839" s="15">
        <f t="shared" si="75"/>
        <v>4837</v>
      </c>
      <c r="B4839" s="16"/>
      <c r="C4839" s="19"/>
      <c r="D4839" s="10"/>
      <c r="E4839" s="10"/>
      <c r="F4839" s="47"/>
      <c r="G4839" s="10"/>
      <c r="H4839" s="20"/>
      <c r="I4839" s="20"/>
      <c r="J4839" s="10"/>
      <c r="K4839" s="10"/>
      <c r="L4839" s="10"/>
      <c r="M4839" s="10"/>
      <c r="N4839" s="10"/>
      <c r="O4839" s="21"/>
    </row>
    <row r="4840" spans="1:15" x14ac:dyDescent="0.35">
      <c r="A4840" s="15">
        <f t="shared" si="75"/>
        <v>4838</v>
      </c>
      <c r="B4840" s="16"/>
      <c r="C4840" s="19"/>
      <c r="D4840" s="10"/>
      <c r="E4840" s="10"/>
      <c r="F4840" s="47"/>
      <c r="G4840" s="10"/>
      <c r="H4840" s="20"/>
      <c r="I4840" s="20"/>
      <c r="J4840" s="10"/>
      <c r="K4840" s="10"/>
      <c r="L4840" s="10"/>
      <c r="M4840" s="10"/>
      <c r="N4840" s="10"/>
      <c r="O4840" s="21"/>
    </row>
    <row r="4841" spans="1:15" x14ac:dyDescent="0.35">
      <c r="A4841" s="15">
        <f t="shared" si="75"/>
        <v>4839</v>
      </c>
      <c r="B4841" s="16"/>
      <c r="C4841" s="19"/>
      <c r="D4841" s="10"/>
      <c r="E4841" s="10"/>
      <c r="F4841" s="47"/>
      <c r="G4841" s="10"/>
      <c r="H4841" s="20"/>
      <c r="I4841" s="20"/>
      <c r="J4841" s="10"/>
      <c r="K4841" s="10"/>
      <c r="L4841" s="10"/>
      <c r="M4841" s="10"/>
      <c r="N4841" s="10"/>
      <c r="O4841" s="21"/>
    </row>
    <row r="4842" spans="1:15" x14ac:dyDescent="0.35">
      <c r="A4842" s="15">
        <f t="shared" si="75"/>
        <v>4840</v>
      </c>
      <c r="B4842" s="16"/>
      <c r="C4842" s="19"/>
      <c r="D4842" s="10"/>
      <c r="E4842" s="10"/>
      <c r="F4842" s="47"/>
      <c r="G4842" s="10"/>
      <c r="H4842" s="20"/>
      <c r="I4842" s="20"/>
      <c r="J4842" s="10"/>
      <c r="K4842" s="10"/>
      <c r="L4842" s="10"/>
      <c r="M4842" s="10"/>
      <c r="N4842" s="10"/>
      <c r="O4842" s="21"/>
    </row>
    <row r="4843" spans="1:15" x14ac:dyDescent="0.35">
      <c r="A4843" s="15">
        <f t="shared" si="75"/>
        <v>4841</v>
      </c>
      <c r="B4843" s="16"/>
      <c r="C4843" s="19"/>
      <c r="D4843" s="10"/>
      <c r="E4843" s="10"/>
      <c r="F4843" s="47"/>
      <c r="G4843" s="10"/>
      <c r="H4843" s="20"/>
      <c r="I4843" s="20"/>
      <c r="J4843" s="10"/>
      <c r="K4843" s="10"/>
      <c r="L4843" s="10"/>
      <c r="M4843" s="10"/>
      <c r="N4843" s="10"/>
      <c r="O4843" s="21"/>
    </row>
    <row r="4844" spans="1:15" x14ac:dyDescent="0.35">
      <c r="A4844" s="15">
        <f t="shared" si="75"/>
        <v>4842</v>
      </c>
      <c r="B4844" s="16"/>
      <c r="C4844" s="19"/>
      <c r="D4844" s="10"/>
      <c r="E4844" s="10"/>
      <c r="F4844" s="47"/>
      <c r="G4844" s="10"/>
      <c r="H4844" s="20"/>
      <c r="I4844" s="20"/>
      <c r="J4844" s="10"/>
      <c r="K4844" s="10"/>
      <c r="L4844" s="10"/>
      <c r="M4844" s="10"/>
      <c r="N4844" s="10"/>
      <c r="O4844" s="21"/>
    </row>
    <row r="4845" spans="1:15" x14ac:dyDescent="0.35">
      <c r="A4845" s="15">
        <f t="shared" si="75"/>
        <v>4843</v>
      </c>
      <c r="B4845" s="16"/>
      <c r="C4845" s="19"/>
      <c r="D4845" s="10"/>
      <c r="E4845" s="10"/>
      <c r="F4845" s="47"/>
      <c r="G4845" s="10"/>
      <c r="H4845" s="20"/>
      <c r="I4845" s="20"/>
      <c r="J4845" s="10"/>
      <c r="K4845" s="10"/>
      <c r="L4845" s="10"/>
      <c r="M4845" s="10"/>
      <c r="N4845" s="10"/>
      <c r="O4845" s="21"/>
    </row>
    <row r="4846" spans="1:15" x14ac:dyDescent="0.35">
      <c r="A4846" s="15">
        <f t="shared" si="75"/>
        <v>4844</v>
      </c>
      <c r="B4846" s="16"/>
      <c r="C4846" s="19"/>
      <c r="D4846" s="10"/>
      <c r="E4846" s="10"/>
      <c r="F4846" s="47"/>
      <c r="G4846" s="10"/>
      <c r="H4846" s="20"/>
      <c r="I4846" s="20"/>
      <c r="J4846" s="10"/>
      <c r="K4846" s="10"/>
      <c r="L4846" s="10"/>
      <c r="M4846" s="10"/>
      <c r="N4846" s="10"/>
      <c r="O4846" s="21"/>
    </row>
    <row r="4847" spans="1:15" x14ac:dyDescent="0.35">
      <c r="A4847" s="15">
        <f t="shared" si="75"/>
        <v>4845</v>
      </c>
      <c r="B4847" s="16"/>
      <c r="C4847" s="19"/>
      <c r="D4847" s="10"/>
      <c r="E4847" s="10"/>
      <c r="F4847" s="47"/>
      <c r="G4847" s="10"/>
      <c r="H4847" s="20"/>
      <c r="I4847" s="20"/>
      <c r="J4847" s="10"/>
      <c r="K4847" s="10"/>
      <c r="L4847" s="10"/>
      <c r="M4847" s="10"/>
      <c r="N4847" s="10"/>
      <c r="O4847" s="21"/>
    </row>
    <row r="4848" spans="1:15" x14ac:dyDescent="0.35">
      <c r="A4848" s="15">
        <f t="shared" si="75"/>
        <v>4846</v>
      </c>
      <c r="B4848" s="16"/>
      <c r="C4848" s="19"/>
      <c r="D4848" s="10"/>
      <c r="E4848" s="10"/>
      <c r="F4848" s="47"/>
      <c r="G4848" s="10"/>
      <c r="H4848" s="20"/>
      <c r="I4848" s="20"/>
      <c r="J4848" s="10"/>
      <c r="K4848" s="10"/>
      <c r="L4848" s="10"/>
      <c r="M4848" s="10"/>
      <c r="N4848" s="10"/>
      <c r="O4848" s="21"/>
    </row>
    <row r="4849" spans="1:15" x14ac:dyDescent="0.35">
      <c r="A4849" s="15">
        <f t="shared" si="75"/>
        <v>4847</v>
      </c>
      <c r="B4849" s="16"/>
      <c r="C4849" s="19"/>
      <c r="D4849" s="10"/>
      <c r="E4849" s="10"/>
      <c r="F4849" s="47"/>
      <c r="G4849" s="10"/>
      <c r="H4849" s="20"/>
      <c r="I4849" s="20"/>
      <c r="J4849" s="10"/>
      <c r="K4849" s="10"/>
      <c r="L4849" s="10"/>
      <c r="M4849" s="10"/>
      <c r="N4849" s="10"/>
      <c r="O4849" s="21"/>
    </row>
    <row r="4850" spans="1:15" x14ac:dyDescent="0.35">
      <c r="A4850" s="15">
        <f t="shared" si="75"/>
        <v>4848</v>
      </c>
      <c r="B4850" s="16"/>
      <c r="C4850" s="19"/>
      <c r="D4850" s="10"/>
      <c r="E4850" s="10"/>
      <c r="F4850" s="47"/>
      <c r="G4850" s="10"/>
      <c r="H4850" s="20"/>
      <c r="I4850" s="20"/>
      <c r="J4850" s="10"/>
      <c r="K4850" s="10"/>
      <c r="L4850" s="10"/>
      <c r="M4850" s="10"/>
      <c r="N4850" s="10"/>
      <c r="O4850" s="21"/>
    </row>
    <row r="4851" spans="1:15" x14ac:dyDescent="0.35">
      <c r="A4851" s="15">
        <f t="shared" si="75"/>
        <v>4849</v>
      </c>
      <c r="B4851" s="16"/>
      <c r="C4851" s="19"/>
      <c r="D4851" s="10"/>
      <c r="E4851" s="10"/>
      <c r="F4851" s="47"/>
      <c r="G4851" s="10"/>
      <c r="H4851" s="20"/>
      <c r="I4851" s="20"/>
      <c r="J4851" s="10"/>
      <c r="K4851" s="10"/>
      <c r="L4851" s="10"/>
      <c r="M4851" s="10"/>
      <c r="N4851" s="10"/>
      <c r="O4851" s="21"/>
    </row>
    <row r="4852" spans="1:15" x14ac:dyDescent="0.35">
      <c r="A4852" s="15">
        <f t="shared" si="75"/>
        <v>4850</v>
      </c>
      <c r="B4852" s="16"/>
      <c r="C4852" s="19"/>
      <c r="D4852" s="10"/>
      <c r="E4852" s="10"/>
      <c r="F4852" s="47"/>
      <c r="G4852" s="10"/>
      <c r="H4852" s="20"/>
      <c r="I4852" s="20"/>
      <c r="J4852" s="10"/>
      <c r="K4852" s="10"/>
      <c r="L4852" s="10"/>
      <c r="M4852" s="10"/>
      <c r="N4852" s="10"/>
      <c r="O4852" s="21"/>
    </row>
    <row r="4853" spans="1:15" x14ac:dyDescent="0.35">
      <c r="A4853" s="15">
        <f t="shared" si="75"/>
        <v>4851</v>
      </c>
      <c r="B4853" s="16"/>
      <c r="C4853" s="19"/>
      <c r="D4853" s="10"/>
      <c r="E4853" s="10"/>
      <c r="F4853" s="47"/>
      <c r="G4853" s="10"/>
      <c r="H4853" s="20"/>
      <c r="I4853" s="20"/>
      <c r="J4853" s="10"/>
      <c r="K4853" s="10"/>
      <c r="L4853" s="10"/>
      <c r="M4853" s="10"/>
      <c r="N4853" s="10"/>
      <c r="O4853" s="21"/>
    </row>
    <row r="4854" spans="1:15" x14ac:dyDescent="0.35">
      <c r="A4854" s="15">
        <f t="shared" si="75"/>
        <v>4852</v>
      </c>
      <c r="B4854" s="16"/>
      <c r="C4854" s="19"/>
      <c r="D4854" s="10"/>
      <c r="E4854" s="10"/>
      <c r="F4854" s="47"/>
      <c r="G4854" s="10"/>
      <c r="H4854" s="20"/>
      <c r="I4854" s="20"/>
      <c r="J4854" s="10"/>
      <c r="K4854" s="10"/>
      <c r="L4854" s="10"/>
      <c r="M4854" s="10"/>
      <c r="N4854" s="10"/>
      <c r="O4854" s="21"/>
    </row>
    <row r="4855" spans="1:15" x14ac:dyDescent="0.35">
      <c r="A4855" s="15">
        <f t="shared" si="75"/>
        <v>4853</v>
      </c>
      <c r="B4855" s="16"/>
      <c r="C4855" s="19"/>
      <c r="D4855" s="10"/>
      <c r="E4855" s="10"/>
      <c r="F4855" s="47"/>
      <c r="G4855" s="10"/>
      <c r="H4855" s="20"/>
      <c r="I4855" s="20"/>
      <c r="J4855" s="10"/>
      <c r="K4855" s="10"/>
      <c r="L4855" s="10"/>
      <c r="M4855" s="10"/>
      <c r="N4855" s="10"/>
      <c r="O4855" s="21"/>
    </row>
    <row r="4856" spans="1:15" x14ac:dyDescent="0.35">
      <c r="A4856" s="15">
        <f t="shared" si="75"/>
        <v>4854</v>
      </c>
      <c r="B4856" s="16"/>
      <c r="C4856" s="19"/>
      <c r="D4856" s="10"/>
      <c r="E4856" s="10"/>
      <c r="F4856" s="47"/>
      <c r="G4856" s="10"/>
      <c r="H4856" s="20"/>
      <c r="I4856" s="20"/>
      <c r="J4856" s="10"/>
      <c r="K4856" s="10"/>
      <c r="L4856" s="10"/>
      <c r="M4856" s="10"/>
      <c r="N4856" s="10"/>
      <c r="O4856" s="21"/>
    </row>
    <row r="4857" spans="1:15" x14ac:dyDescent="0.35">
      <c r="A4857" s="15">
        <f t="shared" si="75"/>
        <v>4855</v>
      </c>
      <c r="B4857" s="16"/>
      <c r="C4857" s="19"/>
      <c r="D4857" s="10"/>
      <c r="E4857" s="10"/>
      <c r="F4857" s="47"/>
      <c r="G4857" s="10"/>
      <c r="H4857" s="20"/>
      <c r="I4857" s="20"/>
      <c r="J4857" s="10"/>
      <c r="K4857" s="10"/>
      <c r="L4857" s="10"/>
      <c r="M4857" s="10"/>
      <c r="N4857" s="10"/>
      <c r="O4857" s="21"/>
    </row>
    <row r="4858" spans="1:15" x14ac:dyDescent="0.35">
      <c r="A4858" s="15">
        <f t="shared" si="75"/>
        <v>4856</v>
      </c>
      <c r="B4858" s="16"/>
      <c r="C4858" s="19"/>
      <c r="D4858" s="10"/>
      <c r="E4858" s="10"/>
      <c r="F4858" s="47"/>
      <c r="G4858" s="10"/>
      <c r="H4858" s="20"/>
      <c r="I4858" s="20"/>
      <c r="J4858" s="10"/>
      <c r="K4858" s="10"/>
      <c r="L4858" s="10"/>
      <c r="M4858" s="10"/>
      <c r="N4858" s="10"/>
      <c r="O4858" s="21"/>
    </row>
    <row r="4859" spans="1:15" x14ac:dyDescent="0.35">
      <c r="A4859" s="15">
        <f t="shared" si="75"/>
        <v>4857</v>
      </c>
      <c r="B4859" s="16"/>
      <c r="C4859" s="19"/>
      <c r="D4859" s="10"/>
      <c r="E4859" s="10"/>
      <c r="F4859" s="47"/>
      <c r="G4859" s="10"/>
      <c r="H4859" s="20"/>
      <c r="I4859" s="20"/>
      <c r="J4859" s="10"/>
      <c r="K4859" s="10"/>
      <c r="L4859" s="10"/>
      <c r="M4859" s="10"/>
      <c r="N4859" s="10"/>
      <c r="O4859" s="21"/>
    </row>
    <row r="4860" spans="1:15" x14ac:dyDescent="0.35">
      <c r="A4860" s="15">
        <f t="shared" si="75"/>
        <v>4858</v>
      </c>
      <c r="B4860" s="16"/>
      <c r="C4860" s="19"/>
      <c r="D4860" s="10"/>
      <c r="E4860" s="10"/>
      <c r="F4860" s="47"/>
      <c r="G4860" s="10"/>
      <c r="H4860" s="20"/>
      <c r="I4860" s="20"/>
      <c r="J4860" s="10"/>
      <c r="K4860" s="10"/>
      <c r="L4860" s="10"/>
      <c r="M4860" s="10"/>
      <c r="N4860" s="10"/>
      <c r="O4860" s="21"/>
    </row>
    <row r="4861" spans="1:15" x14ac:dyDescent="0.35">
      <c r="A4861" s="15">
        <f t="shared" si="75"/>
        <v>4859</v>
      </c>
      <c r="B4861" s="16"/>
      <c r="C4861" s="19"/>
      <c r="D4861" s="10"/>
      <c r="E4861" s="10"/>
      <c r="F4861" s="47"/>
      <c r="G4861" s="10"/>
      <c r="H4861" s="20"/>
      <c r="I4861" s="20"/>
      <c r="J4861" s="10"/>
      <c r="K4861" s="10"/>
      <c r="L4861" s="10"/>
      <c r="M4861" s="10"/>
      <c r="N4861" s="10"/>
      <c r="O4861" s="21"/>
    </row>
    <row r="4862" spans="1:15" x14ac:dyDescent="0.35">
      <c r="A4862" s="15">
        <f t="shared" si="75"/>
        <v>4860</v>
      </c>
      <c r="B4862" s="16"/>
      <c r="C4862" s="19"/>
      <c r="D4862" s="10"/>
      <c r="E4862" s="10"/>
      <c r="F4862" s="47"/>
      <c r="G4862" s="10"/>
      <c r="H4862" s="20"/>
      <c r="I4862" s="20"/>
      <c r="J4862" s="10"/>
      <c r="K4862" s="10"/>
      <c r="L4862" s="10"/>
      <c r="M4862" s="10"/>
      <c r="N4862" s="10"/>
      <c r="O4862" s="21"/>
    </row>
    <row r="4863" spans="1:15" x14ac:dyDescent="0.35">
      <c r="A4863" s="15">
        <f t="shared" si="75"/>
        <v>4861</v>
      </c>
      <c r="B4863" s="16"/>
      <c r="C4863" s="19"/>
      <c r="D4863" s="10"/>
      <c r="E4863" s="10"/>
      <c r="F4863" s="47"/>
      <c r="G4863" s="10"/>
      <c r="H4863" s="20"/>
      <c r="I4863" s="20"/>
      <c r="J4863" s="10"/>
      <c r="K4863" s="10"/>
      <c r="L4863" s="10"/>
      <c r="M4863" s="10"/>
      <c r="N4863" s="10"/>
      <c r="O4863" s="21"/>
    </row>
    <row r="4864" spans="1:15" x14ac:dyDescent="0.35">
      <c r="A4864" s="15">
        <f t="shared" si="75"/>
        <v>4862</v>
      </c>
      <c r="B4864" s="16"/>
      <c r="C4864" s="19"/>
      <c r="D4864" s="10"/>
      <c r="E4864" s="10"/>
      <c r="F4864" s="47"/>
      <c r="G4864" s="10"/>
      <c r="H4864" s="20"/>
      <c r="I4864" s="20"/>
      <c r="J4864" s="10"/>
      <c r="K4864" s="10"/>
      <c r="L4864" s="10"/>
      <c r="M4864" s="10"/>
      <c r="N4864" s="10"/>
      <c r="O4864" s="21"/>
    </row>
    <row r="4865" spans="1:15" x14ac:dyDescent="0.35">
      <c r="A4865" s="15">
        <f t="shared" si="75"/>
        <v>4863</v>
      </c>
      <c r="B4865" s="16"/>
      <c r="C4865" s="19"/>
      <c r="D4865" s="10"/>
      <c r="E4865" s="10"/>
      <c r="F4865" s="47"/>
      <c r="G4865" s="10"/>
      <c r="H4865" s="20"/>
      <c r="I4865" s="20"/>
      <c r="J4865" s="10"/>
      <c r="K4865" s="10"/>
      <c r="L4865" s="10"/>
      <c r="M4865" s="10"/>
      <c r="N4865" s="10"/>
      <c r="O4865" s="21"/>
    </row>
    <row r="4866" spans="1:15" x14ac:dyDescent="0.35">
      <c r="A4866" s="15">
        <f t="shared" si="75"/>
        <v>4864</v>
      </c>
      <c r="B4866" s="16"/>
      <c r="C4866" s="19"/>
      <c r="D4866" s="10"/>
      <c r="E4866" s="10"/>
      <c r="F4866" s="47"/>
      <c r="G4866" s="10"/>
      <c r="H4866" s="20"/>
      <c r="I4866" s="20"/>
      <c r="J4866" s="10"/>
      <c r="K4866" s="10"/>
      <c r="L4866" s="10"/>
      <c r="M4866" s="10"/>
      <c r="N4866" s="10"/>
      <c r="O4866" s="21"/>
    </row>
    <row r="4867" spans="1:15" x14ac:dyDescent="0.35">
      <c r="A4867" s="15">
        <f t="shared" si="75"/>
        <v>4865</v>
      </c>
      <c r="B4867" s="16"/>
      <c r="C4867" s="19"/>
      <c r="D4867" s="10"/>
      <c r="E4867" s="10"/>
      <c r="F4867" s="47"/>
      <c r="G4867" s="10"/>
      <c r="H4867" s="20"/>
      <c r="I4867" s="20"/>
      <c r="J4867" s="10"/>
      <c r="K4867" s="10"/>
      <c r="L4867" s="10"/>
      <c r="M4867" s="10"/>
      <c r="N4867" s="10"/>
      <c r="O4867" s="21"/>
    </row>
    <row r="4868" spans="1:15" x14ac:dyDescent="0.35">
      <c r="A4868" s="15">
        <f t="shared" si="75"/>
        <v>4866</v>
      </c>
      <c r="B4868" s="16"/>
      <c r="C4868" s="19"/>
      <c r="D4868" s="10"/>
      <c r="E4868" s="10"/>
      <c r="F4868" s="47"/>
      <c r="G4868" s="10"/>
      <c r="H4868" s="20"/>
      <c r="I4868" s="20"/>
      <c r="J4868" s="10"/>
      <c r="K4868" s="10"/>
      <c r="L4868" s="10"/>
      <c r="M4868" s="10"/>
      <c r="N4868" s="10"/>
      <c r="O4868" s="21"/>
    </row>
    <row r="4869" spans="1:15" x14ac:dyDescent="0.35">
      <c r="A4869" s="15">
        <f t="shared" si="75"/>
        <v>4867</v>
      </c>
      <c r="B4869" s="16"/>
      <c r="C4869" s="19"/>
      <c r="D4869" s="10"/>
      <c r="E4869" s="10"/>
      <c r="F4869" s="47"/>
      <c r="G4869" s="10"/>
      <c r="H4869" s="20"/>
      <c r="I4869" s="20"/>
      <c r="J4869" s="10"/>
      <c r="K4869" s="10"/>
      <c r="L4869" s="10"/>
      <c r="M4869" s="10"/>
      <c r="N4869" s="10"/>
      <c r="O4869" s="21"/>
    </row>
    <row r="4870" spans="1:15" x14ac:dyDescent="0.35">
      <c r="A4870" s="15">
        <f t="shared" si="75"/>
        <v>4868</v>
      </c>
      <c r="B4870" s="16"/>
      <c r="C4870" s="19"/>
      <c r="D4870" s="10"/>
      <c r="E4870" s="10"/>
      <c r="F4870" s="47"/>
      <c r="G4870" s="10"/>
      <c r="H4870" s="20"/>
      <c r="I4870" s="20"/>
      <c r="J4870" s="10"/>
      <c r="K4870" s="10"/>
      <c r="L4870" s="10"/>
      <c r="M4870" s="10"/>
      <c r="N4870" s="10"/>
      <c r="O4870" s="21"/>
    </row>
    <row r="4871" spans="1:15" x14ac:dyDescent="0.35">
      <c r="A4871" s="15">
        <f t="shared" si="75"/>
        <v>4869</v>
      </c>
      <c r="B4871" s="16"/>
      <c r="C4871" s="19"/>
      <c r="D4871" s="10"/>
      <c r="E4871" s="10"/>
      <c r="F4871" s="47"/>
      <c r="G4871" s="10"/>
      <c r="H4871" s="20"/>
      <c r="I4871" s="20"/>
      <c r="J4871" s="10"/>
      <c r="K4871" s="10"/>
      <c r="L4871" s="10"/>
      <c r="M4871" s="10"/>
      <c r="N4871" s="10"/>
      <c r="O4871" s="21"/>
    </row>
    <row r="4872" spans="1:15" x14ac:dyDescent="0.35">
      <c r="A4872" s="15">
        <f t="shared" si="75"/>
        <v>4870</v>
      </c>
      <c r="B4872" s="16"/>
      <c r="C4872" s="19"/>
      <c r="D4872" s="10"/>
      <c r="E4872" s="10"/>
      <c r="F4872" s="47"/>
      <c r="G4872" s="10"/>
      <c r="H4872" s="20"/>
      <c r="I4872" s="20"/>
      <c r="J4872" s="10"/>
      <c r="K4872" s="10"/>
      <c r="L4872" s="10"/>
      <c r="M4872" s="10"/>
      <c r="N4872" s="10"/>
      <c r="O4872" s="21"/>
    </row>
    <row r="4873" spans="1:15" x14ac:dyDescent="0.35">
      <c r="A4873" s="15">
        <f t="shared" si="75"/>
        <v>4871</v>
      </c>
      <c r="B4873" s="16"/>
      <c r="C4873" s="19"/>
      <c r="D4873" s="10"/>
      <c r="E4873" s="10"/>
      <c r="F4873" s="47"/>
      <c r="G4873" s="10"/>
      <c r="H4873" s="20"/>
      <c r="I4873" s="20"/>
      <c r="J4873" s="10"/>
      <c r="K4873" s="10"/>
      <c r="L4873" s="10"/>
      <c r="M4873" s="10"/>
      <c r="N4873" s="10"/>
      <c r="O4873" s="21"/>
    </row>
    <row r="4874" spans="1:15" x14ac:dyDescent="0.35">
      <c r="A4874" s="15">
        <f t="shared" si="75"/>
        <v>4872</v>
      </c>
      <c r="B4874" s="16"/>
      <c r="C4874" s="19"/>
      <c r="D4874" s="10"/>
      <c r="E4874" s="10"/>
      <c r="F4874" s="47"/>
      <c r="G4874" s="10"/>
      <c r="H4874" s="20"/>
      <c r="I4874" s="20"/>
      <c r="J4874" s="10"/>
      <c r="K4874" s="10"/>
      <c r="L4874" s="10"/>
      <c r="M4874" s="10"/>
      <c r="N4874" s="10"/>
      <c r="O4874" s="21"/>
    </row>
    <row r="4875" spans="1:15" x14ac:dyDescent="0.35">
      <c r="A4875" s="15">
        <f t="shared" ref="A4875:A4938" si="76">+A4874+1</f>
        <v>4873</v>
      </c>
      <c r="B4875" s="16"/>
      <c r="C4875" s="19"/>
      <c r="D4875" s="10"/>
      <c r="E4875" s="10"/>
      <c r="F4875" s="47"/>
      <c r="G4875" s="10"/>
      <c r="H4875" s="20"/>
      <c r="I4875" s="20"/>
      <c r="J4875" s="10"/>
      <c r="K4875" s="10"/>
      <c r="L4875" s="10"/>
      <c r="M4875" s="10"/>
      <c r="N4875" s="10"/>
      <c r="O4875" s="21"/>
    </row>
    <row r="4876" spans="1:15" x14ac:dyDescent="0.35">
      <c r="A4876" s="15">
        <f t="shared" si="76"/>
        <v>4874</v>
      </c>
      <c r="B4876" s="16"/>
      <c r="C4876" s="19"/>
      <c r="D4876" s="10"/>
      <c r="E4876" s="10"/>
      <c r="F4876" s="47"/>
      <c r="G4876" s="10"/>
      <c r="H4876" s="20"/>
      <c r="I4876" s="20"/>
      <c r="J4876" s="10"/>
      <c r="K4876" s="10"/>
      <c r="L4876" s="10"/>
      <c r="M4876" s="10"/>
      <c r="N4876" s="10"/>
      <c r="O4876" s="21"/>
    </row>
    <row r="4877" spans="1:15" x14ac:dyDescent="0.35">
      <c r="A4877" s="15">
        <f t="shared" si="76"/>
        <v>4875</v>
      </c>
      <c r="B4877" s="16"/>
      <c r="C4877" s="19"/>
      <c r="D4877" s="10"/>
      <c r="E4877" s="10"/>
      <c r="F4877" s="47"/>
      <c r="G4877" s="10"/>
      <c r="H4877" s="20"/>
      <c r="I4877" s="20"/>
      <c r="J4877" s="10"/>
      <c r="K4877" s="10"/>
      <c r="L4877" s="10"/>
      <c r="M4877" s="10"/>
      <c r="N4877" s="10"/>
      <c r="O4877" s="21"/>
    </row>
    <row r="4878" spans="1:15" x14ac:dyDescent="0.35">
      <c r="A4878" s="15">
        <f t="shared" si="76"/>
        <v>4876</v>
      </c>
      <c r="B4878" s="16"/>
      <c r="C4878" s="19"/>
      <c r="D4878" s="10"/>
      <c r="E4878" s="10"/>
      <c r="F4878" s="47"/>
      <c r="G4878" s="10"/>
      <c r="H4878" s="20"/>
      <c r="I4878" s="20"/>
      <c r="J4878" s="10"/>
      <c r="K4878" s="10"/>
      <c r="L4878" s="10"/>
      <c r="M4878" s="10"/>
      <c r="N4878" s="10"/>
      <c r="O4878" s="21"/>
    </row>
    <row r="4879" spans="1:15" x14ac:dyDescent="0.35">
      <c r="A4879" s="15">
        <f t="shared" si="76"/>
        <v>4877</v>
      </c>
      <c r="B4879" s="16"/>
      <c r="C4879" s="19"/>
      <c r="D4879" s="10"/>
      <c r="E4879" s="10"/>
      <c r="F4879" s="47"/>
      <c r="G4879" s="10"/>
      <c r="H4879" s="20"/>
      <c r="I4879" s="20"/>
      <c r="J4879" s="10"/>
      <c r="K4879" s="10"/>
      <c r="L4879" s="10"/>
      <c r="M4879" s="10"/>
      <c r="N4879" s="10"/>
      <c r="O4879" s="21"/>
    </row>
    <row r="4880" spans="1:15" x14ac:dyDescent="0.35">
      <c r="A4880" s="15">
        <f t="shared" si="76"/>
        <v>4878</v>
      </c>
      <c r="B4880" s="16"/>
      <c r="C4880" s="19"/>
      <c r="D4880" s="10"/>
      <c r="E4880" s="10"/>
      <c r="F4880" s="47"/>
      <c r="G4880" s="10"/>
      <c r="H4880" s="20"/>
      <c r="I4880" s="20"/>
      <c r="J4880" s="10"/>
      <c r="K4880" s="10"/>
      <c r="L4880" s="10"/>
      <c r="M4880" s="10"/>
      <c r="N4880" s="10"/>
      <c r="O4880" s="21"/>
    </row>
    <row r="4881" spans="1:15" x14ac:dyDescent="0.35">
      <c r="A4881" s="15">
        <f t="shared" si="76"/>
        <v>4879</v>
      </c>
      <c r="B4881" s="16"/>
      <c r="C4881" s="19"/>
      <c r="D4881" s="10"/>
      <c r="E4881" s="10"/>
      <c r="F4881" s="47"/>
      <c r="G4881" s="10"/>
      <c r="H4881" s="20"/>
      <c r="I4881" s="20"/>
      <c r="J4881" s="10"/>
      <c r="K4881" s="10"/>
      <c r="L4881" s="10"/>
      <c r="M4881" s="10"/>
      <c r="N4881" s="10"/>
      <c r="O4881" s="21"/>
    </row>
    <row r="4882" spans="1:15" x14ac:dyDescent="0.35">
      <c r="A4882" s="15">
        <f t="shared" si="76"/>
        <v>4880</v>
      </c>
      <c r="B4882" s="16"/>
      <c r="C4882" s="19"/>
      <c r="D4882" s="10"/>
      <c r="E4882" s="10"/>
      <c r="F4882" s="47"/>
      <c r="G4882" s="10"/>
      <c r="H4882" s="20"/>
      <c r="I4882" s="20"/>
      <c r="J4882" s="10"/>
      <c r="K4882" s="10"/>
      <c r="L4882" s="10"/>
      <c r="M4882" s="10"/>
      <c r="N4882" s="10"/>
      <c r="O4882" s="21"/>
    </row>
    <row r="4883" spans="1:15" x14ac:dyDescent="0.35">
      <c r="A4883" s="15">
        <f t="shared" si="76"/>
        <v>4881</v>
      </c>
      <c r="B4883" s="16"/>
      <c r="C4883" s="19"/>
      <c r="D4883" s="10"/>
      <c r="E4883" s="10"/>
      <c r="F4883" s="47"/>
      <c r="G4883" s="10"/>
      <c r="H4883" s="20"/>
      <c r="I4883" s="20"/>
      <c r="J4883" s="10"/>
      <c r="K4883" s="10"/>
      <c r="L4883" s="10"/>
      <c r="M4883" s="10"/>
      <c r="N4883" s="10"/>
      <c r="O4883" s="21"/>
    </row>
    <row r="4884" spans="1:15" x14ac:dyDescent="0.35">
      <c r="A4884" s="15">
        <f t="shared" si="76"/>
        <v>4882</v>
      </c>
      <c r="B4884" s="16"/>
      <c r="C4884" s="19"/>
      <c r="D4884" s="10"/>
      <c r="E4884" s="10"/>
      <c r="F4884" s="47"/>
      <c r="G4884" s="10"/>
      <c r="H4884" s="20"/>
      <c r="I4884" s="20"/>
      <c r="J4884" s="10"/>
      <c r="K4884" s="10"/>
      <c r="L4884" s="10"/>
      <c r="M4884" s="10"/>
      <c r="N4884" s="10"/>
      <c r="O4884" s="21"/>
    </row>
    <row r="4885" spans="1:15" x14ac:dyDescent="0.35">
      <c r="A4885" s="15">
        <f t="shared" si="76"/>
        <v>4883</v>
      </c>
      <c r="B4885" s="16"/>
      <c r="C4885" s="19"/>
      <c r="D4885" s="10"/>
      <c r="E4885" s="10"/>
      <c r="F4885" s="47"/>
      <c r="G4885" s="10"/>
      <c r="H4885" s="20"/>
      <c r="I4885" s="20"/>
      <c r="J4885" s="10"/>
      <c r="K4885" s="10"/>
      <c r="L4885" s="10"/>
      <c r="M4885" s="10"/>
      <c r="N4885" s="10"/>
      <c r="O4885" s="21"/>
    </row>
    <row r="4886" spans="1:15" x14ac:dyDescent="0.35">
      <c r="A4886" s="15">
        <f t="shared" si="76"/>
        <v>4884</v>
      </c>
      <c r="B4886" s="16"/>
      <c r="C4886" s="19"/>
      <c r="D4886" s="10"/>
      <c r="E4886" s="10"/>
      <c r="F4886" s="47"/>
      <c r="G4886" s="10"/>
      <c r="H4886" s="20"/>
      <c r="I4886" s="20"/>
      <c r="J4886" s="10"/>
      <c r="K4886" s="10"/>
      <c r="L4886" s="10"/>
      <c r="M4886" s="10"/>
      <c r="N4886" s="10"/>
      <c r="O4886" s="21"/>
    </row>
    <row r="4887" spans="1:15" x14ac:dyDescent="0.35">
      <c r="A4887" s="15">
        <f t="shared" si="76"/>
        <v>4885</v>
      </c>
      <c r="B4887" s="16"/>
      <c r="C4887" s="19"/>
      <c r="D4887" s="10"/>
      <c r="E4887" s="10"/>
      <c r="F4887" s="47"/>
      <c r="G4887" s="10"/>
      <c r="H4887" s="20"/>
      <c r="I4887" s="20"/>
      <c r="J4887" s="10"/>
      <c r="K4887" s="10"/>
      <c r="L4887" s="10"/>
      <c r="M4887" s="10"/>
      <c r="N4887" s="10"/>
      <c r="O4887" s="21"/>
    </row>
    <row r="4888" spans="1:15" x14ac:dyDescent="0.35">
      <c r="A4888" s="15">
        <f t="shared" si="76"/>
        <v>4886</v>
      </c>
      <c r="B4888" s="16"/>
      <c r="C4888" s="19"/>
      <c r="D4888" s="10"/>
      <c r="E4888" s="10"/>
      <c r="F4888" s="47"/>
      <c r="G4888" s="10"/>
      <c r="H4888" s="20"/>
      <c r="I4888" s="20"/>
      <c r="J4888" s="10"/>
      <c r="K4888" s="10"/>
      <c r="L4888" s="10"/>
      <c r="M4888" s="10"/>
      <c r="N4888" s="10"/>
      <c r="O4888" s="21"/>
    </row>
    <row r="4889" spans="1:15" x14ac:dyDescent="0.35">
      <c r="A4889" s="15">
        <f t="shared" si="76"/>
        <v>4887</v>
      </c>
      <c r="B4889" s="16"/>
      <c r="C4889" s="19"/>
      <c r="D4889" s="10"/>
      <c r="E4889" s="10"/>
      <c r="F4889" s="47"/>
      <c r="G4889" s="10"/>
      <c r="H4889" s="20"/>
      <c r="I4889" s="20"/>
      <c r="J4889" s="10"/>
      <c r="K4889" s="10"/>
      <c r="L4889" s="10"/>
      <c r="M4889" s="10"/>
      <c r="N4889" s="10"/>
      <c r="O4889" s="21"/>
    </row>
    <row r="4890" spans="1:15" x14ac:dyDescent="0.35">
      <c r="A4890" s="15">
        <f t="shared" si="76"/>
        <v>4888</v>
      </c>
      <c r="B4890" s="16"/>
      <c r="C4890" s="19"/>
      <c r="D4890" s="10"/>
      <c r="E4890" s="10"/>
      <c r="F4890" s="47"/>
      <c r="G4890" s="10"/>
      <c r="H4890" s="20"/>
      <c r="I4890" s="20"/>
      <c r="J4890" s="10"/>
      <c r="K4890" s="10"/>
      <c r="L4890" s="10"/>
      <c r="M4890" s="10"/>
      <c r="N4890" s="10"/>
      <c r="O4890" s="21"/>
    </row>
    <row r="4891" spans="1:15" x14ac:dyDescent="0.35">
      <c r="A4891" s="15">
        <f t="shared" si="76"/>
        <v>4889</v>
      </c>
      <c r="B4891" s="16"/>
      <c r="C4891" s="19"/>
      <c r="D4891" s="10"/>
      <c r="E4891" s="10"/>
      <c r="F4891" s="47"/>
      <c r="G4891" s="10"/>
      <c r="H4891" s="20"/>
      <c r="I4891" s="20"/>
      <c r="J4891" s="10"/>
      <c r="K4891" s="10"/>
      <c r="L4891" s="10"/>
      <c r="M4891" s="10"/>
      <c r="N4891" s="10"/>
      <c r="O4891" s="21"/>
    </row>
    <row r="4892" spans="1:15" x14ac:dyDescent="0.35">
      <c r="A4892" s="15">
        <f t="shared" si="76"/>
        <v>4890</v>
      </c>
      <c r="B4892" s="16"/>
      <c r="C4892" s="19"/>
      <c r="D4892" s="10"/>
      <c r="E4892" s="10"/>
      <c r="F4892" s="47"/>
      <c r="G4892" s="10"/>
      <c r="H4892" s="20"/>
      <c r="I4892" s="20"/>
      <c r="J4892" s="10"/>
      <c r="K4892" s="10"/>
      <c r="L4892" s="10"/>
      <c r="M4892" s="10"/>
      <c r="N4892" s="10"/>
      <c r="O4892" s="21"/>
    </row>
    <row r="4893" spans="1:15" x14ac:dyDescent="0.35">
      <c r="A4893" s="15">
        <f t="shared" si="76"/>
        <v>4891</v>
      </c>
      <c r="B4893" s="16"/>
      <c r="C4893" s="19"/>
      <c r="D4893" s="10"/>
      <c r="E4893" s="10"/>
      <c r="F4893" s="47"/>
      <c r="G4893" s="10"/>
      <c r="H4893" s="20"/>
      <c r="I4893" s="20"/>
      <c r="J4893" s="10"/>
      <c r="K4893" s="10"/>
      <c r="L4893" s="10"/>
      <c r="M4893" s="10"/>
      <c r="N4893" s="10"/>
      <c r="O4893" s="21"/>
    </row>
    <row r="4894" spans="1:15" x14ac:dyDescent="0.35">
      <c r="A4894" s="15">
        <f t="shared" si="76"/>
        <v>4892</v>
      </c>
      <c r="B4894" s="16"/>
      <c r="C4894" s="19"/>
      <c r="D4894" s="10"/>
      <c r="E4894" s="10"/>
      <c r="F4894" s="47"/>
      <c r="G4894" s="10"/>
      <c r="H4894" s="20"/>
      <c r="I4894" s="20"/>
      <c r="J4894" s="10"/>
      <c r="K4894" s="10"/>
      <c r="L4894" s="10"/>
      <c r="M4894" s="10"/>
      <c r="N4894" s="10"/>
      <c r="O4894" s="21"/>
    </row>
    <row r="4895" spans="1:15" x14ac:dyDescent="0.35">
      <c r="A4895" s="15">
        <f t="shared" si="76"/>
        <v>4893</v>
      </c>
      <c r="B4895" s="16"/>
      <c r="C4895" s="19"/>
      <c r="D4895" s="10"/>
      <c r="E4895" s="10"/>
      <c r="F4895" s="47"/>
      <c r="G4895" s="10"/>
      <c r="H4895" s="20"/>
      <c r="I4895" s="20"/>
      <c r="J4895" s="10"/>
      <c r="K4895" s="10"/>
      <c r="L4895" s="10"/>
      <c r="M4895" s="10"/>
      <c r="N4895" s="10"/>
      <c r="O4895" s="21"/>
    </row>
    <row r="4896" spans="1:15" x14ac:dyDescent="0.35">
      <c r="A4896" s="15">
        <f t="shared" si="76"/>
        <v>4894</v>
      </c>
      <c r="B4896" s="16"/>
      <c r="C4896" s="19"/>
      <c r="D4896" s="10"/>
      <c r="E4896" s="10"/>
      <c r="F4896" s="47"/>
      <c r="G4896" s="10"/>
      <c r="H4896" s="20"/>
      <c r="I4896" s="20"/>
      <c r="J4896" s="10"/>
      <c r="K4896" s="10"/>
      <c r="L4896" s="10"/>
      <c r="M4896" s="10"/>
      <c r="N4896" s="10"/>
      <c r="O4896" s="21"/>
    </row>
    <row r="4897" spans="1:15" x14ac:dyDescent="0.35">
      <c r="A4897" s="15">
        <f t="shared" si="76"/>
        <v>4895</v>
      </c>
      <c r="B4897" s="16"/>
      <c r="C4897" s="19"/>
      <c r="D4897" s="10"/>
      <c r="E4897" s="10"/>
      <c r="F4897" s="47"/>
      <c r="G4897" s="10"/>
      <c r="H4897" s="20"/>
      <c r="I4897" s="20"/>
      <c r="J4897" s="10"/>
      <c r="K4897" s="10"/>
      <c r="L4897" s="10"/>
      <c r="M4897" s="10"/>
      <c r="N4897" s="10"/>
      <c r="O4897" s="21"/>
    </row>
    <row r="4898" spans="1:15" x14ac:dyDescent="0.35">
      <c r="A4898" s="15">
        <f t="shared" si="76"/>
        <v>4896</v>
      </c>
      <c r="B4898" s="16"/>
      <c r="C4898" s="19"/>
      <c r="D4898" s="10"/>
      <c r="E4898" s="10"/>
      <c r="F4898" s="47"/>
      <c r="G4898" s="10"/>
      <c r="H4898" s="20"/>
      <c r="I4898" s="20"/>
      <c r="J4898" s="10"/>
      <c r="K4898" s="10"/>
      <c r="L4898" s="10"/>
      <c r="M4898" s="10"/>
      <c r="N4898" s="10"/>
      <c r="O4898" s="21"/>
    </row>
    <row r="4899" spans="1:15" x14ac:dyDescent="0.35">
      <c r="A4899" s="15">
        <f t="shared" si="76"/>
        <v>4897</v>
      </c>
      <c r="B4899" s="16"/>
      <c r="C4899" s="19"/>
      <c r="D4899" s="10"/>
      <c r="E4899" s="10"/>
      <c r="F4899" s="47"/>
      <c r="G4899" s="10"/>
      <c r="H4899" s="20"/>
      <c r="I4899" s="20"/>
      <c r="J4899" s="10"/>
      <c r="K4899" s="10"/>
      <c r="L4899" s="10"/>
      <c r="M4899" s="10"/>
      <c r="N4899" s="10"/>
      <c r="O4899" s="21"/>
    </row>
    <row r="4900" spans="1:15" x14ac:dyDescent="0.35">
      <c r="A4900" s="15">
        <f t="shared" si="76"/>
        <v>4898</v>
      </c>
      <c r="B4900" s="16"/>
      <c r="C4900" s="19"/>
      <c r="D4900" s="10"/>
      <c r="E4900" s="10"/>
      <c r="F4900" s="47"/>
      <c r="G4900" s="10"/>
      <c r="H4900" s="20"/>
      <c r="I4900" s="20"/>
      <c r="J4900" s="10"/>
      <c r="K4900" s="10"/>
      <c r="L4900" s="10"/>
      <c r="M4900" s="10"/>
      <c r="N4900" s="10"/>
      <c r="O4900" s="21"/>
    </row>
    <row r="4901" spans="1:15" x14ac:dyDescent="0.35">
      <c r="A4901" s="15">
        <f t="shared" si="76"/>
        <v>4899</v>
      </c>
      <c r="B4901" s="16"/>
      <c r="C4901" s="19"/>
      <c r="D4901" s="10"/>
      <c r="E4901" s="10"/>
      <c r="F4901" s="47"/>
      <c r="G4901" s="10"/>
      <c r="H4901" s="20"/>
      <c r="I4901" s="20"/>
      <c r="J4901" s="10"/>
      <c r="K4901" s="10"/>
      <c r="L4901" s="10"/>
      <c r="M4901" s="10"/>
      <c r="N4901" s="10"/>
      <c r="O4901" s="21"/>
    </row>
    <row r="4902" spans="1:15" x14ac:dyDescent="0.35">
      <c r="A4902" s="15">
        <f t="shared" si="76"/>
        <v>4900</v>
      </c>
      <c r="B4902" s="16"/>
      <c r="C4902" s="19"/>
      <c r="D4902" s="10"/>
      <c r="E4902" s="10"/>
      <c r="F4902" s="47"/>
      <c r="G4902" s="10"/>
      <c r="H4902" s="20"/>
      <c r="I4902" s="20"/>
      <c r="J4902" s="10"/>
      <c r="K4902" s="10"/>
      <c r="L4902" s="10"/>
      <c r="M4902" s="10"/>
      <c r="N4902" s="10"/>
      <c r="O4902" s="21"/>
    </row>
    <row r="4903" spans="1:15" x14ac:dyDescent="0.35">
      <c r="A4903" s="15">
        <f t="shared" si="76"/>
        <v>4901</v>
      </c>
      <c r="B4903" s="16"/>
      <c r="C4903" s="19"/>
      <c r="D4903" s="10"/>
      <c r="E4903" s="10"/>
      <c r="F4903" s="47"/>
      <c r="G4903" s="10"/>
      <c r="H4903" s="20"/>
      <c r="I4903" s="20"/>
      <c r="J4903" s="10"/>
      <c r="K4903" s="10"/>
      <c r="L4903" s="10"/>
      <c r="M4903" s="10"/>
      <c r="N4903" s="10"/>
      <c r="O4903" s="21"/>
    </row>
    <row r="4904" spans="1:15" x14ac:dyDescent="0.35">
      <c r="A4904" s="15">
        <f t="shared" si="76"/>
        <v>4902</v>
      </c>
      <c r="B4904" s="16"/>
      <c r="C4904" s="19"/>
      <c r="D4904" s="10"/>
      <c r="E4904" s="10"/>
      <c r="F4904" s="47"/>
      <c r="G4904" s="10"/>
      <c r="H4904" s="20"/>
      <c r="I4904" s="20"/>
      <c r="J4904" s="10"/>
      <c r="K4904" s="10"/>
      <c r="L4904" s="10"/>
      <c r="M4904" s="10"/>
      <c r="N4904" s="10"/>
      <c r="O4904" s="21"/>
    </row>
    <row r="4905" spans="1:15" x14ac:dyDescent="0.35">
      <c r="A4905" s="15">
        <f t="shared" si="76"/>
        <v>4903</v>
      </c>
      <c r="B4905" s="16"/>
      <c r="C4905" s="19"/>
      <c r="D4905" s="10"/>
      <c r="E4905" s="10"/>
      <c r="F4905" s="47"/>
      <c r="G4905" s="10"/>
      <c r="H4905" s="20"/>
      <c r="I4905" s="20"/>
      <c r="J4905" s="10"/>
      <c r="K4905" s="10"/>
      <c r="L4905" s="10"/>
      <c r="M4905" s="10"/>
      <c r="N4905" s="10"/>
      <c r="O4905" s="21"/>
    </row>
    <row r="4906" spans="1:15" x14ac:dyDescent="0.35">
      <c r="A4906" s="15">
        <f t="shared" si="76"/>
        <v>4904</v>
      </c>
      <c r="B4906" s="16"/>
      <c r="C4906" s="19"/>
      <c r="D4906" s="10"/>
      <c r="E4906" s="10"/>
      <c r="F4906" s="47"/>
      <c r="G4906" s="10"/>
      <c r="H4906" s="20"/>
      <c r="I4906" s="20"/>
      <c r="J4906" s="10"/>
      <c r="K4906" s="10"/>
      <c r="L4906" s="10"/>
      <c r="M4906" s="10"/>
      <c r="N4906" s="10"/>
      <c r="O4906" s="21"/>
    </row>
    <row r="4907" spans="1:15" x14ac:dyDescent="0.35">
      <c r="A4907" s="15">
        <f t="shared" si="76"/>
        <v>4905</v>
      </c>
      <c r="B4907" s="16"/>
      <c r="C4907" s="19"/>
      <c r="D4907" s="10"/>
      <c r="E4907" s="10"/>
      <c r="F4907" s="47"/>
      <c r="G4907" s="10"/>
      <c r="H4907" s="20"/>
      <c r="I4907" s="20"/>
      <c r="J4907" s="10"/>
      <c r="K4907" s="10"/>
      <c r="L4907" s="10"/>
      <c r="M4907" s="10"/>
      <c r="N4907" s="10"/>
      <c r="O4907" s="21"/>
    </row>
    <row r="4908" spans="1:15" x14ac:dyDescent="0.35">
      <c r="A4908" s="15">
        <f t="shared" si="76"/>
        <v>4906</v>
      </c>
      <c r="B4908" s="16"/>
      <c r="C4908" s="19"/>
      <c r="D4908" s="10"/>
      <c r="E4908" s="10"/>
      <c r="F4908" s="47"/>
      <c r="G4908" s="10"/>
      <c r="H4908" s="20"/>
      <c r="I4908" s="20"/>
      <c r="J4908" s="10"/>
      <c r="K4908" s="10"/>
      <c r="L4908" s="10"/>
      <c r="M4908" s="10"/>
      <c r="N4908" s="10"/>
      <c r="O4908" s="21"/>
    </row>
    <row r="4909" spans="1:15" x14ac:dyDescent="0.35">
      <c r="A4909" s="15">
        <f t="shared" si="76"/>
        <v>4907</v>
      </c>
      <c r="B4909" s="16"/>
      <c r="C4909" s="19"/>
      <c r="D4909" s="10"/>
      <c r="E4909" s="10"/>
      <c r="F4909" s="47"/>
      <c r="G4909" s="10"/>
      <c r="H4909" s="20"/>
      <c r="I4909" s="20"/>
      <c r="J4909" s="10"/>
      <c r="K4909" s="10"/>
      <c r="L4909" s="10"/>
      <c r="M4909" s="10"/>
      <c r="N4909" s="10"/>
      <c r="O4909" s="21"/>
    </row>
    <row r="4910" spans="1:15" x14ac:dyDescent="0.35">
      <c r="A4910" s="15">
        <f t="shared" si="76"/>
        <v>4908</v>
      </c>
      <c r="B4910" s="16"/>
      <c r="C4910" s="19"/>
      <c r="D4910" s="10"/>
      <c r="E4910" s="10"/>
      <c r="F4910" s="47"/>
      <c r="G4910" s="10"/>
      <c r="H4910" s="20"/>
      <c r="I4910" s="20"/>
      <c r="J4910" s="10"/>
      <c r="K4910" s="10"/>
      <c r="L4910" s="10"/>
      <c r="M4910" s="10"/>
      <c r="N4910" s="10"/>
      <c r="O4910" s="21"/>
    </row>
    <row r="4911" spans="1:15" x14ac:dyDescent="0.35">
      <c r="A4911" s="15">
        <f t="shared" si="76"/>
        <v>4909</v>
      </c>
      <c r="B4911" s="16"/>
      <c r="C4911" s="19"/>
      <c r="D4911" s="10"/>
      <c r="E4911" s="10"/>
      <c r="F4911" s="47"/>
      <c r="G4911" s="10"/>
      <c r="H4911" s="20"/>
      <c r="I4911" s="20"/>
      <c r="J4911" s="10"/>
      <c r="K4911" s="10"/>
      <c r="L4911" s="10"/>
      <c r="M4911" s="10"/>
      <c r="N4911" s="10"/>
      <c r="O4911" s="21"/>
    </row>
    <row r="4912" spans="1:15" x14ac:dyDescent="0.35">
      <c r="A4912" s="15">
        <f t="shared" si="76"/>
        <v>4910</v>
      </c>
      <c r="B4912" s="16"/>
      <c r="C4912" s="19"/>
      <c r="D4912" s="10"/>
      <c r="E4912" s="10"/>
      <c r="F4912" s="47"/>
      <c r="G4912" s="10"/>
      <c r="H4912" s="20"/>
      <c r="I4912" s="20"/>
      <c r="J4912" s="10"/>
      <c r="K4912" s="10"/>
      <c r="L4912" s="10"/>
      <c r="M4912" s="10"/>
      <c r="N4912" s="10"/>
      <c r="O4912" s="21"/>
    </row>
    <row r="4913" spans="1:15" x14ac:dyDescent="0.35">
      <c r="A4913" s="15">
        <f t="shared" si="76"/>
        <v>4911</v>
      </c>
      <c r="B4913" s="16"/>
      <c r="C4913" s="19"/>
      <c r="D4913" s="10"/>
      <c r="E4913" s="10"/>
      <c r="F4913" s="47"/>
      <c r="G4913" s="10"/>
      <c r="H4913" s="20"/>
      <c r="I4913" s="20"/>
      <c r="J4913" s="10"/>
      <c r="K4913" s="10"/>
      <c r="L4913" s="10"/>
      <c r="M4913" s="10"/>
      <c r="N4913" s="10"/>
      <c r="O4913" s="21"/>
    </row>
    <row r="4914" spans="1:15" x14ac:dyDescent="0.35">
      <c r="A4914" s="15">
        <f t="shared" si="76"/>
        <v>4912</v>
      </c>
      <c r="B4914" s="16"/>
      <c r="C4914" s="19"/>
      <c r="D4914" s="10"/>
      <c r="E4914" s="10"/>
      <c r="F4914" s="47"/>
      <c r="G4914" s="10"/>
      <c r="H4914" s="20"/>
      <c r="I4914" s="20"/>
      <c r="J4914" s="10"/>
      <c r="K4914" s="10"/>
      <c r="L4914" s="10"/>
      <c r="M4914" s="10"/>
      <c r="N4914" s="10"/>
      <c r="O4914" s="21"/>
    </row>
    <row r="4915" spans="1:15" x14ac:dyDescent="0.35">
      <c r="A4915" s="15">
        <f t="shared" si="76"/>
        <v>4913</v>
      </c>
      <c r="B4915" s="16"/>
      <c r="C4915" s="19"/>
      <c r="D4915" s="10"/>
      <c r="E4915" s="10"/>
      <c r="F4915" s="47"/>
      <c r="G4915" s="10"/>
      <c r="H4915" s="20"/>
      <c r="I4915" s="20"/>
      <c r="J4915" s="10"/>
      <c r="K4915" s="10"/>
      <c r="L4915" s="10"/>
      <c r="M4915" s="10"/>
      <c r="N4915" s="10"/>
      <c r="O4915" s="21"/>
    </row>
    <row r="4916" spans="1:15" x14ac:dyDescent="0.35">
      <c r="A4916" s="15">
        <f t="shared" si="76"/>
        <v>4914</v>
      </c>
      <c r="B4916" s="16"/>
      <c r="C4916" s="19"/>
      <c r="D4916" s="10"/>
      <c r="E4916" s="10"/>
      <c r="F4916" s="47"/>
      <c r="G4916" s="10"/>
      <c r="H4916" s="20"/>
      <c r="I4916" s="20"/>
      <c r="J4916" s="10"/>
      <c r="K4916" s="10"/>
      <c r="L4916" s="10"/>
      <c r="M4916" s="10"/>
      <c r="N4916" s="10"/>
      <c r="O4916" s="21"/>
    </row>
    <row r="4917" spans="1:15" x14ac:dyDescent="0.35">
      <c r="A4917" s="15">
        <f t="shared" si="76"/>
        <v>4915</v>
      </c>
      <c r="B4917" s="16"/>
      <c r="C4917" s="19"/>
      <c r="D4917" s="10"/>
      <c r="E4917" s="10"/>
      <c r="F4917" s="47"/>
      <c r="G4917" s="10"/>
      <c r="H4917" s="20"/>
      <c r="I4917" s="20"/>
      <c r="J4917" s="10"/>
      <c r="K4917" s="10"/>
      <c r="L4917" s="10"/>
      <c r="M4917" s="10"/>
      <c r="N4917" s="10"/>
      <c r="O4917" s="21"/>
    </row>
    <row r="4918" spans="1:15" x14ac:dyDescent="0.35">
      <c r="A4918" s="15">
        <f t="shared" si="76"/>
        <v>4916</v>
      </c>
      <c r="B4918" s="16"/>
      <c r="C4918" s="19"/>
      <c r="D4918" s="10"/>
      <c r="E4918" s="10"/>
      <c r="F4918" s="47"/>
      <c r="G4918" s="10"/>
      <c r="H4918" s="20"/>
      <c r="I4918" s="20"/>
      <c r="J4918" s="10"/>
      <c r="K4918" s="10"/>
      <c r="L4918" s="10"/>
      <c r="M4918" s="10"/>
      <c r="N4918" s="10"/>
      <c r="O4918" s="21"/>
    </row>
    <row r="4919" spans="1:15" x14ac:dyDescent="0.35">
      <c r="A4919" s="15">
        <f t="shared" si="76"/>
        <v>4917</v>
      </c>
      <c r="B4919" s="16"/>
      <c r="C4919" s="19"/>
      <c r="D4919" s="10"/>
      <c r="E4919" s="10"/>
      <c r="F4919" s="47"/>
      <c r="G4919" s="10"/>
      <c r="H4919" s="20"/>
      <c r="I4919" s="20"/>
      <c r="J4919" s="10"/>
      <c r="K4919" s="10"/>
      <c r="L4919" s="10"/>
      <c r="M4919" s="10"/>
      <c r="N4919" s="10"/>
      <c r="O4919" s="21"/>
    </row>
    <row r="4920" spans="1:15" x14ac:dyDescent="0.35">
      <c r="A4920" s="15">
        <f t="shared" si="76"/>
        <v>4918</v>
      </c>
      <c r="B4920" s="16"/>
      <c r="C4920" s="19"/>
      <c r="D4920" s="10"/>
      <c r="E4920" s="10"/>
      <c r="F4920" s="47"/>
      <c r="G4920" s="10"/>
      <c r="H4920" s="20"/>
      <c r="I4920" s="20"/>
      <c r="J4920" s="10"/>
      <c r="K4920" s="10"/>
      <c r="L4920" s="10"/>
      <c r="M4920" s="10"/>
      <c r="N4920" s="10"/>
      <c r="O4920" s="21"/>
    </row>
    <row r="4921" spans="1:15" x14ac:dyDescent="0.35">
      <c r="A4921" s="15">
        <f t="shared" si="76"/>
        <v>4919</v>
      </c>
      <c r="B4921" s="16"/>
      <c r="C4921" s="19"/>
      <c r="D4921" s="10"/>
      <c r="E4921" s="10"/>
      <c r="F4921" s="47"/>
      <c r="G4921" s="10"/>
      <c r="H4921" s="20"/>
      <c r="I4921" s="20"/>
      <c r="J4921" s="10"/>
      <c r="K4921" s="10"/>
      <c r="L4921" s="10"/>
      <c r="M4921" s="10"/>
      <c r="N4921" s="10"/>
      <c r="O4921" s="21"/>
    </row>
    <row r="4922" spans="1:15" x14ac:dyDescent="0.35">
      <c r="A4922" s="15">
        <f t="shared" si="76"/>
        <v>4920</v>
      </c>
      <c r="B4922" s="16"/>
      <c r="C4922" s="19"/>
      <c r="D4922" s="10"/>
      <c r="E4922" s="10"/>
      <c r="F4922" s="47"/>
      <c r="G4922" s="10"/>
      <c r="H4922" s="20"/>
      <c r="I4922" s="20"/>
      <c r="J4922" s="10"/>
      <c r="K4922" s="10"/>
      <c r="L4922" s="10"/>
      <c r="M4922" s="10"/>
      <c r="N4922" s="10"/>
      <c r="O4922" s="21"/>
    </row>
    <row r="4923" spans="1:15" x14ac:dyDescent="0.35">
      <c r="A4923" s="15">
        <f t="shared" si="76"/>
        <v>4921</v>
      </c>
      <c r="B4923" s="16"/>
      <c r="C4923" s="19"/>
      <c r="D4923" s="10"/>
      <c r="E4923" s="10"/>
      <c r="F4923" s="47"/>
      <c r="G4923" s="10"/>
      <c r="H4923" s="20"/>
      <c r="I4923" s="20"/>
      <c r="J4923" s="10"/>
      <c r="K4923" s="10"/>
      <c r="L4923" s="10"/>
      <c r="M4923" s="10"/>
      <c r="N4923" s="10"/>
      <c r="O4923" s="21"/>
    </row>
    <row r="4924" spans="1:15" x14ac:dyDescent="0.35">
      <c r="A4924" s="15">
        <f t="shared" si="76"/>
        <v>4922</v>
      </c>
      <c r="B4924" s="16"/>
      <c r="C4924" s="19"/>
      <c r="D4924" s="10"/>
      <c r="E4924" s="10"/>
      <c r="F4924" s="47"/>
      <c r="G4924" s="10"/>
      <c r="H4924" s="20"/>
      <c r="I4924" s="20"/>
      <c r="J4924" s="10"/>
      <c r="K4924" s="10"/>
      <c r="L4924" s="10"/>
      <c r="M4924" s="10"/>
      <c r="N4924" s="10"/>
      <c r="O4924" s="21"/>
    </row>
    <row r="4925" spans="1:15" x14ac:dyDescent="0.35">
      <c r="A4925" s="15">
        <f t="shared" si="76"/>
        <v>4923</v>
      </c>
      <c r="B4925" s="16"/>
      <c r="C4925" s="19"/>
      <c r="D4925" s="10"/>
      <c r="E4925" s="10"/>
      <c r="F4925" s="47"/>
      <c r="G4925" s="10"/>
      <c r="H4925" s="20"/>
      <c r="I4925" s="20"/>
      <c r="J4925" s="10"/>
      <c r="K4925" s="10"/>
      <c r="L4925" s="10"/>
      <c r="M4925" s="10"/>
      <c r="N4925" s="10"/>
      <c r="O4925" s="21"/>
    </row>
    <row r="4926" spans="1:15" x14ac:dyDescent="0.35">
      <c r="A4926" s="15">
        <f t="shared" si="76"/>
        <v>4924</v>
      </c>
      <c r="B4926" s="16"/>
      <c r="C4926" s="19"/>
      <c r="D4926" s="10"/>
      <c r="E4926" s="10"/>
      <c r="F4926" s="47"/>
      <c r="G4926" s="10"/>
      <c r="H4926" s="20"/>
      <c r="I4926" s="20"/>
      <c r="J4926" s="10"/>
      <c r="K4926" s="10"/>
      <c r="L4926" s="10"/>
      <c r="M4926" s="10"/>
      <c r="N4926" s="10"/>
      <c r="O4926" s="21"/>
    </row>
    <row r="4927" spans="1:15" x14ac:dyDescent="0.35">
      <c r="A4927" s="15">
        <f t="shared" si="76"/>
        <v>4925</v>
      </c>
      <c r="B4927" s="16"/>
      <c r="C4927" s="19"/>
      <c r="D4927" s="10"/>
      <c r="E4927" s="10"/>
      <c r="F4927" s="47"/>
      <c r="G4927" s="10"/>
      <c r="H4927" s="20"/>
      <c r="I4927" s="20"/>
      <c r="J4927" s="10"/>
      <c r="K4927" s="10"/>
      <c r="L4927" s="10"/>
      <c r="M4927" s="10"/>
      <c r="N4927" s="10"/>
      <c r="O4927" s="21"/>
    </row>
    <row r="4928" spans="1:15" x14ac:dyDescent="0.35">
      <c r="A4928" s="15">
        <f t="shared" si="76"/>
        <v>4926</v>
      </c>
      <c r="B4928" s="16"/>
      <c r="C4928" s="19"/>
      <c r="D4928" s="10"/>
      <c r="E4928" s="10"/>
      <c r="F4928" s="47"/>
      <c r="G4928" s="10"/>
      <c r="H4928" s="20"/>
      <c r="I4928" s="20"/>
      <c r="J4928" s="10"/>
      <c r="K4928" s="10"/>
      <c r="L4928" s="10"/>
      <c r="M4928" s="10"/>
      <c r="N4928" s="10"/>
      <c r="O4928" s="21"/>
    </row>
    <row r="4929" spans="1:15" x14ac:dyDescent="0.35">
      <c r="A4929" s="15">
        <f t="shared" si="76"/>
        <v>4927</v>
      </c>
      <c r="B4929" s="16"/>
      <c r="C4929" s="19"/>
      <c r="D4929" s="10"/>
      <c r="E4929" s="10"/>
      <c r="F4929" s="47"/>
      <c r="G4929" s="10"/>
      <c r="H4929" s="20"/>
      <c r="I4929" s="20"/>
      <c r="J4929" s="10"/>
      <c r="K4929" s="10"/>
      <c r="L4929" s="10"/>
      <c r="M4929" s="10"/>
      <c r="N4929" s="10"/>
      <c r="O4929" s="21"/>
    </row>
    <row r="4930" spans="1:15" x14ac:dyDescent="0.35">
      <c r="A4930" s="15">
        <f t="shared" si="76"/>
        <v>4928</v>
      </c>
      <c r="B4930" s="16"/>
      <c r="C4930" s="19"/>
      <c r="D4930" s="10"/>
      <c r="E4930" s="10"/>
      <c r="F4930" s="47"/>
      <c r="G4930" s="10"/>
      <c r="H4930" s="20"/>
      <c r="I4930" s="20"/>
      <c r="J4930" s="10"/>
      <c r="K4930" s="10"/>
      <c r="L4930" s="10"/>
      <c r="M4930" s="10"/>
      <c r="N4930" s="10"/>
      <c r="O4930" s="21"/>
    </row>
    <row r="4931" spans="1:15" x14ac:dyDescent="0.35">
      <c r="A4931" s="15">
        <f t="shared" si="76"/>
        <v>4929</v>
      </c>
      <c r="B4931" s="16"/>
      <c r="C4931" s="19"/>
      <c r="D4931" s="10"/>
      <c r="E4931" s="10"/>
      <c r="F4931" s="47"/>
      <c r="G4931" s="10"/>
      <c r="H4931" s="20"/>
      <c r="I4931" s="20"/>
      <c r="J4931" s="10"/>
      <c r="K4931" s="10"/>
      <c r="L4931" s="10"/>
      <c r="M4931" s="10"/>
      <c r="N4931" s="10"/>
      <c r="O4931" s="21"/>
    </row>
    <row r="4932" spans="1:15" x14ac:dyDescent="0.35">
      <c r="A4932" s="15">
        <f t="shared" si="76"/>
        <v>4930</v>
      </c>
      <c r="B4932" s="16"/>
      <c r="C4932" s="19"/>
      <c r="D4932" s="10"/>
      <c r="E4932" s="10"/>
      <c r="F4932" s="47"/>
      <c r="G4932" s="10"/>
      <c r="H4932" s="20"/>
      <c r="I4932" s="20"/>
      <c r="J4932" s="10"/>
      <c r="K4932" s="10"/>
      <c r="L4932" s="10"/>
      <c r="M4932" s="10"/>
      <c r="N4932" s="10"/>
      <c r="O4932" s="21"/>
    </row>
    <row r="4933" spans="1:15" x14ac:dyDescent="0.35">
      <c r="A4933" s="15">
        <f t="shared" si="76"/>
        <v>4931</v>
      </c>
      <c r="B4933" s="16"/>
      <c r="C4933" s="19"/>
      <c r="D4933" s="10"/>
      <c r="E4933" s="10"/>
      <c r="F4933" s="47"/>
      <c r="G4933" s="10"/>
      <c r="H4933" s="20"/>
      <c r="I4933" s="20"/>
      <c r="J4933" s="10"/>
      <c r="K4933" s="10"/>
      <c r="L4933" s="10"/>
      <c r="M4933" s="10"/>
      <c r="N4933" s="10"/>
      <c r="O4933" s="21"/>
    </row>
    <row r="4934" spans="1:15" x14ac:dyDescent="0.35">
      <c r="A4934" s="15">
        <f t="shared" si="76"/>
        <v>4932</v>
      </c>
      <c r="B4934" s="16"/>
      <c r="C4934" s="19"/>
      <c r="D4934" s="10"/>
      <c r="E4934" s="10"/>
      <c r="F4934" s="47"/>
      <c r="G4934" s="10"/>
      <c r="H4934" s="20"/>
      <c r="I4934" s="20"/>
      <c r="J4934" s="10"/>
      <c r="K4934" s="10"/>
      <c r="L4934" s="10"/>
      <c r="M4934" s="10"/>
      <c r="N4934" s="10"/>
      <c r="O4934" s="21"/>
    </row>
    <row r="4935" spans="1:15" x14ac:dyDescent="0.35">
      <c r="A4935" s="15">
        <f t="shared" si="76"/>
        <v>4933</v>
      </c>
      <c r="B4935" s="16"/>
      <c r="C4935" s="19"/>
      <c r="D4935" s="10"/>
      <c r="E4935" s="10"/>
      <c r="F4935" s="47"/>
      <c r="G4935" s="10"/>
      <c r="H4935" s="20"/>
      <c r="I4935" s="20"/>
      <c r="J4935" s="10"/>
      <c r="K4935" s="10"/>
      <c r="L4935" s="10"/>
      <c r="M4935" s="10"/>
      <c r="N4935" s="10"/>
      <c r="O4935" s="21"/>
    </row>
    <row r="4936" spans="1:15" x14ac:dyDescent="0.35">
      <c r="A4936" s="15">
        <f t="shared" si="76"/>
        <v>4934</v>
      </c>
      <c r="B4936" s="16"/>
      <c r="C4936" s="19"/>
      <c r="D4936" s="10"/>
      <c r="E4936" s="10"/>
      <c r="F4936" s="47"/>
      <c r="G4936" s="10"/>
      <c r="H4936" s="20"/>
      <c r="I4936" s="20"/>
      <c r="J4936" s="10"/>
      <c r="K4936" s="10"/>
      <c r="L4936" s="10"/>
      <c r="M4936" s="10"/>
      <c r="N4936" s="10"/>
      <c r="O4936" s="21"/>
    </row>
    <row r="4937" spans="1:15" x14ac:dyDescent="0.35">
      <c r="A4937" s="15">
        <f t="shared" si="76"/>
        <v>4935</v>
      </c>
      <c r="B4937" s="16"/>
      <c r="C4937" s="19"/>
      <c r="D4937" s="10"/>
      <c r="E4937" s="10"/>
      <c r="F4937" s="47"/>
      <c r="G4937" s="10"/>
      <c r="H4937" s="20"/>
      <c r="I4937" s="20"/>
      <c r="J4937" s="10"/>
      <c r="K4937" s="10"/>
      <c r="L4937" s="10"/>
      <c r="M4937" s="10"/>
      <c r="N4937" s="10"/>
      <c r="O4937" s="21"/>
    </row>
    <row r="4938" spans="1:15" x14ac:dyDescent="0.35">
      <c r="A4938" s="15">
        <f t="shared" si="76"/>
        <v>4936</v>
      </c>
      <c r="B4938" s="16"/>
      <c r="C4938" s="19"/>
      <c r="D4938" s="10"/>
      <c r="E4938" s="10"/>
      <c r="F4938" s="47"/>
      <c r="G4938" s="10"/>
      <c r="H4938" s="20"/>
      <c r="I4938" s="20"/>
      <c r="J4938" s="10"/>
      <c r="K4938" s="10"/>
      <c r="L4938" s="10"/>
      <c r="M4938" s="10"/>
      <c r="N4938" s="10"/>
      <c r="O4938" s="21"/>
    </row>
    <row r="4939" spans="1:15" x14ac:dyDescent="0.35">
      <c r="A4939" s="15">
        <f t="shared" ref="A4939:A4941" si="77">+A4938+1</f>
        <v>4937</v>
      </c>
      <c r="B4939" s="16"/>
      <c r="C4939" s="19"/>
      <c r="D4939" s="10"/>
      <c r="E4939" s="10"/>
      <c r="F4939" s="47"/>
      <c r="G4939" s="10"/>
      <c r="H4939" s="20"/>
      <c r="I4939" s="20"/>
      <c r="J4939" s="10"/>
      <c r="K4939" s="10"/>
      <c r="L4939" s="10"/>
      <c r="M4939" s="10"/>
      <c r="N4939" s="10"/>
      <c r="O4939" s="21"/>
    </row>
    <row r="4940" spans="1:15" x14ac:dyDescent="0.35">
      <c r="A4940" s="15">
        <f t="shared" si="77"/>
        <v>4938</v>
      </c>
      <c r="B4940" s="16"/>
      <c r="C4940" s="19"/>
      <c r="D4940" s="10"/>
      <c r="E4940" s="10"/>
      <c r="F4940" s="47"/>
      <c r="G4940" s="10"/>
      <c r="H4940" s="20"/>
      <c r="I4940" s="20"/>
      <c r="J4940" s="10"/>
      <c r="K4940" s="10"/>
      <c r="L4940" s="10"/>
      <c r="M4940" s="10"/>
      <c r="N4940" s="10"/>
      <c r="O4940" s="21"/>
    </row>
    <row r="4941" spans="1:15" x14ac:dyDescent="0.35">
      <c r="A4941" s="15">
        <f t="shared" si="77"/>
        <v>4939</v>
      </c>
      <c r="B4941" s="16"/>
      <c r="C4941" s="19"/>
      <c r="D4941" s="10"/>
      <c r="E4941" s="10"/>
      <c r="F4941" s="47"/>
      <c r="G4941" s="10"/>
      <c r="H4941" s="20"/>
      <c r="I4941" s="20"/>
      <c r="J4941" s="10"/>
      <c r="K4941" s="10"/>
      <c r="L4941" s="10"/>
      <c r="M4941" s="10"/>
      <c r="N4941" s="10"/>
      <c r="O4941" s="21"/>
    </row>
    <row r="4942" spans="1:15" x14ac:dyDescent="0.35">
      <c r="A4942" s="15">
        <v>1</v>
      </c>
      <c r="B4942" s="16"/>
      <c r="C4942" s="19"/>
      <c r="D4942" s="10"/>
      <c r="E4942" s="10"/>
      <c r="F4942" s="47"/>
      <c r="G4942" s="10"/>
      <c r="H4942" s="20"/>
      <c r="I4942" s="20"/>
      <c r="J4942" s="10"/>
      <c r="K4942" s="10"/>
      <c r="L4942" s="10"/>
      <c r="M4942" s="10"/>
      <c r="N4942" s="10"/>
      <c r="O4942" s="21"/>
    </row>
    <row r="4943" spans="1:15" x14ac:dyDescent="0.35">
      <c r="A4943" s="15">
        <f>+A4942+1</f>
        <v>2</v>
      </c>
      <c r="B4943" s="16"/>
      <c r="C4943" s="19"/>
      <c r="D4943" s="10"/>
      <c r="E4943" s="10"/>
      <c r="F4943" s="47"/>
      <c r="G4943" s="10"/>
      <c r="H4943" s="20"/>
      <c r="I4943" s="20"/>
      <c r="J4943" s="10"/>
      <c r="K4943" s="10"/>
      <c r="L4943" s="10"/>
      <c r="M4943" s="10"/>
      <c r="N4943" s="10"/>
      <c r="O4943" s="21"/>
    </row>
    <row r="4944" spans="1:15" x14ac:dyDescent="0.35">
      <c r="A4944" s="15">
        <f t="shared" ref="A4944:A5007" si="78">+A4943+1</f>
        <v>3</v>
      </c>
      <c r="B4944" s="16"/>
      <c r="C4944" s="19"/>
      <c r="D4944" s="10"/>
      <c r="E4944" s="10"/>
      <c r="F4944" s="47"/>
      <c r="G4944" s="10"/>
      <c r="H4944" s="20"/>
      <c r="I4944" s="20"/>
      <c r="J4944" s="10"/>
      <c r="K4944" s="10"/>
      <c r="L4944" s="10"/>
      <c r="M4944" s="10"/>
      <c r="N4944" s="10"/>
      <c r="O4944" s="21"/>
    </row>
    <row r="4945" spans="1:15" x14ac:dyDescent="0.35">
      <c r="A4945" s="15">
        <f t="shared" si="78"/>
        <v>4</v>
      </c>
      <c r="B4945" s="16"/>
      <c r="C4945" s="19"/>
      <c r="D4945" s="10"/>
      <c r="E4945" s="10"/>
      <c r="F4945" s="47"/>
      <c r="G4945" s="10"/>
      <c r="H4945" s="20"/>
      <c r="I4945" s="20"/>
      <c r="J4945" s="10"/>
      <c r="K4945" s="10"/>
      <c r="L4945" s="10"/>
      <c r="M4945" s="10"/>
      <c r="N4945" s="10"/>
      <c r="O4945" s="21"/>
    </row>
    <row r="4946" spans="1:15" x14ac:dyDescent="0.35">
      <c r="A4946" s="15">
        <f t="shared" si="78"/>
        <v>5</v>
      </c>
      <c r="B4946" s="16"/>
      <c r="C4946" s="19"/>
      <c r="D4946" s="10"/>
      <c r="E4946" s="10"/>
      <c r="F4946" s="47"/>
      <c r="G4946" s="10"/>
      <c r="H4946" s="20"/>
      <c r="I4946" s="20"/>
      <c r="J4946" s="10"/>
      <c r="K4946" s="10"/>
      <c r="L4946" s="10"/>
      <c r="M4946" s="10"/>
      <c r="N4946" s="10"/>
      <c r="O4946" s="21"/>
    </row>
    <row r="4947" spans="1:15" x14ac:dyDescent="0.35">
      <c r="A4947" s="15">
        <f t="shared" si="78"/>
        <v>6</v>
      </c>
      <c r="B4947" s="16"/>
      <c r="C4947" s="19"/>
      <c r="D4947" s="10"/>
      <c r="E4947" s="10"/>
      <c r="F4947" s="47"/>
      <c r="G4947" s="10"/>
      <c r="H4947" s="20"/>
      <c r="I4947" s="20"/>
      <c r="J4947" s="10"/>
      <c r="K4947" s="10"/>
      <c r="L4947" s="10"/>
      <c r="M4947" s="10"/>
      <c r="N4947" s="10"/>
      <c r="O4947" s="21"/>
    </row>
    <row r="4948" spans="1:15" x14ac:dyDescent="0.35">
      <c r="A4948" s="15">
        <f t="shared" si="78"/>
        <v>7</v>
      </c>
      <c r="B4948" s="16"/>
      <c r="C4948" s="19"/>
      <c r="D4948" s="10"/>
      <c r="E4948" s="10"/>
      <c r="F4948" s="47"/>
      <c r="G4948" s="10"/>
      <c r="H4948" s="20"/>
      <c r="I4948" s="20"/>
      <c r="J4948" s="10"/>
      <c r="K4948" s="10"/>
      <c r="L4948" s="10"/>
      <c r="M4948" s="10"/>
      <c r="N4948" s="10"/>
      <c r="O4948" s="21"/>
    </row>
    <row r="4949" spans="1:15" x14ac:dyDescent="0.35">
      <c r="A4949" s="15">
        <f t="shared" si="78"/>
        <v>8</v>
      </c>
      <c r="B4949" s="16"/>
      <c r="C4949" s="19"/>
      <c r="D4949" s="10"/>
      <c r="E4949" s="10"/>
      <c r="F4949" s="47"/>
      <c r="G4949" s="10"/>
      <c r="H4949" s="20"/>
      <c r="I4949" s="20"/>
      <c r="J4949" s="10"/>
      <c r="K4949" s="10"/>
      <c r="L4949" s="10"/>
      <c r="M4949" s="10"/>
      <c r="N4949" s="10"/>
      <c r="O4949" s="21"/>
    </row>
    <row r="4950" spans="1:15" x14ac:dyDescent="0.35">
      <c r="A4950" s="15">
        <f t="shared" si="78"/>
        <v>9</v>
      </c>
      <c r="B4950" s="16"/>
      <c r="C4950" s="19"/>
      <c r="D4950" s="10"/>
      <c r="E4950" s="10"/>
      <c r="F4950" s="47"/>
      <c r="G4950" s="10"/>
      <c r="H4950" s="20"/>
      <c r="I4950" s="20"/>
      <c r="J4950" s="10"/>
      <c r="K4950" s="10"/>
      <c r="L4950" s="10"/>
      <c r="M4950" s="10"/>
      <c r="N4950" s="10"/>
      <c r="O4950" s="21"/>
    </row>
    <row r="4951" spans="1:15" x14ac:dyDescent="0.35">
      <c r="A4951" s="15">
        <f t="shared" si="78"/>
        <v>10</v>
      </c>
      <c r="B4951" s="16"/>
      <c r="C4951" s="19"/>
      <c r="D4951" s="10"/>
      <c r="E4951" s="10"/>
      <c r="F4951" s="47"/>
      <c r="G4951" s="10"/>
      <c r="H4951" s="20"/>
      <c r="I4951" s="20"/>
      <c r="J4951" s="10"/>
      <c r="K4951" s="10"/>
      <c r="L4951" s="10"/>
      <c r="M4951" s="10"/>
      <c r="N4951" s="10"/>
      <c r="O4951" s="21"/>
    </row>
    <row r="4952" spans="1:15" x14ac:dyDescent="0.35">
      <c r="A4952" s="15">
        <f t="shared" si="78"/>
        <v>11</v>
      </c>
      <c r="B4952" s="16"/>
      <c r="C4952" s="19"/>
      <c r="D4952" s="10"/>
      <c r="E4952" s="10"/>
      <c r="F4952" s="47"/>
      <c r="G4952" s="10"/>
      <c r="H4952" s="20"/>
      <c r="I4952" s="20"/>
      <c r="J4952" s="10"/>
      <c r="K4952" s="10"/>
      <c r="L4952" s="10"/>
      <c r="M4952" s="10"/>
      <c r="N4952" s="10"/>
      <c r="O4952" s="21"/>
    </row>
    <row r="4953" spans="1:15" x14ac:dyDescent="0.35">
      <c r="A4953" s="15">
        <f t="shared" si="78"/>
        <v>12</v>
      </c>
      <c r="B4953" s="16"/>
      <c r="C4953" s="19"/>
      <c r="D4953" s="10"/>
      <c r="E4953" s="10"/>
      <c r="F4953" s="47"/>
      <c r="G4953" s="10"/>
      <c r="H4953" s="20"/>
      <c r="I4953" s="20"/>
      <c r="J4953" s="10"/>
      <c r="K4953" s="10"/>
      <c r="L4953" s="10"/>
      <c r="M4953" s="10"/>
      <c r="N4953" s="10"/>
      <c r="O4953" s="21"/>
    </row>
    <row r="4954" spans="1:15" x14ac:dyDescent="0.35">
      <c r="A4954" s="15">
        <f t="shared" si="78"/>
        <v>13</v>
      </c>
      <c r="B4954" s="16"/>
      <c r="C4954" s="19"/>
      <c r="D4954" s="10"/>
      <c r="E4954" s="10"/>
      <c r="F4954" s="47"/>
      <c r="G4954" s="10"/>
      <c r="H4954" s="20"/>
      <c r="I4954" s="20"/>
      <c r="J4954" s="10"/>
      <c r="K4954" s="10"/>
      <c r="L4954" s="10"/>
      <c r="M4954" s="10"/>
      <c r="N4954" s="10"/>
      <c r="O4954" s="21"/>
    </row>
    <row r="4955" spans="1:15" x14ac:dyDescent="0.35">
      <c r="A4955" s="15">
        <f t="shared" si="78"/>
        <v>14</v>
      </c>
      <c r="B4955" s="16"/>
      <c r="C4955" s="19"/>
      <c r="D4955" s="10"/>
      <c r="E4955" s="10"/>
      <c r="F4955" s="47"/>
      <c r="G4955" s="10"/>
      <c r="H4955" s="20"/>
      <c r="I4955" s="20"/>
      <c r="J4955" s="10"/>
      <c r="K4955" s="10"/>
      <c r="L4955" s="10"/>
      <c r="M4955" s="10"/>
      <c r="N4955" s="10"/>
      <c r="O4955" s="21"/>
    </row>
    <row r="4956" spans="1:15" x14ac:dyDescent="0.35">
      <c r="A4956" s="15">
        <f t="shared" si="78"/>
        <v>15</v>
      </c>
      <c r="B4956" s="16"/>
      <c r="C4956" s="19"/>
      <c r="D4956" s="10"/>
      <c r="E4956" s="10"/>
      <c r="F4956" s="47"/>
      <c r="G4956" s="10"/>
      <c r="H4956" s="20"/>
      <c r="I4956" s="20"/>
      <c r="J4956" s="10"/>
      <c r="K4956" s="10"/>
      <c r="L4956" s="10"/>
      <c r="M4956" s="10"/>
      <c r="N4956" s="10"/>
      <c r="O4956" s="21"/>
    </row>
    <row r="4957" spans="1:15" x14ac:dyDescent="0.35">
      <c r="A4957" s="15">
        <f t="shared" si="78"/>
        <v>16</v>
      </c>
      <c r="B4957" s="16"/>
      <c r="C4957" s="19"/>
      <c r="D4957" s="10"/>
      <c r="E4957" s="10"/>
      <c r="F4957" s="47"/>
      <c r="G4957" s="10"/>
      <c r="H4957" s="20"/>
      <c r="I4957" s="20"/>
      <c r="J4957" s="10"/>
      <c r="K4957" s="10"/>
      <c r="L4957" s="10"/>
      <c r="M4957" s="10"/>
      <c r="N4957" s="10"/>
      <c r="O4957" s="21"/>
    </row>
    <row r="4958" spans="1:15" x14ac:dyDescent="0.35">
      <c r="A4958" s="15">
        <f t="shared" si="78"/>
        <v>17</v>
      </c>
      <c r="B4958" s="16"/>
      <c r="C4958" s="19"/>
      <c r="D4958" s="10"/>
      <c r="E4958" s="10"/>
      <c r="F4958" s="47"/>
      <c r="G4958" s="10"/>
      <c r="H4958" s="20"/>
      <c r="I4958" s="20"/>
      <c r="J4958" s="10"/>
      <c r="K4958" s="10"/>
      <c r="L4958" s="10"/>
      <c r="M4958" s="10"/>
      <c r="N4958" s="10"/>
      <c r="O4958" s="21"/>
    </row>
    <row r="4959" spans="1:15" x14ac:dyDescent="0.35">
      <c r="A4959" s="15">
        <f t="shared" si="78"/>
        <v>18</v>
      </c>
      <c r="B4959" s="16"/>
      <c r="C4959" s="19"/>
      <c r="D4959" s="10"/>
      <c r="E4959" s="10"/>
      <c r="F4959" s="47"/>
      <c r="G4959" s="10"/>
      <c r="H4959" s="20"/>
      <c r="I4959" s="20"/>
      <c r="J4959" s="10"/>
      <c r="K4959" s="10"/>
      <c r="L4959" s="10"/>
      <c r="M4959" s="10"/>
      <c r="N4959" s="10"/>
      <c r="O4959" s="21"/>
    </row>
    <row r="4960" spans="1:15" x14ac:dyDescent="0.35">
      <c r="A4960" s="15">
        <f t="shared" si="78"/>
        <v>19</v>
      </c>
      <c r="B4960" s="16"/>
      <c r="C4960" s="19"/>
      <c r="D4960" s="10"/>
      <c r="E4960" s="10"/>
      <c r="F4960" s="47"/>
      <c r="G4960" s="10"/>
      <c r="H4960" s="20"/>
      <c r="I4960" s="20"/>
      <c r="J4960" s="10"/>
      <c r="K4960" s="10"/>
      <c r="L4960" s="10"/>
      <c r="M4960" s="10"/>
      <c r="N4960" s="10"/>
      <c r="O4960" s="21"/>
    </row>
    <row r="4961" spans="1:15" x14ac:dyDescent="0.35">
      <c r="A4961" s="15">
        <f t="shared" si="78"/>
        <v>20</v>
      </c>
      <c r="B4961" s="16"/>
      <c r="C4961" s="19"/>
      <c r="D4961" s="10"/>
      <c r="E4961" s="10"/>
      <c r="F4961" s="47"/>
      <c r="G4961" s="10"/>
      <c r="H4961" s="20"/>
      <c r="I4961" s="20"/>
      <c r="J4961" s="10"/>
      <c r="K4961" s="10"/>
      <c r="L4961" s="10"/>
      <c r="M4961" s="10"/>
      <c r="N4961" s="10"/>
      <c r="O4961" s="21"/>
    </row>
    <row r="4962" spans="1:15" x14ac:dyDescent="0.35">
      <c r="A4962" s="15">
        <f t="shared" si="78"/>
        <v>21</v>
      </c>
      <c r="B4962" s="16"/>
      <c r="C4962" s="19"/>
      <c r="D4962" s="10"/>
      <c r="E4962" s="10"/>
      <c r="F4962" s="47"/>
      <c r="G4962" s="10"/>
      <c r="H4962" s="20"/>
      <c r="I4962" s="20"/>
      <c r="J4962" s="10"/>
      <c r="K4962" s="10"/>
      <c r="L4962" s="10"/>
      <c r="M4962" s="10"/>
      <c r="N4962" s="10"/>
      <c r="O4962" s="21"/>
    </row>
    <row r="4963" spans="1:15" x14ac:dyDescent="0.35">
      <c r="A4963" s="15">
        <f t="shared" si="78"/>
        <v>22</v>
      </c>
      <c r="B4963" s="16"/>
      <c r="C4963" s="19"/>
      <c r="D4963" s="10"/>
      <c r="E4963" s="10"/>
      <c r="F4963" s="47"/>
      <c r="G4963" s="10"/>
      <c r="H4963" s="20"/>
      <c r="I4963" s="20"/>
      <c r="J4963" s="10"/>
      <c r="K4963" s="10"/>
      <c r="L4963" s="10"/>
      <c r="M4963" s="10"/>
      <c r="N4963" s="10"/>
      <c r="O4963" s="21"/>
    </row>
    <row r="4964" spans="1:15" x14ac:dyDescent="0.35">
      <c r="A4964" s="15">
        <f t="shared" si="78"/>
        <v>23</v>
      </c>
      <c r="B4964" s="16"/>
      <c r="C4964" s="19"/>
      <c r="D4964" s="10"/>
      <c r="E4964" s="10"/>
      <c r="F4964" s="47"/>
      <c r="G4964" s="10"/>
      <c r="H4964" s="20"/>
      <c r="I4964" s="20"/>
      <c r="J4964" s="10"/>
      <c r="K4964" s="10"/>
      <c r="L4964" s="10"/>
      <c r="M4964" s="10"/>
      <c r="N4964" s="10"/>
      <c r="O4964" s="21"/>
    </row>
    <row r="4965" spans="1:15" x14ac:dyDescent="0.35">
      <c r="A4965" s="15">
        <f t="shared" si="78"/>
        <v>24</v>
      </c>
      <c r="B4965" s="16"/>
      <c r="C4965" s="19"/>
      <c r="D4965" s="10"/>
      <c r="E4965" s="10"/>
      <c r="F4965" s="47"/>
      <c r="G4965" s="10"/>
      <c r="H4965" s="20"/>
      <c r="I4965" s="20"/>
      <c r="J4965" s="10"/>
      <c r="K4965" s="10"/>
      <c r="L4965" s="10"/>
      <c r="M4965" s="10"/>
      <c r="N4965" s="10"/>
      <c r="O4965" s="21"/>
    </row>
    <row r="4966" spans="1:15" x14ac:dyDescent="0.35">
      <c r="A4966" s="15">
        <f t="shared" si="78"/>
        <v>25</v>
      </c>
      <c r="B4966" s="16"/>
      <c r="C4966" s="19"/>
      <c r="D4966" s="10"/>
      <c r="E4966" s="10"/>
      <c r="F4966" s="47"/>
      <c r="G4966" s="10"/>
      <c r="H4966" s="20"/>
      <c r="I4966" s="20"/>
      <c r="J4966" s="10"/>
      <c r="K4966" s="10"/>
      <c r="L4966" s="10"/>
      <c r="M4966" s="10"/>
      <c r="N4966" s="10"/>
      <c r="O4966" s="21"/>
    </row>
    <row r="4967" spans="1:15" x14ac:dyDescent="0.35">
      <c r="A4967" s="15">
        <f t="shared" si="78"/>
        <v>26</v>
      </c>
      <c r="B4967" s="16"/>
      <c r="C4967" s="19"/>
      <c r="D4967" s="10"/>
      <c r="E4967" s="10"/>
      <c r="F4967" s="47"/>
      <c r="G4967" s="10"/>
      <c r="H4967" s="20"/>
      <c r="I4967" s="20"/>
      <c r="J4967" s="10"/>
      <c r="K4967" s="10"/>
      <c r="L4967" s="10"/>
      <c r="M4967" s="10"/>
      <c r="N4967" s="10"/>
      <c r="O4967" s="21"/>
    </row>
    <row r="4968" spans="1:15" x14ac:dyDescent="0.35">
      <c r="A4968" s="15">
        <f t="shared" si="78"/>
        <v>27</v>
      </c>
      <c r="B4968" s="16"/>
      <c r="C4968" s="19"/>
      <c r="D4968" s="10"/>
      <c r="E4968" s="10"/>
      <c r="F4968" s="47"/>
      <c r="G4968" s="10"/>
      <c r="H4968" s="20"/>
      <c r="I4968" s="20"/>
      <c r="J4968" s="10"/>
      <c r="K4968" s="10"/>
      <c r="L4968" s="10"/>
      <c r="M4968" s="10"/>
      <c r="N4968" s="10"/>
      <c r="O4968" s="21"/>
    </row>
    <row r="4969" spans="1:15" x14ac:dyDescent="0.35">
      <c r="A4969" s="15">
        <f t="shared" si="78"/>
        <v>28</v>
      </c>
      <c r="B4969" s="16"/>
      <c r="C4969" s="19"/>
      <c r="D4969" s="10"/>
      <c r="E4969" s="10"/>
      <c r="F4969" s="47"/>
      <c r="G4969" s="10"/>
      <c r="H4969" s="20"/>
      <c r="I4969" s="20"/>
      <c r="J4969" s="10"/>
      <c r="K4969" s="10"/>
      <c r="L4969" s="10"/>
      <c r="M4969" s="10"/>
      <c r="N4969" s="10"/>
      <c r="O4969" s="21"/>
    </row>
    <row r="4970" spans="1:15" x14ac:dyDescent="0.35">
      <c r="A4970" s="15">
        <f t="shared" si="78"/>
        <v>29</v>
      </c>
      <c r="B4970" s="16"/>
      <c r="C4970" s="19"/>
      <c r="D4970" s="10"/>
      <c r="E4970" s="10"/>
      <c r="F4970" s="47"/>
      <c r="G4970" s="10"/>
      <c r="H4970" s="20"/>
      <c r="I4970" s="20"/>
      <c r="J4970" s="10"/>
      <c r="K4970" s="10"/>
      <c r="L4970" s="10"/>
      <c r="M4970" s="10"/>
      <c r="N4970" s="10"/>
      <c r="O4970" s="21"/>
    </row>
    <row r="4971" spans="1:15" x14ac:dyDescent="0.35">
      <c r="A4971" s="15">
        <f t="shared" si="78"/>
        <v>30</v>
      </c>
      <c r="B4971" s="16"/>
      <c r="C4971" s="19"/>
      <c r="D4971" s="10"/>
      <c r="E4971" s="10"/>
      <c r="F4971" s="47"/>
      <c r="G4971" s="10"/>
      <c r="H4971" s="20"/>
      <c r="I4971" s="20"/>
      <c r="J4971" s="10"/>
      <c r="K4971" s="10"/>
      <c r="L4971" s="10"/>
      <c r="M4971" s="10"/>
      <c r="N4971" s="10"/>
      <c r="O4971" s="21"/>
    </row>
    <row r="4972" spans="1:15" x14ac:dyDescent="0.35">
      <c r="A4972" s="15">
        <f t="shared" si="78"/>
        <v>31</v>
      </c>
      <c r="B4972" s="16"/>
      <c r="C4972" s="19"/>
      <c r="D4972" s="10"/>
      <c r="E4972" s="10"/>
      <c r="F4972" s="47"/>
      <c r="G4972" s="10"/>
      <c r="H4972" s="20"/>
      <c r="I4972" s="20"/>
      <c r="J4972" s="10"/>
      <c r="K4972" s="10"/>
      <c r="L4972" s="10"/>
      <c r="M4972" s="10"/>
      <c r="N4972" s="10"/>
      <c r="O4972" s="21"/>
    </row>
    <row r="4973" spans="1:15" x14ac:dyDescent="0.35">
      <c r="A4973" s="15">
        <f t="shared" si="78"/>
        <v>32</v>
      </c>
      <c r="B4973" s="16"/>
      <c r="C4973" s="19"/>
      <c r="D4973" s="10"/>
      <c r="E4973" s="10"/>
      <c r="F4973" s="47"/>
      <c r="G4973" s="10"/>
      <c r="H4973" s="20"/>
      <c r="I4973" s="20"/>
      <c r="J4973" s="10"/>
      <c r="K4973" s="10"/>
      <c r="L4973" s="10"/>
      <c r="M4973" s="10"/>
      <c r="N4973" s="10"/>
      <c r="O4973" s="21"/>
    </row>
    <row r="4974" spans="1:15" x14ac:dyDescent="0.35">
      <c r="A4974" s="15">
        <f t="shared" si="78"/>
        <v>33</v>
      </c>
      <c r="B4974" s="16"/>
      <c r="C4974" s="19"/>
      <c r="D4974" s="10"/>
      <c r="E4974" s="10"/>
      <c r="F4974" s="47"/>
      <c r="G4974" s="10"/>
      <c r="H4974" s="20"/>
      <c r="I4974" s="20"/>
      <c r="J4974" s="10"/>
      <c r="K4974" s="10"/>
      <c r="L4974" s="10"/>
      <c r="M4974" s="10"/>
      <c r="N4974" s="10"/>
      <c r="O4974" s="21"/>
    </row>
    <row r="4975" spans="1:15" x14ac:dyDescent="0.35">
      <c r="A4975" s="15">
        <f t="shared" si="78"/>
        <v>34</v>
      </c>
      <c r="B4975" s="16"/>
      <c r="C4975" s="19"/>
      <c r="D4975" s="10"/>
      <c r="E4975" s="10"/>
      <c r="F4975" s="47"/>
      <c r="G4975" s="10"/>
      <c r="H4975" s="20"/>
      <c r="I4975" s="20"/>
      <c r="J4975" s="10"/>
      <c r="K4975" s="10"/>
      <c r="L4975" s="10"/>
      <c r="M4975" s="10"/>
      <c r="N4975" s="10"/>
      <c r="O4975" s="21"/>
    </row>
    <row r="4976" spans="1:15" x14ac:dyDescent="0.35">
      <c r="A4976" s="15">
        <f t="shared" si="78"/>
        <v>35</v>
      </c>
      <c r="B4976" s="16"/>
      <c r="C4976" s="19"/>
      <c r="D4976" s="10"/>
      <c r="E4976" s="10"/>
      <c r="F4976" s="47"/>
      <c r="G4976" s="10"/>
      <c r="H4976" s="20"/>
      <c r="I4976" s="20"/>
      <c r="J4976" s="10"/>
      <c r="K4976" s="10"/>
      <c r="L4976" s="10"/>
      <c r="M4976" s="10"/>
      <c r="N4976" s="10"/>
      <c r="O4976" s="21"/>
    </row>
    <row r="4977" spans="1:15" x14ac:dyDescent="0.35">
      <c r="A4977" s="15">
        <f t="shared" si="78"/>
        <v>36</v>
      </c>
      <c r="B4977" s="16"/>
      <c r="C4977" s="19"/>
      <c r="D4977" s="10"/>
      <c r="E4977" s="10"/>
      <c r="F4977" s="47"/>
      <c r="G4977" s="10"/>
      <c r="H4977" s="20"/>
      <c r="I4977" s="20"/>
      <c r="J4977" s="10"/>
      <c r="K4977" s="10"/>
      <c r="L4977" s="10"/>
      <c r="M4977" s="10"/>
      <c r="N4977" s="10"/>
      <c r="O4977" s="21"/>
    </row>
    <row r="4978" spans="1:15" x14ac:dyDescent="0.35">
      <c r="A4978" s="15">
        <f t="shared" si="78"/>
        <v>37</v>
      </c>
      <c r="B4978" s="16"/>
      <c r="C4978" s="19"/>
      <c r="D4978" s="10"/>
      <c r="E4978" s="10"/>
      <c r="F4978" s="47"/>
      <c r="G4978" s="10"/>
      <c r="H4978" s="20"/>
      <c r="I4978" s="20"/>
      <c r="J4978" s="10"/>
      <c r="K4978" s="10"/>
      <c r="L4978" s="10"/>
      <c r="M4978" s="10"/>
      <c r="N4978" s="10"/>
      <c r="O4978" s="21"/>
    </row>
    <row r="4979" spans="1:15" x14ac:dyDescent="0.35">
      <c r="A4979" s="15">
        <f t="shared" si="78"/>
        <v>38</v>
      </c>
      <c r="B4979" s="16"/>
      <c r="C4979" s="19"/>
      <c r="D4979" s="10"/>
      <c r="E4979" s="10"/>
      <c r="F4979" s="47"/>
      <c r="G4979" s="10"/>
      <c r="H4979" s="20"/>
      <c r="I4979" s="20"/>
      <c r="J4979" s="10"/>
      <c r="K4979" s="10"/>
      <c r="L4979" s="10"/>
      <c r="M4979" s="10"/>
      <c r="N4979" s="10"/>
      <c r="O4979" s="21"/>
    </row>
    <row r="4980" spans="1:15" x14ac:dyDescent="0.35">
      <c r="A4980" s="15">
        <f t="shared" si="78"/>
        <v>39</v>
      </c>
      <c r="B4980" s="16"/>
      <c r="C4980" s="19"/>
      <c r="D4980" s="10"/>
      <c r="E4980" s="10"/>
      <c r="F4980" s="47"/>
      <c r="G4980" s="10"/>
      <c r="H4980" s="20"/>
      <c r="I4980" s="20"/>
      <c r="J4980" s="10"/>
      <c r="K4980" s="10"/>
      <c r="L4980" s="10"/>
      <c r="M4980" s="10"/>
      <c r="N4980" s="10"/>
      <c r="O4980" s="21"/>
    </row>
    <row r="4981" spans="1:15" x14ac:dyDescent="0.35">
      <c r="A4981" s="15">
        <f t="shared" si="78"/>
        <v>40</v>
      </c>
      <c r="B4981" s="16"/>
      <c r="C4981" s="19"/>
      <c r="D4981" s="10"/>
      <c r="E4981" s="10"/>
      <c r="F4981" s="47"/>
      <c r="G4981" s="10"/>
      <c r="H4981" s="20"/>
      <c r="I4981" s="20"/>
      <c r="J4981" s="10"/>
      <c r="K4981" s="10"/>
      <c r="L4981" s="10"/>
      <c r="M4981" s="10"/>
      <c r="N4981" s="10"/>
      <c r="O4981" s="21"/>
    </row>
    <row r="4982" spans="1:15" x14ac:dyDescent="0.35">
      <c r="A4982" s="15">
        <f t="shared" si="78"/>
        <v>41</v>
      </c>
      <c r="B4982" s="16"/>
      <c r="C4982" s="19"/>
      <c r="D4982" s="10"/>
      <c r="E4982" s="10"/>
      <c r="F4982" s="47"/>
      <c r="G4982" s="10"/>
      <c r="H4982" s="20"/>
      <c r="I4982" s="20"/>
      <c r="J4982" s="10"/>
      <c r="K4982" s="10"/>
      <c r="L4982" s="10"/>
      <c r="M4982" s="10"/>
      <c r="N4982" s="10"/>
      <c r="O4982" s="21"/>
    </row>
    <row r="4983" spans="1:15" x14ac:dyDescent="0.35">
      <c r="A4983" s="15">
        <f t="shared" si="78"/>
        <v>42</v>
      </c>
      <c r="B4983" s="16"/>
      <c r="C4983" s="19"/>
      <c r="D4983" s="10"/>
      <c r="E4983" s="10"/>
      <c r="F4983" s="47"/>
      <c r="G4983" s="10"/>
      <c r="H4983" s="20"/>
      <c r="I4983" s="20"/>
      <c r="J4983" s="10"/>
      <c r="K4983" s="10"/>
      <c r="L4983" s="10"/>
      <c r="M4983" s="10"/>
      <c r="N4983" s="10"/>
      <c r="O4983" s="21"/>
    </row>
    <row r="4984" spans="1:15" x14ac:dyDescent="0.35">
      <c r="A4984" s="15">
        <f t="shared" si="78"/>
        <v>43</v>
      </c>
      <c r="B4984" s="16"/>
      <c r="C4984" s="19"/>
      <c r="D4984" s="10"/>
      <c r="E4984" s="10"/>
      <c r="F4984" s="47"/>
      <c r="G4984" s="10"/>
      <c r="H4984" s="20"/>
      <c r="I4984" s="20"/>
      <c r="J4984" s="10"/>
      <c r="K4984" s="10"/>
      <c r="L4984" s="10"/>
      <c r="M4984" s="10"/>
      <c r="N4984" s="10"/>
      <c r="O4984" s="21"/>
    </row>
    <row r="4985" spans="1:15" x14ac:dyDescent="0.35">
      <c r="A4985" s="15">
        <f t="shared" si="78"/>
        <v>44</v>
      </c>
      <c r="B4985" s="16"/>
      <c r="C4985" s="19"/>
      <c r="D4985" s="10"/>
      <c r="E4985" s="10"/>
      <c r="F4985" s="47"/>
      <c r="G4985" s="10"/>
      <c r="H4985" s="20"/>
      <c r="I4985" s="20"/>
      <c r="J4985" s="10"/>
      <c r="K4985" s="10"/>
      <c r="L4985" s="10"/>
      <c r="M4985" s="10"/>
      <c r="N4985" s="10"/>
      <c r="O4985" s="21"/>
    </row>
    <row r="4986" spans="1:15" x14ac:dyDescent="0.35">
      <c r="A4986" s="15">
        <f t="shared" si="78"/>
        <v>45</v>
      </c>
      <c r="B4986" s="16"/>
      <c r="C4986" s="19"/>
      <c r="D4986" s="10"/>
      <c r="E4986" s="10"/>
      <c r="F4986" s="47"/>
      <c r="G4986" s="10"/>
      <c r="H4986" s="20"/>
      <c r="I4986" s="20"/>
      <c r="J4986" s="10"/>
      <c r="K4986" s="10"/>
      <c r="L4986" s="10"/>
      <c r="M4986" s="10"/>
      <c r="N4986" s="10"/>
      <c r="O4986" s="21"/>
    </row>
    <row r="4987" spans="1:15" x14ac:dyDescent="0.35">
      <c r="A4987" s="15">
        <f t="shared" si="78"/>
        <v>46</v>
      </c>
      <c r="B4987" s="16"/>
      <c r="C4987" s="19"/>
      <c r="D4987" s="10"/>
      <c r="E4987" s="10"/>
      <c r="F4987" s="47"/>
      <c r="G4987" s="10"/>
      <c r="H4987" s="20"/>
      <c r="I4987" s="20"/>
      <c r="J4987" s="10"/>
      <c r="K4987" s="10"/>
      <c r="L4987" s="10"/>
      <c r="M4987" s="10"/>
      <c r="N4987" s="10"/>
      <c r="O4987" s="21"/>
    </row>
    <row r="4988" spans="1:15" x14ac:dyDescent="0.35">
      <c r="A4988" s="15">
        <f t="shared" si="78"/>
        <v>47</v>
      </c>
      <c r="B4988" s="16"/>
      <c r="C4988" s="19"/>
      <c r="D4988" s="10"/>
      <c r="E4988" s="10"/>
      <c r="F4988" s="47"/>
      <c r="G4988" s="10"/>
      <c r="H4988" s="20"/>
      <c r="I4988" s="20"/>
      <c r="J4988" s="10"/>
      <c r="K4988" s="10"/>
      <c r="L4988" s="10"/>
      <c r="M4988" s="10"/>
      <c r="N4988" s="10"/>
      <c r="O4988" s="21"/>
    </row>
    <row r="4989" spans="1:15" x14ac:dyDescent="0.35">
      <c r="A4989" s="15">
        <f t="shared" si="78"/>
        <v>48</v>
      </c>
      <c r="B4989" s="16"/>
      <c r="C4989" s="19"/>
      <c r="D4989" s="10"/>
      <c r="E4989" s="10"/>
      <c r="F4989" s="47"/>
      <c r="G4989" s="10"/>
      <c r="H4989" s="20"/>
      <c r="I4989" s="20"/>
      <c r="J4989" s="10"/>
      <c r="K4989" s="10"/>
      <c r="L4989" s="10"/>
      <c r="M4989" s="10"/>
      <c r="N4989" s="10"/>
      <c r="O4989" s="21"/>
    </row>
    <row r="4990" spans="1:15" x14ac:dyDescent="0.35">
      <c r="A4990" s="15">
        <f t="shared" si="78"/>
        <v>49</v>
      </c>
      <c r="B4990" s="16"/>
      <c r="C4990" s="19"/>
      <c r="D4990" s="10"/>
      <c r="E4990" s="10"/>
      <c r="F4990" s="47"/>
      <c r="G4990" s="10"/>
      <c r="H4990" s="20"/>
      <c r="I4990" s="20"/>
      <c r="J4990" s="10"/>
      <c r="K4990" s="10"/>
      <c r="L4990" s="10"/>
      <c r="M4990" s="10"/>
      <c r="N4990" s="10"/>
      <c r="O4990" s="21"/>
    </row>
    <row r="4991" spans="1:15" x14ac:dyDescent="0.35">
      <c r="A4991" s="15">
        <f t="shared" si="78"/>
        <v>50</v>
      </c>
      <c r="B4991" s="16"/>
      <c r="C4991" s="19"/>
      <c r="D4991" s="10"/>
      <c r="E4991" s="10"/>
      <c r="F4991" s="47"/>
      <c r="G4991" s="10"/>
      <c r="H4991" s="20"/>
      <c r="I4991" s="20"/>
      <c r="J4991" s="10"/>
      <c r="K4991" s="10"/>
      <c r="L4991" s="10"/>
      <c r="M4991" s="10"/>
      <c r="N4991" s="10"/>
      <c r="O4991" s="21"/>
    </row>
    <row r="4992" spans="1:15" x14ac:dyDescent="0.35">
      <c r="A4992" s="15">
        <f t="shared" si="78"/>
        <v>51</v>
      </c>
      <c r="B4992" s="16"/>
      <c r="C4992" s="19"/>
      <c r="D4992" s="10"/>
      <c r="E4992" s="10"/>
      <c r="F4992" s="47"/>
      <c r="G4992" s="10"/>
      <c r="H4992" s="20"/>
      <c r="I4992" s="20"/>
      <c r="J4992" s="10"/>
      <c r="K4992" s="10"/>
      <c r="L4992" s="10"/>
      <c r="M4992" s="10"/>
      <c r="N4992" s="10"/>
      <c r="O4992" s="21"/>
    </row>
    <row r="4993" spans="1:15" x14ac:dyDescent="0.35">
      <c r="A4993" s="15">
        <f t="shared" si="78"/>
        <v>52</v>
      </c>
      <c r="B4993" s="16"/>
      <c r="C4993" s="19"/>
      <c r="D4993" s="10"/>
      <c r="E4993" s="10"/>
      <c r="F4993" s="47"/>
      <c r="G4993" s="10"/>
      <c r="H4993" s="20"/>
      <c r="I4993" s="20"/>
      <c r="J4993" s="10"/>
      <c r="K4993" s="10"/>
      <c r="L4993" s="10"/>
      <c r="M4993" s="10"/>
      <c r="N4993" s="10"/>
      <c r="O4993" s="21"/>
    </row>
    <row r="4994" spans="1:15" x14ac:dyDescent="0.35">
      <c r="A4994" s="15">
        <f t="shared" si="78"/>
        <v>53</v>
      </c>
      <c r="B4994" s="16"/>
      <c r="C4994" s="19"/>
      <c r="D4994" s="10"/>
      <c r="E4994" s="10"/>
      <c r="F4994" s="47"/>
      <c r="G4994" s="10"/>
      <c r="H4994" s="20"/>
      <c r="I4994" s="20"/>
      <c r="J4994" s="10"/>
      <c r="K4994" s="10"/>
      <c r="L4994" s="10"/>
      <c r="M4994" s="10"/>
      <c r="N4994" s="10"/>
      <c r="O4994" s="21"/>
    </row>
    <row r="4995" spans="1:15" x14ac:dyDescent="0.35">
      <c r="A4995" s="15">
        <f t="shared" si="78"/>
        <v>54</v>
      </c>
      <c r="B4995" s="16"/>
      <c r="C4995" s="19"/>
      <c r="D4995" s="10"/>
      <c r="E4995" s="10"/>
      <c r="F4995" s="47"/>
      <c r="G4995" s="10"/>
      <c r="H4995" s="20"/>
      <c r="I4995" s="20"/>
      <c r="J4995" s="10"/>
      <c r="K4995" s="10"/>
      <c r="L4995" s="10"/>
      <c r="M4995" s="10"/>
      <c r="N4995" s="10"/>
      <c r="O4995" s="21"/>
    </row>
    <row r="4996" spans="1:15" x14ac:dyDescent="0.35">
      <c r="A4996" s="15">
        <f t="shared" si="78"/>
        <v>55</v>
      </c>
      <c r="B4996" s="16"/>
      <c r="C4996" s="19"/>
      <c r="D4996" s="10"/>
      <c r="E4996" s="10"/>
      <c r="F4996" s="47"/>
      <c r="G4996" s="10"/>
      <c r="H4996" s="20"/>
      <c r="I4996" s="20"/>
      <c r="J4996" s="10"/>
      <c r="K4996" s="10"/>
      <c r="L4996" s="10"/>
      <c r="M4996" s="10"/>
      <c r="N4996" s="10"/>
      <c r="O4996" s="21"/>
    </row>
    <row r="4997" spans="1:15" x14ac:dyDescent="0.35">
      <c r="A4997" s="15">
        <f t="shared" si="78"/>
        <v>56</v>
      </c>
      <c r="B4997" s="16"/>
      <c r="C4997" s="19"/>
      <c r="D4997" s="10"/>
      <c r="E4997" s="10"/>
      <c r="F4997" s="47"/>
      <c r="G4997" s="10"/>
      <c r="H4997" s="20"/>
      <c r="I4997" s="20"/>
      <c r="J4997" s="10"/>
      <c r="K4997" s="10"/>
      <c r="L4997" s="10"/>
      <c r="M4997" s="10"/>
      <c r="N4997" s="10"/>
      <c r="O4997" s="21"/>
    </row>
    <row r="4998" spans="1:15" x14ac:dyDescent="0.35">
      <c r="A4998" s="15">
        <f t="shared" si="78"/>
        <v>57</v>
      </c>
      <c r="B4998" s="16"/>
      <c r="C4998" s="19"/>
      <c r="D4998" s="10"/>
      <c r="E4998" s="10"/>
      <c r="F4998" s="47"/>
      <c r="G4998" s="10"/>
      <c r="H4998" s="20"/>
      <c r="I4998" s="20"/>
      <c r="J4998" s="10"/>
      <c r="K4998" s="10"/>
      <c r="L4998" s="10"/>
      <c r="M4998" s="10"/>
      <c r="N4998" s="10"/>
      <c r="O4998" s="21"/>
    </row>
    <row r="4999" spans="1:15" x14ac:dyDescent="0.35">
      <c r="A4999" s="15">
        <f t="shared" si="78"/>
        <v>58</v>
      </c>
      <c r="B4999" s="16"/>
      <c r="C4999" s="19"/>
      <c r="D4999" s="10"/>
      <c r="E4999" s="10"/>
      <c r="F4999" s="47"/>
      <c r="G4999" s="10"/>
      <c r="H4999" s="20"/>
      <c r="I4999" s="20"/>
      <c r="J4999" s="10"/>
      <c r="K4999" s="10"/>
      <c r="L4999" s="10"/>
      <c r="M4999" s="10"/>
      <c r="N4999" s="10"/>
      <c r="O4999" s="21"/>
    </row>
    <row r="5000" spans="1:15" x14ac:dyDescent="0.35">
      <c r="A5000" s="15">
        <f t="shared" si="78"/>
        <v>59</v>
      </c>
      <c r="B5000" s="16"/>
      <c r="C5000" s="19"/>
      <c r="D5000" s="10"/>
      <c r="E5000" s="10"/>
      <c r="F5000" s="47"/>
      <c r="G5000" s="10"/>
      <c r="H5000" s="20"/>
      <c r="I5000" s="20"/>
      <c r="J5000" s="10"/>
      <c r="K5000" s="10"/>
      <c r="L5000" s="10"/>
      <c r="M5000" s="10"/>
      <c r="N5000" s="10"/>
      <c r="O5000" s="21"/>
    </row>
    <row r="5001" spans="1:15" x14ac:dyDescent="0.35">
      <c r="A5001" s="15">
        <f t="shared" si="78"/>
        <v>60</v>
      </c>
      <c r="B5001" s="16"/>
      <c r="C5001" s="19"/>
      <c r="D5001" s="10"/>
      <c r="E5001" s="10"/>
      <c r="F5001" s="47"/>
      <c r="G5001" s="10"/>
      <c r="H5001" s="20"/>
      <c r="I5001" s="20"/>
      <c r="J5001" s="10"/>
      <c r="K5001" s="10"/>
      <c r="L5001" s="10"/>
      <c r="M5001" s="10"/>
      <c r="N5001" s="10"/>
      <c r="O5001" s="21"/>
    </row>
    <row r="5002" spans="1:15" x14ac:dyDescent="0.35">
      <c r="A5002" s="15">
        <f t="shared" si="78"/>
        <v>61</v>
      </c>
      <c r="B5002" s="16"/>
      <c r="C5002" s="19"/>
      <c r="D5002" s="10"/>
      <c r="E5002" s="10"/>
      <c r="F5002" s="47"/>
      <c r="G5002" s="10"/>
      <c r="H5002" s="20"/>
      <c r="I5002" s="20"/>
      <c r="J5002" s="10"/>
      <c r="K5002" s="10"/>
      <c r="L5002" s="10"/>
      <c r="M5002" s="10"/>
      <c r="N5002" s="10"/>
      <c r="O5002" s="21"/>
    </row>
    <row r="5003" spans="1:15" x14ac:dyDescent="0.35">
      <c r="A5003" s="15">
        <f t="shared" si="78"/>
        <v>62</v>
      </c>
      <c r="B5003" s="16"/>
      <c r="C5003" s="19"/>
      <c r="D5003" s="10"/>
      <c r="E5003" s="10"/>
      <c r="F5003" s="47"/>
      <c r="G5003" s="10"/>
      <c r="H5003" s="20"/>
      <c r="I5003" s="20"/>
      <c r="J5003" s="10"/>
      <c r="K5003" s="10"/>
      <c r="L5003" s="10"/>
      <c r="M5003" s="10"/>
      <c r="N5003" s="10"/>
      <c r="O5003" s="21"/>
    </row>
    <row r="5004" spans="1:15" x14ac:dyDescent="0.35">
      <c r="A5004" s="15">
        <f t="shared" si="78"/>
        <v>63</v>
      </c>
      <c r="B5004" s="16"/>
      <c r="C5004" s="19"/>
      <c r="D5004" s="10"/>
      <c r="E5004" s="10"/>
      <c r="F5004" s="47"/>
      <c r="G5004" s="10"/>
      <c r="H5004" s="20"/>
      <c r="I5004" s="20"/>
      <c r="J5004" s="10"/>
      <c r="K5004" s="10"/>
      <c r="L5004" s="10"/>
      <c r="M5004" s="10"/>
      <c r="N5004" s="10"/>
      <c r="O5004" s="21"/>
    </row>
    <row r="5005" spans="1:15" x14ac:dyDescent="0.35">
      <c r="A5005" s="15">
        <f t="shared" si="78"/>
        <v>64</v>
      </c>
      <c r="B5005" s="16"/>
      <c r="C5005" s="19"/>
      <c r="D5005" s="10"/>
      <c r="E5005" s="10"/>
      <c r="F5005" s="47"/>
      <c r="G5005" s="10"/>
      <c r="H5005" s="20"/>
      <c r="I5005" s="20"/>
      <c r="J5005" s="10"/>
      <c r="K5005" s="10"/>
      <c r="L5005" s="10"/>
      <c r="M5005" s="10"/>
      <c r="N5005" s="10"/>
      <c r="O5005" s="21"/>
    </row>
    <row r="5006" spans="1:15" x14ac:dyDescent="0.35">
      <c r="A5006" s="15">
        <f t="shared" si="78"/>
        <v>65</v>
      </c>
      <c r="B5006" s="16"/>
      <c r="C5006" s="19"/>
      <c r="D5006" s="10"/>
      <c r="E5006" s="10"/>
      <c r="F5006" s="47"/>
      <c r="G5006" s="10"/>
      <c r="H5006" s="20"/>
      <c r="I5006" s="20"/>
      <c r="J5006" s="10"/>
      <c r="K5006" s="10"/>
      <c r="L5006" s="10"/>
      <c r="M5006" s="10"/>
      <c r="N5006" s="10"/>
      <c r="O5006" s="21"/>
    </row>
    <row r="5007" spans="1:15" x14ac:dyDescent="0.35">
      <c r="A5007" s="15">
        <f t="shared" si="78"/>
        <v>66</v>
      </c>
      <c r="B5007" s="16"/>
      <c r="C5007" s="19"/>
      <c r="D5007" s="10"/>
      <c r="E5007" s="10"/>
      <c r="F5007" s="47"/>
      <c r="G5007" s="10"/>
      <c r="H5007" s="20"/>
      <c r="I5007" s="20"/>
      <c r="J5007" s="10"/>
      <c r="K5007" s="10"/>
      <c r="L5007" s="10"/>
      <c r="M5007" s="10"/>
      <c r="N5007" s="10"/>
      <c r="O5007" s="21"/>
    </row>
    <row r="5008" spans="1:15" x14ac:dyDescent="0.35">
      <c r="A5008" s="15">
        <f t="shared" ref="A5008:A5012" si="79">+A5007+1</f>
        <v>67</v>
      </c>
      <c r="B5008" s="16"/>
      <c r="C5008" s="19"/>
      <c r="D5008" s="10"/>
      <c r="E5008" s="10"/>
      <c r="F5008" s="47"/>
      <c r="G5008" s="10"/>
      <c r="H5008" s="20"/>
      <c r="I5008" s="20"/>
      <c r="J5008" s="10"/>
      <c r="K5008" s="10"/>
      <c r="L5008" s="10"/>
      <c r="M5008" s="10"/>
      <c r="N5008" s="10"/>
      <c r="O5008" s="21"/>
    </row>
    <row r="5009" spans="1:15" x14ac:dyDescent="0.35">
      <c r="A5009" s="15">
        <f t="shared" si="79"/>
        <v>68</v>
      </c>
      <c r="B5009" s="16"/>
      <c r="C5009" s="19"/>
      <c r="D5009" s="10"/>
      <c r="E5009" s="10"/>
      <c r="F5009" s="47"/>
      <c r="G5009" s="10"/>
      <c r="H5009" s="20"/>
      <c r="I5009" s="20"/>
      <c r="J5009" s="10"/>
      <c r="K5009" s="10"/>
      <c r="L5009" s="10"/>
      <c r="M5009" s="10"/>
      <c r="N5009" s="10"/>
      <c r="O5009" s="21"/>
    </row>
    <row r="5010" spans="1:15" x14ac:dyDescent="0.35">
      <c r="A5010" s="15">
        <f t="shared" si="79"/>
        <v>69</v>
      </c>
      <c r="B5010" s="16"/>
      <c r="C5010" s="19"/>
      <c r="D5010" s="10"/>
      <c r="E5010" s="10"/>
      <c r="F5010" s="47"/>
      <c r="G5010" s="10"/>
      <c r="H5010" s="20"/>
      <c r="I5010" s="20"/>
      <c r="J5010" s="10"/>
      <c r="K5010" s="10"/>
      <c r="L5010" s="10"/>
      <c r="M5010" s="10"/>
      <c r="N5010" s="10"/>
      <c r="O5010" s="21"/>
    </row>
    <row r="5011" spans="1:15" x14ac:dyDescent="0.35">
      <c r="A5011" s="15">
        <f t="shared" si="79"/>
        <v>70</v>
      </c>
      <c r="B5011" s="16"/>
      <c r="C5011" s="19"/>
      <c r="D5011" s="10"/>
      <c r="E5011" s="10"/>
      <c r="F5011" s="47"/>
      <c r="G5011" s="10"/>
      <c r="H5011" s="20"/>
      <c r="I5011" s="20"/>
      <c r="J5011" s="10"/>
      <c r="K5011" s="10"/>
      <c r="L5011" s="10"/>
      <c r="M5011" s="10"/>
      <c r="N5011" s="10"/>
      <c r="O5011" s="21"/>
    </row>
    <row r="5012" spans="1:15" x14ac:dyDescent="0.35">
      <c r="A5012" s="15">
        <f t="shared" si="79"/>
        <v>71</v>
      </c>
      <c r="B5012" s="17"/>
      <c r="C5012" s="22"/>
      <c r="D5012" s="11"/>
      <c r="E5012" s="11"/>
      <c r="F5012" s="47"/>
      <c r="G5012" s="11"/>
      <c r="H5012" s="23"/>
      <c r="I5012" s="23"/>
      <c r="J5012" s="11"/>
      <c r="K5012" s="11"/>
      <c r="L5012" s="11"/>
      <c r="M5012" s="11"/>
      <c r="N5012" s="11"/>
      <c r="O5012" s="24"/>
    </row>
  </sheetData>
  <mergeCells count="1">
    <mergeCell ref="A1:O1"/>
  </mergeCells>
  <phoneticPr fontId="16" type="noConversion"/>
  <dataValidations count="8">
    <dataValidation type="decimal" allowBlank="1" showInputMessage="1" showErrorMessage="1" sqref="A3:A5012" xr:uid="{00000000-0002-0000-0200-000000000000}">
      <formula1>1</formula1>
      <formula2>50000000000</formula2>
    </dataValidation>
    <dataValidation type="date" operator="greaterThan" showInputMessage="1" showErrorMessage="1" sqref="C3:C5012" xr:uid="{00000000-0002-0000-0200-000001000000}">
      <formula1>35431</formula1>
    </dataValidation>
    <dataValidation type="list" showInputMessage="1" showErrorMessage="1" sqref="D3:D5012" xr:uid="{00000000-0002-0000-0200-000002000000}">
      <formula1>Catagory</formula1>
    </dataValidation>
    <dataValidation type="list" showInputMessage="1" showErrorMessage="1" sqref="F3:F5012" xr:uid="{00000000-0002-0000-0200-000003000000}">
      <formula1>INDIRECT(E3)</formula1>
    </dataValidation>
    <dataValidation type="list" showInputMessage="1" showErrorMessage="1" sqref="G3:G5012" xr:uid="{00000000-0002-0000-0200-000004000000}">
      <formula1>Unit</formula1>
    </dataValidation>
    <dataValidation type="list" showInputMessage="1" showErrorMessage="1" sqref="J3:J5012" xr:uid="{00000000-0002-0000-0200-000005000000}">
      <formula1>Sub_contractor_Name</formula1>
    </dataValidation>
    <dataValidation type="list" allowBlank="1" showInputMessage="1" showErrorMessage="1" sqref="L3:L5012" xr:uid="{00000000-0002-0000-0200-000006000000}">
      <formula1>Location</formula1>
    </dataValidation>
    <dataValidation type="decimal" showInputMessage="1" showErrorMessage="1" sqref="B3:B5012" xr:uid="{00000000-0002-0000-0200-000007000000}">
      <formula1>1</formula1>
      <formula2>1000000</formula2>
    </dataValidation>
  </dataValidations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200-000008000000}">
          <x14:formula1>
            <xm:f>'Master Data'!$F$2:$AR$2</xm:f>
          </x14:formula1>
          <xm:sqref>E3:E5012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50"/>
  </sheetPr>
  <dimension ref="A1:AC1822"/>
  <sheetViews>
    <sheetView topLeftCell="R1" zoomScale="93" zoomScaleNormal="93" workbookViewId="0">
      <pane ySplit="3" topLeftCell="A4" activePane="bottomLeft" state="frozen"/>
      <selection pane="bottomLeft" activeCell="AB5" sqref="AB5"/>
    </sheetView>
  </sheetViews>
  <sheetFormatPr defaultColWidth="8.7265625" defaultRowHeight="14.5" x14ac:dyDescent="0.35"/>
  <cols>
    <col min="1" max="1" width="5.7265625" style="5" customWidth="1"/>
    <col min="2" max="2" width="21.26953125" style="5" bestFit="1" customWidth="1"/>
    <col min="3" max="3" width="19.81640625" style="5" bestFit="1" customWidth="1"/>
    <col min="4" max="4" width="11.1796875" style="5" customWidth="1"/>
    <col min="5" max="5" width="9.1796875" style="5" customWidth="1"/>
    <col min="6" max="6" width="15.26953125" style="5" bestFit="1" customWidth="1"/>
    <col min="7" max="7" width="26" style="5" customWidth="1"/>
    <col min="8" max="8" width="19.54296875" style="5" customWidth="1"/>
    <col min="9" max="9" width="35.1796875" style="5" bestFit="1" customWidth="1"/>
    <col min="10" max="10" width="46.1796875" style="102" customWidth="1"/>
    <col min="11" max="11" width="8.26953125" style="5" customWidth="1"/>
    <col min="12" max="12" width="11.54296875" style="5" bestFit="1" customWidth="1"/>
    <col min="13" max="13" width="13.1796875" style="5" customWidth="1"/>
    <col min="14" max="14" width="11.81640625" style="5" customWidth="1"/>
    <col min="15" max="15" width="11.54296875" style="5" bestFit="1" customWidth="1"/>
    <col min="16" max="16" width="14.54296875" style="5" customWidth="1"/>
    <col min="17" max="17" width="28.26953125" style="9" customWidth="1"/>
    <col min="18" max="18" width="12.453125" style="5" bestFit="1" customWidth="1"/>
    <col min="19" max="19" width="17.1796875" style="5" customWidth="1"/>
    <col min="20" max="20" width="15" style="5" bestFit="1" customWidth="1"/>
    <col min="21" max="21" width="11.1796875" style="5" customWidth="1"/>
    <col min="22" max="22" width="9" style="5" customWidth="1"/>
    <col min="23" max="23" width="14.54296875" style="5" bestFit="1" customWidth="1"/>
    <col min="24" max="24" width="16.54296875" style="8" customWidth="1"/>
    <col min="25" max="25" width="16.81640625" style="105" customWidth="1"/>
    <col min="26" max="26" width="41.26953125" style="5" customWidth="1"/>
    <col min="27" max="27" width="12.453125" style="9" customWidth="1"/>
    <col min="28" max="28" width="12.81640625" style="5" customWidth="1"/>
    <col min="29" max="29" width="19.453125" style="5" customWidth="1"/>
    <col min="30" max="16384" width="8.7265625" style="5"/>
  </cols>
  <sheetData>
    <row r="1" spans="1:29" s="26" customFormat="1" ht="102" customHeight="1" x14ac:dyDescent="0.35">
      <c r="A1" s="264"/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</row>
    <row r="2" spans="1:29" s="29" customFormat="1" ht="11.5" x14ac:dyDescent="0.35">
      <c r="J2" s="100"/>
      <c r="Y2" s="103"/>
    </row>
    <row r="3" spans="1:29" s="95" customFormat="1" ht="39" x14ac:dyDescent="0.35">
      <c r="A3" s="77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2</v>
      </c>
      <c r="K3" s="1" t="s">
        <v>4</v>
      </c>
      <c r="L3" s="12" t="s">
        <v>56</v>
      </c>
      <c r="M3" s="12" t="s">
        <v>57</v>
      </c>
      <c r="N3" s="12" t="s">
        <v>58</v>
      </c>
      <c r="O3" s="1" t="s">
        <v>59</v>
      </c>
      <c r="P3" s="1" t="s">
        <v>60</v>
      </c>
      <c r="Q3" s="1" t="s">
        <v>61</v>
      </c>
      <c r="R3" s="1" t="s">
        <v>62</v>
      </c>
      <c r="S3" s="1" t="s">
        <v>63</v>
      </c>
      <c r="T3" s="1" t="s">
        <v>64</v>
      </c>
      <c r="U3" s="78" t="s">
        <v>65</v>
      </c>
      <c r="V3" s="1" t="s">
        <v>66</v>
      </c>
      <c r="W3" s="1" t="s">
        <v>67</v>
      </c>
      <c r="X3" s="79" t="s">
        <v>68</v>
      </c>
      <c r="Y3" s="104" t="s">
        <v>69</v>
      </c>
      <c r="Z3" s="80" t="s">
        <v>9</v>
      </c>
      <c r="AB3" s="95" t="s">
        <v>70</v>
      </c>
      <c r="AC3" s="95" t="s">
        <v>71</v>
      </c>
    </row>
    <row r="4" spans="1:29" s="98" customFormat="1" x14ac:dyDescent="0.35">
      <c r="A4" s="86">
        <v>1</v>
      </c>
      <c r="B4" s="85">
        <v>45499</v>
      </c>
      <c r="C4" s="87" t="s">
        <v>199</v>
      </c>
      <c r="D4" s="85">
        <v>45498</v>
      </c>
      <c r="E4" s="84">
        <v>2</v>
      </c>
      <c r="F4" s="85">
        <v>45519</v>
      </c>
      <c r="G4" s="87"/>
      <c r="H4" s="87" t="s">
        <v>72</v>
      </c>
      <c r="I4" s="87" t="s">
        <v>73</v>
      </c>
      <c r="J4" s="101" t="s">
        <v>334</v>
      </c>
      <c r="K4" s="87" t="s">
        <v>11</v>
      </c>
      <c r="L4" s="88">
        <v>2160</v>
      </c>
      <c r="M4" s="96">
        <v>2160</v>
      </c>
      <c r="N4" s="88">
        <f>Goods_Receipt[[#This Row],[ Invoice. /
 Received Qty ]]-Goods_Receipt[[#This Row],[ Accepted Qty ]]</f>
        <v>0</v>
      </c>
      <c r="O4" s="87">
        <v>42</v>
      </c>
      <c r="P4" s="93">
        <v>45498</v>
      </c>
      <c r="Q4" s="87"/>
      <c r="R4" s="87" t="s">
        <v>226</v>
      </c>
      <c r="S4" s="87" t="s">
        <v>227</v>
      </c>
      <c r="T4" s="85">
        <v>45468</v>
      </c>
      <c r="U4" s="89"/>
      <c r="V4" s="90"/>
      <c r="W4" s="109"/>
      <c r="X4" s="89"/>
      <c r="Y4" s="84">
        <v>671757801051</v>
      </c>
      <c r="Z4" s="97"/>
    </row>
    <row r="5" spans="1:29" s="98" customFormat="1" x14ac:dyDescent="0.35">
      <c r="A5" s="86">
        <v>2</v>
      </c>
      <c r="B5" s="85">
        <v>45499</v>
      </c>
      <c r="C5" s="87" t="s">
        <v>199</v>
      </c>
      <c r="D5" s="85">
        <v>45498</v>
      </c>
      <c r="E5" s="84">
        <v>2</v>
      </c>
      <c r="F5" s="85">
        <v>45519</v>
      </c>
      <c r="G5" s="87"/>
      <c r="H5" s="87" t="s">
        <v>72</v>
      </c>
      <c r="I5" s="87" t="s">
        <v>73</v>
      </c>
      <c r="J5" s="101" t="s">
        <v>144</v>
      </c>
      <c r="K5" s="87" t="s">
        <v>11</v>
      </c>
      <c r="L5" s="88">
        <v>2160</v>
      </c>
      <c r="M5" s="96">
        <v>2160</v>
      </c>
      <c r="N5" s="88">
        <f>Goods_Receipt[[#This Row],[ Invoice. /
 Received Qty ]]-Goods_Receipt[[#This Row],[ Accepted Qty ]]</f>
        <v>0</v>
      </c>
      <c r="O5" s="87">
        <v>42</v>
      </c>
      <c r="P5" s="93">
        <v>45498</v>
      </c>
      <c r="Q5" s="87"/>
      <c r="R5" s="87" t="s">
        <v>226</v>
      </c>
      <c r="S5" s="87" t="s">
        <v>227</v>
      </c>
      <c r="T5" s="85">
        <v>45468</v>
      </c>
      <c r="U5" s="89"/>
      <c r="V5" s="90"/>
      <c r="W5" s="109"/>
      <c r="X5" s="91"/>
      <c r="Y5" s="84">
        <v>671757801051</v>
      </c>
      <c r="Z5" s="97"/>
    </row>
    <row r="6" spans="1:29" s="98" customFormat="1" x14ac:dyDescent="0.35">
      <c r="A6" s="86">
        <v>3</v>
      </c>
      <c r="B6" s="85">
        <v>45503</v>
      </c>
      <c r="C6" s="87" t="s">
        <v>200</v>
      </c>
      <c r="D6" s="85">
        <v>45497</v>
      </c>
      <c r="E6" s="84">
        <v>3</v>
      </c>
      <c r="F6" s="85">
        <v>45519</v>
      </c>
      <c r="G6" s="87"/>
      <c r="H6" s="87" t="s">
        <v>72</v>
      </c>
      <c r="I6" s="87" t="s">
        <v>75</v>
      </c>
      <c r="J6" s="101" t="s">
        <v>145</v>
      </c>
      <c r="K6" s="87" t="s">
        <v>11</v>
      </c>
      <c r="L6" s="88">
        <v>4290</v>
      </c>
      <c r="M6" s="88">
        <v>4290</v>
      </c>
      <c r="N6" s="88">
        <f>Goods_Receipt[[#This Row],[ Invoice. /
 Received Qty ]]-Goods_Receipt[[#This Row],[ Accepted Qty ]]</f>
        <v>0</v>
      </c>
      <c r="O6" s="87">
        <v>3631</v>
      </c>
      <c r="P6" s="93">
        <v>45497</v>
      </c>
      <c r="Q6" s="87"/>
      <c r="R6" s="87" t="s">
        <v>228</v>
      </c>
      <c r="S6" s="87" t="s">
        <v>229</v>
      </c>
      <c r="T6" s="85">
        <v>45476</v>
      </c>
      <c r="U6" s="89"/>
      <c r="V6" s="90"/>
      <c r="W6" s="87"/>
      <c r="X6" s="89"/>
      <c r="Y6" s="84">
        <v>241799438896</v>
      </c>
      <c r="Z6" s="97"/>
    </row>
    <row r="7" spans="1:29" s="98" customFormat="1" x14ac:dyDescent="0.35">
      <c r="A7" s="86">
        <v>4</v>
      </c>
      <c r="B7" s="85">
        <v>45503</v>
      </c>
      <c r="C7" s="87" t="s">
        <v>200</v>
      </c>
      <c r="D7" s="85">
        <v>45497</v>
      </c>
      <c r="E7" s="84">
        <v>3</v>
      </c>
      <c r="F7" s="85">
        <v>45519</v>
      </c>
      <c r="G7" s="87"/>
      <c r="H7" s="87" t="s">
        <v>72</v>
      </c>
      <c r="I7" s="87" t="s">
        <v>75</v>
      </c>
      <c r="J7" s="101" t="s">
        <v>146</v>
      </c>
      <c r="K7" s="87" t="s">
        <v>11</v>
      </c>
      <c r="L7" s="88">
        <v>12870</v>
      </c>
      <c r="M7" s="88">
        <v>12870</v>
      </c>
      <c r="N7" s="88">
        <f>Goods_Receipt[[#This Row],[ Invoice. /
 Received Qty ]]-Goods_Receipt[[#This Row],[ Accepted Qty ]]</f>
        <v>0</v>
      </c>
      <c r="O7" s="87">
        <v>3631</v>
      </c>
      <c r="P7" s="93">
        <v>45497</v>
      </c>
      <c r="Q7" s="87"/>
      <c r="R7" s="87" t="s">
        <v>228</v>
      </c>
      <c r="S7" s="87" t="s">
        <v>229</v>
      </c>
      <c r="T7" s="85">
        <v>45476</v>
      </c>
      <c r="U7" s="89"/>
      <c r="V7" s="90"/>
      <c r="W7" s="109"/>
      <c r="X7" s="89"/>
      <c r="Y7" s="84">
        <v>241799438896</v>
      </c>
      <c r="Z7" s="97"/>
    </row>
    <row r="8" spans="1:29" s="98" customFormat="1" x14ac:dyDescent="0.35">
      <c r="A8" s="86">
        <v>5</v>
      </c>
      <c r="B8" s="85">
        <v>45503</v>
      </c>
      <c r="C8" s="87" t="s">
        <v>200</v>
      </c>
      <c r="D8" s="85">
        <v>45497</v>
      </c>
      <c r="E8" s="84">
        <v>3</v>
      </c>
      <c r="F8" s="85">
        <v>45519</v>
      </c>
      <c r="G8" s="87"/>
      <c r="H8" s="87" t="s">
        <v>72</v>
      </c>
      <c r="I8" s="87" t="s">
        <v>75</v>
      </c>
      <c r="J8" s="101" t="s">
        <v>147</v>
      </c>
      <c r="K8" s="87" t="s">
        <v>11</v>
      </c>
      <c r="L8" s="88">
        <v>54340</v>
      </c>
      <c r="M8" s="88">
        <v>54340</v>
      </c>
      <c r="N8" s="88">
        <f>Goods_Receipt[[#This Row],[ Invoice. /
 Received Qty ]]-Goods_Receipt[[#This Row],[ Accepted Qty ]]</f>
        <v>0</v>
      </c>
      <c r="O8" s="87">
        <v>3631</v>
      </c>
      <c r="P8" s="93">
        <v>45497</v>
      </c>
      <c r="Q8" s="87"/>
      <c r="R8" s="87" t="s">
        <v>228</v>
      </c>
      <c r="S8" s="87" t="s">
        <v>229</v>
      </c>
      <c r="T8" s="85">
        <v>45476</v>
      </c>
      <c r="U8" s="89"/>
      <c r="V8" s="90"/>
      <c r="W8" s="109"/>
      <c r="X8" s="89"/>
      <c r="Y8" s="84">
        <v>241799438896</v>
      </c>
      <c r="Z8" s="97"/>
    </row>
    <row r="9" spans="1:29" s="98" customFormat="1" x14ac:dyDescent="0.35">
      <c r="A9" s="86">
        <v>6</v>
      </c>
      <c r="B9" s="85">
        <v>45503</v>
      </c>
      <c r="C9" s="87" t="s">
        <v>200</v>
      </c>
      <c r="D9" s="85">
        <v>45497</v>
      </c>
      <c r="E9" s="84">
        <v>3</v>
      </c>
      <c r="F9" s="85">
        <v>45519</v>
      </c>
      <c r="G9" s="87"/>
      <c r="H9" s="87" t="s">
        <v>72</v>
      </c>
      <c r="I9" s="87" t="s">
        <v>75</v>
      </c>
      <c r="J9" s="101" t="s">
        <v>446</v>
      </c>
      <c r="K9" s="87" t="s">
        <v>11</v>
      </c>
      <c r="L9" s="88">
        <v>57200</v>
      </c>
      <c r="M9" s="88">
        <v>57200</v>
      </c>
      <c r="N9" s="88">
        <f>Goods_Receipt[[#This Row],[ Invoice. /
 Received Qty ]]-Goods_Receipt[[#This Row],[ Accepted Qty ]]</f>
        <v>0</v>
      </c>
      <c r="O9" s="87">
        <v>3631</v>
      </c>
      <c r="P9" s="93">
        <v>45497</v>
      </c>
      <c r="Q9" s="87"/>
      <c r="R9" s="87" t="s">
        <v>228</v>
      </c>
      <c r="S9" s="87" t="s">
        <v>229</v>
      </c>
      <c r="T9" s="85">
        <v>45476</v>
      </c>
      <c r="U9" s="89"/>
      <c r="V9" s="90"/>
      <c r="W9" s="87"/>
      <c r="X9" s="89"/>
      <c r="Y9" s="84">
        <v>241799438896</v>
      </c>
      <c r="Z9" s="97"/>
    </row>
    <row r="10" spans="1:29" s="98" customFormat="1" x14ac:dyDescent="0.35">
      <c r="A10" s="86">
        <v>7</v>
      </c>
      <c r="B10" s="85">
        <v>45504</v>
      </c>
      <c r="C10" s="87" t="s">
        <v>201</v>
      </c>
      <c r="D10" s="85">
        <v>45500</v>
      </c>
      <c r="E10" s="84">
        <v>4</v>
      </c>
      <c r="F10" s="85">
        <v>45519</v>
      </c>
      <c r="G10" s="87"/>
      <c r="H10" s="87" t="s">
        <v>72</v>
      </c>
      <c r="I10" s="87" t="s">
        <v>75</v>
      </c>
      <c r="J10" s="101" t="s">
        <v>148</v>
      </c>
      <c r="K10" s="87" t="s">
        <v>11</v>
      </c>
      <c r="L10" s="88">
        <v>114400</v>
      </c>
      <c r="M10" s="88">
        <v>114400</v>
      </c>
      <c r="N10" s="88">
        <f>Goods_Receipt[[#This Row],[ Invoice. /
 Received Qty ]]-Goods_Receipt[[#This Row],[ Accepted Qty ]]</f>
        <v>0</v>
      </c>
      <c r="O10" s="87">
        <v>231</v>
      </c>
      <c r="P10" s="93">
        <v>45500</v>
      </c>
      <c r="Q10" s="87"/>
      <c r="R10" s="87" t="s">
        <v>230</v>
      </c>
      <c r="S10" s="87"/>
      <c r="T10" s="85"/>
      <c r="U10" s="89"/>
      <c r="V10" s="90"/>
      <c r="W10" s="109"/>
      <c r="X10" s="89"/>
      <c r="Y10" s="84">
        <v>381818012077</v>
      </c>
      <c r="Z10" s="97"/>
      <c r="AA10" s="99"/>
    </row>
    <row r="11" spans="1:29" s="98" customFormat="1" x14ac:dyDescent="0.35">
      <c r="A11" s="86">
        <v>8</v>
      </c>
      <c r="B11" s="85">
        <v>45512</v>
      </c>
      <c r="C11" s="87" t="s">
        <v>202</v>
      </c>
      <c r="D11" s="85">
        <v>45509</v>
      </c>
      <c r="E11" s="84">
        <v>5</v>
      </c>
      <c r="F11" s="85">
        <v>45519</v>
      </c>
      <c r="G11" s="87"/>
      <c r="H11" s="87" t="s">
        <v>72</v>
      </c>
      <c r="I11" s="87" t="s">
        <v>75</v>
      </c>
      <c r="J11" s="101" t="s">
        <v>149</v>
      </c>
      <c r="K11" s="87" t="s">
        <v>11</v>
      </c>
      <c r="L11" s="88">
        <v>80000</v>
      </c>
      <c r="M11" s="88">
        <v>80000</v>
      </c>
      <c r="N11" s="88">
        <f>Goods_Receipt[[#This Row],[ Invoice. /
 Received Qty ]]-Goods_Receipt[[#This Row],[ Accepted Qty ]]</f>
        <v>0</v>
      </c>
      <c r="O11" s="87">
        <v>948094</v>
      </c>
      <c r="P11" s="93">
        <v>45509</v>
      </c>
      <c r="Q11" s="87"/>
      <c r="R11" s="87" t="s">
        <v>231</v>
      </c>
      <c r="S11" s="87" t="s">
        <v>229</v>
      </c>
      <c r="T11" s="85">
        <v>45476</v>
      </c>
      <c r="U11" s="89"/>
      <c r="V11" s="90"/>
      <c r="W11" s="109"/>
      <c r="X11" s="89"/>
      <c r="Y11" s="84">
        <v>251805544671</v>
      </c>
      <c r="Z11" s="97"/>
      <c r="AA11" s="99"/>
    </row>
    <row r="12" spans="1:29" s="98" customFormat="1" x14ac:dyDescent="0.35">
      <c r="A12" s="86">
        <v>9</v>
      </c>
      <c r="B12" s="85">
        <v>45512</v>
      </c>
      <c r="C12" s="87" t="s">
        <v>202</v>
      </c>
      <c r="D12" s="85">
        <v>45509</v>
      </c>
      <c r="E12" s="84">
        <v>5</v>
      </c>
      <c r="F12" s="85">
        <v>45519</v>
      </c>
      <c r="G12" s="87"/>
      <c r="H12" s="87" t="s">
        <v>72</v>
      </c>
      <c r="I12" s="87" t="s">
        <v>75</v>
      </c>
      <c r="J12" s="101" t="s">
        <v>149</v>
      </c>
      <c r="K12" s="87" t="s">
        <v>11</v>
      </c>
      <c r="L12" s="88">
        <v>1510</v>
      </c>
      <c r="M12" s="88">
        <v>1510</v>
      </c>
      <c r="N12" s="88">
        <f>Goods_Receipt[[#This Row],[ Invoice. /
 Received Qty ]]-Goods_Receipt[[#This Row],[ Accepted Qty ]]</f>
        <v>0</v>
      </c>
      <c r="O12" s="87">
        <v>948094</v>
      </c>
      <c r="P12" s="93">
        <v>45509</v>
      </c>
      <c r="Q12" s="87"/>
      <c r="R12" s="87" t="s">
        <v>231</v>
      </c>
      <c r="S12" s="87" t="s">
        <v>229</v>
      </c>
      <c r="T12" s="85">
        <v>45476</v>
      </c>
      <c r="U12" s="89"/>
      <c r="V12" s="90"/>
      <c r="W12" s="109"/>
      <c r="X12" s="91"/>
      <c r="Y12" s="84">
        <v>251805544671</v>
      </c>
      <c r="Z12" s="97"/>
      <c r="AA12" s="99"/>
    </row>
    <row r="13" spans="1:29" s="98" customFormat="1" x14ac:dyDescent="0.35">
      <c r="A13" s="86">
        <v>10</v>
      </c>
      <c r="B13" s="85">
        <v>45512</v>
      </c>
      <c r="C13" s="87" t="s">
        <v>202</v>
      </c>
      <c r="D13" s="85">
        <v>45509</v>
      </c>
      <c r="E13" s="84">
        <v>5</v>
      </c>
      <c r="F13" s="85">
        <v>45519</v>
      </c>
      <c r="G13" s="87"/>
      <c r="H13" s="87" t="s">
        <v>72</v>
      </c>
      <c r="I13" s="87" t="s">
        <v>75</v>
      </c>
      <c r="J13" s="101" t="s">
        <v>150</v>
      </c>
      <c r="K13" s="87" t="s">
        <v>11</v>
      </c>
      <c r="L13" s="88">
        <v>1510</v>
      </c>
      <c r="M13" s="88">
        <v>1510</v>
      </c>
      <c r="N13" s="88">
        <f>Goods_Receipt[[#This Row],[ Invoice. /
 Received Qty ]]-Goods_Receipt[[#This Row],[ Accepted Qty ]]</f>
        <v>0</v>
      </c>
      <c r="O13" s="87">
        <v>948094</v>
      </c>
      <c r="P13" s="93">
        <v>45509</v>
      </c>
      <c r="Q13" s="87"/>
      <c r="R13" s="87" t="s">
        <v>231</v>
      </c>
      <c r="S13" s="87" t="s">
        <v>229</v>
      </c>
      <c r="T13" s="85">
        <v>45476</v>
      </c>
      <c r="U13" s="91"/>
      <c r="V13" s="90"/>
      <c r="W13" s="109"/>
      <c r="X13" s="91"/>
      <c r="Y13" s="84">
        <v>251805544671</v>
      </c>
      <c r="Z13" s="97"/>
    </row>
    <row r="14" spans="1:29" s="98" customFormat="1" x14ac:dyDescent="0.35">
      <c r="A14" s="86">
        <v>11</v>
      </c>
      <c r="B14" s="85">
        <v>45512</v>
      </c>
      <c r="C14" s="87" t="s">
        <v>202</v>
      </c>
      <c r="D14" s="85">
        <v>45509</v>
      </c>
      <c r="E14" s="84">
        <v>5</v>
      </c>
      <c r="F14" s="85">
        <v>45519</v>
      </c>
      <c r="G14" s="87"/>
      <c r="H14" s="87" t="s">
        <v>72</v>
      </c>
      <c r="I14" s="87" t="s">
        <v>75</v>
      </c>
      <c r="J14" s="101" t="s">
        <v>150</v>
      </c>
      <c r="K14" s="87" t="s">
        <v>11</v>
      </c>
      <c r="L14" s="88">
        <v>80000</v>
      </c>
      <c r="M14" s="92">
        <v>80000</v>
      </c>
      <c r="N14" s="88">
        <f>Goods_Receipt[[#This Row],[ Invoice. /
 Received Qty ]]-Goods_Receipt[[#This Row],[ Accepted Qty ]]</f>
        <v>0</v>
      </c>
      <c r="O14" s="87">
        <v>948094</v>
      </c>
      <c r="P14" s="93">
        <v>45509</v>
      </c>
      <c r="Q14" s="87"/>
      <c r="R14" s="87" t="s">
        <v>231</v>
      </c>
      <c r="S14" s="87" t="s">
        <v>229</v>
      </c>
      <c r="T14" s="85">
        <v>45476</v>
      </c>
      <c r="U14" s="91"/>
      <c r="V14" s="90"/>
      <c r="W14" s="109"/>
      <c r="X14" s="91"/>
      <c r="Y14" s="84">
        <v>251805544671</v>
      </c>
      <c r="Z14" s="97"/>
    </row>
    <row r="15" spans="1:29" s="98" customFormat="1" x14ac:dyDescent="0.35">
      <c r="A15" s="86">
        <v>12</v>
      </c>
      <c r="B15" s="85">
        <v>45512</v>
      </c>
      <c r="C15" s="87" t="s">
        <v>202</v>
      </c>
      <c r="D15" s="85">
        <v>45509</v>
      </c>
      <c r="E15" s="84">
        <v>5</v>
      </c>
      <c r="F15" s="85">
        <v>45519</v>
      </c>
      <c r="G15" s="87"/>
      <c r="H15" s="87" t="s">
        <v>72</v>
      </c>
      <c r="I15" s="87" t="s">
        <v>75</v>
      </c>
      <c r="J15" s="101" t="s">
        <v>151</v>
      </c>
      <c r="K15" s="87" t="s">
        <v>11</v>
      </c>
      <c r="L15" s="88">
        <v>163020</v>
      </c>
      <c r="M15" s="88">
        <v>163020</v>
      </c>
      <c r="N15" s="88">
        <f>Goods_Receipt[[#This Row],[ Invoice. /
 Received Qty ]]-Goods_Receipt[[#This Row],[ Accepted Qty ]]</f>
        <v>0</v>
      </c>
      <c r="O15" s="87">
        <v>948094</v>
      </c>
      <c r="P15" s="93">
        <v>45509</v>
      </c>
      <c r="Q15" s="87"/>
      <c r="R15" s="87" t="s">
        <v>231</v>
      </c>
      <c r="S15" s="87" t="s">
        <v>229</v>
      </c>
      <c r="T15" s="85">
        <v>45476</v>
      </c>
      <c r="U15" s="89"/>
      <c r="V15" s="90"/>
      <c r="W15" s="109"/>
      <c r="X15" s="91"/>
      <c r="Y15" s="84">
        <v>251805544671</v>
      </c>
      <c r="Z15" s="97"/>
    </row>
    <row r="16" spans="1:29" s="98" customFormat="1" x14ac:dyDescent="0.35">
      <c r="A16" s="86">
        <v>13</v>
      </c>
      <c r="B16" s="85">
        <v>45512</v>
      </c>
      <c r="C16" s="87" t="s">
        <v>202</v>
      </c>
      <c r="D16" s="85">
        <v>45509</v>
      </c>
      <c r="E16" s="84">
        <v>5</v>
      </c>
      <c r="F16" s="85">
        <v>45519</v>
      </c>
      <c r="G16" s="87"/>
      <c r="H16" s="87" t="s">
        <v>72</v>
      </c>
      <c r="I16" s="87" t="s">
        <v>75</v>
      </c>
      <c r="J16" s="101" t="s">
        <v>152</v>
      </c>
      <c r="K16" s="87" t="s">
        <v>11</v>
      </c>
      <c r="L16" s="88">
        <v>40000</v>
      </c>
      <c r="M16" s="88">
        <v>40000</v>
      </c>
      <c r="N16" s="88">
        <f>Goods_Receipt[[#This Row],[ Invoice. /
 Received Qty ]]-Goods_Receipt[[#This Row],[ Accepted Qty ]]</f>
        <v>0</v>
      </c>
      <c r="O16" s="87">
        <v>948094</v>
      </c>
      <c r="P16" s="93">
        <v>45509</v>
      </c>
      <c r="Q16" s="87"/>
      <c r="R16" s="87" t="s">
        <v>231</v>
      </c>
      <c r="S16" s="87" t="s">
        <v>229</v>
      </c>
      <c r="T16" s="85">
        <v>45476</v>
      </c>
      <c r="U16" s="89"/>
      <c r="V16" s="90"/>
      <c r="W16" s="109"/>
      <c r="X16" s="91"/>
      <c r="Y16" s="84">
        <v>251805544671</v>
      </c>
      <c r="Z16" s="97"/>
    </row>
    <row r="17" spans="1:26" s="98" customFormat="1" x14ac:dyDescent="0.35">
      <c r="A17" s="86">
        <v>14</v>
      </c>
      <c r="B17" s="85">
        <v>45512</v>
      </c>
      <c r="C17" s="87" t="s">
        <v>202</v>
      </c>
      <c r="D17" s="85">
        <v>45509</v>
      </c>
      <c r="E17" s="84">
        <v>5</v>
      </c>
      <c r="F17" s="85">
        <v>45519</v>
      </c>
      <c r="G17" s="87"/>
      <c r="H17" s="87" t="s">
        <v>72</v>
      </c>
      <c r="I17" s="87" t="s">
        <v>75</v>
      </c>
      <c r="J17" s="101" t="s">
        <v>152</v>
      </c>
      <c r="K17" s="87" t="s">
        <v>11</v>
      </c>
      <c r="L17" s="91">
        <v>41510</v>
      </c>
      <c r="M17" s="91">
        <v>41510</v>
      </c>
      <c r="N17" s="88">
        <f>Goods_Receipt[[#This Row],[ Invoice. /
 Received Qty ]]-Goods_Receipt[[#This Row],[ Accepted Qty ]]</f>
        <v>0</v>
      </c>
      <c r="O17" s="87">
        <v>948094</v>
      </c>
      <c r="P17" s="93">
        <v>45509</v>
      </c>
      <c r="Q17" s="87"/>
      <c r="R17" s="87" t="s">
        <v>231</v>
      </c>
      <c r="S17" s="87" t="s">
        <v>229</v>
      </c>
      <c r="T17" s="85">
        <v>45476</v>
      </c>
      <c r="U17" s="89"/>
      <c r="V17" s="90"/>
      <c r="W17" s="109"/>
      <c r="X17" s="91"/>
      <c r="Y17" s="84">
        <v>251805544671</v>
      </c>
      <c r="Z17" s="97"/>
    </row>
    <row r="18" spans="1:26" s="98" customFormat="1" x14ac:dyDescent="0.35">
      <c r="A18" s="86">
        <v>15</v>
      </c>
      <c r="B18" s="85">
        <v>45514</v>
      </c>
      <c r="C18" s="87"/>
      <c r="D18" s="85">
        <v>45514</v>
      </c>
      <c r="E18" s="84">
        <v>31</v>
      </c>
      <c r="F18" s="85">
        <v>45519</v>
      </c>
      <c r="G18" s="87"/>
      <c r="H18" s="87" t="s">
        <v>72</v>
      </c>
      <c r="I18" s="87" t="s">
        <v>106</v>
      </c>
      <c r="J18" s="101" t="s">
        <v>153</v>
      </c>
      <c r="K18" s="87" t="s">
        <v>11</v>
      </c>
      <c r="L18" s="91">
        <v>3</v>
      </c>
      <c r="M18" s="91">
        <v>3</v>
      </c>
      <c r="N18" s="88">
        <f>Goods_Receipt[[#This Row],[ Invoice. /
 Received Qty ]]-Goods_Receipt[[#This Row],[ Accepted Qty ]]</f>
        <v>0</v>
      </c>
      <c r="O18" s="87">
        <v>52422</v>
      </c>
      <c r="P18" s="93">
        <v>45514</v>
      </c>
      <c r="Q18" s="87"/>
      <c r="R18" s="87" t="s">
        <v>232</v>
      </c>
      <c r="S18" s="87">
        <v>4200052777</v>
      </c>
      <c r="T18" s="85">
        <v>45514</v>
      </c>
      <c r="U18" s="89"/>
      <c r="V18" s="90"/>
      <c r="W18" s="109"/>
      <c r="X18" s="89"/>
      <c r="Y18" s="84">
        <v>661765509003</v>
      </c>
      <c r="Z18" s="97"/>
    </row>
    <row r="19" spans="1:26" s="98" customFormat="1" x14ac:dyDescent="0.35">
      <c r="A19" s="86">
        <v>16</v>
      </c>
      <c r="B19" s="85">
        <v>45514</v>
      </c>
      <c r="C19" s="87"/>
      <c r="D19" s="85">
        <v>45514</v>
      </c>
      <c r="E19" s="84">
        <v>32</v>
      </c>
      <c r="F19" s="85">
        <v>45519</v>
      </c>
      <c r="G19" s="87"/>
      <c r="H19" s="87" t="s">
        <v>72</v>
      </c>
      <c r="I19" s="87" t="s">
        <v>106</v>
      </c>
      <c r="J19" s="101" t="s">
        <v>153</v>
      </c>
      <c r="K19" s="87" t="s">
        <v>11</v>
      </c>
      <c r="L19" s="91">
        <v>3</v>
      </c>
      <c r="M19" s="96">
        <v>3</v>
      </c>
      <c r="N19" s="88">
        <f>Goods_Receipt[[#This Row],[ Invoice. /
 Received Qty ]]-Goods_Receipt[[#This Row],[ Accepted Qty ]]</f>
        <v>0</v>
      </c>
      <c r="O19" s="87">
        <v>52422</v>
      </c>
      <c r="P19" s="93">
        <v>45514</v>
      </c>
      <c r="Q19" s="87"/>
      <c r="R19" s="87" t="s">
        <v>232</v>
      </c>
      <c r="S19" s="87">
        <v>4200054306</v>
      </c>
      <c r="T19" s="85">
        <v>45514</v>
      </c>
      <c r="U19" s="89"/>
      <c r="V19" s="90"/>
      <c r="W19" s="109"/>
      <c r="X19" s="89"/>
      <c r="Y19" s="84">
        <v>661765509003</v>
      </c>
      <c r="Z19" s="97"/>
    </row>
    <row r="20" spans="1:26" s="98" customFormat="1" x14ac:dyDescent="0.35">
      <c r="A20" s="86">
        <v>17</v>
      </c>
      <c r="B20" s="85">
        <v>45516</v>
      </c>
      <c r="C20" s="87" t="s">
        <v>203</v>
      </c>
      <c r="D20" s="85">
        <v>45514</v>
      </c>
      <c r="E20" s="84">
        <v>7</v>
      </c>
      <c r="F20" s="85">
        <v>45519</v>
      </c>
      <c r="G20" s="87"/>
      <c r="H20" s="87" t="s">
        <v>72</v>
      </c>
      <c r="I20" s="87" t="s">
        <v>73</v>
      </c>
      <c r="J20" s="101" t="s">
        <v>154</v>
      </c>
      <c r="K20" s="87" t="s">
        <v>11</v>
      </c>
      <c r="L20" s="88">
        <v>1799</v>
      </c>
      <c r="M20" s="88">
        <v>1799</v>
      </c>
      <c r="N20" s="88">
        <f>Goods_Receipt[[#This Row],[ Invoice. /
 Received Qty ]]-Goods_Receipt[[#This Row],[ Accepted Qty ]]</f>
        <v>0</v>
      </c>
      <c r="O20" s="87">
        <v>46</v>
      </c>
      <c r="P20" s="93">
        <v>45514</v>
      </c>
      <c r="Q20" s="87"/>
      <c r="R20" s="87" t="s">
        <v>233</v>
      </c>
      <c r="S20" s="87" t="s">
        <v>227</v>
      </c>
      <c r="T20" s="85">
        <v>45468</v>
      </c>
      <c r="U20" s="89"/>
      <c r="V20" s="90"/>
      <c r="W20" s="109"/>
      <c r="X20" s="89"/>
      <c r="Y20" s="84">
        <v>681765877331</v>
      </c>
      <c r="Z20" s="97"/>
    </row>
    <row r="21" spans="1:26" s="98" customFormat="1" x14ac:dyDescent="0.35">
      <c r="A21" s="86">
        <v>18</v>
      </c>
      <c r="B21" s="85">
        <v>45516</v>
      </c>
      <c r="C21" s="87" t="s">
        <v>203</v>
      </c>
      <c r="D21" s="85">
        <v>45514</v>
      </c>
      <c r="E21" s="84">
        <v>7</v>
      </c>
      <c r="F21" s="85">
        <v>45519</v>
      </c>
      <c r="G21" s="87"/>
      <c r="H21" s="87" t="s">
        <v>72</v>
      </c>
      <c r="I21" s="87" t="s">
        <v>73</v>
      </c>
      <c r="J21" s="101" t="s">
        <v>155</v>
      </c>
      <c r="K21" s="87" t="s">
        <v>11</v>
      </c>
      <c r="L21" s="91">
        <v>1440</v>
      </c>
      <c r="M21" s="91">
        <v>1440</v>
      </c>
      <c r="N21" s="88">
        <f>Goods_Receipt[[#This Row],[ Invoice. /
 Received Qty ]]-Goods_Receipt[[#This Row],[ Accepted Qty ]]</f>
        <v>0</v>
      </c>
      <c r="O21" s="87">
        <v>46</v>
      </c>
      <c r="P21" s="93">
        <v>45514</v>
      </c>
      <c r="Q21" s="87"/>
      <c r="R21" s="87" t="s">
        <v>233</v>
      </c>
      <c r="S21" s="87" t="s">
        <v>227</v>
      </c>
      <c r="T21" s="85">
        <v>45468</v>
      </c>
      <c r="U21" s="89"/>
      <c r="V21" s="90"/>
      <c r="W21" s="109"/>
      <c r="X21" s="91"/>
      <c r="Y21" s="84">
        <v>681765877331</v>
      </c>
      <c r="Z21" s="97"/>
    </row>
    <row r="22" spans="1:26" s="98" customFormat="1" x14ac:dyDescent="0.35">
      <c r="A22" s="86">
        <v>19</v>
      </c>
      <c r="B22" s="85">
        <v>45516</v>
      </c>
      <c r="C22" s="87" t="s">
        <v>203</v>
      </c>
      <c r="D22" s="85">
        <v>45514</v>
      </c>
      <c r="E22" s="84">
        <v>7</v>
      </c>
      <c r="F22" s="85">
        <v>45519</v>
      </c>
      <c r="G22" s="87"/>
      <c r="H22" s="87" t="s">
        <v>72</v>
      </c>
      <c r="I22" s="87" t="s">
        <v>73</v>
      </c>
      <c r="J22" s="101" t="s">
        <v>156</v>
      </c>
      <c r="K22" s="87" t="s">
        <v>11</v>
      </c>
      <c r="L22" s="88">
        <v>1600</v>
      </c>
      <c r="M22" s="88">
        <v>1600</v>
      </c>
      <c r="N22" s="88">
        <f>Goods_Receipt[[#This Row],[ Invoice. /
 Received Qty ]]-Goods_Receipt[[#This Row],[ Accepted Qty ]]</f>
        <v>0</v>
      </c>
      <c r="O22" s="87">
        <v>46</v>
      </c>
      <c r="P22" s="93">
        <v>45514</v>
      </c>
      <c r="Q22" s="87"/>
      <c r="R22" s="87" t="s">
        <v>233</v>
      </c>
      <c r="S22" s="87" t="s">
        <v>227</v>
      </c>
      <c r="T22" s="85">
        <v>45468</v>
      </c>
      <c r="U22" s="89"/>
      <c r="V22" s="90"/>
      <c r="W22" s="109"/>
      <c r="X22" s="124"/>
      <c r="Y22" s="84">
        <v>681765877331</v>
      </c>
      <c r="Z22" s="97"/>
    </row>
    <row r="23" spans="1:26" s="98" customFormat="1" x14ac:dyDescent="0.35">
      <c r="A23" s="86">
        <v>20</v>
      </c>
      <c r="B23" s="85">
        <v>45516</v>
      </c>
      <c r="C23" s="87" t="s">
        <v>204</v>
      </c>
      <c r="D23" s="85">
        <v>45514</v>
      </c>
      <c r="E23" s="84">
        <v>8</v>
      </c>
      <c r="F23" s="85">
        <v>45519</v>
      </c>
      <c r="G23" s="87"/>
      <c r="H23" s="87" t="s">
        <v>72</v>
      </c>
      <c r="I23" s="87" t="s">
        <v>73</v>
      </c>
      <c r="J23" s="101" t="s">
        <v>144</v>
      </c>
      <c r="K23" s="87" t="s">
        <v>11</v>
      </c>
      <c r="L23" s="91">
        <v>2051</v>
      </c>
      <c r="M23" s="91">
        <v>2051</v>
      </c>
      <c r="N23" s="88">
        <f>Goods_Receipt[[#This Row],[ Invoice. /
 Received Qty ]]-Goods_Receipt[[#This Row],[ Accepted Qty ]]</f>
        <v>0</v>
      </c>
      <c r="O23" s="87">
        <v>48</v>
      </c>
      <c r="P23" s="93">
        <v>45514</v>
      </c>
      <c r="Q23" s="87"/>
      <c r="R23" s="87" t="s">
        <v>234</v>
      </c>
      <c r="S23" s="87" t="s">
        <v>227</v>
      </c>
      <c r="T23" s="85">
        <v>45468</v>
      </c>
      <c r="U23" s="89"/>
      <c r="V23" s="90"/>
      <c r="W23" s="109"/>
      <c r="X23" s="89"/>
      <c r="Y23" s="84">
        <v>621765965485</v>
      </c>
      <c r="Z23" s="97"/>
    </row>
    <row r="24" spans="1:26" s="98" customFormat="1" x14ac:dyDescent="0.35">
      <c r="A24" s="86">
        <v>21</v>
      </c>
      <c r="B24" s="85">
        <v>45516</v>
      </c>
      <c r="C24" s="87" t="s">
        <v>205</v>
      </c>
      <c r="D24" s="85">
        <v>45514</v>
      </c>
      <c r="E24" s="84">
        <v>9</v>
      </c>
      <c r="F24" s="85">
        <v>45519</v>
      </c>
      <c r="G24" s="87"/>
      <c r="H24" s="87" t="s">
        <v>72</v>
      </c>
      <c r="I24" s="87" t="s">
        <v>73</v>
      </c>
      <c r="J24" s="101" t="s">
        <v>154</v>
      </c>
      <c r="K24" s="87" t="s">
        <v>11</v>
      </c>
      <c r="L24" s="91">
        <v>1500</v>
      </c>
      <c r="M24" s="91">
        <v>1500</v>
      </c>
      <c r="N24" s="88">
        <f>Goods_Receipt[[#This Row],[ Invoice. /
 Received Qty ]]-Goods_Receipt[[#This Row],[ Accepted Qty ]]</f>
        <v>0</v>
      </c>
      <c r="O24" s="87">
        <v>47</v>
      </c>
      <c r="P24" s="93">
        <v>45514</v>
      </c>
      <c r="Q24" s="87"/>
      <c r="R24" s="87" t="s">
        <v>235</v>
      </c>
      <c r="S24" s="87" t="s">
        <v>227</v>
      </c>
      <c r="T24" s="85">
        <v>45468</v>
      </c>
      <c r="U24" s="89"/>
      <c r="V24" s="90"/>
      <c r="W24" s="109"/>
      <c r="X24" s="89"/>
      <c r="Y24" s="84">
        <v>631765939805</v>
      </c>
      <c r="Z24" s="97"/>
    </row>
    <row r="25" spans="1:26" s="98" customFormat="1" x14ac:dyDescent="0.35">
      <c r="A25" s="86">
        <v>22</v>
      </c>
      <c r="B25" s="85">
        <v>45516</v>
      </c>
      <c r="C25" s="87" t="s">
        <v>206</v>
      </c>
      <c r="D25" s="85">
        <v>45514</v>
      </c>
      <c r="E25" s="84">
        <v>10</v>
      </c>
      <c r="F25" s="85">
        <v>45519</v>
      </c>
      <c r="G25" s="87"/>
      <c r="H25" s="87" t="s">
        <v>72</v>
      </c>
      <c r="I25" s="87" t="s">
        <v>73</v>
      </c>
      <c r="J25" s="101" t="s">
        <v>334</v>
      </c>
      <c r="K25" s="87" t="s">
        <v>11</v>
      </c>
      <c r="L25" s="91">
        <v>1957</v>
      </c>
      <c r="M25" s="91">
        <v>1957</v>
      </c>
      <c r="N25" s="88">
        <f>Goods_Receipt[[#This Row],[ Invoice. /
 Received Qty ]]-Goods_Receipt[[#This Row],[ Accepted Qty ]]</f>
        <v>0</v>
      </c>
      <c r="O25" s="87">
        <v>17</v>
      </c>
      <c r="P25" s="93">
        <v>45514</v>
      </c>
      <c r="Q25" s="87"/>
      <c r="R25" s="87" t="s">
        <v>236</v>
      </c>
      <c r="S25" s="87" t="s">
        <v>227</v>
      </c>
      <c r="T25" s="85">
        <v>45468</v>
      </c>
      <c r="U25" s="89"/>
      <c r="V25" s="90"/>
      <c r="W25" s="109"/>
      <c r="X25" s="89"/>
      <c r="Y25" s="84">
        <v>671765920731</v>
      </c>
      <c r="Z25" s="97"/>
    </row>
    <row r="26" spans="1:26" s="98" customFormat="1" x14ac:dyDescent="0.35">
      <c r="A26" s="86">
        <v>23</v>
      </c>
      <c r="B26" s="85">
        <v>45516</v>
      </c>
      <c r="C26" s="87" t="s">
        <v>206</v>
      </c>
      <c r="D26" s="85">
        <v>45514</v>
      </c>
      <c r="E26" s="84">
        <v>10</v>
      </c>
      <c r="F26" s="85">
        <v>45519</v>
      </c>
      <c r="G26" s="87"/>
      <c r="H26" s="87" t="s">
        <v>72</v>
      </c>
      <c r="I26" s="87" t="s">
        <v>73</v>
      </c>
      <c r="J26" s="101" t="s">
        <v>156</v>
      </c>
      <c r="K26" s="87" t="s">
        <v>11</v>
      </c>
      <c r="L26" s="91">
        <v>800</v>
      </c>
      <c r="M26" s="91">
        <v>800</v>
      </c>
      <c r="N26" s="88">
        <f>Goods_Receipt[[#This Row],[ Invoice. /
 Received Qty ]]-Goods_Receipt[[#This Row],[ Accepted Qty ]]</f>
        <v>0</v>
      </c>
      <c r="O26" s="87">
        <v>17</v>
      </c>
      <c r="P26" s="93">
        <v>45514</v>
      </c>
      <c r="Q26" s="87"/>
      <c r="R26" s="87" t="s">
        <v>236</v>
      </c>
      <c r="S26" s="87" t="s">
        <v>227</v>
      </c>
      <c r="T26" s="85">
        <v>45468</v>
      </c>
      <c r="U26" s="89"/>
      <c r="V26" s="90"/>
      <c r="W26" s="109"/>
      <c r="X26" s="91"/>
      <c r="Y26" s="84">
        <v>671765920731</v>
      </c>
      <c r="Z26" s="97"/>
    </row>
    <row r="27" spans="1:26" s="98" customFormat="1" x14ac:dyDescent="0.35">
      <c r="A27" s="86">
        <v>24</v>
      </c>
      <c r="B27" s="85">
        <v>45520</v>
      </c>
      <c r="C27" s="87" t="s">
        <v>207</v>
      </c>
      <c r="D27" s="85">
        <v>45518</v>
      </c>
      <c r="E27" s="84">
        <v>11</v>
      </c>
      <c r="F27" s="85">
        <v>45521</v>
      </c>
      <c r="G27" s="87"/>
      <c r="H27" s="87" t="s">
        <v>72</v>
      </c>
      <c r="I27" s="87" t="s">
        <v>73</v>
      </c>
      <c r="J27" s="101" t="s">
        <v>154</v>
      </c>
      <c r="K27" s="87" t="s">
        <v>11</v>
      </c>
      <c r="L27" s="91">
        <v>901</v>
      </c>
      <c r="M27" s="91">
        <v>901</v>
      </c>
      <c r="N27" s="88">
        <f>Goods_Receipt[[#This Row],[ Invoice. /
 Received Qty ]]-Goods_Receipt[[#This Row],[ Accepted Qty ]]</f>
        <v>0</v>
      </c>
      <c r="O27" s="87">
        <v>50</v>
      </c>
      <c r="P27" s="93">
        <v>45518</v>
      </c>
      <c r="Q27" s="87"/>
      <c r="R27" s="87" t="s">
        <v>235</v>
      </c>
      <c r="S27" s="87" t="s">
        <v>227</v>
      </c>
      <c r="T27" s="85">
        <v>45468</v>
      </c>
      <c r="U27" s="89"/>
      <c r="V27" s="110"/>
      <c r="W27" s="109"/>
      <c r="X27" s="89"/>
      <c r="Y27" s="84">
        <v>621767715961</v>
      </c>
      <c r="Z27" s="97"/>
    </row>
    <row r="28" spans="1:26" s="98" customFormat="1" x14ac:dyDescent="0.35">
      <c r="A28" s="86">
        <v>25</v>
      </c>
      <c r="B28" s="85">
        <v>45520</v>
      </c>
      <c r="C28" s="87" t="s">
        <v>207</v>
      </c>
      <c r="D28" s="85">
        <v>45518</v>
      </c>
      <c r="E28" s="84">
        <v>11</v>
      </c>
      <c r="F28" s="85">
        <v>45521</v>
      </c>
      <c r="G28" s="87"/>
      <c r="H28" s="87" t="s">
        <v>72</v>
      </c>
      <c r="I28" s="87" t="s">
        <v>73</v>
      </c>
      <c r="J28" s="101" t="s">
        <v>157</v>
      </c>
      <c r="K28" s="87" t="s">
        <v>11</v>
      </c>
      <c r="L28" s="91">
        <v>4335</v>
      </c>
      <c r="M28" s="91">
        <v>4335</v>
      </c>
      <c r="N28" s="88">
        <f>Goods_Receipt[[#This Row],[ Invoice. /
 Received Qty ]]-Goods_Receipt[[#This Row],[ Accepted Qty ]]</f>
        <v>0</v>
      </c>
      <c r="O28" s="87">
        <v>50</v>
      </c>
      <c r="P28" s="93">
        <v>45518</v>
      </c>
      <c r="Q28" s="87"/>
      <c r="R28" s="87" t="s">
        <v>235</v>
      </c>
      <c r="S28" s="87" t="s">
        <v>227</v>
      </c>
      <c r="T28" s="85">
        <v>45468</v>
      </c>
      <c r="U28" s="89"/>
      <c r="V28" s="90"/>
      <c r="W28" s="109"/>
      <c r="X28" s="91"/>
      <c r="Y28" s="84">
        <v>621767715961</v>
      </c>
      <c r="Z28" s="97"/>
    </row>
    <row r="29" spans="1:26" s="98" customFormat="1" x14ac:dyDescent="0.35">
      <c r="A29" s="86">
        <v>26</v>
      </c>
      <c r="B29" s="85">
        <v>45520</v>
      </c>
      <c r="C29" s="87" t="s">
        <v>208</v>
      </c>
      <c r="D29" s="85">
        <v>45519</v>
      </c>
      <c r="E29" s="84">
        <v>12</v>
      </c>
      <c r="F29" s="85">
        <v>45521</v>
      </c>
      <c r="G29" s="87"/>
      <c r="H29" s="87" t="s">
        <v>72</v>
      </c>
      <c r="I29" s="87" t="s">
        <v>73</v>
      </c>
      <c r="J29" s="101" t="s">
        <v>155</v>
      </c>
      <c r="K29" s="87" t="s">
        <v>11</v>
      </c>
      <c r="L29" s="91">
        <v>1018</v>
      </c>
      <c r="M29" s="91">
        <v>1018</v>
      </c>
      <c r="N29" s="88">
        <f>Goods_Receipt[[#This Row],[ Invoice. /
 Received Qty ]]-Goods_Receipt[[#This Row],[ Accepted Qty ]]</f>
        <v>0</v>
      </c>
      <c r="O29" s="87">
        <v>51</v>
      </c>
      <c r="P29" s="93">
        <v>45519</v>
      </c>
      <c r="Q29" s="87"/>
      <c r="R29" s="87" t="s">
        <v>234</v>
      </c>
      <c r="S29" s="87" t="s">
        <v>227</v>
      </c>
      <c r="T29" s="85">
        <v>45468</v>
      </c>
      <c r="U29" s="89"/>
      <c r="V29" s="90"/>
      <c r="W29" s="109"/>
      <c r="X29" s="89"/>
      <c r="Y29" s="84">
        <v>611768017339</v>
      </c>
      <c r="Z29" s="97"/>
    </row>
    <row r="30" spans="1:26" s="98" customFormat="1" x14ac:dyDescent="0.35">
      <c r="A30" s="86">
        <v>27</v>
      </c>
      <c r="B30" s="85">
        <v>45520</v>
      </c>
      <c r="C30" s="87" t="s">
        <v>208</v>
      </c>
      <c r="D30" s="85">
        <v>45519</v>
      </c>
      <c r="E30" s="84">
        <v>12</v>
      </c>
      <c r="F30" s="85">
        <v>45521</v>
      </c>
      <c r="G30" s="87"/>
      <c r="H30" s="87" t="s">
        <v>72</v>
      </c>
      <c r="I30" s="87" t="s">
        <v>73</v>
      </c>
      <c r="J30" s="101" t="s">
        <v>156</v>
      </c>
      <c r="K30" s="87" t="s">
        <v>11</v>
      </c>
      <c r="L30" s="91">
        <v>1200</v>
      </c>
      <c r="M30" s="91">
        <v>1200</v>
      </c>
      <c r="N30" s="88">
        <f>Goods_Receipt[[#This Row],[ Invoice. /
 Received Qty ]]-Goods_Receipt[[#This Row],[ Accepted Qty ]]</f>
        <v>0</v>
      </c>
      <c r="O30" s="87">
        <v>51</v>
      </c>
      <c r="P30" s="93">
        <v>45519</v>
      </c>
      <c r="Q30" s="87"/>
      <c r="R30" s="87" t="s">
        <v>234</v>
      </c>
      <c r="S30" s="87" t="s">
        <v>227</v>
      </c>
      <c r="T30" s="85">
        <v>45468</v>
      </c>
      <c r="U30" s="89"/>
      <c r="V30" s="90"/>
      <c r="W30" s="109"/>
      <c r="X30" s="91"/>
      <c r="Y30" s="84">
        <v>611768017339</v>
      </c>
      <c r="Z30" s="91"/>
    </row>
    <row r="31" spans="1:26" s="98" customFormat="1" x14ac:dyDescent="0.35">
      <c r="A31" s="86">
        <v>28</v>
      </c>
      <c r="B31" s="85">
        <v>45520</v>
      </c>
      <c r="C31" s="87" t="s">
        <v>209</v>
      </c>
      <c r="D31" s="85">
        <v>45518</v>
      </c>
      <c r="E31" s="84">
        <v>13</v>
      </c>
      <c r="F31" s="85">
        <v>45521</v>
      </c>
      <c r="G31" s="87"/>
      <c r="H31" s="87" t="s">
        <v>72</v>
      </c>
      <c r="I31" s="87" t="s">
        <v>73</v>
      </c>
      <c r="J31" s="101" t="s">
        <v>158</v>
      </c>
      <c r="K31" s="87" t="s">
        <v>11</v>
      </c>
      <c r="L31" s="91">
        <v>1800</v>
      </c>
      <c r="M31" s="91">
        <v>1800</v>
      </c>
      <c r="N31" s="88">
        <f>Goods_Receipt[[#This Row],[ Invoice. /
 Received Qty ]]-Goods_Receipt[[#This Row],[ Accepted Qty ]]</f>
        <v>0</v>
      </c>
      <c r="O31" s="87">
        <v>49</v>
      </c>
      <c r="P31" s="93">
        <v>45518</v>
      </c>
      <c r="Q31" s="87"/>
      <c r="R31" s="87" t="s">
        <v>233</v>
      </c>
      <c r="S31" s="87" t="s">
        <v>227</v>
      </c>
      <c r="T31" s="85">
        <v>45468</v>
      </c>
      <c r="U31" s="89"/>
      <c r="V31" s="90"/>
      <c r="W31" s="109"/>
      <c r="X31" s="89"/>
      <c r="Y31" s="84">
        <v>641767596953</v>
      </c>
      <c r="Z31" s="97"/>
    </row>
    <row r="32" spans="1:26" s="98" customFormat="1" x14ac:dyDescent="0.35">
      <c r="A32" s="86">
        <v>29</v>
      </c>
      <c r="B32" s="85">
        <v>45520</v>
      </c>
      <c r="C32" s="87" t="s">
        <v>209</v>
      </c>
      <c r="D32" s="85">
        <v>45518</v>
      </c>
      <c r="E32" s="84">
        <v>13</v>
      </c>
      <c r="F32" s="85">
        <v>45521</v>
      </c>
      <c r="G32" s="87"/>
      <c r="H32" s="87" t="s">
        <v>72</v>
      </c>
      <c r="I32" s="87" t="s">
        <v>73</v>
      </c>
      <c r="J32" s="101" t="s">
        <v>155</v>
      </c>
      <c r="K32" s="87" t="s">
        <v>11</v>
      </c>
      <c r="L32" s="91">
        <v>1440</v>
      </c>
      <c r="M32" s="91">
        <v>1440</v>
      </c>
      <c r="N32" s="88">
        <f>Goods_Receipt[[#This Row],[ Invoice. /
 Received Qty ]]-Goods_Receipt[[#This Row],[ Accepted Qty ]]</f>
        <v>0</v>
      </c>
      <c r="O32" s="87">
        <v>49</v>
      </c>
      <c r="P32" s="93">
        <v>45518</v>
      </c>
      <c r="Q32" s="87"/>
      <c r="R32" s="87" t="s">
        <v>233</v>
      </c>
      <c r="S32" s="87" t="s">
        <v>227</v>
      </c>
      <c r="T32" s="85">
        <v>45468</v>
      </c>
      <c r="U32" s="89"/>
      <c r="V32" s="90"/>
      <c r="W32" s="109"/>
      <c r="X32" s="91"/>
      <c r="Y32" s="84">
        <v>641767596953</v>
      </c>
      <c r="Z32" s="97"/>
    </row>
    <row r="33" spans="1:26" s="98" customFormat="1" x14ac:dyDescent="0.35">
      <c r="A33" s="86">
        <v>30</v>
      </c>
      <c r="B33" s="85">
        <v>45520</v>
      </c>
      <c r="C33" s="87" t="s">
        <v>209</v>
      </c>
      <c r="D33" s="85">
        <v>45518</v>
      </c>
      <c r="E33" s="84">
        <v>13</v>
      </c>
      <c r="F33" s="85">
        <v>45521</v>
      </c>
      <c r="G33" s="87"/>
      <c r="H33" s="87" t="s">
        <v>72</v>
      </c>
      <c r="I33" s="87" t="s">
        <v>73</v>
      </c>
      <c r="J33" s="101" t="s">
        <v>159</v>
      </c>
      <c r="K33" s="87" t="s">
        <v>11</v>
      </c>
      <c r="L33" s="91">
        <v>4000</v>
      </c>
      <c r="M33" s="91">
        <v>4000</v>
      </c>
      <c r="N33" s="88">
        <f>Goods_Receipt[[#This Row],[ Invoice. /
 Received Qty ]]-Goods_Receipt[[#This Row],[ Accepted Qty ]]</f>
        <v>0</v>
      </c>
      <c r="O33" s="87">
        <v>49</v>
      </c>
      <c r="P33" s="93">
        <v>45518</v>
      </c>
      <c r="Q33" s="87"/>
      <c r="R33" s="87" t="s">
        <v>233</v>
      </c>
      <c r="S33" s="87" t="s">
        <v>227</v>
      </c>
      <c r="T33" s="85">
        <v>45468</v>
      </c>
      <c r="U33" s="89"/>
      <c r="V33" s="90"/>
      <c r="W33" s="109"/>
      <c r="X33" s="91"/>
      <c r="Y33" s="84">
        <v>641767596953</v>
      </c>
      <c r="Z33" s="97"/>
    </row>
    <row r="34" spans="1:26" s="98" customFormat="1" x14ac:dyDescent="0.35">
      <c r="A34" s="86">
        <v>31</v>
      </c>
      <c r="B34" s="85">
        <v>45520</v>
      </c>
      <c r="C34" s="87" t="s">
        <v>210</v>
      </c>
      <c r="D34" s="85">
        <v>45519</v>
      </c>
      <c r="E34" s="84">
        <v>14</v>
      </c>
      <c r="F34" s="85">
        <v>45521</v>
      </c>
      <c r="G34" s="87"/>
      <c r="H34" s="87" t="s">
        <v>72</v>
      </c>
      <c r="I34" s="87" t="s">
        <v>73</v>
      </c>
      <c r="J34" s="101" t="s">
        <v>334</v>
      </c>
      <c r="K34" s="87" t="s">
        <v>11</v>
      </c>
      <c r="L34" s="91">
        <v>174</v>
      </c>
      <c r="M34" s="91">
        <v>174</v>
      </c>
      <c r="N34" s="88">
        <f>Goods_Receipt[[#This Row],[ Invoice. /
 Received Qty ]]-Goods_Receipt[[#This Row],[ Accepted Qty ]]</f>
        <v>0</v>
      </c>
      <c r="O34" s="87">
        <v>49</v>
      </c>
      <c r="P34" s="93">
        <v>45519</v>
      </c>
      <c r="Q34" s="87"/>
      <c r="R34" s="87" t="s">
        <v>237</v>
      </c>
      <c r="S34" s="87" t="s">
        <v>227</v>
      </c>
      <c r="T34" s="85">
        <v>45468</v>
      </c>
      <c r="U34" s="89"/>
      <c r="V34" s="90"/>
      <c r="W34" s="109"/>
      <c r="X34" s="89"/>
      <c r="Y34" s="84">
        <v>641768018667</v>
      </c>
      <c r="Z34" s="97"/>
    </row>
    <row r="35" spans="1:26" s="98" customFormat="1" x14ac:dyDescent="0.35">
      <c r="A35" s="86">
        <v>32</v>
      </c>
      <c r="B35" s="85">
        <v>45520</v>
      </c>
      <c r="C35" s="87" t="s">
        <v>210</v>
      </c>
      <c r="D35" s="85">
        <v>45519</v>
      </c>
      <c r="E35" s="84">
        <v>14</v>
      </c>
      <c r="F35" s="85">
        <v>45521</v>
      </c>
      <c r="G35" s="87"/>
      <c r="H35" s="87" t="s">
        <v>72</v>
      </c>
      <c r="I35" s="87" t="s">
        <v>73</v>
      </c>
      <c r="J35" s="101" t="s">
        <v>155</v>
      </c>
      <c r="K35" s="87" t="s">
        <v>11</v>
      </c>
      <c r="L35" s="91">
        <v>392</v>
      </c>
      <c r="M35" s="91">
        <v>392</v>
      </c>
      <c r="N35" s="88">
        <f>Goods_Receipt[[#This Row],[ Invoice. /
 Received Qty ]]-Goods_Receipt[[#This Row],[ Accepted Qty ]]</f>
        <v>0</v>
      </c>
      <c r="O35" s="87">
        <v>49</v>
      </c>
      <c r="P35" s="93">
        <v>45519</v>
      </c>
      <c r="Q35" s="87"/>
      <c r="R35" s="87" t="s">
        <v>237</v>
      </c>
      <c r="S35" s="87" t="s">
        <v>227</v>
      </c>
      <c r="T35" s="85">
        <v>45468</v>
      </c>
      <c r="U35" s="89"/>
      <c r="V35" s="90"/>
      <c r="W35" s="109"/>
      <c r="X35" s="91"/>
      <c r="Y35" s="84">
        <v>641768018667</v>
      </c>
      <c r="Z35" s="97"/>
    </row>
    <row r="36" spans="1:26" s="98" customFormat="1" x14ac:dyDescent="0.35">
      <c r="A36" s="86">
        <v>33</v>
      </c>
      <c r="B36" s="85">
        <v>45520</v>
      </c>
      <c r="C36" s="87" t="s">
        <v>210</v>
      </c>
      <c r="D36" s="85">
        <v>45519</v>
      </c>
      <c r="E36" s="84">
        <v>14</v>
      </c>
      <c r="F36" s="85">
        <v>45521</v>
      </c>
      <c r="G36" s="87"/>
      <c r="H36" s="87" t="s">
        <v>72</v>
      </c>
      <c r="I36" s="87" t="s">
        <v>73</v>
      </c>
      <c r="J36" s="101" t="s">
        <v>154</v>
      </c>
      <c r="K36" s="87" t="s">
        <v>11</v>
      </c>
      <c r="L36" s="91">
        <v>1523</v>
      </c>
      <c r="M36" s="91">
        <v>1523</v>
      </c>
      <c r="N36" s="88">
        <f>Goods_Receipt[[#This Row],[ Invoice. /
 Received Qty ]]-Goods_Receipt[[#This Row],[ Accepted Qty ]]</f>
        <v>0</v>
      </c>
      <c r="O36" s="87">
        <v>49</v>
      </c>
      <c r="P36" s="93">
        <v>45519</v>
      </c>
      <c r="Q36" s="87"/>
      <c r="R36" s="87" t="s">
        <v>237</v>
      </c>
      <c r="S36" s="87" t="s">
        <v>227</v>
      </c>
      <c r="T36" s="85">
        <v>45468</v>
      </c>
      <c r="U36" s="89"/>
      <c r="V36" s="90"/>
      <c r="W36" s="109"/>
      <c r="X36" s="91"/>
      <c r="Y36" s="84">
        <v>641768018667</v>
      </c>
      <c r="Z36" s="97"/>
    </row>
    <row r="37" spans="1:26" s="98" customFormat="1" x14ac:dyDescent="0.35">
      <c r="A37" s="86">
        <v>34</v>
      </c>
      <c r="B37" s="85">
        <v>45520</v>
      </c>
      <c r="C37" s="87" t="s">
        <v>210</v>
      </c>
      <c r="D37" s="85">
        <v>45519</v>
      </c>
      <c r="E37" s="84">
        <v>14</v>
      </c>
      <c r="F37" s="85">
        <v>45521</v>
      </c>
      <c r="G37" s="87"/>
      <c r="H37" s="87" t="s">
        <v>72</v>
      </c>
      <c r="I37" s="87" t="s">
        <v>73</v>
      </c>
      <c r="J37" s="101" t="s">
        <v>158</v>
      </c>
      <c r="K37" s="87" t="s">
        <v>11</v>
      </c>
      <c r="L37" s="91">
        <v>1063</v>
      </c>
      <c r="M37" s="91">
        <v>1063</v>
      </c>
      <c r="N37" s="88">
        <f>Goods_Receipt[[#This Row],[ Invoice. /
 Received Qty ]]-Goods_Receipt[[#This Row],[ Accepted Qty ]]</f>
        <v>0</v>
      </c>
      <c r="O37" s="87">
        <v>49</v>
      </c>
      <c r="P37" s="93">
        <v>45519</v>
      </c>
      <c r="Q37" s="87"/>
      <c r="R37" s="87" t="s">
        <v>237</v>
      </c>
      <c r="S37" s="87" t="s">
        <v>227</v>
      </c>
      <c r="T37" s="85">
        <v>45468</v>
      </c>
      <c r="U37" s="89"/>
      <c r="V37" s="90"/>
      <c r="W37" s="111"/>
      <c r="X37" s="91"/>
      <c r="Y37" s="84">
        <v>641768018667</v>
      </c>
      <c r="Z37" s="97"/>
    </row>
    <row r="38" spans="1:26" s="98" customFormat="1" x14ac:dyDescent="0.35">
      <c r="A38" s="86">
        <v>35</v>
      </c>
      <c r="B38" s="85">
        <v>45520</v>
      </c>
      <c r="C38" s="87" t="s">
        <v>210</v>
      </c>
      <c r="D38" s="85">
        <v>45519</v>
      </c>
      <c r="E38" s="84">
        <v>14</v>
      </c>
      <c r="F38" s="85">
        <v>45521</v>
      </c>
      <c r="G38" s="87"/>
      <c r="H38" s="87" t="s">
        <v>72</v>
      </c>
      <c r="I38" s="87" t="s">
        <v>73</v>
      </c>
      <c r="J38" s="101" t="s">
        <v>156</v>
      </c>
      <c r="K38" s="87" t="s">
        <v>11</v>
      </c>
      <c r="L38" s="91">
        <v>696</v>
      </c>
      <c r="M38" s="91">
        <v>696</v>
      </c>
      <c r="N38" s="88">
        <f>Goods_Receipt[[#This Row],[ Invoice. /
 Received Qty ]]-Goods_Receipt[[#This Row],[ Accepted Qty ]]</f>
        <v>0</v>
      </c>
      <c r="O38" s="87">
        <v>49</v>
      </c>
      <c r="P38" s="93">
        <v>45519</v>
      </c>
      <c r="Q38" s="87"/>
      <c r="R38" s="87" t="s">
        <v>237</v>
      </c>
      <c r="S38" s="87" t="s">
        <v>227</v>
      </c>
      <c r="T38" s="85">
        <v>45468</v>
      </c>
      <c r="U38" s="89"/>
      <c r="V38" s="90"/>
      <c r="W38" s="109"/>
      <c r="X38" s="91"/>
      <c r="Y38" s="84">
        <v>641768018667</v>
      </c>
      <c r="Z38" s="97"/>
    </row>
    <row r="39" spans="1:26" s="98" customFormat="1" x14ac:dyDescent="0.35">
      <c r="A39" s="86">
        <v>36</v>
      </c>
      <c r="B39" s="85">
        <v>45520</v>
      </c>
      <c r="C39" s="87" t="s">
        <v>210</v>
      </c>
      <c r="D39" s="85">
        <v>45519</v>
      </c>
      <c r="E39" s="84">
        <v>14</v>
      </c>
      <c r="F39" s="85">
        <v>45521</v>
      </c>
      <c r="G39" s="87"/>
      <c r="H39" s="87" t="s">
        <v>72</v>
      </c>
      <c r="I39" s="87" t="s">
        <v>73</v>
      </c>
      <c r="J39" s="101" t="s">
        <v>160</v>
      </c>
      <c r="K39" s="87" t="s">
        <v>11</v>
      </c>
      <c r="L39" s="91">
        <v>1431</v>
      </c>
      <c r="M39" s="91">
        <v>1431</v>
      </c>
      <c r="N39" s="88">
        <f>Goods_Receipt[[#This Row],[ Invoice. /
 Received Qty ]]-Goods_Receipt[[#This Row],[ Accepted Qty ]]</f>
        <v>0</v>
      </c>
      <c r="O39" s="87">
        <v>49</v>
      </c>
      <c r="P39" s="93">
        <v>45519</v>
      </c>
      <c r="Q39" s="87"/>
      <c r="R39" s="87" t="s">
        <v>237</v>
      </c>
      <c r="S39" s="87" t="s">
        <v>227</v>
      </c>
      <c r="T39" s="85">
        <v>45468</v>
      </c>
      <c r="U39" s="89"/>
      <c r="V39" s="90"/>
      <c r="W39" s="109"/>
      <c r="X39" s="89"/>
      <c r="Y39" s="84">
        <v>641768018667</v>
      </c>
      <c r="Z39" s="97"/>
    </row>
    <row r="40" spans="1:26" s="98" customFormat="1" x14ac:dyDescent="0.35">
      <c r="A40" s="86">
        <v>37</v>
      </c>
      <c r="B40" s="85">
        <v>45525</v>
      </c>
      <c r="C40" s="87" t="s">
        <v>211</v>
      </c>
      <c r="D40" s="85">
        <v>45524</v>
      </c>
      <c r="E40" s="84">
        <v>15</v>
      </c>
      <c r="F40" s="85">
        <v>45525</v>
      </c>
      <c r="G40" s="87"/>
      <c r="H40" s="87" t="s">
        <v>72</v>
      </c>
      <c r="I40" s="87" t="s">
        <v>81</v>
      </c>
      <c r="J40" s="101" t="s">
        <v>161</v>
      </c>
      <c r="K40" s="87" t="s">
        <v>225</v>
      </c>
      <c r="L40" s="91">
        <v>10000</v>
      </c>
      <c r="M40" s="91">
        <v>10000</v>
      </c>
      <c r="N40" s="88">
        <f>Goods_Receipt[[#This Row],[ Invoice. /
 Received Qty ]]-Goods_Receipt[[#This Row],[ Accepted Qty ]]</f>
        <v>0</v>
      </c>
      <c r="O40" s="87">
        <v>63</v>
      </c>
      <c r="P40" s="93">
        <v>45524</v>
      </c>
      <c r="Q40" s="87"/>
      <c r="R40" s="87" t="s">
        <v>238</v>
      </c>
      <c r="S40" s="87" t="s">
        <v>239</v>
      </c>
      <c r="T40" s="85"/>
      <c r="U40" s="89"/>
      <c r="V40" s="90"/>
      <c r="W40" s="109"/>
      <c r="X40" s="89"/>
      <c r="Y40" s="84">
        <v>691769723228</v>
      </c>
      <c r="Z40" s="97"/>
    </row>
    <row r="41" spans="1:26" s="98" customFormat="1" x14ac:dyDescent="0.35">
      <c r="A41" s="86">
        <v>38</v>
      </c>
      <c r="B41" s="85">
        <v>45525</v>
      </c>
      <c r="C41" s="87" t="s">
        <v>211</v>
      </c>
      <c r="D41" s="85">
        <v>45524</v>
      </c>
      <c r="E41" s="84">
        <v>15</v>
      </c>
      <c r="F41" s="85">
        <v>45525</v>
      </c>
      <c r="G41" s="87"/>
      <c r="H41" s="87" t="s">
        <v>72</v>
      </c>
      <c r="I41" s="87" t="s">
        <v>81</v>
      </c>
      <c r="J41" s="101" t="s">
        <v>162</v>
      </c>
      <c r="K41" s="87" t="s">
        <v>11</v>
      </c>
      <c r="L41" s="91">
        <v>300</v>
      </c>
      <c r="M41" s="91">
        <v>300</v>
      </c>
      <c r="N41" s="88">
        <f>Goods_Receipt[[#This Row],[ Invoice. /
 Received Qty ]]-Goods_Receipt[[#This Row],[ Accepted Qty ]]</f>
        <v>0</v>
      </c>
      <c r="O41" s="87">
        <v>63</v>
      </c>
      <c r="P41" s="93">
        <v>45524</v>
      </c>
      <c r="Q41" s="87"/>
      <c r="R41" s="87" t="s">
        <v>238</v>
      </c>
      <c r="S41" s="87" t="s">
        <v>239</v>
      </c>
      <c r="T41" s="85"/>
      <c r="U41" s="89"/>
      <c r="V41" s="90"/>
      <c r="W41" s="109"/>
      <c r="X41" s="89"/>
      <c r="Y41" s="84">
        <v>691769723228</v>
      </c>
      <c r="Z41" s="97"/>
    </row>
    <row r="42" spans="1:26" s="98" customFormat="1" x14ac:dyDescent="0.35">
      <c r="A42" s="86">
        <v>39</v>
      </c>
      <c r="B42" s="85">
        <v>45525</v>
      </c>
      <c r="C42" s="87" t="s">
        <v>211</v>
      </c>
      <c r="D42" s="85">
        <v>45524</v>
      </c>
      <c r="E42" s="84">
        <v>15</v>
      </c>
      <c r="F42" s="85">
        <v>45525</v>
      </c>
      <c r="G42" s="87"/>
      <c r="H42" s="87" t="s">
        <v>72</v>
      </c>
      <c r="I42" s="87" t="s">
        <v>81</v>
      </c>
      <c r="J42" s="101" t="s">
        <v>163</v>
      </c>
      <c r="K42" s="87" t="s">
        <v>11</v>
      </c>
      <c r="L42" s="91">
        <v>300</v>
      </c>
      <c r="M42" s="91">
        <v>300</v>
      </c>
      <c r="N42" s="88">
        <f>Goods_Receipt[[#This Row],[ Invoice. /
 Received Qty ]]-Goods_Receipt[[#This Row],[ Accepted Qty ]]</f>
        <v>0</v>
      </c>
      <c r="O42" s="87">
        <v>63</v>
      </c>
      <c r="P42" s="93">
        <v>45524</v>
      </c>
      <c r="Q42" s="87"/>
      <c r="R42" s="87" t="s">
        <v>238</v>
      </c>
      <c r="S42" s="87" t="s">
        <v>239</v>
      </c>
      <c r="T42" s="85"/>
      <c r="U42" s="89"/>
      <c r="V42" s="90"/>
      <c r="W42" s="109"/>
      <c r="X42" s="89"/>
      <c r="Y42" s="84">
        <v>691769723228</v>
      </c>
      <c r="Z42" s="97"/>
    </row>
    <row r="43" spans="1:26" s="98" customFormat="1" x14ac:dyDescent="0.35">
      <c r="A43" s="86">
        <v>40</v>
      </c>
      <c r="B43" s="85">
        <v>45525</v>
      </c>
      <c r="C43" s="87" t="s">
        <v>211</v>
      </c>
      <c r="D43" s="85">
        <v>45524</v>
      </c>
      <c r="E43" s="84">
        <v>15</v>
      </c>
      <c r="F43" s="85">
        <v>45525</v>
      </c>
      <c r="G43" s="87"/>
      <c r="H43" s="87" t="s">
        <v>72</v>
      </c>
      <c r="I43" s="87" t="s">
        <v>81</v>
      </c>
      <c r="J43" s="101" t="s">
        <v>164</v>
      </c>
      <c r="K43" s="87" t="s">
        <v>11</v>
      </c>
      <c r="L43" s="91">
        <v>300</v>
      </c>
      <c r="M43" s="91">
        <v>300</v>
      </c>
      <c r="N43" s="88">
        <f>Goods_Receipt[[#This Row],[ Invoice. /
 Received Qty ]]-Goods_Receipt[[#This Row],[ Accepted Qty ]]</f>
        <v>0</v>
      </c>
      <c r="O43" s="87">
        <v>63</v>
      </c>
      <c r="P43" s="93">
        <v>45524</v>
      </c>
      <c r="Q43" s="87"/>
      <c r="R43" s="87" t="s">
        <v>238</v>
      </c>
      <c r="S43" s="87" t="s">
        <v>239</v>
      </c>
      <c r="T43" s="85"/>
      <c r="U43" s="89"/>
      <c r="V43" s="90"/>
      <c r="W43" s="109"/>
      <c r="X43" s="89"/>
      <c r="Y43" s="84">
        <v>691769723228</v>
      </c>
      <c r="Z43" s="97"/>
    </row>
    <row r="44" spans="1:26" s="98" customFormat="1" x14ac:dyDescent="0.35">
      <c r="A44" s="86">
        <v>41</v>
      </c>
      <c r="B44" s="85">
        <v>45525</v>
      </c>
      <c r="C44" s="87" t="s">
        <v>211</v>
      </c>
      <c r="D44" s="85">
        <v>45524</v>
      </c>
      <c r="E44" s="84">
        <v>15</v>
      </c>
      <c r="F44" s="85">
        <v>45525</v>
      </c>
      <c r="G44" s="87"/>
      <c r="H44" s="87" t="s">
        <v>72</v>
      </c>
      <c r="I44" s="87" t="s">
        <v>81</v>
      </c>
      <c r="J44" s="101" t="s">
        <v>165</v>
      </c>
      <c r="K44" s="87" t="s">
        <v>11</v>
      </c>
      <c r="L44" s="91">
        <v>300</v>
      </c>
      <c r="M44" s="91">
        <v>300</v>
      </c>
      <c r="N44" s="88">
        <f>Goods_Receipt[[#This Row],[ Invoice. /
 Received Qty ]]-Goods_Receipt[[#This Row],[ Accepted Qty ]]</f>
        <v>0</v>
      </c>
      <c r="O44" s="87">
        <v>63</v>
      </c>
      <c r="P44" s="93">
        <v>45524</v>
      </c>
      <c r="Q44" s="87"/>
      <c r="R44" s="87" t="s">
        <v>238</v>
      </c>
      <c r="S44" s="87" t="s">
        <v>239</v>
      </c>
      <c r="T44" s="85"/>
      <c r="U44" s="89"/>
      <c r="V44" s="90"/>
      <c r="W44" s="109"/>
      <c r="X44" s="89"/>
      <c r="Y44" s="84">
        <v>691769723228</v>
      </c>
      <c r="Z44" s="97"/>
    </row>
    <row r="45" spans="1:26" s="98" customFormat="1" x14ac:dyDescent="0.35">
      <c r="A45" s="86">
        <v>42</v>
      </c>
      <c r="B45" s="85">
        <v>45492</v>
      </c>
      <c r="C45" s="87" t="s">
        <v>212</v>
      </c>
      <c r="D45" s="85">
        <v>45490</v>
      </c>
      <c r="E45" s="84">
        <v>16</v>
      </c>
      <c r="F45" s="85">
        <v>45525</v>
      </c>
      <c r="G45" s="87"/>
      <c r="H45" s="87" t="s">
        <v>72</v>
      </c>
      <c r="I45" s="87" t="s">
        <v>106</v>
      </c>
      <c r="J45" s="101" t="s">
        <v>153</v>
      </c>
      <c r="K45" s="87" t="s">
        <v>11</v>
      </c>
      <c r="L45" s="91">
        <v>5</v>
      </c>
      <c r="M45" s="91">
        <v>5</v>
      </c>
      <c r="N45" s="88">
        <f>Goods_Receipt[[#This Row],[ Invoice. /
 Received Qty ]]-Goods_Receipt[[#This Row],[ Accepted Qty ]]</f>
        <v>0</v>
      </c>
      <c r="O45" s="87" t="s">
        <v>240</v>
      </c>
      <c r="P45" s="93">
        <v>45490</v>
      </c>
      <c r="Q45" s="87"/>
      <c r="R45" s="87" t="s">
        <v>241</v>
      </c>
      <c r="S45" s="87"/>
      <c r="T45" s="85">
        <v>45490</v>
      </c>
      <c r="U45" s="89"/>
      <c r="V45" s="90"/>
      <c r="W45" s="87"/>
      <c r="X45" s="89"/>
      <c r="Y45" s="84">
        <v>64175441616</v>
      </c>
      <c r="Z45" s="97"/>
    </row>
    <row r="46" spans="1:26" s="98" customFormat="1" x14ac:dyDescent="0.35">
      <c r="A46" s="86">
        <v>43</v>
      </c>
      <c r="B46" s="85">
        <v>45533</v>
      </c>
      <c r="C46" s="87" t="s">
        <v>213</v>
      </c>
      <c r="D46" s="85">
        <v>45527</v>
      </c>
      <c r="E46" s="84">
        <v>17</v>
      </c>
      <c r="F46" s="85">
        <v>45534</v>
      </c>
      <c r="G46" s="87"/>
      <c r="H46" s="87" t="s">
        <v>85</v>
      </c>
      <c r="I46" s="87" t="s">
        <v>85</v>
      </c>
      <c r="J46" s="101" t="s">
        <v>577</v>
      </c>
      <c r="K46" s="87" t="s">
        <v>225</v>
      </c>
      <c r="L46" s="91">
        <v>4000</v>
      </c>
      <c r="M46" s="91">
        <v>4000</v>
      </c>
      <c r="N46" s="88">
        <f>Goods_Receipt[[#This Row],[ Invoice. /
 Received Qty ]]-Goods_Receipt[[#This Row],[ Accepted Qty ]]</f>
        <v>0</v>
      </c>
      <c r="O46" s="87" t="s">
        <v>242</v>
      </c>
      <c r="P46" s="93">
        <v>45527</v>
      </c>
      <c r="Q46" s="87"/>
      <c r="R46" s="87" t="s">
        <v>243</v>
      </c>
      <c r="S46" s="87" t="s">
        <v>244</v>
      </c>
      <c r="T46" s="85">
        <v>45524</v>
      </c>
      <c r="U46" s="89"/>
      <c r="V46" s="90"/>
      <c r="W46" s="109"/>
      <c r="X46" s="89"/>
      <c r="Y46" s="84">
        <v>661771343891</v>
      </c>
      <c r="Z46" s="97"/>
    </row>
    <row r="47" spans="1:26" s="98" customFormat="1" x14ac:dyDescent="0.35">
      <c r="A47" s="86">
        <v>44</v>
      </c>
      <c r="B47" s="85">
        <v>45533</v>
      </c>
      <c r="C47" s="87" t="s">
        <v>213</v>
      </c>
      <c r="D47" s="85">
        <v>45527</v>
      </c>
      <c r="E47" s="84">
        <v>17</v>
      </c>
      <c r="F47" s="85">
        <v>45534</v>
      </c>
      <c r="G47" s="87"/>
      <c r="H47" s="87" t="s">
        <v>85</v>
      </c>
      <c r="I47" s="87" t="s">
        <v>86</v>
      </c>
      <c r="J47" s="101" t="s">
        <v>536</v>
      </c>
      <c r="K47" s="87" t="s">
        <v>11</v>
      </c>
      <c r="L47" s="91">
        <v>240</v>
      </c>
      <c r="M47" s="91">
        <v>240</v>
      </c>
      <c r="N47" s="88">
        <f>Goods_Receipt[[#This Row],[ Invoice. /
 Received Qty ]]-Goods_Receipt[[#This Row],[ Accepted Qty ]]</f>
        <v>0</v>
      </c>
      <c r="O47" s="87" t="s">
        <v>242</v>
      </c>
      <c r="P47" s="93">
        <v>45527</v>
      </c>
      <c r="Q47" s="87"/>
      <c r="R47" s="87" t="s">
        <v>243</v>
      </c>
      <c r="S47" s="87" t="s">
        <v>244</v>
      </c>
      <c r="T47" s="85">
        <v>45524</v>
      </c>
      <c r="U47" s="89"/>
      <c r="V47" s="90"/>
      <c r="W47" s="109"/>
      <c r="X47" s="89"/>
      <c r="Y47" s="84">
        <v>661771343891</v>
      </c>
      <c r="Z47" s="97"/>
    </row>
    <row r="48" spans="1:26" s="98" customFormat="1" x14ac:dyDescent="0.35">
      <c r="A48" s="86">
        <v>45</v>
      </c>
      <c r="B48" s="85">
        <v>45533</v>
      </c>
      <c r="C48" s="87" t="s">
        <v>213</v>
      </c>
      <c r="D48" s="85">
        <v>45527</v>
      </c>
      <c r="E48" s="84">
        <v>17</v>
      </c>
      <c r="F48" s="85">
        <v>45534</v>
      </c>
      <c r="G48" s="87"/>
      <c r="H48" s="87" t="s">
        <v>85</v>
      </c>
      <c r="I48" s="87" t="s">
        <v>86</v>
      </c>
      <c r="J48" s="101" t="s">
        <v>535</v>
      </c>
      <c r="K48" s="87" t="s">
        <v>11</v>
      </c>
      <c r="L48" s="88">
        <v>20</v>
      </c>
      <c r="M48" s="88">
        <v>20</v>
      </c>
      <c r="N48" s="88">
        <f>Goods_Receipt[[#This Row],[ Invoice. /
 Received Qty ]]-Goods_Receipt[[#This Row],[ Accepted Qty ]]</f>
        <v>0</v>
      </c>
      <c r="O48" s="87" t="s">
        <v>242</v>
      </c>
      <c r="P48" s="93">
        <v>45527</v>
      </c>
      <c r="Q48" s="87"/>
      <c r="R48" s="87" t="s">
        <v>243</v>
      </c>
      <c r="S48" s="87" t="s">
        <v>244</v>
      </c>
      <c r="T48" s="85">
        <v>45524</v>
      </c>
      <c r="U48" s="89"/>
      <c r="V48" s="90"/>
      <c r="W48" s="87"/>
      <c r="X48" s="91"/>
      <c r="Y48" s="84">
        <v>661771343891</v>
      </c>
      <c r="Z48" s="97"/>
    </row>
    <row r="49" spans="1:26" s="98" customFormat="1" x14ac:dyDescent="0.35">
      <c r="A49" s="86">
        <v>46</v>
      </c>
      <c r="B49" s="85">
        <v>45533</v>
      </c>
      <c r="C49" s="87" t="s">
        <v>213</v>
      </c>
      <c r="D49" s="85">
        <v>45527</v>
      </c>
      <c r="E49" s="84">
        <v>17</v>
      </c>
      <c r="F49" s="85">
        <v>45534</v>
      </c>
      <c r="G49" s="87"/>
      <c r="H49" s="87" t="s">
        <v>85</v>
      </c>
      <c r="I49" s="87" t="s">
        <v>86</v>
      </c>
      <c r="J49" s="101" t="s">
        <v>537</v>
      </c>
      <c r="K49" s="87" t="s">
        <v>11</v>
      </c>
      <c r="L49" s="88">
        <v>80</v>
      </c>
      <c r="M49" s="88">
        <v>80</v>
      </c>
      <c r="N49" s="88">
        <f>Goods_Receipt[[#This Row],[ Invoice. /
 Received Qty ]]-Goods_Receipt[[#This Row],[ Accepted Qty ]]</f>
        <v>0</v>
      </c>
      <c r="O49" s="87" t="s">
        <v>242</v>
      </c>
      <c r="P49" s="93">
        <v>45527</v>
      </c>
      <c r="Q49" s="87"/>
      <c r="R49" s="87" t="s">
        <v>243</v>
      </c>
      <c r="S49" s="87" t="s">
        <v>244</v>
      </c>
      <c r="T49" s="85">
        <v>45524</v>
      </c>
      <c r="U49" s="89"/>
      <c r="V49" s="90"/>
      <c r="W49" s="87"/>
      <c r="X49" s="91"/>
      <c r="Y49" s="84">
        <v>661771343891</v>
      </c>
      <c r="Z49" s="97"/>
    </row>
    <row r="50" spans="1:26" s="98" customFormat="1" x14ac:dyDescent="0.35">
      <c r="A50" s="86">
        <v>47</v>
      </c>
      <c r="B50" s="85">
        <v>45536</v>
      </c>
      <c r="C50" s="87" t="s">
        <v>214</v>
      </c>
      <c r="D50" s="85">
        <v>45530</v>
      </c>
      <c r="E50" s="84">
        <v>19</v>
      </c>
      <c r="F50" s="85">
        <v>45536</v>
      </c>
      <c r="G50" s="87"/>
      <c r="H50" s="87" t="s">
        <v>72</v>
      </c>
      <c r="I50" s="87" t="s">
        <v>118</v>
      </c>
      <c r="J50" s="101" t="s">
        <v>166</v>
      </c>
      <c r="K50" s="87" t="s">
        <v>11</v>
      </c>
      <c r="L50" s="91">
        <v>88</v>
      </c>
      <c r="M50" s="91">
        <v>88</v>
      </c>
      <c r="N50" s="88">
        <f>Goods_Receipt[[#This Row],[ Invoice. /
 Received Qty ]]-Goods_Receipt[[#This Row],[ Accepted Qty ]]</f>
        <v>0</v>
      </c>
      <c r="O50" s="87">
        <v>477</v>
      </c>
      <c r="P50" s="93">
        <v>45530</v>
      </c>
      <c r="Q50" s="87"/>
      <c r="R50" s="87" t="s">
        <v>245</v>
      </c>
      <c r="S50" s="87" t="s">
        <v>246</v>
      </c>
      <c r="T50" s="85">
        <v>45497</v>
      </c>
      <c r="U50" s="89"/>
      <c r="V50" s="90"/>
      <c r="W50" s="109"/>
      <c r="X50" s="89"/>
      <c r="Y50" s="84">
        <v>421472569853</v>
      </c>
      <c r="Z50" s="97"/>
    </row>
    <row r="51" spans="1:26" s="98" customFormat="1" x14ac:dyDescent="0.35">
      <c r="A51" s="86">
        <v>48</v>
      </c>
      <c r="B51" s="85">
        <v>45536</v>
      </c>
      <c r="C51" s="87" t="s">
        <v>214</v>
      </c>
      <c r="D51" s="85">
        <v>45530</v>
      </c>
      <c r="E51" s="84">
        <v>19</v>
      </c>
      <c r="F51" s="85">
        <v>45536</v>
      </c>
      <c r="G51" s="87"/>
      <c r="H51" s="87" t="s">
        <v>72</v>
      </c>
      <c r="I51" s="87" t="s">
        <v>118</v>
      </c>
      <c r="J51" s="101" t="s">
        <v>167</v>
      </c>
      <c r="K51" s="87" t="s">
        <v>11</v>
      </c>
      <c r="L51" s="91">
        <v>88</v>
      </c>
      <c r="M51" s="91">
        <v>88</v>
      </c>
      <c r="N51" s="88">
        <f>Goods_Receipt[[#This Row],[ Invoice. /
 Received Qty ]]-Goods_Receipt[[#This Row],[ Accepted Qty ]]</f>
        <v>0</v>
      </c>
      <c r="O51" s="87">
        <v>477</v>
      </c>
      <c r="P51" s="93">
        <v>45530</v>
      </c>
      <c r="Q51" s="87"/>
      <c r="R51" s="87" t="s">
        <v>245</v>
      </c>
      <c r="S51" s="87" t="s">
        <v>246</v>
      </c>
      <c r="T51" s="85">
        <v>45497</v>
      </c>
      <c r="U51" s="89"/>
      <c r="V51" s="90"/>
      <c r="W51" s="109"/>
      <c r="X51" s="91"/>
      <c r="Y51" s="84">
        <v>421472569853</v>
      </c>
      <c r="Z51" s="97"/>
    </row>
    <row r="52" spans="1:26" s="98" customFormat="1" x14ac:dyDescent="0.35">
      <c r="A52" s="86">
        <v>49</v>
      </c>
      <c r="B52" s="85">
        <v>45536</v>
      </c>
      <c r="C52" s="87" t="s">
        <v>214</v>
      </c>
      <c r="D52" s="85">
        <v>45530</v>
      </c>
      <c r="E52" s="84">
        <v>19</v>
      </c>
      <c r="F52" s="85">
        <v>45536</v>
      </c>
      <c r="G52" s="87"/>
      <c r="H52" s="87" t="s">
        <v>72</v>
      </c>
      <c r="I52" s="87" t="s">
        <v>118</v>
      </c>
      <c r="J52" s="101" t="s">
        <v>168</v>
      </c>
      <c r="K52" s="87" t="s">
        <v>11</v>
      </c>
      <c r="L52" s="91">
        <v>88</v>
      </c>
      <c r="M52" s="91">
        <v>88</v>
      </c>
      <c r="N52" s="88">
        <f>Goods_Receipt[[#This Row],[ Invoice. /
 Received Qty ]]-Goods_Receipt[[#This Row],[ Accepted Qty ]]</f>
        <v>0</v>
      </c>
      <c r="O52" s="87">
        <v>477</v>
      </c>
      <c r="P52" s="93">
        <v>45530</v>
      </c>
      <c r="Q52" s="87"/>
      <c r="R52" s="87" t="s">
        <v>245</v>
      </c>
      <c r="S52" s="87" t="s">
        <v>246</v>
      </c>
      <c r="T52" s="85">
        <v>45497</v>
      </c>
      <c r="U52" s="89"/>
      <c r="V52" s="90"/>
      <c r="W52" s="109"/>
      <c r="X52" s="91"/>
      <c r="Y52" s="84">
        <v>421472569853</v>
      </c>
      <c r="Z52" s="97"/>
    </row>
    <row r="53" spans="1:26" s="98" customFormat="1" x14ac:dyDescent="0.35">
      <c r="A53" s="86">
        <v>50</v>
      </c>
      <c r="B53" s="85">
        <v>45536</v>
      </c>
      <c r="C53" s="87" t="s">
        <v>214</v>
      </c>
      <c r="D53" s="85">
        <v>45530</v>
      </c>
      <c r="E53" s="84">
        <v>19</v>
      </c>
      <c r="F53" s="85">
        <v>45536</v>
      </c>
      <c r="G53" s="87"/>
      <c r="H53" s="87" t="s">
        <v>72</v>
      </c>
      <c r="I53" s="87" t="s">
        <v>118</v>
      </c>
      <c r="J53" s="101" t="s">
        <v>169</v>
      </c>
      <c r="K53" s="87" t="s">
        <v>11</v>
      </c>
      <c r="L53" s="91">
        <v>88</v>
      </c>
      <c r="M53" s="91">
        <v>88</v>
      </c>
      <c r="N53" s="88">
        <f>Goods_Receipt[[#This Row],[ Invoice. /
 Received Qty ]]-Goods_Receipt[[#This Row],[ Accepted Qty ]]</f>
        <v>0</v>
      </c>
      <c r="O53" s="87">
        <v>477</v>
      </c>
      <c r="P53" s="93">
        <v>45530</v>
      </c>
      <c r="Q53" s="87"/>
      <c r="R53" s="87" t="s">
        <v>245</v>
      </c>
      <c r="S53" s="87" t="s">
        <v>246</v>
      </c>
      <c r="T53" s="85">
        <v>45497</v>
      </c>
      <c r="U53" s="89"/>
      <c r="V53" s="90"/>
      <c r="W53" s="109"/>
      <c r="X53" s="91"/>
      <c r="Y53" s="84">
        <v>421472569853</v>
      </c>
      <c r="Z53" s="97"/>
    </row>
    <row r="54" spans="1:26" s="98" customFormat="1" x14ac:dyDescent="0.35">
      <c r="A54" s="86">
        <v>51</v>
      </c>
      <c r="B54" s="85">
        <v>45536</v>
      </c>
      <c r="C54" s="87" t="s">
        <v>214</v>
      </c>
      <c r="D54" s="85">
        <v>45530</v>
      </c>
      <c r="E54" s="84">
        <v>19</v>
      </c>
      <c r="F54" s="85">
        <v>45536</v>
      </c>
      <c r="G54" s="87"/>
      <c r="H54" s="87" t="s">
        <v>72</v>
      </c>
      <c r="I54" s="87" t="s">
        <v>118</v>
      </c>
      <c r="J54" s="101" t="s">
        <v>170</v>
      </c>
      <c r="K54" s="87" t="s">
        <v>11</v>
      </c>
      <c r="L54" s="91">
        <v>88</v>
      </c>
      <c r="M54" s="91">
        <v>88</v>
      </c>
      <c r="N54" s="88">
        <f>Goods_Receipt[[#This Row],[ Invoice. /
 Received Qty ]]-Goods_Receipt[[#This Row],[ Accepted Qty ]]</f>
        <v>0</v>
      </c>
      <c r="O54" s="87">
        <v>477</v>
      </c>
      <c r="P54" s="93">
        <v>45530</v>
      </c>
      <c r="Q54" s="87"/>
      <c r="R54" s="87" t="s">
        <v>245</v>
      </c>
      <c r="S54" s="87" t="s">
        <v>246</v>
      </c>
      <c r="T54" s="85">
        <v>45497</v>
      </c>
      <c r="U54" s="89"/>
      <c r="V54" s="90"/>
      <c r="W54" s="109"/>
      <c r="X54" s="91"/>
      <c r="Y54" s="84">
        <v>421472569853</v>
      </c>
      <c r="Z54" s="97"/>
    </row>
    <row r="55" spans="1:26" s="98" customFormat="1" x14ac:dyDescent="0.35">
      <c r="A55" s="86">
        <v>52</v>
      </c>
      <c r="B55" s="85">
        <v>45536</v>
      </c>
      <c r="C55" s="87" t="s">
        <v>214</v>
      </c>
      <c r="D55" s="85">
        <v>45530</v>
      </c>
      <c r="E55" s="84">
        <v>19</v>
      </c>
      <c r="F55" s="85">
        <v>45536</v>
      </c>
      <c r="G55" s="87"/>
      <c r="H55" s="87" t="s">
        <v>72</v>
      </c>
      <c r="I55" s="87" t="s">
        <v>118</v>
      </c>
      <c r="J55" s="101" t="s">
        <v>171</v>
      </c>
      <c r="K55" s="87" t="s">
        <v>11</v>
      </c>
      <c r="L55" s="91">
        <v>88</v>
      </c>
      <c r="M55" s="91">
        <v>88</v>
      </c>
      <c r="N55" s="88">
        <f>Goods_Receipt[[#This Row],[ Invoice. /
 Received Qty ]]-Goods_Receipt[[#This Row],[ Accepted Qty ]]</f>
        <v>0</v>
      </c>
      <c r="O55" s="87">
        <v>477</v>
      </c>
      <c r="P55" s="93">
        <v>45530</v>
      </c>
      <c r="Q55" s="87"/>
      <c r="R55" s="87" t="s">
        <v>245</v>
      </c>
      <c r="S55" s="87" t="s">
        <v>246</v>
      </c>
      <c r="T55" s="85">
        <v>45497</v>
      </c>
      <c r="U55" s="89"/>
      <c r="V55" s="90"/>
      <c r="W55" s="109"/>
      <c r="X55" s="91"/>
      <c r="Y55" s="84">
        <v>421472569853</v>
      </c>
      <c r="Z55" s="97"/>
    </row>
    <row r="56" spans="1:26" s="98" customFormat="1" x14ac:dyDescent="0.35">
      <c r="A56" s="86">
        <v>53</v>
      </c>
      <c r="B56" s="85">
        <v>45536</v>
      </c>
      <c r="C56" s="87" t="s">
        <v>214</v>
      </c>
      <c r="D56" s="85">
        <v>45530</v>
      </c>
      <c r="E56" s="84">
        <v>19</v>
      </c>
      <c r="F56" s="85">
        <v>45536</v>
      </c>
      <c r="G56" s="87"/>
      <c r="H56" s="87" t="s">
        <v>72</v>
      </c>
      <c r="I56" s="87" t="s">
        <v>118</v>
      </c>
      <c r="J56" s="101" t="s">
        <v>172</v>
      </c>
      <c r="K56" s="87" t="s">
        <v>11</v>
      </c>
      <c r="L56" s="91">
        <v>44</v>
      </c>
      <c r="M56" s="91">
        <v>44</v>
      </c>
      <c r="N56" s="88">
        <f>Goods_Receipt[[#This Row],[ Invoice. /
 Received Qty ]]-Goods_Receipt[[#This Row],[ Accepted Qty ]]</f>
        <v>0</v>
      </c>
      <c r="O56" s="87">
        <v>477</v>
      </c>
      <c r="P56" s="93">
        <v>45530</v>
      </c>
      <c r="Q56" s="87"/>
      <c r="R56" s="87" t="s">
        <v>245</v>
      </c>
      <c r="S56" s="87" t="s">
        <v>246</v>
      </c>
      <c r="T56" s="85">
        <v>45497</v>
      </c>
      <c r="U56" s="89"/>
      <c r="V56" s="90"/>
      <c r="W56" s="109"/>
      <c r="X56" s="91"/>
      <c r="Y56" s="84">
        <v>421472569853</v>
      </c>
      <c r="Z56" s="97"/>
    </row>
    <row r="57" spans="1:26" s="98" customFormat="1" x14ac:dyDescent="0.35">
      <c r="A57" s="86">
        <v>54</v>
      </c>
      <c r="B57" s="85">
        <v>45536</v>
      </c>
      <c r="C57" s="87" t="s">
        <v>214</v>
      </c>
      <c r="D57" s="85">
        <v>45530</v>
      </c>
      <c r="E57" s="84">
        <v>19</v>
      </c>
      <c r="F57" s="85">
        <v>45536</v>
      </c>
      <c r="G57" s="87"/>
      <c r="H57" s="87" t="s">
        <v>72</v>
      </c>
      <c r="I57" s="87" t="s">
        <v>118</v>
      </c>
      <c r="J57" s="101" t="s">
        <v>173</v>
      </c>
      <c r="K57" s="87" t="s">
        <v>11</v>
      </c>
      <c r="L57" s="91">
        <v>44</v>
      </c>
      <c r="M57" s="91">
        <v>44</v>
      </c>
      <c r="N57" s="88">
        <f>Goods_Receipt[[#This Row],[ Invoice. /
 Received Qty ]]-Goods_Receipt[[#This Row],[ Accepted Qty ]]</f>
        <v>0</v>
      </c>
      <c r="O57" s="87">
        <v>477</v>
      </c>
      <c r="P57" s="93">
        <v>45530</v>
      </c>
      <c r="Q57" s="87"/>
      <c r="R57" s="87" t="s">
        <v>245</v>
      </c>
      <c r="S57" s="87" t="s">
        <v>246</v>
      </c>
      <c r="T57" s="85">
        <v>45497</v>
      </c>
      <c r="U57" s="89"/>
      <c r="V57" s="90"/>
      <c r="W57" s="109"/>
      <c r="X57" s="91"/>
      <c r="Y57" s="84">
        <v>421472569853</v>
      </c>
      <c r="Z57" s="97"/>
    </row>
    <row r="58" spans="1:26" s="98" customFormat="1" x14ac:dyDescent="0.35">
      <c r="A58" s="86">
        <v>55</v>
      </c>
      <c r="B58" s="85">
        <v>45536</v>
      </c>
      <c r="C58" s="87" t="s">
        <v>214</v>
      </c>
      <c r="D58" s="85">
        <v>45530</v>
      </c>
      <c r="E58" s="84">
        <v>19</v>
      </c>
      <c r="F58" s="85">
        <v>45536</v>
      </c>
      <c r="G58" s="87"/>
      <c r="H58" s="87" t="s">
        <v>72</v>
      </c>
      <c r="I58" s="87" t="s">
        <v>118</v>
      </c>
      <c r="J58" s="101" t="s">
        <v>174</v>
      </c>
      <c r="K58" s="87" t="s">
        <v>11</v>
      </c>
      <c r="L58" s="91">
        <v>440</v>
      </c>
      <c r="M58" s="91">
        <v>440</v>
      </c>
      <c r="N58" s="88">
        <f>Goods_Receipt[[#This Row],[ Invoice. /
 Received Qty ]]-Goods_Receipt[[#This Row],[ Accepted Qty ]]</f>
        <v>0</v>
      </c>
      <c r="O58" s="87">
        <v>477</v>
      </c>
      <c r="P58" s="93">
        <v>45530</v>
      </c>
      <c r="Q58" s="87"/>
      <c r="R58" s="87" t="s">
        <v>245</v>
      </c>
      <c r="S58" s="87" t="s">
        <v>246</v>
      </c>
      <c r="T58" s="85">
        <v>45497</v>
      </c>
      <c r="U58" s="89"/>
      <c r="V58" s="90"/>
      <c r="W58" s="109"/>
      <c r="X58" s="91"/>
      <c r="Y58" s="84">
        <v>421472569853</v>
      </c>
      <c r="Z58" s="97"/>
    </row>
    <row r="59" spans="1:26" s="98" customFormat="1" x14ac:dyDescent="0.35">
      <c r="A59" s="86">
        <v>56</v>
      </c>
      <c r="B59" s="85">
        <v>45536</v>
      </c>
      <c r="C59" s="87" t="s">
        <v>214</v>
      </c>
      <c r="D59" s="85">
        <v>45530</v>
      </c>
      <c r="E59" s="84">
        <v>19</v>
      </c>
      <c r="F59" s="85">
        <v>45536</v>
      </c>
      <c r="G59" s="87"/>
      <c r="H59" s="87" t="s">
        <v>72</v>
      </c>
      <c r="I59" s="87" t="s">
        <v>118</v>
      </c>
      <c r="J59" s="101" t="s">
        <v>175</v>
      </c>
      <c r="K59" s="87" t="s">
        <v>11</v>
      </c>
      <c r="L59" s="91">
        <v>352</v>
      </c>
      <c r="M59" s="91">
        <v>352</v>
      </c>
      <c r="N59" s="88">
        <f>Goods_Receipt[[#This Row],[ Invoice. /
 Received Qty ]]-Goods_Receipt[[#This Row],[ Accepted Qty ]]</f>
        <v>0</v>
      </c>
      <c r="O59" s="87">
        <v>477</v>
      </c>
      <c r="P59" s="93">
        <v>45530</v>
      </c>
      <c r="Q59" s="87"/>
      <c r="R59" s="87" t="s">
        <v>245</v>
      </c>
      <c r="S59" s="87" t="s">
        <v>246</v>
      </c>
      <c r="T59" s="85">
        <v>45497</v>
      </c>
      <c r="U59" s="89"/>
      <c r="V59" s="90"/>
      <c r="W59" s="109"/>
      <c r="X59" s="91"/>
      <c r="Y59" s="84">
        <v>421472569853</v>
      </c>
      <c r="Z59" s="97"/>
    </row>
    <row r="60" spans="1:26" s="98" customFormat="1" x14ac:dyDescent="0.35">
      <c r="A60" s="86">
        <v>57</v>
      </c>
      <c r="B60" s="85">
        <v>45536</v>
      </c>
      <c r="C60" s="87" t="s">
        <v>214</v>
      </c>
      <c r="D60" s="85">
        <v>45530</v>
      </c>
      <c r="E60" s="84">
        <v>19</v>
      </c>
      <c r="F60" s="85">
        <v>45536</v>
      </c>
      <c r="G60" s="87"/>
      <c r="H60" s="87" t="s">
        <v>72</v>
      </c>
      <c r="I60" s="87" t="s">
        <v>118</v>
      </c>
      <c r="J60" s="101" t="s">
        <v>176</v>
      </c>
      <c r="K60" s="87" t="s">
        <v>13</v>
      </c>
      <c r="L60" s="91">
        <v>440</v>
      </c>
      <c r="M60" s="91">
        <v>440</v>
      </c>
      <c r="N60" s="88">
        <f>Goods_Receipt[[#This Row],[ Invoice. /
 Received Qty ]]-Goods_Receipt[[#This Row],[ Accepted Qty ]]</f>
        <v>0</v>
      </c>
      <c r="O60" s="87">
        <v>477</v>
      </c>
      <c r="P60" s="93">
        <v>45530</v>
      </c>
      <c r="Q60" s="87"/>
      <c r="R60" s="87" t="s">
        <v>245</v>
      </c>
      <c r="S60" s="87" t="s">
        <v>246</v>
      </c>
      <c r="T60" s="85">
        <v>45497</v>
      </c>
      <c r="U60" s="89"/>
      <c r="V60" s="90"/>
      <c r="W60" s="109"/>
      <c r="X60" s="91"/>
      <c r="Y60" s="84">
        <v>421472569853</v>
      </c>
      <c r="Z60" s="97"/>
    </row>
    <row r="61" spans="1:26" s="98" customFormat="1" x14ac:dyDescent="0.35">
      <c r="A61" s="86">
        <v>58</v>
      </c>
      <c r="B61" s="85">
        <v>45545</v>
      </c>
      <c r="C61" s="87" t="s">
        <v>215</v>
      </c>
      <c r="D61" s="85">
        <v>45544</v>
      </c>
      <c r="E61" s="84" t="s">
        <v>223</v>
      </c>
      <c r="F61" s="85">
        <v>45545</v>
      </c>
      <c r="G61" s="87"/>
      <c r="H61" s="87" t="s">
        <v>72</v>
      </c>
      <c r="I61" s="87" t="s">
        <v>76</v>
      </c>
      <c r="J61" s="101" t="s">
        <v>177</v>
      </c>
      <c r="K61" s="87" t="s">
        <v>11</v>
      </c>
      <c r="L61" s="91">
        <v>6</v>
      </c>
      <c r="M61" s="91">
        <v>6</v>
      </c>
      <c r="N61" s="88">
        <f>Goods_Receipt[[#This Row],[ Invoice. /
 Received Qty ]]-Goods_Receipt[[#This Row],[ Accepted Qty ]]</f>
        <v>0</v>
      </c>
      <c r="O61" s="87">
        <v>55378275</v>
      </c>
      <c r="P61" s="93">
        <v>45544</v>
      </c>
      <c r="Q61" s="87"/>
      <c r="R61" s="87" t="s">
        <v>247</v>
      </c>
      <c r="S61" s="87" t="s">
        <v>248</v>
      </c>
      <c r="T61" s="85">
        <v>45538</v>
      </c>
      <c r="U61" s="89"/>
      <c r="V61" s="90"/>
      <c r="W61" s="109"/>
      <c r="X61" s="89"/>
      <c r="Y61" s="84">
        <v>281823086576</v>
      </c>
      <c r="Z61" s="97"/>
    </row>
    <row r="62" spans="1:26" s="98" customFormat="1" x14ac:dyDescent="0.35">
      <c r="A62" s="86">
        <v>59</v>
      </c>
      <c r="B62" s="85">
        <v>45545</v>
      </c>
      <c r="C62" s="87" t="s">
        <v>215</v>
      </c>
      <c r="D62" s="85">
        <v>45544</v>
      </c>
      <c r="E62" s="84" t="s">
        <v>223</v>
      </c>
      <c r="F62" s="85">
        <v>45545</v>
      </c>
      <c r="G62" s="87"/>
      <c r="H62" s="87" t="s">
        <v>72</v>
      </c>
      <c r="I62" s="87" t="s">
        <v>76</v>
      </c>
      <c r="J62" s="101" t="s">
        <v>178</v>
      </c>
      <c r="K62" s="87" t="s">
        <v>225</v>
      </c>
      <c r="L62" s="91">
        <v>126</v>
      </c>
      <c r="M62" s="91">
        <v>126</v>
      </c>
      <c r="N62" s="88">
        <f>Goods_Receipt[[#This Row],[ Invoice. /
 Received Qty ]]-Goods_Receipt[[#This Row],[ Accepted Qty ]]</f>
        <v>0</v>
      </c>
      <c r="O62" s="87">
        <v>55378275</v>
      </c>
      <c r="P62" s="93">
        <v>45544</v>
      </c>
      <c r="Q62" s="87"/>
      <c r="R62" s="87" t="s">
        <v>247</v>
      </c>
      <c r="S62" s="87" t="s">
        <v>248</v>
      </c>
      <c r="T62" s="85">
        <v>45538</v>
      </c>
      <c r="U62" s="89"/>
      <c r="V62" s="90"/>
      <c r="W62" s="109"/>
      <c r="X62" s="91"/>
      <c r="Y62" s="84">
        <v>281823086576</v>
      </c>
      <c r="Z62" s="97"/>
    </row>
    <row r="63" spans="1:26" s="98" customFormat="1" x14ac:dyDescent="0.35">
      <c r="A63" s="86">
        <v>60</v>
      </c>
      <c r="B63" s="85">
        <v>45545</v>
      </c>
      <c r="C63" s="87" t="s">
        <v>215</v>
      </c>
      <c r="D63" s="85">
        <v>45544</v>
      </c>
      <c r="E63" s="84" t="s">
        <v>223</v>
      </c>
      <c r="F63" s="85">
        <v>45545</v>
      </c>
      <c r="G63" s="87"/>
      <c r="H63" s="87" t="s">
        <v>72</v>
      </c>
      <c r="I63" s="87" t="s">
        <v>76</v>
      </c>
      <c r="J63" s="101" t="s">
        <v>179</v>
      </c>
      <c r="K63" s="87" t="s">
        <v>11</v>
      </c>
      <c r="L63" s="91">
        <v>72</v>
      </c>
      <c r="M63" s="91">
        <v>72</v>
      </c>
      <c r="N63" s="88">
        <f>Goods_Receipt[[#This Row],[ Invoice. /
 Received Qty ]]-Goods_Receipt[[#This Row],[ Accepted Qty ]]</f>
        <v>0</v>
      </c>
      <c r="O63" s="87">
        <v>55378275</v>
      </c>
      <c r="P63" s="93">
        <v>45544</v>
      </c>
      <c r="Q63" s="87"/>
      <c r="R63" s="87" t="s">
        <v>247</v>
      </c>
      <c r="S63" s="87" t="s">
        <v>248</v>
      </c>
      <c r="T63" s="85">
        <v>45538</v>
      </c>
      <c r="U63" s="89"/>
      <c r="V63" s="90"/>
      <c r="W63" s="109"/>
      <c r="X63" s="91"/>
      <c r="Y63" s="84">
        <v>281823086576</v>
      </c>
      <c r="Z63" s="97"/>
    </row>
    <row r="64" spans="1:26" s="98" customFormat="1" x14ac:dyDescent="0.35">
      <c r="A64" s="86">
        <v>61</v>
      </c>
      <c r="B64" s="85">
        <v>45545</v>
      </c>
      <c r="C64" s="87" t="s">
        <v>215</v>
      </c>
      <c r="D64" s="85">
        <v>45544</v>
      </c>
      <c r="E64" s="84" t="s">
        <v>223</v>
      </c>
      <c r="F64" s="85">
        <v>45545</v>
      </c>
      <c r="G64" s="87"/>
      <c r="H64" s="87" t="s">
        <v>72</v>
      </c>
      <c r="I64" s="87" t="s">
        <v>76</v>
      </c>
      <c r="J64" s="101" t="s">
        <v>180</v>
      </c>
      <c r="K64" s="87" t="s">
        <v>11</v>
      </c>
      <c r="L64" s="91">
        <v>18</v>
      </c>
      <c r="M64" s="91">
        <v>18</v>
      </c>
      <c r="N64" s="88">
        <f>Goods_Receipt[[#This Row],[ Invoice. /
 Received Qty ]]-Goods_Receipt[[#This Row],[ Accepted Qty ]]</f>
        <v>0</v>
      </c>
      <c r="O64" s="87">
        <v>55378275</v>
      </c>
      <c r="P64" s="93">
        <v>45544</v>
      </c>
      <c r="Q64" s="87"/>
      <c r="R64" s="87" t="s">
        <v>247</v>
      </c>
      <c r="S64" s="87" t="s">
        <v>248</v>
      </c>
      <c r="T64" s="85">
        <v>45538</v>
      </c>
      <c r="U64" s="89"/>
      <c r="V64" s="90"/>
      <c r="W64" s="109"/>
      <c r="X64" s="91"/>
      <c r="Y64" s="84">
        <v>281823086576</v>
      </c>
      <c r="Z64" s="97"/>
    </row>
    <row r="65" spans="1:26" s="98" customFormat="1" x14ac:dyDescent="0.35">
      <c r="A65" s="86">
        <v>62</v>
      </c>
      <c r="B65" s="85">
        <v>45545</v>
      </c>
      <c r="C65" s="87" t="s">
        <v>215</v>
      </c>
      <c r="D65" s="85">
        <v>45544</v>
      </c>
      <c r="E65" s="84" t="s">
        <v>223</v>
      </c>
      <c r="F65" s="85">
        <v>45545</v>
      </c>
      <c r="G65" s="87"/>
      <c r="H65" s="87" t="s">
        <v>72</v>
      </c>
      <c r="I65" s="87" t="s">
        <v>76</v>
      </c>
      <c r="J65" s="101" t="s">
        <v>181</v>
      </c>
      <c r="K65" s="87" t="s">
        <v>11</v>
      </c>
      <c r="L65" s="91">
        <v>24</v>
      </c>
      <c r="M65" s="91">
        <v>24</v>
      </c>
      <c r="N65" s="88">
        <f>Goods_Receipt[[#This Row],[ Invoice. /
 Received Qty ]]-Goods_Receipt[[#This Row],[ Accepted Qty ]]</f>
        <v>0</v>
      </c>
      <c r="O65" s="87">
        <v>55378275</v>
      </c>
      <c r="P65" s="93">
        <v>45544</v>
      </c>
      <c r="Q65" s="87"/>
      <c r="R65" s="87" t="s">
        <v>247</v>
      </c>
      <c r="S65" s="87" t="s">
        <v>248</v>
      </c>
      <c r="T65" s="85">
        <v>45538</v>
      </c>
      <c r="U65" s="89"/>
      <c r="V65" s="90"/>
      <c r="W65" s="109"/>
      <c r="X65" s="91"/>
      <c r="Y65" s="84">
        <v>281823086576</v>
      </c>
      <c r="Z65" s="97"/>
    </row>
    <row r="66" spans="1:26" s="98" customFormat="1" x14ac:dyDescent="0.35">
      <c r="A66" s="86">
        <v>63</v>
      </c>
      <c r="B66" s="85">
        <v>45545</v>
      </c>
      <c r="C66" s="87" t="s">
        <v>215</v>
      </c>
      <c r="D66" s="85">
        <v>45544</v>
      </c>
      <c r="E66" s="84" t="s">
        <v>223</v>
      </c>
      <c r="F66" s="85">
        <v>45545</v>
      </c>
      <c r="G66" s="87"/>
      <c r="H66" s="87" t="s">
        <v>72</v>
      </c>
      <c r="I66" s="87" t="s">
        <v>76</v>
      </c>
      <c r="J66" s="101" t="s">
        <v>182</v>
      </c>
      <c r="K66" s="87" t="s">
        <v>11</v>
      </c>
      <c r="L66" s="88">
        <v>42</v>
      </c>
      <c r="M66" s="88">
        <v>42</v>
      </c>
      <c r="N66" s="88">
        <f>Goods_Receipt[[#This Row],[ Invoice. /
 Received Qty ]]-Goods_Receipt[[#This Row],[ Accepted Qty ]]</f>
        <v>0</v>
      </c>
      <c r="O66" s="87">
        <v>55378275</v>
      </c>
      <c r="P66" s="93">
        <v>45544</v>
      </c>
      <c r="Q66" s="87"/>
      <c r="R66" s="87" t="s">
        <v>247</v>
      </c>
      <c r="S66" s="87" t="s">
        <v>248</v>
      </c>
      <c r="T66" s="85">
        <v>45538</v>
      </c>
      <c r="U66" s="89"/>
      <c r="V66" s="90"/>
      <c r="W66" s="109"/>
      <c r="X66" s="91"/>
      <c r="Y66" s="84">
        <v>281823086576</v>
      </c>
      <c r="Z66" s="97"/>
    </row>
    <row r="67" spans="1:26" s="98" customFormat="1" x14ac:dyDescent="0.35">
      <c r="A67" s="86">
        <v>64</v>
      </c>
      <c r="B67" s="85">
        <v>45545</v>
      </c>
      <c r="C67" s="87" t="s">
        <v>215</v>
      </c>
      <c r="D67" s="85">
        <v>45544</v>
      </c>
      <c r="E67" s="84" t="s">
        <v>223</v>
      </c>
      <c r="F67" s="85">
        <v>45545</v>
      </c>
      <c r="G67" s="87"/>
      <c r="H67" s="87" t="s">
        <v>72</v>
      </c>
      <c r="I67" s="87" t="s">
        <v>76</v>
      </c>
      <c r="J67" s="101" t="s">
        <v>183</v>
      </c>
      <c r="K67" s="87" t="s">
        <v>11</v>
      </c>
      <c r="L67" s="91">
        <v>6</v>
      </c>
      <c r="M67" s="91">
        <v>6</v>
      </c>
      <c r="N67" s="88">
        <f>Goods_Receipt[[#This Row],[ Invoice. /
 Received Qty ]]-Goods_Receipt[[#This Row],[ Accepted Qty ]]</f>
        <v>0</v>
      </c>
      <c r="O67" s="87">
        <v>55378275</v>
      </c>
      <c r="P67" s="93">
        <v>45544</v>
      </c>
      <c r="Q67" s="87"/>
      <c r="R67" s="87" t="s">
        <v>247</v>
      </c>
      <c r="S67" s="87" t="s">
        <v>248</v>
      </c>
      <c r="T67" s="85">
        <v>45538</v>
      </c>
      <c r="U67" s="89"/>
      <c r="V67" s="90"/>
      <c r="W67" s="109"/>
      <c r="X67" s="91"/>
      <c r="Y67" s="84">
        <v>281823086576</v>
      </c>
      <c r="Z67" s="97"/>
    </row>
    <row r="68" spans="1:26" s="98" customFormat="1" x14ac:dyDescent="0.35">
      <c r="A68" s="86">
        <v>65</v>
      </c>
      <c r="B68" s="85">
        <v>45545</v>
      </c>
      <c r="C68" s="87" t="s">
        <v>215</v>
      </c>
      <c r="D68" s="85">
        <v>45544</v>
      </c>
      <c r="E68" s="84" t="s">
        <v>223</v>
      </c>
      <c r="F68" s="85">
        <v>45545</v>
      </c>
      <c r="G68" s="87"/>
      <c r="H68" s="87" t="s">
        <v>72</v>
      </c>
      <c r="I68" s="87" t="s">
        <v>76</v>
      </c>
      <c r="J68" s="101" t="s">
        <v>184</v>
      </c>
      <c r="K68" s="87" t="s">
        <v>11</v>
      </c>
      <c r="L68" s="91">
        <v>6</v>
      </c>
      <c r="M68" s="91">
        <v>6</v>
      </c>
      <c r="N68" s="88">
        <f>Goods_Receipt[[#This Row],[ Invoice. /
 Received Qty ]]-Goods_Receipt[[#This Row],[ Accepted Qty ]]</f>
        <v>0</v>
      </c>
      <c r="O68" s="87">
        <v>55378275</v>
      </c>
      <c r="P68" s="93">
        <v>45544</v>
      </c>
      <c r="Q68" s="87"/>
      <c r="R68" s="87" t="s">
        <v>247</v>
      </c>
      <c r="S68" s="87" t="s">
        <v>248</v>
      </c>
      <c r="T68" s="85">
        <v>45538</v>
      </c>
      <c r="U68" s="89"/>
      <c r="V68" s="90"/>
      <c r="W68" s="109"/>
      <c r="X68" s="91"/>
      <c r="Y68" s="84">
        <v>281823086576</v>
      </c>
      <c r="Z68" s="97"/>
    </row>
    <row r="69" spans="1:26" s="98" customFormat="1" x14ac:dyDescent="0.35">
      <c r="A69" s="86">
        <v>66</v>
      </c>
      <c r="B69" s="85">
        <v>45545</v>
      </c>
      <c r="C69" s="87" t="s">
        <v>215</v>
      </c>
      <c r="D69" s="85">
        <v>45544</v>
      </c>
      <c r="E69" s="84" t="s">
        <v>223</v>
      </c>
      <c r="F69" s="85">
        <v>45545</v>
      </c>
      <c r="G69" s="87"/>
      <c r="H69" s="87" t="s">
        <v>72</v>
      </c>
      <c r="I69" s="87" t="s">
        <v>76</v>
      </c>
      <c r="J69" s="101" t="s">
        <v>185</v>
      </c>
      <c r="K69" s="87" t="s">
        <v>11</v>
      </c>
      <c r="L69" s="91">
        <v>6</v>
      </c>
      <c r="M69" s="91">
        <v>6</v>
      </c>
      <c r="N69" s="88">
        <f>Goods_Receipt[[#This Row],[ Invoice. /
 Received Qty ]]-Goods_Receipt[[#This Row],[ Accepted Qty ]]</f>
        <v>0</v>
      </c>
      <c r="O69" s="87">
        <v>55378275</v>
      </c>
      <c r="P69" s="93">
        <v>45544</v>
      </c>
      <c r="Q69" s="87"/>
      <c r="R69" s="87" t="s">
        <v>247</v>
      </c>
      <c r="S69" s="87" t="s">
        <v>248</v>
      </c>
      <c r="T69" s="85">
        <v>45538</v>
      </c>
      <c r="U69" s="89"/>
      <c r="V69" s="90"/>
      <c r="W69" s="109"/>
      <c r="X69" s="89"/>
      <c r="Y69" s="84">
        <v>281823086576</v>
      </c>
      <c r="Z69" s="97"/>
    </row>
    <row r="70" spans="1:26" s="98" customFormat="1" x14ac:dyDescent="0.35">
      <c r="A70" s="86">
        <v>67</v>
      </c>
      <c r="B70" s="85">
        <v>45545</v>
      </c>
      <c r="C70" s="87" t="s">
        <v>215</v>
      </c>
      <c r="D70" s="85">
        <v>45544</v>
      </c>
      <c r="E70" s="84" t="s">
        <v>223</v>
      </c>
      <c r="F70" s="85">
        <v>45545</v>
      </c>
      <c r="G70" s="87"/>
      <c r="H70" s="87" t="s">
        <v>72</v>
      </c>
      <c r="I70" s="87" t="s">
        <v>76</v>
      </c>
      <c r="J70" s="101" t="s">
        <v>186</v>
      </c>
      <c r="K70" s="87" t="s">
        <v>11</v>
      </c>
      <c r="L70" s="91">
        <v>6</v>
      </c>
      <c r="M70" s="91">
        <v>6</v>
      </c>
      <c r="N70" s="88">
        <f>Goods_Receipt[[#This Row],[ Invoice. /
 Received Qty ]]-Goods_Receipt[[#This Row],[ Accepted Qty ]]</f>
        <v>0</v>
      </c>
      <c r="O70" s="87">
        <v>55378275</v>
      </c>
      <c r="P70" s="93">
        <v>45544</v>
      </c>
      <c r="Q70" s="87"/>
      <c r="R70" s="87" t="s">
        <v>247</v>
      </c>
      <c r="S70" s="87" t="s">
        <v>248</v>
      </c>
      <c r="T70" s="85">
        <v>45538</v>
      </c>
      <c r="U70" s="89"/>
      <c r="V70" s="90"/>
      <c r="W70" s="109"/>
      <c r="X70" s="89"/>
      <c r="Y70" s="84">
        <v>281823086576</v>
      </c>
      <c r="Z70" s="97"/>
    </row>
    <row r="71" spans="1:26" s="98" customFormat="1" x14ac:dyDescent="0.35">
      <c r="A71" s="86">
        <v>68</v>
      </c>
      <c r="B71" s="85">
        <v>45545</v>
      </c>
      <c r="C71" s="87" t="s">
        <v>215</v>
      </c>
      <c r="D71" s="85">
        <v>45544</v>
      </c>
      <c r="E71" s="84" t="s">
        <v>223</v>
      </c>
      <c r="F71" s="85">
        <v>45545</v>
      </c>
      <c r="G71" s="85"/>
      <c r="H71" s="87" t="s">
        <v>72</v>
      </c>
      <c r="I71" s="87" t="s">
        <v>76</v>
      </c>
      <c r="J71" s="101" t="s">
        <v>187</v>
      </c>
      <c r="K71" s="87" t="s">
        <v>11</v>
      </c>
      <c r="L71" s="88">
        <v>92</v>
      </c>
      <c r="M71" s="88">
        <v>92</v>
      </c>
      <c r="N71" s="88">
        <f>Goods_Receipt[[#This Row],[ Invoice. /
 Received Qty ]]-Goods_Receipt[[#This Row],[ Accepted Qty ]]</f>
        <v>0</v>
      </c>
      <c r="O71" s="87">
        <v>55378275</v>
      </c>
      <c r="P71" s="93">
        <v>45544</v>
      </c>
      <c r="Q71" s="87"/>
      <c r="R71" s="87" t="s">
        <v>247</v>
      </c>
      <c r="S71" s="87" t="s">
        <v>248</v>
      </c>
      <c r="T71" s="85">
        <v>45538</v>
      </c>
      <c r="U71" s="89"/>
      <c r="V71" s="90"/>
      <c r="W71" s="109"/>
      <c r="X71" s="89"/>
      <c r="Y71" s="84">
        <v>281823086576</v>
      </c>
      <c r="Z71" s="97"/>
    </row>
    <row r="72" spans="1:26" s="98" customFormat="1" x14ac:dyDescent="0.35">
      <c r="A72" s="86">
        <v>69</v>
      </c>
      <c r="B72" s="112">
        <v>45545</v>
      </c>
      <c r="C72" s="87" t="s">
        <v>215</v>
      </c>
      <c r="D72" s="85">
        <v>45544</v>
      </c>
      <c r="E72" s="84" t="s">
        <v>223</v>
      </c>
      <c r="F72" s="85">
        <v>45545</v>
      </c>
      <c r="G72" s="85"/>
      <c r="H72" s="113" t="s">
        <v>72</v>
      </c>
      <c r="I72" s="113" t="s">
        <v>76</v>
      </c>
      <c r="J72" s="115" t="s">
        <v>274</v>
      </c>
      <c r="K72" s="113" t="s">
        <v>275</v>
      </c>
      <c r="L72" s="116">
        <v>184</v>
      </c>
      <c r="M72" s="117">
        <v>184</v>
      </c>
      <c r="N72" s="116"/>
      <c r="O72" s="87">
        <v>55378275</v>
      </c>
      <c r="P72" s="93">
        <v>45544</v>
      </c>
      <c r="Q72" s="87"/>
      <c r="R72" s="87" t="s">
        <v>247</v>
      </c>
      <c r="S72" s="87" t="s">
        <v>248</v>
      </c>
      <c r="T72" s="85">
        <v>45538</v>
      </c>
      <c r="U72" s="122"/>
      <c r="V72" s="120"/>
      <c r="W72" s="123"/>
      <c r="X72" s="119"/>
      <c r="Y72" s="84">
        <v>281823086576</v>
      </c>
      <c r="Z72" s="121"/>
    </row>
    <row r="73" spans="1:26" s="98" customFormat="1" x14ac:dyDescent="0.35">
      <c r="A73" s="86">
        <v>70</v>
      </c>
      <c r="B73" s="112">
        <v>45547</v>
      </c>
      <c r="C73" s="113" t="s">
        <v>216</v>
      </c>
      <c r="D73" s="112">
        <v>45546</v>
      </c>
      <c r="E73" s="114">
        <v>22</v>
      </c>
      <c r="F73" s="112">
        <v>45548</v>
      </c>
      <c r="G73" s="112"/>
      <c r="H73" s="113" t="s">
        <v>72</v>
      </c>
      <c r="I73" s="113" t="s">
        <v>77</v>
      </c>
      <c r="J73" s="101" t="s">
        <v>283</v>
      </c>
      <c r="K73" s="113" t="s">
        <v>224</v>
      </c>
      <c r="L73" s="116">
        <v>2500</v>
      </c>
      <c r="M73" s="116">
        <v>2500</v>
      </c>
      <c r="N73" s="116">
        <f>Goods_Receipt[[#This Row],[ Invoice. /
 Received Qty ]]-Goods_Receipt[[#This Row],[ Accepted Qty ]]</f>
        <v>0</v>
      </c>
      <c r="O73" s="87">
        <v>156</v>
      </c>
      <c r="P73" s="118">
        <v>45546</v>
      </c>
      <c r="Q73" s="113"/>
      <c r="R73" s="113" t="s">
        <v>249</v>
      </c>
      <c r="S73" s="113"/>
      <c r="T73" s="112"/>
      <c r="U73" s="122"/>
      <c r="V73" s="120"/>
      <c r="W73" s="123"/>
      <c r="X73" s="119"/>
      <c r="Y73" s="114">
        <v>671780188963</v>
      </c>
      <c r="Z73" s="121"/>
    </row>
    <row r="74" spans="1:26" s="98" customFormat="1" x14ac:dyDescent="0.35">
      <c r="A74" s="86">
        <v>71</v>
      </c>
      <c r="B74" s="112">
        <v>45547</v>
      </c>
      <c r="C74" s="113" t="s">
        <v>216</v>
      </c>
      <c r="D74" s="112">
        <v>45546</v>
      </c>
      <c r="E74" s="114">
        <v>22</v>
      </c>
      <c r="F74" s="112">
        <v>45548</v>
      </c>
      <c r="G74" s="112"/>
      <c r="H74" s="113" t="s">
        <v>72</v>
      </c>
      <c r="I74" s="113" t="s">
        <v>82</v>
      </c>
      <c r="J74" s="115" t="s">
        <v>191</v>
      </c>
      <c r="K74" s="113" t="s">
        <v>225</v>
      </c>
      <c r="L74" s="116">
        <v>1000</v>
      </c>
      <c r="M74" s="116">
        <v>1000</v>
      </c>
      <c r="N74" s="116">
        <f>Goods_Receipt[[#This Row],[ Invoice. /
 Received Qty ]]-Goods_Receipt[[#This Row],[ Accepted Qty ]]</f>
        <v>0</v>
      </c>
      <c r="O74" s="113">
        <v>156</v>
      </c>
      <c r="P74" s="118">
        <v>45546</v>
      </c>
      <c r="Q74" s="113"/>
      <c r="R74" s="113" t="s">
        <v>249</v>
      </c>
      <c r="S74" s="113"/>
      <c r="T74" s="112"/>
      <c r="U74" s="119"/>
      <c r="V74" s="120"/>
      <c r="W74" s="123"/>
      <c r="X74" s="119"/>
      <c r="Y74" s="114">
        <v>671780188963</v>
      </c>
      <c r="Z74" s="236" t="s">
        <v>538</v>
      </c>
    </row>
    <row r="75" spans="1:26" s="98" customFormat="1" x14ac:dyDescent="0.35">
      <c r="A75" s="86">
        <v>72</v>
      </c>
      <c r="B75" s="112">
        <v>45547</v>
      </c>
      <c r="C75" s="113" t="s">
        <v>216</v>
      </c>
      <c r="D75" s="112">
        <v>45546</v>
      </c>
      <c r="E75" s="114">
        <v>22</v>
      </c>
      <c r="F75" s="112">
        <v>45548</v>
      </c>
      <c r="G75" s="112"/>
      <c r="H75" s="113" t="s">
        <v>72</v>
      </c>
      <c r="I75" s="113" t="s">
        <v>82</v>
      </c>
      <c r="J75" s="115" t="s">
        <v>192</v>
      </c>
      <c r="K75" s="113" t="s">
        <v>225</v>
      </c>
      <c r="L75" s="116">
        <v>1000</v>
      </c>
      <c r="M75" s="117">
        <v>1000</v>
      </c>
      <c r="N75" s="116"/>
      <c r="O75" s="113">
        <v>156</v>
      </c>
      <c r="P75" s="118">
        <v>45546</v>
      </c>
      <c r="Q75" s="113"/>
      <c r="R75" s="113" t="s">
        <v>249</v>
      </c>
      <c r="S75" s="113"/>
      <c r="T75" s="112"/>
      <c r="U75" s="119"/>
      <c r="V75" s="120"/>
      <c r="W75" s="123"/>
      <c r="X75" s="119"/>
      <c r="Y75" s="114">
        <v>671780188963</v>
      </c>
      <c r="Z75" s="236" t="s">
        <v>538</v>
      </c>
    </row>
    <row r="76" spans="1:26" s="98" customFormat="1" x14ac:dyDescent="0.35">
      <c r="A76" s="86">
        <v>73</v>
      </c>
      <c r="B76" s="112">
        <v>45547</v>
      </c>
      <c r="C76" s="113" t="s">
        <v>216</v>
      </c>
      <c r="D76" s="112">
        <v>45546</v>
      </c>
      <c r="E76" s="114">
        <v>22</v>
      </c>
      <c r="F76" s="112">
        <v>45548</v>
      </c>
      <c r="G76" s="112"/>
      <c r="H76" s="113" t="s">
        <v>72</v>
      </c>
      <c r="I76" s="87" t="s">
        <v>85</v>
      </c>
      <c r="J76" s="115" t="s">
        <v>189</v>
      </c>
      <c r="K76" s="113" t="s">
        <v>11</v>
      </c>
      <c r="L76" s="116">
        <v>600</v>
      </c>
      <c r="M76" s="116">
        <v>600</v>
      </c>
      <c r="N76" s="116">
        <f>Goods_Receipt[[#This Row],[ Invoice. /
 Received Qty ]]-Goods_Receipt[[#This Row],[ Accepted Qty ]]</f>
        <v>0</v>
      </c>
      <c r="O76" s="113">
        <v>156</v>
      </c>
      <c r="P76" s="118">
        <v>45546</v>
      </c>
      <c r="Q76" s="113"/>
      <c r="R76" s="113" t="s">
        <v>249</v>
      </c>
      <c r="S76" s="113"/>
      <c r="T76" s="112"/>
      <c r="U76" s="119"/>
      <c r="V76" s="120"/>
      <c r="W76" s="123"/>
      <c r="X76" s="119"/>
      <c r="Y76" s="114">
        <v>671780188963</v>
      </c>
      <c r="Z76" s="121"/>
    </row>
    <row r="77" spans="1:26" s="98" customFormat="1" x14ac:dyDescent="0.35">
      <c r="A77" s="86">
        <v>74</v>
      </c>
      <c r="B77" s="112">
        <v>45547</v>
      </c>
      <c r="C77" s="113" t="s">
        <v>216</v>
      </c>
      <c r="D77" s="112">
        <v>45546</v>
      </c>
      <c r="E77" s="114">
        <v>22</v>
      </c>
      <c r="F77" s="112">
        <v>45548</v>
      </c>
      <c r="G77" s="112"/>
      <c r="H77" s="113" t="s">
        <v>72</v>
      </c>
      <c r="I77" s="87" t="s">
        <v>85</v>
      </c>
      <c r="J77" s="115" t="s">
        <v>190</v>
      </c>
      <c r="K77" s="113" t="s">
        <v>11</v>
      </c>
      <c r="L77" s="116">
        <v>2000</v>
      </c>
      <c r="M77" s="116">
        <v>2000</v>
      </c>
      <c r="N77" s="116">
        <f>Goods_Receipt[[#This Row],[ Invoice. /
 Received Qty ]]-Goods_Receipt[[#This Row],[ Accepted Qty ]]</f>
        <v>0</v>
      </c>
      <c r="O77" s="113">
        <v>156</v>
      </c>
      <c r="P77" s="118">
        <v>45546</v>
      </c>
      <c r="Q77" s="113"/>
      <c r="R77" s="113" t="s">
        <v>249</v>
      </c>
      <c r="S77" s="113"/>
      <c r="T77" s="112"/>
      <c r="U77" s="119"/>
      <c r="V77" s="120"/>
      <c r="W77" s="123"/>
      <c r="X77" s="119"/>
      <c r="Y77" s="114">
        <v>671780188963</v>
      </c>
      <c r="Z77" s="121"/>
    </row>
    <row r="78" spans="1:26" s="98" customFormat="1" x14ac:dyDescent="0.35">
      <c r="A78" s="86">
        <v>75</v>
      </c>
      <c r="B78" s="112">
        <v>45551</v>
      </c>
      <c r="C78" s="113" t="s">
        <v>217</v>
      </c>
      <c r="D78" s="112">
        <v>45549</v>
      </c>
      <c r="E78" s="114">
        <v>23</v>
      </c>
      <c r="F78" s="112">
        <v>45551</v>
      </c>
      <c r="G78" s="112"/>
      <c r="H78" s="113" t="s">
        <v>83</v>
      </c>
      <c r="I78" s="113" t="s">
        <v>84</v>
      </c>
      <c r="J78" s="115" t="s">
        <v>193</v>
      </c>
      <c r="K78" s="113" t="s">
        <v>11</v>
      </c>
      <c r="L78" s="116">
        <v>1</v>
      </c>
      <c r="M78" s="116">
        <v>1</v>
      </c>
      <c r="N78" s="116">
        <f>Goods_Receipt[[#This Row],[ Invoice. /
 Received Qty ]]-Goods_Receipt[[#This Row],[ Accepted Qty ]]</f>
        <v>0</v>
      </c>
      <c r="O78" s="113">
        <v>52476</v>
      </c>
      <c r="P78" s="113">
        <v>45549</v>
      </c>
      <c r="Q78" s="113"/>
      <c r="R78" s="113" t="s">
        <v>250</v>
      </c>
      <c r="S78" s="113" t="s">
        <v>251</v>
      </c>
      <c r="T78" s="112">
        <v>45538</v>
      </c>
      <c r="U78" s="119"/>
      <c r="V78" s="120"/>
      <c r="W78" s="113"/>
      <c r="X78" s="119"/>
      <c r="Y78" s="114" t="s">
        <v>252</v>
      </c>
      <c r="Z78" s="121"/>
    </row>
    <row r="79" spans="1:26" s="98" customFormat="1" ht="23" x14ac:dyDescent="0.35">
      <c r="A79" s="86">
        <v>76</v>
      </c>
      <c r="B79" s="112">
        <v>45559</v>
      </c>
      <c r="C79" s="113">
        <v>961838576</v>
      </c>
      <c r="D79" s="112">
        <v>45558</v>
      </c>
      <c r="E79" s="114">
        <v>24</v>
      </c>
      <c r="F79" s="112">
        <v>45559</v>
      </c>
      <c r="G79" s="112"/>
      <c r="H79" s="113" t="s">
        <v>72</v>
      </c>
      <c r="I79" s="113" t="s">
        <v>82</v>
      </c>
      <c r="J79" s="115" t="s">
        <v>191</v>
      </c>
      <c r="K79" s="113" t="s">
        <v>225</v>
      </c>
      <c r="L79" s="116">
        <v>18090</v>
      </c>
      <c r="M79" s="116">
        <v>12062</v>
      </c>
      <c r="N79" s="116">
        <f>Goods_Receipt[[#This Row],[ Invoice. /
 Received Qty ]]-Goods_Receipt[[#This Row],[ Accepted Qty ]]</f>
        <v>6028</v>
      </c>
      <c r="O79" s="113">
        <v>1523688</v>
      </c>
      <c r="P79" s="113">
        <v>45558</v>
      </c>
      <c r="Q79" s="113"/>
      <c r="R79" s="113" t="s">
        <v>253</v>
      </c>
      <c r="S79" s="113" t="s">
        <v>254</v>
      </c>
      <c r="T79" s="112">
        <v>45491</v>
      </c>
      <c r="U79" s="119"/>
      <c r="V79" s="120"/>
      <c r="W79" s="123"/>
      <c r="X79" s="119"/>
      <c r="Y79" s="114" t="s">
        <v>255</v>
      </c>
      <c r="Z79" s="237" t="s">
        <v>539</v>
      </c>
    </row>
    <row r="80" spans="1:26" s="98" customFormat="1" ht="23" x14ac:dyDescent="0.35">
      <c r="A80" s="86">
        <v>77</v>
      </c>
      <c r="B80" s="112">
        <v>45559</v>
      </c>
      <c r="C80" s="113">
        <v>961838576</v>
      </c>
      <c r="D80" s="112">
        <v>45558</v>
      </c>
      <c r="E80" s="114">
        <v>24</v>
      </c>
      <c r="F80" s="112">
        <v>45559</v>
      </c>
      <c r="G80" s="112"/>
      <c r="H80" s="113" t="s">
        <v>72</v>
      </c>
      <c r="I80" s="113" t="s">
        <v>82</v>
      </c>
      <c r="J80" s="115" t="s">
        <v>192</v>
      </c>
      <c r="K80" s="113" t="s">
        <v>225</v>
      </c>
      <c r="L80" s="116">
        <v>18107</v>
      </c>
      <c r="M80" s="116">
        <v>16107</v>
      </c>
      <c r="N80" s="258">
        <f>Goods_Receipt[[#This Row],[ Invoice. /
 Received Qty ]]-Goods_Receipt[[#This Row],[ Accepted Qty ]]</f>
        <v>2000</v>
      </c>
      <c r="O80" s="113">
        <v>1523688</v>
      </c>
      <c r="P80" s="118">
        <v>45558</v>
      </c>
      <c r="Q80" s="113"/>
      <c r="R80" s="113" t="s">
        <v>253</v>
      </c>
      <c r="S80" s="113" t="s">
        <v>254</v>
      </c>
      <c r="T80" s="112">
        <v>45491</v>
      </c>
      <c r="U80" s="119"/>
      <c r="V80" s="120"/>
      <c r="W80" s="123"/>
      <c r="X80" s="119"/>
      <c r="Y80" s="114" t="s">
        <v>255</v>
      </c>
      <c r="Z80" s="237" t="s">
        <v>540</v>
      </c>
    </row>
    <row r="81" spans="1:26" s="98" customFormat="1" x14ac:dyDescent="0.35">
      <c r="A81" s="86">
        <v>78</v>
      </c>
      <c r="B81" s="112">
        <v>45559</v>
      </c>
      <c r="C81" s="113" t="s">
        <v>218</v>
      </c>
      <c r="D81" s="112">
        <v>45558</v>
      </c>
      <c r="E81" s="114">
        <v>25</v>
      </c>
      <c r="F81" s="112">
        <v>45559</v>
      </c>
      <c r="G81" s="112"/>
      <c r="H81" s="113" t="s">
        <v>72</v>
      </c>
      <c r="I81" s="113" t="s">
        <v>87</v>
      </c>
      <c r="J81" s="115" t="s">
        <v>194</v>
      </c>
      <c r="K81" s="113" t="s">
        <v>11</v>
      </c>
      <c r="L81" s="116">
        <v>25000</v>
      </c>
      <c r="M81" s="116">
        <v>25000</v>
      </c>
      <c r="N81" s="116">
        <f>Goods_Receipt[[#This Row],[ Invoice. /
 Received Qty ]]-Goods_Receipt[[#This Row],[ Accepted Qty ]]</f>
        <v>0</v>
      </c>
      <c r="O81" s="113"/>
      <c r="P81" s="118"/>
      <c r="Q81" s="113"/>
      <c r="R81" s="113"/>
      <c r="S81" s="113" t="s">
        <v>256</v>
      </c>
      <c r="T81" s="112"/>
      <c r="U81" s="119"/>
      <c r="V81" s="120"/>
      <c r="W81" s="123"/>
      <c r="X81" s="119"/>
      <c r="Y81" s="114"/>
      <c r="Z81" s="121"/>
    </row>
    <row r="82" spans="1:26" s="98" customFormat="1" x14ac:dyDescent="0.35">
      <c r="A82" s="86">
        <v>79</v>
      </c>
      <c r="B82" s="112">
        <v>45559</v>
      </c>
      <c r="C82" s="113" t="s">
        <v>218</v>
      </c>
      <c r="D82" s="112">
        <v>45558</v>
      </c>
      <c r="E82" s="114">
        <v>25</v>
      </c>
      <c r="F82" s="112">
        <v>45559</v>
      </c>
      <c r="G82" s="112"/>
      <c r="H82" s="113" t="s">
        <v>72</v>
      </c>
      <c r="I82" s="113" t="s">
        <v>87</v>
      </c>
      <c r="J82" s="115" t="s">
        <v>195</v>
      </c>
      <c r="K82" s="113" t="s">
        <v>11</v>
      </c>
      <c r="L82" s="116">
        <v>10000</v>
      </c>
      <c r="M82" s="116">
        <v>10000</v>
      </c>
      <c r="N82" s="116">
        <f>Goods_Receipt[[#This Row],[ Invoice. /
 Received Qty ]]-Goods_Receipt[[#This Row],[ Accepted Qty ]]</f>
        <v>0</v>
      </c>
      <c r="O82" s="113"/>
      <c r="P82" s="118"/>
      <c r="Q82" s="113"/>
      <c r="R82" s="113"/>
      <c r="S82" s="113" t="s">
        <v>256</v>
      </c>
      <c r="T82" s="112"/>
      <c r="U82" s="119"/>
      <c r="V82" s="120"/>
      <c r="W82" s="123"/>
      <c r="X82" s="119"/>
      <c r="Y82" s="114"/>
      <c r="Z82" s="121"/>
    </row>
    <row r="83" spans="1:26" s="98" customFormat="1" x14ac:dyDescent="0.35">
      <c r="A83" s="86">
        <v>80</v>
      </c>
      <c r="B83" s="112">
        <v>45559</v>
      </c>
      <c r="C83" s="113" t="s">
        <v>218</v>
      </c>
      <c r="D83" s="112">
        <v>45558</v>
      </c>
      <c r="E83" s="114">
        <v>25</v>
      </c>
      <c r="F83" s="112">
        <v>45559</v>
      </c>
      <c r="G83" s="112"/>
      <c r="H83" s="113" t="s">
        <v>72</v>
      </c>
      <c r="I83" s="113" t="s">
        <v>87</v>
      </c>
      <c r="J83" s="115" t="s">
        <v>196</v>
      </c>
      <c r="K83" s="113" t="s">
        <v>11</v>
      </c>
      <c r="L83" s="116">
        <v>800</v>
      </c>
      <c r="M83" s="116">
        <v>800</v>
      </c>
      <c r="N83" s="116">
        <f>Goods_Receipt[[#This Row],[ Invoice. /
 Received Qty ]]-Goods_Receipt[[#This Row],[ Accepted Qty ]]</f>
        <v>0</v>
      </c>
      <c r="O83" s="113"/>
      <c r="P83" s="118"/>
      <c r="Q83" s="113"/>
      <c r="R83" s="113"/>
      <c r="S83" s="113" t="s">
        <v>256</v>
      </c>
      <c r="T83" s="112"/>
      <c r="U83" s="119"/>
      <c r="V83" s="120"/>
      <c r="W83" s="123"/>
      <c r="X83" s="119"/>
      <c r="Y83" s="114"/>
      <c r="Z83" s="121"/>
    </row>
    <row r="84" spans="1:26" s="98" customFormat="1" ht="23" x14ac:dyDescent="0.35">
      <c r="A84" s="86">
        <v>81</v>
      </c>
      <c r="B84" s="112">
        <v>45562</v>
      </c>
      <c r="C84" s="113" t="s">
        <v>219</v>
      </c>
      <c r="D84" s="112">
        <v>45560</v>
      </c>
      <c r="E84" s="114">
        <v>26</v>
      </c>
      <c r="F84" s="112">
        <v>45563</v>
      </c>
      <c r="G84" s="112"/>
      <c r="H84" s="113" t="s">
        <v>72</v>
      </c>
      <c r="I84" s="113" t="s">
        <v>106</v>
      </c>
      <c r="J84" s="115" t="s">
        <v>153</v>
      </c>
      <c r="K84" s="113" t="s">
        <v>11</v>
      </c>
      <c r="L84" s="116">
        <v>41</v>
      </c>
      <c r="M84" s="116">
        <v>41</v>
      </c>
      <c r="N84" s="116">
        <f>Goods_Receipt[[#This Row],[ Invoice. /
 Received Qty ]]-Goods_Receipt[[#This Row],[ Accepted Qty ]]</f>
        <v>0</v>
      </c>
      <c r="O84" s="113"/>
      <c r="P84" s="118"/>
      <c r="Q84" s="113"/>
      <c r="R84" s="120" t="s">
        <v>257</v>
      </c>
      <c r="S84" s="113">
        <v>4200052777</v>
      </c>
      <c r="T84" s="112">
        <v>45560</v>
      </c>
      <c r="U84" s="119"/>
      <c r="V84" s="120"/>
      <c r="W84" s="123"/>
      <c r="X84" s="119"/>
      <c r="Y84" s="114" t="s">
        <v>258</v>
      </c>
      <c r="Z84" s="121"/>
    </row>
    <row r="85" spans="1:26" s="98" customFormat="1" x14ac:dyDescent="0.35">
      <c r="A85" s="86">
        <v>82</v>
      </c>
      <c r="B85" s="112">
        <v>45565</v>
      </c>
      <c r="C85" s="113" t="s">
        <v>220</v>
      </c>
      <c r="D85" s="112">
        <v>45563</v>
      </c>
      <c r="E85" s="114">
        <v>28</v>
      </c>
      <c r="F85" s="112">
        <v>45565</v>
      </c>
      <c r="G85" s="112"/>
      <c r="H85" s="113" t="s">
        <v>72</v>
      </c>
      <c r="I85" s="113" t="s">
        <v>80</v>
      </c>
      <c r="J85" s="115" t="s">
        <v>198</v>
      </c>
      <c r="K85" s="113" t="s">
        <v>225</v>
      </c>
      <c r="L85" s="116">
        <v>1512</v>
      </c>
      <c r="M85" s="116">
        <v>1512</v>
      </c>
      <c r="N85" s="116">
        <f>Goods_Receipt[[#This Row],[ Invoice. /
 Received Qty ]]-Goods_Receipt[[#This Row],[ Accepted Qty ]]</f>
        <v>0</v>
      </c>
      <c r="O85" s="113">
        <v>23105</v>
      </c>
      <c r="P85" s="118">
        <v>45562</v>
      </c>
      <c r="Q85" s="113"/>
      <c r="R85" s="113" t="s">
        <v>259</v>
      </c>
      <c r="S85" s="113" t="s">
        <v>260</v>
      </c>
      <c r="T85" s="112">
        <v>45496</v>
      </c>
      <c r="U85" s="119"/>
      <c r="V85" s="120"/>
      <c r="W85" s="123"/>
      <c r="X85" s="119"/>
      <c r="Y85" s="114" t="s">
        <v>261</v>
      </c>
      <c r="Z85" s="121"/>
    </row>
    <row r="86" spans="1:26" s="98" customFormat="1" x14ac:dyDescent="0.35">
      <c r="A86" s="86">
        <v>83</v>
      </c>
      <c r="B86" s="112">
        <v>45565</v>
      </c>
      <c r="C86" s="113" t="s">
        <v>221</v>
      </c>
      <c r="D86" s="112">
        <v>45500</v>
      </c>
      <c r="E86" s="114">
        <v>29</v>
      </c>
      <c r="F86" s="112">
        <v>45565</v>
      </c>
      <c r="G86" s="112"/>
      <c r="H86" s="113" t="s">
        <v>72</v>
      </c>
      <c r="I86" s="113" t="s">
        <v>78</v>
      </c>
      <c r="J86" s="115" t="s">
        <v>197</v>
      </c>
      <c r="K86" s="113" t="s">
        <v>225</v>
      </c>
      <c r="L86" s="116">
        <v>6042</v>
      </c>
      <c r="M86" s="116">
        <v>6042</v>
      </c>
      <c r="N86" s="116">
        <f>Goods_Receipt[[#This Row],[ Invoice. /
 Received Qty ]]-Goods_Receipt[[#This Row],[ Accepted Qty ]]</f>
        <v>0</v>
      </c>
      <c r="O86" s="113">
        <v>8670998</v>
      </c>
      <c r="P86" s="118">
        <v>45561</v>
      </c>
      <c r="Q86" s="113"/>
      <c r="R86" s="113" t="s">
        <v>262</v>
      </c>
      <c r="S86" s="113" t="s">
        <v>260</v>
      </c>
      <c r="T86" s="112">
        <v>45496</v>
      </c>
      <c r="U86" s="119"/>
      <c r="V86" s="120"/>
      <c r="W86" s="123"/>
      <c r="X86" s="119"/>
      <c r="Y86" s="114" t="s">
        <v>263</v>
      </c>
      <c r="Z86" s="97"/>
    </row>
    <row r="87" spans="1:26" s="98" customFormat="1" x14ac:dyDescent="0.35">
      <c r="A87" s="86">
        <v>84</v>
      </c>
      <c r="B87" s="85">
        <v>45565</v>
      </c>
      <c r="C87" s="87" t="s">
        <v>222</v>
      </c>
      <c r="D87" s="85">
        <v>45562</v>
      </c>
      <c r="E87" s="84">
        <v>30</v>
      </c>
      <c r="F87" s="85">
        <v>45565</v>
      </c>
      <c r="G87" s="87"/>
      <c r="H87" s="87" t="s">
        <v>72</v>
      </c>
      <c r="I87" s="87" t="s">
        <v>78</v>
      </c>
      <c r="J87" s="101" t="s">
        <v>197</v>
      </c>
      <c r="K87" s="87" t="s">
        <v>225</v>
      </c>
      <c r="L87" s="91">
        <v>6024</v>
      </c>
      <c r="M87" s="91">
        <v>6024</v>
      </c>
      <c r="N87" s="88">
        <f>Goods_Receipt[[#This Row],[ Invoice. /
 Received Qty ]]-Goods_Receipt[[#This Row],[ Accepted Qty ]]</f>
        <v>0</v>
      </c>
      <c r="O87" s="87">
        <v>8670997</v>
      </c>
      <c r="P87" s="93">
        <v>45561</v>
      </c>
      <c r="Q87" s="87"/>
      <c r="R87" s="87" t="s">
        <v>264</v>
      </c>
      <c r="S87" s="87" t="s">
        <v>260</v>
      </c>
      <c r="T87" s="85">
        <v>45496</v>
      </c>
      <c r="U87" s="89"/>
      <c r="V87" s="90"/>
      <c r="W87" s="109"/>
      <c r="X87" s="89"/>
      <c r="Y87" s="84" t="s">
        <v>265</v>
      </c>
      <c r="Z87" s="97"/>
    </row>
    <row r="88" spans="1:26" s="98" customFormat="1" x14ac:dyDescent="0.35">
      <c r="A88" s="86">
        <v>85</v>
      </c>
      <c r="B88" s="85">
        <v>45576</v>
      </c>
      <c r="C88" s="87">
        <v>252401597</v>
      </c>
      <c r="D88" s="85">
        <v>45570</v>
      </c>
      <c r="E88" s="84">
        <v>33</v>
      </c>
      <c r="F88" s="85">
        <v>45576</v>
      </c>
      <c r="G88" s="87"/>
      <c r="H88" s="87" t="s">
        <v>72</v>
      </c>
      <c r="I88" s="87" t="s">
        <v>122</v>
      </c>
      <c r="J88" s="101" t="s">
        <v>276</v>
      </c>
      <c r="K88" s="87" t="s">
        <v>11</v>
      </c>
      <c r="L88" s="91">
        <v>4</v>
      </c>
      <c r="M88" s="91">
        <v>4</v>
      </c>
      <c r="N88" s="88"/>
      <c r="O88" s="87">
        <v>80039935</v>
      </c>
      <c r="P88" s="93">
        <v>45570</v>
      </c>
      <c r="Q88" s="87"/>
      <c r="R88" s="87" t="s">
        <v>280</v>
      </c>
      <c r="S88" s="87" t="s">
        <v>281</v>
      </c>
      <c r="T88" s="85">
        <v>45561</v>
      </c>
      <c r="U88" s="89"/>
      <c r="V88" s="90"/>
      <c r="W88" s="109"/>
      <c r="X88" s="89"/>
      <c r="Y88" s="84" t="s">
        <v>282</v>
      </c>
      <c r="Z88" s="97"/>
    </row>
    <row r="89" spans="1:26" s="98" customFormat="1" x14ac:dyDescent="0.35">
      <c r="A89" s="86">
        <v>86</v>
      </c>
      <c r="B89" s="85">
        <v>45576</v>
      </c>
      <c r="C89" s="87">
        <v>252401597</v>
      </c>
      <c r="D89" s="85">
        <v>45570</v>
      </c>
      <c r="E89" s="84">
        <v>33</v>
      </c>
      <c r="F89" s="85">
        <v>45576</v>
      </c>
      <c r="G89" s="87"/>
      <c r="H89" s="87" t="s">
        <v>72</v>
      </c>
      <c r="I89" s="87" t="s">
        <v>122</v>
      </c>
      <c r="J89" s="101" t="s">
        <v>277</v>
      </c>
      <c r="K89" s="87" t="s">
        <v>11</v>
      </c>
      <c r="L89" s="91">
        <v>44</v>
      </c>
      <c r="M89" s="91">
        <v>44</v>
      </c>
      <c r="N89" s="88">
        <f>Goods_Receipt[[#This Row],[ Invoice. /
 Received Qty ]]-Goods_Receipt[[#This Row],[ Accepted Qty ]]</f>
        <v>0</v>
      </c>
      <c r="O89" s="87">
        <v>80039935</v>
      </c>
      <c r="P89" s="93">
        <v>45570</v>
      </c>
      <c r="Q89" s="87"/>
      <c r="R89" s="87" t="s">
        <v>280</v>
      </c>
      <c r="S89" s="87" t="s">
        <v>281</v>
      </c>
      <c r="T89" s="85">
        <v>45561</v>
      </c>
      <c r="U89" s="89"/>
      <c r="V89" s="90"/>
      <c r="W89" s="109"/>
      <c r="X89" s="89"/>
      <c r="Y89" s="84" t="s">
        <v>282</v>
      </c>
      <c r="Z89" s="97"/>
    </row>
    <row r="90" spans="1:26" s="98" customFormat="1" x14ac:dyDescent="0.35">
      <c r="A90" s="86">
        <v>87</v>
      </c>
      <c r="B90" s="85">
        <v>45576</v>
      </c>
      <c r="C90" s="87">
        <v>252401597</v>
      </c>
      <c r="D90" s="85">
        <v>45570</v>
      </c>
      <c r="E90" s="84">
        <v>33</v>
      </c>
      <c r="F90" s="85">
        <v>45576</v>
      </c>
      <c r="G90" s="87"/>
      <c r="H90" s="87" t="s">
        <v>72</v>
      </c>
      <c r="I90" s="87" t="s">
        <v>122</v>
      </c>
      <c r="J90" s="101" t="s">
        <v>278</v>
      </c>
      <c r="K90" s="87" t="s">
        <v>11</v>
      </c>
      <c r="L90" s="91">
        <v>4</v>
      </c>
      <c r="M90" s="91">
        <v>4</v>
      </c>
      <c r="N90" s="88">
        <f>Goods_Receipt[[#This Row],[ Invoice. /
 Received Qty ]]-Goods_Receipt[[#This Row],[ Accepted Qty ]]</f>
        <v>0</v>
      </c>
      <c r="O90" s="87">
        <v>80039935</v>
      </c>
      <c r="P90" s="93">
        <v>45570</v>
      </c>
      <c r="Q90" s="87"/>
      <c r="R90" s="87" t="s">
        <v>280</v>
      </c>
      <c r="S90" s="87" t="s">
        <v>281</v>
      </c>
      <c r="T90" s="85">
        <v>45561</v>
      </c>
      <c r="U90" s="89"/>
      <c r="V90" s="90"/>
      <c r="W90" s="109"/>
      <c r="X90" s="89"/>
      <c r="Y90" s="84" t="s">
        <v>282</v>
      </c>
      <c r="Z90" s="97"/>
    </row>
    <row r="91" spans="1:26" s="98" customFormat="1" x14ac:dyDescent="0.35">
      <c r="A91" s="86">
        <v>88</v>
      </c>
      <c r="B91" s="85">
        <v>45576</v>
      </c>
      <c r="C91" s="87">
        <v>252401597</v>
      </c>
      <c r="D91" s="85">
        <v>45570</v>
      </c>
      <c r="E91" s="84">
        <v>33</v>
      </c>
      <c r="F91" s="85">
        <v>45576</v>
      </c>
      <c r="G91" s="87"/>
      <c r="H91" s="87" t="s">
        <v>72</v>
      </c>
      <c r="I91" s="87" t="s">
        <v>122</v>
      </c>
      <c r="J91" s="101" t="s">
        <v>279</v>
      </c>
      <c r="K91" s="87" t="s">
        <v>11</v>
      </c>
      <c r="L91" s="91">
        <v>2</v>
      </c>
      <c r="M91" s="91">
        <v>2</v>
      </c>
      <c r="N91" s="88">
        <f>Goods_Receipt[[#This Row],[ Invoice. /
 Received Qty ]]-Goods_Receipt[[#This Row],[ Accepted Qty ]]</f>
        <v>0</v>
      </c>
      <c r="O91" s="87">
        <v>80039935</v>
      </c>
      <c r="P91" s="93">
        <v>45570</v>
      </c>
      <c r="Q91" s="87"/>
      <c r="R91" s="87" t="s">
        <v>280</v>
      </c>
      <c r="S91" s="87" t="s">
        <v>281</v>
      </c>
      <c r="T91" s="85">
        <v>45561</v>
      </c>
      <c r="U91" s="89"/>
      <c r="V91" s="90"/>
      <c r="W91" s="109"/>
      <c r="X91" s="89"/>
      <c r="Y91" s="84" t="s">
        <v>282</v>
      </c>
      <c r="Z91" s="97"/>
    </row>
    <row r="92" spans="1:26" s="98" customFormat="1" x14ac:dyDescent="0.35">
      <c r="A92" s="86">
        <v>89</v>
      </c>
      <c r="B92" s="85">
        <v>45582</v>
      </c>
      <c r="C92" s="87" t="s">
        <v>288</v>
      </c>
      <c r="D92" s="85">
        <v>45575</v>
      </c>
      <c r="E92" s="84">
        <v>34</v>
      </c>
      <c r="F92" s="85">
        <v>45583</v>
      </c>
      <c r="G92" s="87"/>
      <c r="H92" s="87" t="s">
        <v>72</v>
      </c>
      <c r="I92" s="87" t="s">
        <v>77</v>
      </c>
      <c r="J92" s="101" t="s">
        <v>283</v>
      </c>
      <c r="K92" s="87" t="s">
        <v>74</v>
      </c>
      <c r="L92" s="91">
        <v>2100</v>
      </c>
      <c r="M92" s="91">
        <v>2100</v>
      </c>
      <c r="N92" s="88">
        <f>Goods_Receipt[[#This Row],[ Invoice. /
 Received Qty ]]-Goods_Receipt[[#This Row],[ Accepted Qty ]]</f>
        <v>0</v>
      </c>
      <c r="O92" s="87"/>
      <c r="P92" s="87"/>
      <c r="Q92" s="87"/>
      <c r="R92" s="87" t="s">
        <v>287</v>
      </c>
      <c r="S92" s="87" t="s">
        <v>290</v>
      </c>
      <c r="T92" s="85">
        <v>45560</v>
      </c>
      <c r="U92" s="89"/>
      <c r="V92" s="90"/>
      <c r="W92" s="109"/>
      <c r="X92" s="89"/>
      <c r="Y92" s="84" t="s">
        <v>289</v>
      </c>
      <c r="Z92" s="97"/>
    </row>
    <row r="93" spans="1:26" s="98" customFormat="1" x14ac:dyDescent="0.35">
      <c r="A93" s="86">
        <v>90</v>
      </c>
      <c r="B93" s="85">
        <v>45582</v>
      </c>
      <c r="C93" s="87" t="s">
        <v>288</v>
      </c>
      <c r="D93" s="85">
        <v>45575</v>
      </c>
      <c r="E93" s="84">
        <v>34</v>
      </c>
      <c r="F93" s="85">
        <v>45583</v>
      </c>
      <c r="G93" s="87"/>
      <c r="H93" s="87" t="s">
        <v>72</v>
      </c>
      <c r="I93" s="87" t="s">
        <v>77</v>
      </c>
      <c r="J93" s="101" t="s">
        <v>284</v>
      </c>
      <c r="K93" s="87" t="s">
        <v>74</v>
      </c>
      <c r="L93" s="91">
        <v>6070</v>
      </c>
      <c r="M93" s="91">
        <v>6070</v>
      </c>
      <c r="N93" s="88">
        <f>Goods_Receipt[[#This Row],[ Invoice. /
 Received Qty ]]-Goods_Receipt[[#This Row],[ Accepted Qty ]]</f>
        <v>0</v>
      </c>
      <c r="O93" s="87"/>
      <c r="P93" s="87"/>
      <c r="Q93" s="87"/>
      <c r="R93" s="87" t="s">
        <v>287</v>
      </c>
      <c r="S93" s="87" t="s">
        <v>290</v>
      </c>
      <c r="T93" s="85">
        <v>45560</v>
      </c>
      <c r="U93" s="89"/>
      <c r="V93" s="90"/>
      <c r="W93" s="109"/>
      <c r="X93" s="89"/>
      <c r="Y93" s="84" t="s">
        <v>289</v>
      </c>
      <c r="Z93" s="97"/>
    </row>
    <row r="94" spans="1:26" s="98" customFormat="1" x14ac:dyDescent="0.35">
      <c r="A94" s="86">
        <v>91</v>
      </c>
      <c r="B94" s="85">
        <v>45582</v>
      </c>
      <c r="C94" s="87" t="s">
        <v>288</v>
      </c>
      <c r="D94" s="85">
        <v>45575</v>
      </c>
      <c r="E94" s="84">
        <v>34</v>
      </c>
      <c r="F94" s="85">
        <v>45583</v>
      </c>
      <c r="G94" s="87"/>
      <c r="H94" s="87" t="s">
        <v>72</v>
      </c>
      <c r="I94" s="87" t="s">
        <v>77</v>
      </c>
      <c r="J94" s="101" t="s">
        <v>286</v>
      </c>
      <c r="K94" s="87" t="s">
        <v>225</v>
      </c>
      <c r="L94" s="88">
        <v>110</v>
      </c>
      <c r="M94" s="88">
        <v>110</v>
      </c>
      <c r="N94" s="88">
        <f>Goods_Receipt[[#This Row],[ Invoice. /
 Received Qty ]]-Goods_Receipt[[#This Row],[ Accepted Qty ]]</f>
        <v>0</v>
      </c>
      <c r="O94" s="87"/>
      <c r="P94" s="87"/>
      <c r="Q94" s="87"/>
      <c r="R94" s="87" t="s">
        <v>287</v>
      </c>
      <c r="S94" s="87" t="s">
        <v>290</v>
      </c>
      <c r="T94" s="85">
        <v>45560</v>
      </c>
      <c r="U94" s="89"/>
      <c r="V94" s="90"/>
      <c r="W94" s="109"/>
      <c r="X94" s="89"/>
      <c r="Y94" s="84" t="s">
        <v>289</v>
      </c>
      <c r="Z94" s="97"/>
    </row>
    <row r="95" spans="1:26" s="98" customFormat="1" x14ac:dyDescent="0.35">
      <c r="A95" s="86">
        <v>92</v>
      </c>
      <c r="B95" s="85">
        <v>45586</v>
      </c>
      <c r="C95" s="87">
        <v>20240312</v>
      </c>
      <c r="D95" s="85">
        <v>45586</v>
      </c>
      <c r="E95" s="84">
        <v>35</v>
      </c>
      <c r="F95" s="85">
        <v>45586</v>
      </c>
      <c r="G95" s="85"/>
      <c r="H95" s="87" t="s">
        <v>72</v>
      </c>
      <c r="I95" s="87" t="s">
        <v>89</v>
      </c>
      <c r="J95" s="101" t="s">
        <v>291</v>
      </c>
      <c r="K95" s="87" t="s">
        <v>11</v>
      </c>
      <c r="L95" s="88">
        <v>2</v>
      </c>
      <c r="M95" s="88">
        <v>2</v>
      </c>
      <c r="N95" s="88">
        <f>Goods_Receipt[[#This Row],[ Invoice. /
 Received Qty ]]-Goods_Receipt[[#This Row],[ Accepted Qty ]]</f>
        <v>0</v>
      </c>
      <c r="O95" s="87"/>
      <c r="P95" s="87"/>
      <c r="Q95" s="87"/>
      <c r="R95" s="87" t="s">
        <v>293</v>
      </c>
      <c r="S95" s="87" t="s">
        <v>294</v>
      </c>
      <c r="T95" s="85">
        <v>45495</v>
      </c>
      <c r="U95" s="89"/>
      <c r="V95" s="90"/>
      <c r="W95" s="109"/>
      <c r="X95" s="89"/>
      <c r="Y95" s="84" t="s">
        <v>295</v>
      </c>
      <c r="Z95" s="97"/>
    </row>
    <row r="96" spans="1:26" s="98" customFormat="1" x14ac:dyDescent="0.35">
      <c r="A96" s="86">
        <v>93</v>
      </c>
      <c r="B96" s="85">
        <v>45586</v>
      </c>
      <c r="C96" s="87">
        <v>20240312</v>
      </c>
      <c r="D96" s="85">
        <v>45586</v>
      </c>
      <c r="E96" s="84">
        <v>35</v>
      </c>
      <c r="F96" s="85">
        <v>45586</v>
      </c>
      <c r="G96" s="85"/>
      <c r="H96" s="87" t="s">
        <v>72</v>
      </c>
      <c r="I96" s="87" t="s">
        <v>89</v>
      </c>
      <c r="J96" s="101" t="s">
        <v>292</v>
      </c>
      <c r="K96" s="87" t="s">
        <v>11</v>
      </c>
      <c r="L96" s="88">
        <v>2</v>
      </c>
      <c r="M96" s="88">
        <v>2</v>
      </c>
      <c r="N96" s="88">
        <f>Goods_Receipt[[#This Row],[ Invoice. /
 Received Qty ]]-Goods_Receipt[[#This Row],[ Accepted Qty ]]</f>
        <v>0</v>
      </c>
      <c r="O96" s="87"/>
      <c r="P96" s="87"/>
      <c r="Q96" s="87"/>
      <c r="R96" s="87" t="s">
        <v>293</v>
      </c>
      <c r="S96" s="87" t="s">
        <v>294</v>
      </c>
      <c r="T96" s="85">
        <v>45495</v>
      </c>
      <c r="U96" s="89"/>
      <c r="V96" s="90"/>
      <c r="W96" s="109"/>
      <c r="X96" s="89"/>
      <c r="Y96" s="84" t="s">
        <v>295</v>
      </c>
      <c r="Z96" s="97"/>
    </row>
    <row r="97" spans="1:26" s="98" customFormat="1" x14ac:dyDescent="0.35">
      <c r="A97" s="86">
        <v>94</v>
      </c>
      <c r="B97" s="85">
        <v>45587</v>
      </c>
      <c r="C97" s="87" t="s">
        <v>296</v>
      </c>
      <c r="D97" s="85">
        <v>45586</v>
      </c>
      <c r="E97" s="84">
        <v>36</v>
      </c>
      <c r="F97" s="85">
        <v>45587</v>
      </c>
      <c r="G97" s="85"/>
      <c r="H97" s="87" t="s">
        <v>72</v>
      </c>
      <c r="I97" s="87" t="s">
        <v>88</v>
      </c>
      <c r="J97" s="101" t="s">
        <v>297</v>
      </c>
      <c r="K97" s="87" t="s">
        <v>11</v>
      </c>
      <c r="L97" s="88">
        <v>4</v>
      </c>
      <c r="M97" s="88">
        <v>4</v>
      </c>
      <c r="N97" s="88">
        <f>Goods_Receipt[[#This Row],[ Invoice. /
 Received Qty ]]-Goods_Receipt[[#This Row],[ Accepted Qty ]]</f>
        <v>0</v>
      </c>
      <c r="O97" s="87" t="s">
        <v>298</v>
      </c>
      <c r="P97" s="93">
        <v>45586</v>
      </c>
      <c r="Q97" s="87"/>
      <c r="R97" s="87" t="s">
        <v>299</v>
      </c>
      <c r="S97" s="87" t="s">
        <v>300</v>
      </c>
      <c r="T97" s="85">
        <v>45586</v>
      </c>
      <c r="U97" s="89"/>
      <c r="V97" s="90"/>
      <c r="W97" s="109"/>
      <c r="X97" s="89"/>
      <c r="Y97" s="84" t="s">
        <v>301</v>
      </c>
      <c r="Z97" s="97"/>
    </row>
    <row r="98" spans="1:26" s="98" customFormat="1" x14ac:dyDescent="0.35">
      <c r="A98" s="86">
        <v>95</v>
      </c>
      <c r="B98" s="85">
        <v>45588</v>
      </c>
      <c r="C98" s="87" t="s">
        <v>319</v>
      </c>
      <c r="D98" s="85">
        <v>45586</v>
      </c>
      <c r="E98" s="84">
        <v>37</v>
      </c>
      <c r="F98" s="85">
        <v>45588</v>
      </c>
      <c r="G98" s="85"/>
      <c r="H98" s="87" t="s">
        <v>72</v>
      </c>
      <c r="I98" s="87" t="s">
        <v>103</v>
      </c>
      <c r="J98" s="101" t="s">
        <v>305</v>
      </c>
      <c r="K98" s="87" t="s">
        <v>11</v>
      </c>
      <c r="L98" s="88">
        <v>1</v>
      </c>
      <c r="M98" s="88">
        <v>1</v>
      </c>
      <c r="N98" s="88">
        <f>Goods_Receipt[[#This Row],[ Invoice. /
 Received Qty ]]-Goods_Receipt[[#This Row],[ Accepted Qty ]]</f>
        <v>0</v>
      </c>
      <c r="O98" s="87">
        <v>1687</v>
      </c>
      <c r="P98" s="93">
        <v>45586</v>
      </c>
      <c r="Q98" s="87"/>
      <c r="R98" s="87" t="s">
        <v>320</v>
      </c>
      <c r="S98" s="87" t="s">
        <v>321</v>
      </c>
      <c r="T98" s="85">
        <v>45512</v>
      </c>
      <c r="U98" s="89"/>
      <c r="V98" s="90"/>
      <c r="W98" s="109"/>
      <c r="X98" s="89"/>
      <c r="Y98" s="84" t="s">
        <v>322</v>
      </c>
      <c r="Z98" s="97"/>
    </row>
    <row r="99" spans="1:26" s="98" customFormat="1" x14ac:dyDescent="0.35">
      <c r="A99" s="86">
        <v>96</v>
      </c>
      <c r="B99" s="85">
        <v>45588</v>
      </c>
      <c r="C99" s="87" t="s">
        <v>319</v>
      </c>
      <c r="D99" s="85">
        <v>45586</v>
      </c>
      <c r="E99" s="84">
        <v>37</v>
      </c>
      <c r="F99" s="85">
        <v>45588</v>
      </c>
      <c r="G99" s="85"/>
      <c r="H99" s="87" t="s">
        <v>72</v>
      </c>
      <c r="I99" s="87" t="s">
        <v>103</v>
      </c>
      <c r="J99" s="101" t="s">
        <v>306</v>
      </c>
      <c r="K99" s="87" t="s">
        <v>11</v>
      </c>
      <c r="L99" s="88">
        <v>1</v>
      </c>
      <c r="M99" s="88">
        <v>1</v>
      </c>
      <c r="N99" s="88">
        <f>Goods_Receipt[[#This Row],[ Invoice. /
 Received Qty ]]-Goods_Receipt[[#This Row],[ Accepted Qty ]]</f>
        <v>0</v>
      </c>
      <c r="O99" s="87">
        <v>1687</v>
      </c>
      <c r="P99" s="93">
        <v>45586</v>
      </c>
      <c r="Q99" s="87"/>
      <c r="R99" s="87" t="s">
        <v>320</v>
      </c>
      <c r="S99" s="87" t="s">
        <v>321</v>
      </c>
      <c r="T99" s="85">
        <v>45512</v>
      </c>
      <c r="U99" s="89"/>
      <c r="V99" s="90"/>
      <c r="W99" s="109"/>
      <c r="X99" s="91"/>
      <c r="Y99" s="84" t="s">
        <v>322</v>
      </c>
      <c r="Z99" s="97"/>
    </row>
    <row r="100" spans="1:26" s="98" customFormat="1" x14ac:dyDescent="0.35">
      <c r="A100" s="86">
        <v>97</v>
      </c>
      <c r="B100" s="85">
        <v>45588</v>
      </c>
      <c r="C100" s="87" t="s">
        <v>319</v>
      </c>
      <c r="D100" s="85">
        <v>45586</v>
      </c>
      <c r="E100" s="84">
        <v>37</v>
      </c>
      <c r="F100" s="85">
        <v>45588</v>
      </c>
      <c r="G100" s="85"/>
      <c r="H100" s="87" t="s">
        <v>72</v>
      </c>
      <c r="I100" s="87" t="s">
        <v>103</v>
      </c>
      <c r="J100" s="101" t="s">
        <v>307</v>
      </c>
      <c r="K100" s="87" t="s">
        <v>11</v>
      </c>
      <c r="L100" s="88">
        <v>1</v>
      </c>
      <c r="M100" s="88">
        <v>1</v>
      </c>
      <c r="N100" s="88">
        <f>Goods_Receipt[[#This Row],[ Invoice. /
 Received Qty ]]-Goods_Receipt[[#This Row],[ Accepted Qty ]]</f>
        <v>0</v>
      </c>
      <c r="O100" s="87">
        <v>1687</v>
      </c>
      <c r="P100" s="93">
        <v>45586</v>
      </c>
      <c r="Q100" s="87"/>
      <c r="R100" s="87" t="s">
        <v>320</v>
      </c>
      <c r="S100" s="87" t="s">
        <v>321</v>
      </c>
      <c r="T100" s="85">
        <v>45512</v>
      </c>
      <c r="U100" s="89"/>
      <c r="V100" s="90"/>
      <c r="W100" s="109"/>
      <c r="X100" s="91"/>
      <c r="Y100" s="84" t="s">
        <v>322</v>
      </c>
      <c r="Z100" s="97"/>
    </row>
    <row r="101" spans="1:26" s="98" customFormat="1" x14ac:dyDescent="0.35">
      <c r="A101" s="86">
        <v>98</v>
      </c>
      <c r="B101" s="85">
        <v>45588</v>
      </c>
      <c r="C101" s="87" t="s">
        <v>319</v>
      </c>
      <c r="D101" s="85">
        <v>45586</v>
      </c>
      <c r="E101" s="84">
        <v>37</v>
      </c>
      <c r="F101" s="85">
        <v>45588</v>
      </c>
      <c r="G101" s="85"/>
      <c r="H101" s="87" t="s">
        <v>72</v>
      </c>
      <c r="I101" s="87" t="s">
        <v>103</v>
      </c>
      <c r="J101" s="101" t="s">
        <v>308</v>
      </c>
      <c r="K101" s="87" t="s">
        <v>11</v>
      </c>
      <c r="L101" s="91">
        <v>8</v>
      </c>
      <c r="M101" s="91">
        <v>8</v>
      </c>
      <c r="N101" s="88">
        <f>Goods_Receipt[[#This Row],[ Invoice. /
 Received Qty ]]-Goods_Receipt[[#This Row],[ Accepted Qty ]]</f>
        <v>0</v>
      </c>
      <c r="O101" s="87">
        <v>1687</v>
      </c>
      <c r="P101" s="93">
        <v>45586</v>
      </c>
      <c r="Q101" s="87"/>
      <c r="R101" s="87" t="s">
        <v>320</v>
      </c>
      <c r="S101" s="87" t="s">
        <v>321</v>
      </c>
      <c r="T101" s="85">
        <v>45512</v>
      </c>
      <c r="U101" s="89"/>
      <c r="V101" s="90"/>
      <c r="W101" s="109"/>
      <c r="X101" s="91"/>
      <c r="Y101" s="84" t="s">
        <v>322</v>
      </c>
      <c r="Z101" s="97"/>
    </row>
    <row r="102" spans="1:26" s="98" customFormat="1" x14ac:dyDescent="0.35">
      <c r="A102" s="86">
        <v>99</v>
      </c>
      <c r="B102" s="85">
        <v>45588</v>
      </c>
      <c r="C102" s="87" t="s">
        <v>319</v>
      </c>
      <c r="D102" s="85">
        <v>45586</v>
      </c>
      <c r="E102" s="84">
        <v>37</v>
      </c>
      <c r="F102" s="85">
        <v>45588</v>
      </c>
      <c r="G102" s="85"/>
      <c r="H102" s="87" t="s">
        <v>72</v>
      </c>
      <c r="I102" s="87" t="s">
        <v>103</v>
      </c>
      <c r="J102" s="101" t="s">
        <v>309</v>
      </c>
      <c r="K102" s="87" t="s">
        <v>11</v>
      </c>
      <c r="L102" s="91">
        <v>1</v>
      </c>
      <c r="M102" s="91">
        <v>1</v>
      </c>
      <c r="N102" s="88"/>
      <c r="O102" s="87">
        <v>1687</v>
      </c>
      <c r="P102" s="93">
        <v>45586</v>
      </c>
      <c r="Q102" s="87"/>
      <c r="R102" s="87" t="s">
        <v>320</v>
      </c>
      <c r="S102" s="87" t="s">
        <v>321</v>
      </c>
      <c r="T102" s="85">
        <v>45512</v>
      </c>
      <c r="U102" s="89"/>
      <c r="V102" s="90"/>
      <c r="W102" s="109"/>
      <c r="X102" s="91"/>
      <c r="Y102" s="84" t="s">
        <v>322</v>
      </c>
      <c r="Z102" s="97"/>
    </row>
    <row r="103" spans="1:26" s="98" customFormat="1" x14ac:dyDescent="0.35">
      <c r="A103" s="86">
        <v>100</v>
      </c>
      <c r="B103" s="85">
        <v>45588</v>
      </c>
      <c r="C103" s="87" t="s">
        <v>319</v>
      </c>
      <c r="D103" s="85">
        <v>45586</v>
      </c>
      <c r="E103" s="84">
        <v>37</v>
      </c>
      <c r="F103" s="85">
        <v>45588</v>
      </c>
      <c r="G103" s="85"/>
      <c r="H103" s="87" t="s">
        <v>72</v>
      </c>
      <c r="I103" s="87" t="s">
        <v>103</v>
      </c>
      <c r="J103" s="101" t="s">
        <v>310</v>
      </c>
      <c r="K103" s="87" t="s">
        <v>11</v>
      </c>
      <c r="L103" s="91">
        <v>1</v>
      </c>
      <c r="M103" s="91">
        <v>1</v>
      </c>
      <c r="N103" s="88">
        <f>Goods_Receipt[[#This Row],[ Invoice. /
 Received Qty ]]-Goods_Receipt[[#This Row],[ Accepted Qty ]]</f>
        <v>0</v>
      </c>
      <c r="O103" s="87">
        <v>1687</v>
      </c>
      <c r="P103" s="93">
        <v>45586</v>
      </c>
      <c r="Q103" s="87"/>
      <c r="R103" s="87" t="s">
        <v>320</v>
      </c>
      <c r="S103" s="87" t="s">
        <v>321</v>
      </c>
      <c r="T103" s="85">
        <v>45512</v>
      </c>
      <c r="U103" s="89"/>
      <c r="V103" s="90"/>
      <c r="W103" s="109"/>
      <c r="X103" s="91"/>
      <c r="Y103" s="84" t="s">
        <v>322</v>
      </c>
      <c r="Z103" s="97"/>
    </row>
    <row r="104" spans="1:26" s="98" customFormat="1" x14ac:dyDescent="0.35">
      <c r="A104" s="86">
        <v>101</v>
      </c>
      <c r="B104" s="85">
        <v>45588</v>
      </c>
      <c r="C104" s="87" t="s">
        <v>319</v>
      </c>
      <c r="D104" s="85">
        <v>45586</v>
      </c>
      <c r="E104" s="84">
        <v>37</v>
      </c>
      <c r="F104" s="85">
        <v>45588</v>
      </c>
      <c r="G104" s="85"/>
      <c r="H104" s="87" t="s">
        <v>72</v>
      </c>
      <c r="I104" s="87" t="s">
        <v>103</v>
      </c>
      <c r="J104" s="101" t="s">
        <v>311</v>
      </c>
      <c r="K104" s="87" t="s">
        <v>11</v>
      </c>
      <c r="L104" s="91">
        <v>6</v>
      </c>
      <c r="M104" s="91">
        <v>6</v>
      </c>
      <c r="N104" s="88">
        <f>Goods_Receipt[[#This Row],[ Invoice. /
 Received Qty ]]-Goods_Receipt[[#This Row],[ Accepted Qty ]]</f>
        <v>0</v>
      </c>
      <c r="O104" s="87">
        <v>1687</v>
      </c>
      <c r="P104" s="93">
        <v>45586</v>
      </c>
      <c r="Q104" s="87"/>
      <c r="R104" s="87" t="s">
        <v>320</v>
      </c>
      <c r="S104" s="87" t="s">
        <v>321</v>
      </c>
      <c r="T104" s="85">
        <v>45512</v>
      </c>
      <c r="U104" s="89"/>
      <c r="V104" s="90"/>
      <c r="W104" s="109"/>
      <c r="X104" s="91"/>
      <c r="Y104" s="84" t="s">
        <v>322</v>
      </c>
      <c r="Z104" s="97"/>
    </row>
    <row r="105" spans="1:26" s="98" customFormat="1" x14ac:dyDescent="0.35">
      <c r="A105" s="86">
        <v>102</v>
      </c>
      <c r="B105" s="85">
        <v>45588</v>
      </c>
      <c r="C105" s="87" t="s">
        <v>319</v>
      </c>
      <c r="D105" s="85">
        <v>45586</v>
      </c>
      <c r="E105" s="84">
        <v>37</v>
      </c>
      <c r="F105" s="85">
        <v>45588</v>
      </c>
      <c r="G105" s="85"/>
      <c r="H105" s="87" t="s">
        <v>72</v>
      </c>
      <c r="I105" s="87" t="s">
        <v>103</v>
      </c>
      <c r="J105" s="101" t="s">
        <v>312</v>
      </c>
      <c r="K105" s="87" t="s">
        <v>225</v>
      </c>
      <c r="L105" s="91">
        <v>40</v>
      </c>
      <c r="M105" s="91">
        <v>40</v>
      </c>
      <c r="N105" s="88">
        <f>Goods_Receipt[[#This Row],[ Invoice. /
 Received Qty ]]-Goods_Receipt[[#This Row],[ Accepted Qty ]]</f>
        <v>0</v>
      </c>
      <c r="O105" s="87">
        <v>1687</v>
      </c>
      <c r="P105" s="93">
        <v>45586</v>
      </c>
      <c r="Q105" s="87"/>
      <c r="R105" s="87" t="s">
        <v>320</v>
      </c>
      <c r="S105" s="87" t="s">
        <v>321</v>
      </c>
      <c r="T105" s="85">
        <v>45512</v>
      </c>
      <c r="U105" s="89"/>
      <c r="V105" s="90"/>
      <c r="W105" s="109"/>
      <c r="X105" s="91"/>
      <c r="Y105" s="84" t="s">
        <v>322</v>
      </c>
      <c r="Z105" s="97"/>
    </row>
    <row r="106" spans="1:26" s="98" customFormat="1" x14ac:dyDescent="0.35">
      <c r="A106" s="86">
        <v>103</v>
      </c>
      <c r="B106" s="85">
        <v>45588</v>
      </c>
      <c r="C106" s="87" t="s">
        <v>319</v>
      </c>
      <c r="D106" s="85">
        <v>45586</v>
      </c>
      <c r="E106" s="84">
        <v>37</v>
      </c>
      <c r="F106" s="85">
        <v>45588</v>
      </c>
      <c r="G106" s="85"/>
      <c r="H106" s="87" t="s">
        <v>72</v>
      </c>
      <c r="I106" s="87" t="s">
        <v>103</v>
      </c>
      <c r="J106" s="101" t="s">
        <v>313</v>
      </c>
      <c r="K106" s="87" t="s">
        <v>11</v>
      </c>
      <c r="L106" s="91">
        <v>8</v>
      </c>
      <c r="M106" s="91">
        <v>8</v>
      </c>
      <c r="N106" s="88">
        <f>Goods_Receipt[[#This Row],[ Invoice. /
 Received Qty ]]-Goods_Receipt[[#This Row],[ Accepted Qty ]]</f>
        <v>0</v>
      </c>
      <c r="O106" s="87">
        <v>1687</v>
      </c>
      <c r="P106" s="93">
        <v>45586</v>
      </c>
      <c r="Q106" s="87"/>
      <c r="R106" s="87" t="s">
        <v>320</v>
      </c>
      <c r="S106" s="87" t="s">
        <v>321</v>
      </c>
      <c r="T106" s="85">
        <v>45512</v>
      </c>
      <c r="U106" s="89"/>
      <c r="V106" s="90"/>
      <c r="W106" s="109"/>
      <c r="X106" s="91"/>
      <c r="Y106" s="84" t="s">
        <v>322</v>
      </c>
      <c r="Z106" s="97"/>
    </row>
    <row r="107" spans="1:26" s="98" customFormat="1" x14ac:dyDescent="0.35">
      <c r="A107" s="86">
        <v>104</v>
      </c>
      <c r="B107" s="85">
        <v>45588</v>
      </c>
      <c r="C107" s="87" t="s">
        <v>319</v>
      </c>
      <c r="D107" s="85">
        <v>45586</v>
      </c>
      <c r="E107" s="84">
        <v>37</v>
      </c>
      <c r="F107" s="85">
        <v>45588</v>
      </c>
      <c r="G107" s="85"/>
      <c r="H107" s="87" t="s">
        <v>72</v>
      </c>
      <c r="I107" s="87" t="s">
        <v>103</v>
      </c>
      <c r="J107" s="101" t="s">
        <v>314</v>
      </c>
      <c r="K107" s="87" t="s">
        <v>225</v>
      </c>
      <c r="L107" s="91">
        <v>50</v>
      </c>
      <c r="M107" s="91">
        <v>50</v>
      </c>
      <c r="N107" s="88">
        <f>Goods_Receipt[[#This Row],[ Invoice. /
 Received Qty ]]-Goods_Receipt[[#This Row],[ Accepted Qty ]]</f>
        <v>0</v>
      </c>
      <c r="O107" s="87">
        <v>1687</v>
      </c>
      <c r="P107" s="93">
        <v>45586</v>
      </c>
      <c r="Q107" s="87"/>
      <c r="R107" s="87" t="s">
        <v>320</v>
      </c>
      <c r="S107" s="87" t="s">
        <v>321</v>
      </c>
      <c r="T107" s="85">
        <v>45512</v>
      </c>
      <c r="U107" s="89"/>
      <c r="V107" s="90"/>
      <c r="W107" s="109"/>
      <c r="X107" s="91"/>
      <c r="Y107" s="84" t="s">
        <v>322</v>
      </c>
      <c r="Z107" s="97"/>
    </row>
    <row r="108" spans="1:26" s="98" customFormat="1" x14ac:dyDescent="0.35">
      <c r="A108" s="86">
        <v>105</v>
      </c>
      <c r="B108" s="85">
        <v>45588</v>
      </c>
      <c r="C108" s="87" t="s">
        <v>319</v>
      </c>
      <c r="D108" s="85">
        <v>45586</v>
      </c>
      <c r="E108" s="84">
        <v>37</v>
      </c>
      <c r="F108" s="85">
        <v>45588</v>
      </c>
      <c r="G108" s="85"/>
      <c r="H108" s="87" t="s">
        <v>72</v>
      </c>
      <c r="I108" s="87" t="s">
        <v>103</v>
      </c>
      <c r="J108" s="101" t="s">
        <v>315</v>
      </c>
      <c r="K108" s="87" t="s">
        <v>225</v>
      </c>
      <c r="L108" s="91">
        <v>50</v>
      </c>
      <c r="M108" s="91">
        <v>50</v>
      </c>
      <c r="N108" s="88">
        <f>Goods_Receipt[[#This Row],[ Invoice. /
 Received Qty ]]-Goods_Receipt[[#This Row],[ Accepted Qty ]]</f>
        <v>0</v>
      </c>
      <c r="O108" s="87">
        <v>1687</v>
      </c>
      <c r="P108" s="93">
        <v>45586</v>
      </c>
      <c r="Q108" s="87"/>
      <c r="R108" s="87" t="s">
        <v>320</v>
      </c>
      <c r="S108" s="87" t="s">
        <v>321</v>
      </c>
      <c r="T108" s="85">
        <v>45512</v>
      </c>
      <c r="U108" s="89"/>
      <c r="V108" s="90"/>
      <c r="W108" s="109"/>
      <c r="X108" s="91"/>
      <c r="Y108" s="84" t="s">
        <v>322</v>
      </c>
      <c r="Z108" s="97"/>
    </row>
    <row r="109" spans="1:26" s="98" customFormat="1" x14ac:dyDescent="0.35">
      <c r="A109" s="86">
        <v>106</v>
      </c>
      <c r="B109" s="85">
        <v>45588</v>
      </c>
      <c r="C109" s="87" t="s">
        <v>319</v>
      </c>
      <c r="D109" s="85">
        <v>45586</v>
      </c>
      <c r="E109" s="84">
        <v>37</v>
      </c>
      <c r="F109" s="85">
        <v>45588</v>
      </c>
      <c r="G109" s="85"/>
      <c r="H109" s="87" t="s">
        <v>72</v>
      </c>
      <c r="I109" s="87" t="s">
        <v>103</v>
      </c>
      <c r="J109" s="101" t="s">
        <v>316</v>
      </c>
      <c r="K109" s="87" t="s">
        <v>11</v>
      </c>
      <c r="L109" s="91">
        <v>1</v>
      </c>
      <c r="M109" s="91">
        <v>1</v>
      </c>
      <c r="N109" s="88">
        <f>Goods_Receipt[[#This Row],[ Invoice. /
 Received Qty ]]-Goods_Receipt[[#This Row],[ Accepted Qty ]]</f>
        <v>0</v>
      </c>
      <c r="O109" s="87">
        <v>1687</v>
      </c>
      <c r="P109" s="93">
        <v>45586</v>
      </c>
      <c r="Q109" s="87"/>
      <c r="R109" s="87" t="s">
        <v>320</v>
      </c>
      <c r="S109" s="87" t="s">
        <v>321</v>
      </c>
      <c r="T109" s="85">
        <v>45512</v>
      </c>
      <c r="U109" s="89"/>
      <c r="V109" s="90"/>
      <c r="W109" s="109"/>
      <c r="X109" s="91"/>
      <c r="Y109" s="84" t="s">
        <v>322</v>
      </c>
      <c r="Z109" s="97"/>
    </row>
    <row r="110" spans="1:26" s="98" customFormat="1" x14ac:dyDescent="0.35">
      <c r="A110" s="86">
        <v>107</v>
      </c>
      <c r="B110" s="85">
        <v>45588</v>
      </c>
      <c r="C110" s="87" t="s">
        <v>319</v>
      </c>
      <c r="D110" s="85">
        <v>45586</v>
      </c>
      <c r="E110" s="84">
        <v>37</v>
      </c>
      <c r="F110" s="85">
        <v>45588</v>
      </c>
      <c r="G110" s="85"/>
      <c r="H110" s="87" t="s">
        <v>72</v>
      </c>
      <c r="I110" s="87" t="s">
        <v>103</v>
      </c>
      <c r="J110" s="101" t="s">
        <v>317</v>
      </c>
      <c r="K110" s="87" t="s">
        <v>11</v>
      </c>
      <c r="L110" s="91">
        <v>9</v>
      </c>
      <c r="M110" s="91">
        <v>9</v>
      </c>
      <c r="N110" s="88">
        <f>Goods_Receipt[[#This Row],[ Invoice. /
 Received Qty ]]-Goods_Receipt[[#This Row],[ Accepted Qty ]]</f>
        <v>0</v>
      </c>
      <c r="O110" s="87">
        <v>1687</v>
      </c>
      <c r="P110" s="93">
        <v>45586</v>
      </c>
      <c r="Q110" s="87"/>
      <c r="R110" s="87" t="s">
        <v>320</v>
      </c>
      <c r="S110" s="87" t="s">
        <v>321</v>
      </c>
      <c r="T110" s="85">
        <v>45512</v>
      </c>
      <c r="U110" s="89"/>
      <c r="V110" s="90"/>
      <c r="W110" s="109"/>
      <c r="X110" s="91"/>
      <c r="Y110" s="84" t="s">
        <v>322</v>
      </c>
      <c r="Z110" s="97"/>
    </row>
    <row r="111" spans="1:26" s="98" customFormat="1" x14ac:dyDescent="0.35">
      <c r="A111" s="86">
        <v>108</v>
      </c>
      <c r="B111" s="85">
        <v>45588</v>
      </c>
      <c r="C111" s="87" t="s">
        <v>319</v>
      </c>
      <c r="D111" s="85">
        <v>45586</v>
      </c>
      <c r="E111" s="84">
        <v>37</v>
      </c>
      <c r="F111" s="85">
        <v>45588</v>
      </c>
      <c r="G111" s="85"/>
      <c r="H111" s="87" t="s">
        <v>72</v>
      </c>
      <c r="I111" s="87" t="s">
        <v>103</v>
      </c>
      <c r="J111" s="101" t="s">
        <v>318</v>
      </c>
      <c r="K111" s="87" t="s">
        <v>11</v>
      </c>
      <c r="L111" s="91">
        <v>1</v>
      </c>
      <c r="M111" s="91">
        <v>1</v>
      </c>
      <c r="N111" s="88">
        <f>Goods_Receipt[[#This Row],[ Invoice. /
 Received Qty ]]-Goods_Receipt[[#This Row],[ Accepted Qty ]]</f>
        <v>0</v>
      </c>
      <c r="O111" s="87">
        <v>1687</v>
      </c>
      <c r="P111" s="93">
        <v>45586</v>
      </c>
      <c r="Q111" s="87"/>
      <c r="R111" s="87" t="s">
        <v>320</v>
      </c>
      <c r="S111" s="87" t="s">
        <v>321</v>
      </c>
      <c r="T111" s="85">
        <v>45512</v>
      </c>
      <c r="U111" s="89"/>
      <c r="V111" s="90"/>
      <c r="W111" s="109"/>
      <c r="X111" s="91"/>
      <c r="Y111" s="84" t="s">
        <v>322</v>
      </c>
      <c r="Z111" s="97"/>
    </row>
    <row r="112" spans="1:26" s="98" customFormat="1" x14ac:dyDescent="0.35">
      <c r="A112" s="86">
        <v>109</v>
      </c>
      <c r="B112" s="85">
        <v>45588</v>
      </c>
      <c r="C112" s="87" t="s">
        <v>327</v>
      </c>
      <c r="D112" s="85">
        <v>45587</v>
      </c>
      <c r="E112" s="84" t="s">
        <v>328</v>
      </c>
      <c r="F112" s="85">
        <v>45222</v>
      </c>
      <c r="G112" s="87"/>
      <c r="H112" s="87" t="s">
        <v>72</v>
      </c>
      <c r="I112" s="87" t="s">
        <v>102</v>
      </c>
      <c r="J112" s="101" t="s">
        <v>323</v>
      </c>
      <c r="K112" s="87" t="s">
        <v>225</v>
      </c>
      <c r="L112" s="91">
        <v>37</v>
      </c>
      <c r="M112" s="91">
        <v>37</v>
      </c>
      <c r="N112" s="88">
        <f>Goods_Receipt[[#This Row],[ Invoice. /
 Received Qty ]]-Goods_Receipt[[#This Row],[ Accepted Qty ]]</f>
        <v>0</v>
      </c>
      <c r="O112" s="87" t="s">
        <v>329</v>
      </c>
      <c r="P112" s="93">
        <v>45587</v>
      </c>
      <c r="Q112" s="87"/>
      <c r="R112" s="87" t="s">
        <v>330</v>
      </c>
      <c r="S112" s="87" t="s">
        <v>331</v>
      </c>
      <c r="T112" s="85">
        <v>45587</v>
      </c>
      <c r="U112" s="89"/>
      <c r="V112" s="90"/>
      <c r="W112" s="109"/>
      <c r="X112" s="89"/>
      <c r="Y112" s="84" t="s">
        <v>332</v>
      </c>
      <c r="Z112" s="97"/>
    </row>
    <row r="113" spans="1:26" s="98" customFormat="1" x14ac:dyDescent="0.35">
      <c r="A113" s="86">
        <v>110</v>
      </c>
      <c r="B113" s="85">
        <v>45588</v>
      </c>
      <c r="C113" s="87" t="s">
        <v>327</v>
      </c>
      <c r="D113" s="85">
        <v>45587</v>
      </c>
      <c r="E113" s="84" t="s">
        <v>328</v>
      </c>
      <c r="F113" s="85">
        <v>45222</v>
      </c>
      <c r="G113" s="87"/>
      <c r="H113" s="87" t="s">
        <v>72</v>
      </c>
      <c r="I113" s="87" t="s">
        <v>102</v>
      </c>
      <c r="J113" s="101" t="s">
        <v>324</v>
      </c>
      <c r="K113" s="87" t="s">
        <v>13</v>
      </c>
      <c r="L113" s="91">
        <v>4</v>
      </c>
      <c r="M113" s="91">
        <v>4</v>
      </c>
      <c r="N113" s="88">
        <f>Goods_Receipt[[#This Row],[ Invoice. /
 Received Qty ]]-Goods_Receipt[[#This Row],[ Accepted Qty ]]</f>
        <v>0</v>
      </c>
      <c r="O113" s="87" t="s">
        <v>329</v>
      </c>
      <c r="P113" s="93">
        <v>45587</v>
      </c>
      <c r="Q113" s="87"/>
      <c r="R113" s="87" t="s">
        <v>330</v>
      </c>
      <c r="S113" s="87" t="s">
        <v>331</v>
      </c>
      <c r="T113" s="85">
        <v>45587</v>
      </c>
      <c r="U113" s="89"/>
      <c r="V113" s="90"/>
      <c r="W113" s="109"/>
      <c r="X113" s="89"/>
      <c r="Y113" s="84" t="s">
        <v>332</v>
      </c>
      <c r="Z113" s="97"/>
    </row>
    <row r="114" spans="1:26" s="98" customFormat="1" x14ac:dyDescent="0.35">
      <c r="A114" s="86">
        <v>111</v>
      </c>
      <c r="B114" s="85">
        <v>45588</v>
      </c>
      <c r="C114" s="87" t="s">
        <v>327</v>
      </c>
      <c r="D114" s="85">
        <v>45587</v>
      </c>
      <c r="E114" s="84" t="s">
        <v>328</v>
      </c>
      <c r="F114" s="85">
        <v>45222</v>
      </c>
      <c r="G114" s="87"/>
      <c r="H114" s="87" t="s">
        <v>72</v>
      </c>
      <c r="I114" s="87" t="s">
        <v>102</v>
      </c>
      <c r="J114" s="101" t="s">
        <v>325</v>
      </c>
      <c r="K114" s="87" t="s">
        <v>13</v>
      </c>
      <c r="L114" s="91">
        <v>4</v>
      </c>
      <c r="M114" s="91">
        <v>4</v>
      </c>
      <c r="N114" s="88">
        <f>Goods_Receipt[[#This Row],[ Invoice. /
 Received Qty ]]-Goods_Receipt[[#This Row],[ Accepted Qty ]]</f>
        <v>0</v>
      </c>
      <c r="O114" s="87" t="s">
        <v>329</v>
      </c>
      <c r="P114" s="93">
        <v>45587</v>
      </c>
      <c r="Q114" s="87"/>
      <c r="R114" s="87" t="s">
        <v>330</v>
      </c>
      <c r="S114" s="87" t="s">
        <v>331</v>
      </c>
      <c r="T114" s="85">
        <v>45587</v>
      </c>
      <c r="U114" s="89"/>
      <c r="V114" s="90"/>
      <c r="W114" s="109"/>
      <c r="X114" s="89"/>
      <c r="Y114" s="84" t="s">
        <v>332</v>
      </c>
      <c r="Z114" s="97"/>
    </row>
    <row r="115" spans="1:26" s="98" customFormat="1" x14ac:dyDescent="0.35">
      <c r="A115" s="86">
        <v>112</v>
      </c>
      <c r="B115" s="85">
        <v>45588</v>
      </c>
      <c r="C115" s="87" t="s">
        <v>327</v>
      </c>
      <c r="D115" s="85">
        <v>45587</v>
      </c>
      <c r="E115" s="84" t="s">
        <v>328</v>
      </c>
      <c r="F115" s="85">
        <v>45222</v>
      </c>
      <c r="G115" s="87"/>
      <c r="H115" s="87" t="s">
        <v>72</v>
      </c>
      <c r="I115" s="87" t="s">
        <v>102</v>
      </c>
      <c r="J115" s="101" t="s">
        <v>326</v>
      </c>
      <c r="K115" s="87" t="s">
        <v>11</v>
      </c>
      <c r="L115" s="91">
        <v>4</v>
      </c>
      <c r="M115" s="91">
        <v>4</v>
      </c>
      <c r="N115" s="88">
        <f>Goods_Receipt[[#This Row],[ Invoice. /
 Received Qty ]]-Goods_Receipt[[#This Row],[ Accepted Qty ]]</f>
        <v>0</v>
      </c>
      <c r="O115" s="87" t="s">
        <v>329</v>
      </c>
      <c r="P115" s="93">
        <v>45587</v>
      </c>
      <c r="Q115" s="87"/>
      <c r="R115" s="87" t="s">
        <v>330</v>
      </c>
      <c r="S115" s="87" t="s">
        <v>331</v>
      </c>
      <c r="T115" s="85">
        <v>45587</v>
      </c>
      <c r="U115" s="89"/>
      <c r="V115" s="90"/>
      <c r="W115" s="109"/>
      <c r="X115" s="89"/>
      <c r="Y115" s="84" t="s">
        <v>332</v>
      </c>
      <c r="Z115" s="97"/>
    </row>
    <row r="116" spans="1:26" s="98" customFormat="1" x14ac:dyDescent="0.35">
      <c r="A116" s="86">
        <v>113</v>
      </c>
      <c r="B116" s="85">
        <v>45590</v>
      </c>
      <c r="C116" s="87" t="s">
        <v>333</v>
      </c>
      <c r="D116" s="85">
        <v>45589</v>
      </c>
      <c r="E116" s="84">
        <v>40</v>
      </c>
      <c r="F116" s="85">
        <v>45590</v>
      </c>
      <c r="G116" s="87"/>
      <c r="H116" s="87" t="s">
        <v>72</v>
      </c>
      <c r="I116" s="87" t="s">
        <v>73</v>
      </c>
      <c r="J116" s="101" t="s">
        <v>334</v>
      </c>
      <c r="K116" s="87" t="s">
        <v>11</v>
      </c>
      <c r="L116" s="88">
        <v>202</v>
      </c>
      <c r="M116" s="88">
        <v>202</v>
      </c>
      <c r="N116" s="88">
        <f>Goods_Receipt[[#This Row],[ Invoice. /
 Received Qty ]]-Goods_Receipt[[#This Row],[ Accepted Qty ]]</f>
        <v>0</v>
      </c>
      <c r="O116" s="84">
        <v>72</v>
      </c>
      <c r="P116" s="93">
        <v>45589</v>
      </c>
      <c r="Q116" s="87"/>
      <c r="R116" s="87" t="s">
        <v>235</v>
      </c>
      <c r="S116" s="87" t="s">
        <v>227</v>
      </c>
      <c r="T116" s="85">
        <v>45590</v>
      </c>
      <c r="U116" s="89"/>
      <c r="V116" s="90"/>
      <c r="W116" s="109"/>
      <c r="X116" s="89"/>
      <c r="Y116" s="84" t="s">
        <v>335</v>
      </c>
      <c r="Z116" s="97"/>
    </row>
    <row r="117" spans="1:26" s="98" customFormat="1" x14ac:dyDescent="0.35">
      <c r="A117" s="86">
        <v>114</v>
      </c>
      <c r="B117" s="85">
        <v>45590</v>
      </c>
      <c r="C117" s="87" t="s">
        <v>333</v>
      </c>
      <c r="D117" s="85">
        <v>45589</v>
      </c>
      <c r="E117" s="84">
        <v>40</v>
      </c>
      <c r="F117" s="85">
        <v>45590</v>
      </c>
      <c r="G117" s="87"/>
      <c r="H117" s="87" t="s">
        <v>72</v>
      </c>
      <c r="I117" s="87" t="s">
        <v>73</v>
      </c>
      <c r="J117" s="101" t="s">
        <v>144</v>
      </c>
      <c r="K117" s="87" t="s">
        <v>11</v>
      </c>
      <c r="L117" s="91">
        <v>198</v>
      </c>
      <c r="M117" s="91">
        <v>198</v>
      </c>
      <c r="N117" s="88">
        <f>Goods_Receipt[[#This Row],[ Invoice. /
 Received Qty ]]-Goods_Receipt[[#This Row],[ Accepted Qty ]]</f>
        <v>0</v>
      </c>
      <c r="O117" s="84">
        <v>72</v>
      </c>
      <c r="P117" s="93">
        <v>45589</v>
      </c>
      <c r="Q117" s="87"/>
      <c r="R117" s="87" t="s">
        <v>235</v>
      </c>
      <c r="S117" s="87" t="s">
        <v>227</v>
      </c>
      <c r="T117" s="85">
        <v>45590</v>
      </c>
      <c r="U117" s="89"/>
      <c r="V117" s="90"/>
      <c r="W117" s="109"/>
      <c r="X117" s="91"/>
      <c r="Y117" s="84" t="s">
        <v>335</v>
      </c>
      <c r="Z117" s="97"/>
    </row>
    <row r="118" spans="1:26" s="98" customFormat="1" x14ac:dyDescent="0.35">
      <c r="A118" s="86">
        <v>115</v>
      </c>
      <c r="B118" s="85">
        <v>45590</v>
      </c>
      <c r="C118" s="87" t="s">
        <v>333</v>
      </c>
      <c r="D118" s="85">
        <v>45589</v>
      </c>
      <c r="E118" s="84">
        <v>40</v>
      </c>
      <c r="F118" s="85">
        <v>45590</v>
      </c>
      <c r="G118" s="87"/>
      <c r="H118" s="87" t="s">
        <v>72</v>
      </c>
      <c r="I118" s="87" t="s">
        <v>73</v>
      </c>
      <c r="J118" s="101" t="s">
        <v>155</v>
      </c>
      <c r="K118" s="87" t="s">
        <v>11</v>
      </c>
      <c r="L118" s="91">
        <v>198</v>
      </c>
      <c r="M118" s="91">
        <v>198</v>
      </c>
      <c r="N118" s="88">
        <f>Goods_Receipt[[#This Row],[ Invoice. /
 Received Qty ]]-Goods_Receipt[[#This Row],[ Accepted Qty ]]</f>
        <v>0</v>
      </c>
      <c r="O118" s="84">
        <v>72</v>
      </c>
      <c r="P118" s="93">
        <v>45589</v>
      </c>
      <c r="Q118" s="87"/>
      <c r="R118" s="87" t="s">
        <v>235</v>
      </c>
      <c r="S118" s="87" t="s">
        <v>227</v>
      </c>
      <c r="T118" s="85">
        <v>45590</v>
      </c>
      <c r="U118" s="89"/>
      <c r="V118" s="90"/>
      <c r="W118" s="109"/>
      <c r="X118" s="91"/>
      <c r="Y118" s="84" t="s">
        <v>335</v>
      </c>
      <c r="Z118" s="97"/>
    </row>
    <row r="119" spans="1:26" s="98" customFormat="1" x14ac:dyDescent="0.35">
      <c r="A119" s="86">
        <v>116</v>
      </c>
      <c r="B119" s="85">
        <v>45590</v>
      </c>
      <c r="C119" s="87" t="s">
        <v>333</v>
      </c>
      <c r="D119" s="85">
        <v>45589</v>
      </c>
      <c r="E119" s="84">
        <v>40</v>
      </c>
      <c r="F119" s="85">
        <v>45590</v>
      </c>
      <c r="G119" s="87"/>
      <c r="H119" s="87" t="s">
        <v>72</v>
      </c>
      <c r="I119" s="87" t="s">
        <v>73</v>
      </c>
      <c r="J119" s="101" t="s">
        <v>154</v>
      </c>
      <c r="K119" s="87" t="s">
        <v>11</v>
      </c>
      <c r="L119" s="91">
        <v>267</v>
      </c>
      <c r="M119" s="91">
        <v>267</v>
      </c>
      <c r="N119" s="88">
        <f>Goods_Receipt[[#This Row],[ Invoice. /
 Received Qty ]]-Goods_Receipt[[#This Row],[ Accepted Qty ]]</f>
        <v>0</v>
      </c>
      <c r="O119" s="84">
        <v>72</v>
      </c>
      <c r="P119" s="93">
        <v>45589</v>
      </c>
      <c r="Q119" s="87"/>
      <c r="R119" s="87" t="s">
        <v>235</v>
      </c>
      <c r="S119" s="87" t="s">
        <v>227</v>
      </c>
      <c r="T119" s="85">
        <v>45590</v>
      </c>
      <c r="U119" s="89"/>
      <c r="V119" s="90"/>
      <c r="W119" s="109"/>
      <c r="X119" s="91"/>
      <c r="Y119" s="84" t="s">
        <v>335</v>
      </c>
      <c r="Z119" s="97"/>
    </row>
    <row r="120" spans="1:26" s="98" customFormat="1" x14ac:dyDescent="0.35">
      <c r="A120" s="86">
        <v>117</v>
      </c>
      <c r="B120" s="85">
        <v>45590</v>
      </c>
      <c r="C120" s="87" t="s">
        <v>333</v>
      </c>
      <c r="D120" s="85">
        <v>45589</v>
      </c>
      <c r="E120" s="84">
        <v>40</v>
      </c>
      <c r="F120" s="85">
        <v>45590</v>
      </c>
      <c r="G120" s="87"/>
      <c r="H120" s="87" t="s">
        <v>72</v>
      </c>
      <c r="I120" s="87" t="s">
        <v>73</v>
      </c>
      <c r="J120" s="101" t="s">
        <v>158</v>
      </c>
      <c r="K120" s="87" t="s">
        <v>11</v>
      </c>
      <c r="L120" s="91">
        <v>132</v>
      </c>
      <c r="M120" s="91">
        <v>132</v>
      </c>
      <c r="N120" s="88">
        <f>Goods_Receipt[[#This Row],[ Invoice. /
 Received Qty ]]-Goods_Receipt[[#This Row],[ Accepted Qty ]]</f>
        <v>0</v>
      </c>
      <c r="O120" s="84">
        <v>72</v>
      </c>
      <c r="P120" s="93">
        <v>45589</v>
      </c>
      <c r="Q120" s="87"/>
      <c r="R120" s="87" t="s">
        <v>235</v>
      </c>
      <c r="S120" s="87" t="s">
        <v>227</v>
      </c>
      <c r="T120" s="85">
        <v>45590</v>
      </c>
      <c r="U120" s="89"/>
      <c r="V120" s="90"/>
      <c r="W120" s="109"/>
      <c r="X120" s="91"/>
      <c r="Y120" s="84" t="s">
        <v>335</v>
      </c>
      <c r="Z120" s="97"/>
    </row>
    <row r="121" spans="1:26" s="98" customFormat="1" x14ac:dyDescent="0.35">
      <c r="A121" s="86">
        <v>118</v>
      </c>
      <c r="B121" s="85">
        <v>45590</v>
      </c>
      <c r="C121" s="87" t="s">
        <v>333</v>
      </c>
      <c r="D121" s="85">
        <v>45589</v>
      </c>
      <c r="E121" s="84">
        <v>40</v>
      </c>
      <c r="F121" s="85">
        <v>45590</v>
      </c>
      <c r="G121" s="87"/>
      <c r="H121" s="87" t="s">
        <v>72</v>
      </c>
      <c r="I121" s="87" t="s">
        <v>73</v>
      </c>
      <c r="J121" s="101" t="s">
        <v>159</v>
      </c>
      <c r="K121" s="87" t="s">
        <v>11</v>
      </c>
      <c r="L121" s="91">
        <v>200</v>
      </c>
      <c r="M121" s="91">
        <v>200</v>
      </c>
      <c r="N121" s="88">
        <f>Goods_Receipt[[#This Row],[ Invoice. /
 Received Qty ]]-Goods_Receipt[[#This Row],[ Accepted Qty ]]</f>
        <v>0</v>
      </c>
      <c r="O121" s="84">
        <v>72</v>
      </c>
      <c r="P121" s="93">
        <v>45589</v>
      </c>
      <c r="Q121" s="87"/>
      <c r="R121" s="87" t="s">
        <v>235</v>
      </c>
      <c r="S121" s="87" t="s">
        <v>227</v>
      </c>
      <c r="T121" s="85">
        <v>45590</v>
      </c>
      <c r="U121" s="89"/>
      <c r="V121" s="90"/>
      <c r="W121" s="109"/>
      <c r="X121" s="91"/>
      <c r="Y121" s="84" t="s">
        <v>335</v>
      </c>
      <c r="Z121" s="97"/>
    </row>
    <row r="122" spans="1:26" s="98" customFormat="1" x14ac:dyDescent="0.35">
      <c r="A122" s="86">
        <v>119</v>
      </c>
      <c r="B122" s="85">
        <v>45590</v>
      </c>
      <c r="C122" s="87" t="s">
        <v>333</v>
      </c>
      <c r="D122" s="85">
        <v>45589</v>
      </c>
      <c r="E122" s="84">
        <v>40</v>
      </c>
      <c r="F122" s="85">
        <v>45590</v>
      </c>
      <c r="G122" s="87"/>
      <c r="H122" s="87" t="s">
        <v>72</v>
      </c>
      <c r="I122" s="87" t="s">
        <v>73</v>
      </c>
      <c r="J122" s="101" t="s">
        <v>156</v>
      </c>
      <c r="K122" s="87" t="s">
        <v>11</v>
      </c>
      <c r="L122" s="91">
        <v>198</v>
      </c>
      <c r="M122" s="91">
        <v>198</v>
      </c>
      <c r="N122" s="88">
        <f>Goods_Receipt[[#This Row],[ Invoice. /
 Received Qty ]]-Goods_Receipt[[#This Row],[ Accepted Qty ]]</f>
        <v>0</v>
      </c>
      <c r="O122" s="84">
        <v>72</v>
      </c>
      <c r="P122" s="93">
        <v>45589</v>
      </c>
      <c r="Q122" s="87"/>
      <c r="R122" s="87" t="s">
        <v>235</v>
      </c>
      <c r="S122" s="87" t="s">
        <v>227</v>
      </c>
      <c r="T122" s="85">
        <v>45590</v>
      </c>
      <c r="U122" s="89"/>
      <c r="V122" s="90"/>
      <c r="W122" s="109"/>
      <c r="X122" s="91"/>
      <c r="Y122" s="84" t="s">
        <v>335</v>
      </c>
      <c r="Z122" s="97"/>
    </row>
    <row r="123" spans="1:26" s="98" customFormat="1" x14ac:dyDescent="0.35">
      <c r="A123" s="86">
        <v>120</v>
      </c>
      <c r="B123" s="85">
        <v>45590</v>
      </c>
      <c r="C123" s="87" t="s">
        <v>333</v>
      </c>
      <c r="D123" s="85">
        <v>45589</v>
      </c>
      <c r="E123" s="84">
        <v>40</v>
      </c>
      <c r="F123" s="85">
        <v>45590</v>
      </c>
      <c r="G123" s="87"/>
      <c r="H123" s="87" t="s">
        <v>72</v>
      </c>
      <c r="I123" s="87" t="s">
        <v>73</v>
      </c>
      <c r="J123" s="101" t="s">
        <v>157</v>
      </c>
      <c r="K123" s="87" t="s">
        <v>11</v>
      </c>
      <c r="L123" s="91">
        <v>201</v>
      </c>
      <c r="M123" s="91">
        <v>201</v>
      </c>
      <c r="N123" s="88">
        <f>Goods_Receipt[[#This Row],[ Invoice. /
 Received Qty ]]-Goods_Receipt[[#This Row],[ Accepted Qty ]]</f>
        <v>0</v>
      </c>
      <c r="O123" s="84">
        <v>72</v>
      </c>
      <c r="P123" s="93">
        <v>45589</v>
      </c>
      <c r="Q123" s="87"/>
      <c r="R123" s="87" t="s">
        <v>235</v>
      </c>
      <c r="S123" s="87" t="s">
        <v>227</v>
      </c>
      <c r="T123" s="85">
        <v>45590</v>
      </c>
      <c r="U123" s="89"/>
      <c r="V123" s="90"/>
      <c r="W123" s="109"/>
      <c r="X123" s="91"/>
      <c r="Y123" s="84" t="s">
        <v>335</v>
      </c>
      <c r="Z123" s="97"/>
    </row>
    <row r="124" spans="1:26" s="98" customFormat="1" x14ac:dyDescent="0.35">
      <c r="A124" s="86">
        <v>121</v>
      </c>
      <c r="B124" s="85">
        <v>45590</v>
      </c>
      <c r="C124" s="87" t="s">
        <v>333</v>
      </c>
      <c r="D124" s="85">
        <v>45589</v>
      </c>
      <c r="E124" s="84">
        <v>40</v>
      </c>
      <c r="F124" s="85">
        <v>45590</v>
      </c>
      <c r="G124" s="87"/>
      <c r="H124" s="87" t="s">
        <v>72</v>
      </c>
      <c r="I124" s="87" t="s">
        <v>73</v>
      </c>
      <c r="J124" s="101" t="s">
        <v>160</v>
      </c>
      <c r="K124" s="87" t="s">
        <v>11</v>
      </c>
      <c r="L124" s="91">
        <v>67</v>
      </c>
      <c r="M124" s="91">
        <v>67</v>
      </c>
      <c r="N124" s="88">
        <f>Goods_Receipt[[#This Row],[ Invoice. /
 Received Qty ]]-Goods_Receipt[[#This Row],[ Accepted Qty ]]</f>
        <v>0</v>
      </c>
      <c r="O124" s="84">
        <v>72</v>
      </c>
      <c r="P124" s="93">
        <v>45589</v>
      </c>
      <c r="Q124" s="87"/>
      <c r="R124" s="87" t="s">
        <v>235</v>
      </c>
      <c r="S124" s="87" t="s">
        <v>227</v>
      </c>
      <c r="T124" s="85">
        <v>45590</v>
      </c>
      <c r="U124" s="89"/>
      <c r="V124" s="90"/>
      <c r="W124" s="109"/>
      <c r="X124" s="91"/>
      <c r="Y124" s="84" t="s">
        <v>335</v>
      </c>
      <c r="Z124" s="97"/>
    </row>
    <row r="125" spans="1:26" s="98" customFormat="1" x14ac:dyDescent="0.35">
      <c r="A125" s="86">
        <v>122</v>
      </c>
      <c r="B125" s="85">
        <v>45595</v>
      </c>
      <c r="C125" s="87" t="s">
        <v>347</v>
      </c>
      <c r="D125" s="85">
        <v>45625</v>
      </c>
      <c r="E125" s="84">
        <v>41</v>
      </c>
      <c r="F125" s="85">
        <v>45605</v>
      </c>
      <c r="G125" s="87"/>
      <c r="H125" s="87" t="s">
        <v>72</v>
      </c>
      <c r="I125" s="87" t="s">
        <v>98</v>
      </c>
      <c r="J125" s="101" t="s">
        <v>338</v>
      </c>
      <c r="K125" s="87" t="s">
        <v>11</v>
      </c>
      <c r="L125" s="91">
        <v>105</v>
      </c>
      <c r="M125" s="91">
        <v>105</v>
      </c>
      <c r="N125" s="88">
        <f>Goods_Receipt[[#This Row],[ Invoice. /
 Received Qty ]]-Goods_Receipt[[#This Row],[ Accepted Qty ]]</f>
        <v>0</v>
      </c>
      <c r="O125" s="87"/>
      <c r="P125" s="93"/>
      <c r="Q125" s="87"/>
      <c r="R125" s="87" t="s">
        <v>348</v>
      </c>
      <c r="S125" s="87" t="s">
        <v>349</v>
      </c>
      <c r="T125" s="85">
        <v>45562</v>
      </c>
      <c r="U125" s="89"/>
      <c r="V125" s="90"/>
      <c r="W125" s="109"/>
      <c r="X125" s="89"/>
      <c r="Y125" s="84" t="s">
        <v>350</v>
      </c>
      <c r="Z125" s="97"/>
    </row>
    <row r="126" spans="1:26" s="98" customFormat="1" x14ac:dyDescent="0.35">
      <c r="A126" s="86">
        <v>123</v>
      </c>
      <c r="B126" s="85">
        <v>45595</v>
      </c>
      <c r="C126" s="87" t="s">
        <v>347</v>
      </c>
      <c r="D126" s="85">
        <v>45625</v>
      </c>
      <c r="E126" s="84">
        <v>41</v>
      </c>
      <c r="F126" s="85">
        <v>45605</v>
      </c>
      <c r="G126" s="87"/>
      <c r="H126" s="87" t="s">
        <v>72</v>
      </c>
      <c r="I126" s="87" t="s">
        <v>98</v>
      </c>
      <c r="J126" s="101" t="s">
        <v>339</v>
      </c>
      <c r="K126" s="87" t="s">
        <v>11</v>
      </c>
      <c r="L126" s="91">
        <v>105</v>
      </c>
      <c r="M126" s="91">
        <v>105</v>
      </c>
      <c r="N126" s="88">
        <f>Goods_Receipt[[#This Row],[ Invoice. /
 Received Qty ]]-Goods_Receipt[[#This Row],[ Accepted Qty ]]</f>
        <v>0</v>
      </c>
      <c r="O126" s="87"/>
      <c r="P126" s="93"/>
      <c r="Q126" s="87"/>
      <c r="R126" s="87" t="s">
        <v>348</v>
      </c>
      <c r="S126" s="87" t="s">
        <v>349</v>
      </c>
      <c r="T126" s="85">
        <v>45562</v>
      </c>
      <c r="U126" s="89"/>
      <c r="V126" s="90"/>
      <c r="W126" s="109"/>
      <c r="X126" s="89"/>
      <c r="Y126" s="84" t="s">
        <v>350</v>
      </c>
      <c r="Z126" s="97"/>
    </row>
    <row r="127" spans="1:26" s="98" customFormat="1" x14ac:dyDescent="0.35">
      <c r="A127" s="86">
        <v>124</v>
      </c>
      <c r="B127" s="85">
        <v>45595</v>
      </c>
      <c r="C127" s="87" t="s">
        <v>347</v>
      </c>
      <c r="D127" s="85">
        <v>45625</v>
      </c>
      <c r="E127" s="84">
        <v>41</v>
      </c>
      <c r="F127" s="85">
        <v>45605</v>
      </c>
      <c r="G127" s="87"/>
      <c r="H127" s="87" t="s">
        <v>72</v>
      </c>
      <c r="I127" s="87" t="s">
        <v>98</v>
      </c>
      <c r="J127" s="101" t="s">
        <v>340</v>
      </c>
      <c r="K127" s="87" t="s">
        <v>11</v>
      </c>
      <c r="L127" s="91">
        <v>15</v>
      </c>
      <c r="M127" s="91">
        <v>15</v>
      </c>
      <c r="N127" s="88">
        <f>Goods_Receipt[[#This Row],[ Invoice. /
 Received Qty ]]-Goods_Receipt[[#This Row],[ Accepted Qty ]]</f>
        <v>0</v>
      </c>
      <c r="O127" s="87"/>
      <c r="P127" s="93"/>
      <c r="Q127" s="87"/>
      <c r="R127" s="87" t="s">
        <v>348</v>
      </c>
      <c r="S127" s="87" t="s">
        <v>349</v>
      </c>
      <c r="T127" s="85">
        <v>45562</v>
      </c>
      <c r="U127" s="150"/>
      <c r="V127" s="151"/>
      <c r="W127" s="152"/>
      <c r="X127" s="150"/>
      <c r="Y127" s="84" t="s">
        <v>350</v>
      </c>
      <c r="Z127" s="97"/>
    </row>
    <row r="128" spans="1:26" s="98" customFormat="1" x14ac:dyDescent="0.35">
      <c r="A128" s="86">
        <v>125</v>
      </c>
      <c r="B128" s="85">
        <v>45595</v>
      </c>
      <c r="C128" s="87" t="s">
        <v>347</v>
      </c>
      <c r="D128" s="85">
        <v>45625</v>
      </c>
      <c r="E128" s="84">
        <v>41</v>
      </c>
      <c r="F128" s="85">
        <v>45605</v>
      </c>
      <c r="G128" s="87"/>
      <c r="H128" s="87" t="s">
        <v>72</v>
      </c>
      <c r="I128" s="87" t="s">
        <v>98</v>
      </c>
      <c r="J128" s="101" t="s">
        <v>341</v>
      </c>
      <c r="K128" s="87" t="s">
        <v>11</v>
      </c>
      <c r="L128" s="91">
        <v>15</v>
      </c>
      <c r="M128" s="91">
        <v>15</v>
      </c>
      <c r="N128" s="88">
        <f>Goods_Receipt[[#This Row],[ Invoice. /
 Received Qty ]]-Goods_Receipt[[#This Row],[ Accepted Qty ]]</f>
        <v>0</v>
      </c>
      <c r="O128" s="87"/>
      <c r="P128" s="93"/>
      <c r="Q128" s="87"/>
      <c r="R128" s="87" t="s">
        <v>348</v>
      </c>
      <c r="S128" s="87" t="s">
        <v>349</v>
      </c>
      <c r="T128" s="85">
        <v>45562</v>
      </c>
      <c r="U128" s="89"/>
      <c r="V128" s="90"/>
      <c r="W128" s="109"/>
      <c r="X128" s="91"/>
      <c r="Y128" s="84" t="s">
        <v>350</v>
      </c>
      <c r="Z128" s="97"/>
    </row>
    <row r="129" spans="1:26" s="98" customFormat="1" x14ac:dyDescent="0.35">
      <c r="A129" s="86">
        <v>126</v>
      </c>
      <c r="B129" s="85">
        <v>45595</v>
      </c>
      <c r="C129" s="87" t="s">
        <v>347</v>
      </c>
      <c r="D129" s="85">
        <v>45625</v>
      </c>
      <c r="E129" s="84">
        <v>41</v>
      </c>
      <c r="F129" s="85">
        <v>45605</v>
      </c>
      <c r="G129" s="87"/>
      <c r="H129" s="87" t="s">
        <v>72</v>
      </c>
      <c r="I129" s="87" t="s">
        <v>98</v>
      </c>
      <c r="J129" s="101" t="s">
        <v>342</v>
      </c>
      <c r="K129" s="87" t="s">
        <v>11</v>
      </c>
      <c r="L129" s="91">
        <v>105</v>
      </c>
      <c r="M129" s="91">
        <v>105</v>
      </c>
      <c r="N129" s="88">
        <f>Goods_Receipt[[#This Row],[ Invoice. /
 Received Qty ]]-Goods_Receipt[[#This Row],[ Accepted Qty ]]</f>
        <v>0</v>
      </c>
      <c r="O129" s="87"/>
      <c r="P129" s="93"/>
      <c r="Q129" s="87"/>
      <c r="R129" s="87" t="s">
        <v>348</v>
      </c>
      <c r="S129" s="87" t="s">
        <v>349</v>
      </c>
      <c r="T129" s="85">
        <v>45562</v>
      </c>
      <c r="U129" s="89"/>
      <c r="V129" s="90"/>
      <c r="W129" s="109"/>
      <c r="X129" s="91"/>
      <c r="Y129" s="84" t="s">
        <v>350</v>
      </c>
      <c r="Z129" s="97"/>
    </row>
    <row r="130" spans="1:26" s="98" customFormat="1" x14ac:dyDescent="0.35">
      <c r="A130" s="86">
        <v>127</v>
      </c>
      <c r="B130" s="85">
        <v>45595</v>
      </c>
      <c r="C130" s="87" t="s">
        <v>347</v>
      </c>
      <c r="D130" s="85">
        <v>45625</v>
      </c>
      <c r="E130" s="84">
        <v>41</v>
      </c>
      <c r="F130" s="85">
        <v>45605</v>
      </c>
      <c r="G130" s="87"/>
      <c r="H130" s="87" t="s">
        <v>72</v>
      </c>
      <c r="I130" s="87" t="s">
        <v>98</v>
      </c>
      <c r="J130" s="101" t="s">
        <v>343</v>
      </c>
      <c r="K130" s="87" t="s">
        <v>11</v>
      </c>
      <c r="L130" s="91">
        <v>210</v>
      </c>
      <c r="M130" s="91">
        <v>210</v>
      </c>
      <c r="N130" s="88">
        <f>Goods_Receipt[[#This Row],[ Invoice. /
 Received Qty ]]-Goods_Receipt[[#This Row],[ Accepted Qty ]]</f>
        <v>0</v>
      </c>
      <c r="O130" s="87"/>
      <c r="P130" s="87"/>
      <c r="Q130" s="87"/>
      <c r="R130" s="87" t="s">
        <v>348</v>
      </c>
      <c r="S130" s="87" t="s">
        <v>349</v>
      </c>
      <c r="T130" s="85">
        <v>45562</v>
      </c>
      <c r="U130" s="89"/>
      <c r="V130" s="90"/>
      <c r="W130" s="109"/>
      <c r="X130" s="91"/>
      <c r="Y130" s="84" t="s">
        <v>350</v>
      </c>
      <c r="Z130" s="97"/>
    </row>
    <row r="131" spans="1:26" s="98" customFormat="1" x14ac:dyDescent="0.35">
      <c r="A131" s="86">
        <v>128</v>
      </c>
      <c r="B131" s="85">
        <v>45595</v>
      </c>
      <c r="C131" s="87" t="s">
        <v>347</v>
      </c>
      <c r="D131" s="85">
        <v>45625</v>
      </c>
      <c r="E131" s="84">
        <v>41</v>
      </c>
      <c r="F131" s="85">
        <v>45605</v>
      </c>
      <c r="G131" s="87"/>
      <c r="H131" s="87" t="s">
        <v>72</v>
      </c>
      <c r="I131" s="87" t="s">
        <v>98</v>
      </c>
      <c r="J131" s="101" t="s">
        <v>344</v>
      </c>
      <c r="K131" s="87" t="s">
        <v>11</v>
      </c>
      <c r="L131" s="91">
        <v>120</v>
      </c>
      <c r="M131" s="91">
        <v>120</v>
      </c>
      <c r="N131" s="88">
        <f>Goods_Receipt[[#This Row],[ Invoice. /
 Received Qty ]]-Goods_Receipt[[#This Row],[ Accepted Qty ]]</f>
        <v>0</v>
      </c>
      <c r="O131" s="87"/>
      <c r="P131" s="87"/>
      <c r="Q131" s="87"/>
      <c r="R131" s="87" t="s">
        <v>348</v>
      </c>
      <c r="S131" s="87" t="s">
        <v>349</v>
      </c>
      <c r="T131" s="85">
        <v>45562</v>
      </c>
      <c r="U131" s="89"/>
      <c r="V131" s="90"/>
      <c r="W131" s="109"/>
      <c r="X131" s="91"/>
      <c r="Y131" s="84" t="s">
        <v>350</v>
      </c>
      <c r="Z131" s="97"/>
    </row>
    <row r="132" spans="1:26" s="98" customFormat="1" x14ac:dyDescent="0.35">
      <c r="A132" s="86">
        <v>129</v>
      </c>
      <c r="B132" s="85">
        <v>45595</v>
      </c>
      <c r="C132" s="87" t="s">
        <v>347</v>
      </c>
      <c r="D132" s="85">
        <v>45625</v>
      </c>
      <c r="E132" s="84">
        <v>41</v>
      </c>
      <c r="F132" s="85">
        <v>45605</v>
      </c>
      <c r="G132" s="87"/>
      <c r="H132" s="87" t="s">
        <v>72</v>
      </c>
      <c r="I132" s="87" t="s">
        <v>98</v>
      </c>
      <c r="J132" s="101" t="s">
        <v>345</v>
      </c>
      <c r="K132" s="87" t="s">
        <v>225</v>
      </c>
      <c r="L132" s="91">
        <v>500</v>
      </c>
      <c r="M132" s="91">
        <v>500</v>
      </c>
      <c r="N132" s="88">
        <f>Goods_Receipt[[#This Row],[ Invoice. /
 Received Qty ]]-Goods_Receipt[[#This Row],[ Accepted Qty ]]</f>
        <v>0</v>
      </c>
      <c r="O132" s="87"/>
      <c r="P132" s="87"/>
      <c r="Q132" s="87"/>
      <c r="R132" s="87" t="s">
        <v>348</v>
      </c>
      <c r="S132" s="87" t="s">
        <v>349</v>
      </c>
      <c r="T132" s="85">
        <v>45562</v>
      </c>
      <c r="U132" s="89"/>
      <c r="V132" s="90"/>
      <c r="W132" s="109"/>
      <c r="X132" s="91"/>
      <c r="Y132" s="84" t="s">
        <v>350</v>
      </c>
      <c r="Z132" s="97"/>
    </row>
    <row r="133" spans="1:26" s="98" customFormat="1" x14ac:dyDescent="0.35">
      <c r="A133" s="86">
        <v>130</v>
      </c>
      <c r="B133" s="85">
        <v>45595</v>
      </c>
      <c r="C133" s="87" t="s">
        <v>347</v>
      </c>
      <c r="D133" s="85">
        <v>45625</v>
      </c>
      <c r="E133" s="84">
        <v>41</v>
      </c>
      <c r="F133" s="85">
        <v>45605</v>
      </c>
      <c r="G133" s="87"/>
      <c r="H133" s="87" t="s">
        <v>72</v>
      </c>
      <c r="I133" s="87" t="s">
        <v>98</v>
      </c>
      <c r="J133" s="101" t="s">
        <v>346</v>
      </c>
      <c r="K133" s="87" t="s">
        <v>11</v>
      </c>
      <c r="L133" s="91">
        <v>105</v>
      </c>
      <c r="M133" s="91">
        <v>105</v>
      </c>
      <c r="N133" s="88">
        <f>Goods_Receipt[[#This Row],[ Invoice. /
 Received Qty ]]-Goods_Receipt[[#This Row],[ Accepted Qty ]]</f>
        <v>0</v>
      </c>
      <c r="O133" s="87"/>
      <c r="P133" s="87"/>
      <c r="Q133" s="87"/>
      <c r="R133" s="87" t="s">
        <v>348</v>
      </c>
      <c r="S133" s="87" t="s">
        <v>349</v>
      </c>
      <c r="T133" s="85">
        <v>45562</v>
      </c>
      <c r="U133" s="89"/>
      <c r="V133" s="90"/>
      <c r="W133" s="109"/>
      <c r="X133" s="91"/>
      <c r="Y133" s="84" t="s">
        <v>350</v>
      </c>
      <c r="Z133" s="97"/>
    </row>
    <row r="134" spans="1:26" s="98" customFormat="1" x14ac:dyDescent="0.35">
      <c r="A134" s="86">
        <v>131</v>
      </c>
      <c r="B134" s="85">
        <v>45604</v>
      </c>
      <c r="C134" s="84" t="s">
        <v>381</v>
      </c>
      <c r="D134" s="93">
        <v>45587</v>
      </c>
      <c r="E134" s="84" t="s">
        <v>382</v>
      </c>
      <c r="F134" s="85">
        <v>45605</v>
      </c>
      <c r="G134" s="87"/>
      <c r="H134" s="87" t="s">
        <v>72</v>
      </c>
      <c r="I134" s="87" t="s">
        <v>90</v>
      </c>
      <c r="J134" s="101" t="s">
        <v>448</v>
      </c>
      <c r="K134" s="87" t="s">
        <v>11</v>
      </c>
      <c r="L134" s="91">
        <v>142</v>
      </c>
      <c r="M134" s="91">
        <v>142</v>
      </c>
      <c r="N134" s="88">
        <f>Goods_Receipt[[#This Row],[ Invoice. /
 Received Qty ]]-Goods_Receipt[[#This Row],[ Accepted Qty ]]</f>
        <v>0</v>
      </c>
      <c r="O134" s="87">
        <v>24270105003</v>
      </c>
      <c r="P134" s="93">
        <v>45588</v>
      </c>
      <c r="Q134" s="87"/>
      <c r="R134" s="87"/>
      <c r="S134" s="87" t="s">
        <v>384</v>
      </c>
      <c r="T134" s="85">
        <v>45566</v>
      </c>
      <c r="U134" s="89"/>
      <c r="V134" s="90"/>
      <c r="W134" s="109"/>
      <c r="X134" s="89"/>
      <c r="Y134" s="84" t="s">
        <v>385</v>
      </c>
      <c r="Z134" s="97"/>
    </row>
    <row r="135" spans="1:26" s="98" customFormat="1" x14ac:dyDescent="0.35">
      <c r="A135" s="86">
        <v>132</v>
      </c>
      <c r="B135" s="85">
        <v>45604</v>
      </c>
      <c r="C135" s="84" t="s">
        <v>381</v>
      </c>
      <c r="D135" s="93">
        <v>45587</v>
      </c>
      <c r="E135" s="84" t="s">
        <v>382</v>
      </c>
      <c r="F135" s="85">
        <v>45605</v>
      </c>
      <c r="G135" s="87"/>
      <c r="H135" s="87" t="s">
        <v>72</v>
      </c>
      <c r="I135" s="87" t="s">
        <v>90</v>
      </c>
      <c r="J135" s="101" t="s">
        <v>351</v>
      </c>
      <c r="K135" s="87" t="s">
        <v>11</v>
      </c>
      <c r="L135" s="91">
        <v>142</v>
      </c>
      <c r="M135" s="91">
        <v>142</v>
      </c>
      <c r="N135" s="88">
        <f>Goods_Receipt[[#This Row],[ Invoice. /
 Received Qty ]]-Goods_Receipt[[#This Row],[ Accepted Qty ]]</f>
        <v>0</v>
      </c>
      <c r="O135" s="87">
        <v>24270105003</v>
      </c>
      <c r="P135" s="93">
        <v>45588</v>
      </c>
      <c r="Q135" s="87"/>
      <c r="R135" s="87"/>
      <c r="S135" s="87" t="s">
        <v>384</v>
      </c>
      <c r="T135" s="85">
        <v>45566</v>
      </c>
      <c r="U135" s="89"/>
      <c r="V135" s="90"/>
      <c r="W135" s="109"/>
      <c r="X135" s="89"/>
      <c r="Y135" s="84" t="s">
        <v>385</v>
      </c>
      <c r="Z135" s="97"/>
    </row>
    <row r="136" spans="1:26" s="98" customFormat="1" x14ac:dyDescent="0.35">
      <c r="A136" s="86">
        <v>133</v>
      </c>
      <c r="B136" s="85">
        <v>45604</v>
      </c>
      <c r="C136" s="84" t="s">
        <v>381</v>
      </c>
      <c r="D136" s="93">
        <v>45587</v>
      </c>
      <c r="E136" s="84" t="s">
        <v>382</v>
      </c>
      <c r="F136" s="85">
        <v>45605</v>
      </c>
      <c r="G136" s="87"/>
      <c r="H136" s="87" t="s">
        <v>72</v>
      </c>
      <c r="I136" s="87" t="s">
        <v>90</v>
      </c>
      <c r="J136" s="101" t="s">
        <v>353</v>
      </c>
      <c r="K136" s="87" t="s">
        <v>11</v>
      </c>
      <c r="L136" s="91">
        <v>200</v>
      </c>
      <c r="M136" s="91">
        <v>200</v>
      </c>
      <c r="N136" s="88">
        <f>Goods_Receipt[[#This Row],[ Invoice. /
 Received Qty ]]-Goods_Receipt[[#This Row],[ Accepted Qty ]]</f>
        <v>0</v>
      </c>
      <c r="O136" s="87">
        <v>24270105003</v>
      </c>
      <c r="P136" s="93">
        <v>45588</v>
      </c>
      <c r="Q136" s="87"/>
      <c r="R136" s="87"/>
      <c r="S136" s="87" t="s">
        <v>384</v>
      </c>
      <c r="T136" s="85">
        <v>45566</v>
      </c>
      <c r="U136" s="89"/>
      <c r="V136" s="90"/>
      <c r="W136" s="109"/>
      <c r="X136" s="89"/>
      <c r="Y136" s="84" t="s">
        <v>385</v>
      </c>
      <c r="Z136" s="97"/>
    </row>
    <row r="137" spans="1:26" s="98" customFormat="1" x14ac:dyDescent="0.35">
      <c r="A137" s="86">
        <v>134</v>
      </c>
      <c r="B137" s="85">
        <v>45604</v>
      </c>
      <c r="C137" s="84" t="s">
        <v>381</v>
      </c>
      <c r="D137" s="93">
        <v>45587</v>
      </c>
      <c r="E137" s="84" t="s">
        <v>382</v>
      </c>
      <c r="F137" s="85">
        <v>45605</v>
      </c>
      <c r="G137" s="87"/>
      <c r="H137" s="87" t="s">
        <v>72</v>
      </c>
      <c r="I137" s="87" t="s">
        <v>90</v>
      </c>
      <c r="J137" s="101" t="s">
        <v>354</v>
      </c>
      <c r="K137" s="87" t="s">
        <v>11</v>
      </c>
      <c r="L137" s="91">
        <v>30</v>
      </c>
      <c r="M137" s="91">
        <v>30</v>
      </c>
      <c r="N137" s="88">
        <f>Goods_Receipt[[#This Row],[ Invoice. /
 Received Qty ]]-Goods_Receipt[[#This Row],[ Accepted Qty ]]</f>
        <v>0</v>
      </c>
      <c r="O137" s="87">
        <v>24270105003</v>
      </c>
      <c r="P137" s="93">
        <v>45588</v>
      </c>
      <c r="Q137" s="87"/>
      <c r="R137" s="87"/>
      <c r="S137" s="87" t="s">
        <v>384</v>
      </c>
      <c r="T137" s="85">
        <v>45566</v>
      </c>
      <c r="U137" s="89"/>
      <c r="V137" s="90"/>
      <c r="W137" s="153"/>
      <c r="X137" s="89"/>
      <c r="Y137" s="84" t="s">
        <v>385</v>
      </c>
      <c r="Z137" s="97"/>
    </row>
    <row r="138" spans="1:26" s="98" customFormat="1" x14ac:dyDescent="0.35">
      <c r="A138" s="86">
        <v>135</v>
      </c>
      <c r="B138" s="85">
        <v>45604</v>
      </c>
      <c r="C138" s="84" t="s">
        <v>381</v>
      </c>
      <c r="D138" s="93">
        <v>45587</v>
      </c>
      <c r="E138" s="84" t="s">
        <v>382</v>
      </c>
      <c r="F138" s="85">
        <v>45605</v>
      </c>
      <c r="G138" s="87"/>
      <c r="H138" s="87" t="s">
        <v>72</v>
      </c>
      <c r="I138" s="87" t="s">
        <v>90</v>
      </c>
      <c r="J138" s="101" t="s">
        <v>355</v>
      </c>
      <c r="K138" s="87" t="s">
        <v>11</v>
      </c>
      <c r="L138" s="91">
        <v>15</v>
      </c>
      <c r="M138" s="91">
        <v>15</v>
      </c>
      <c r="N138" s="88">
        <f>Goods_Receipt[[#This Row],[ Invoice. /
 Received Qty ]]-Goods_Receipt[[#This Row],[ Accepted Qty ]]</f>
        <v>0</v>
      </c>
      <c r="O138" s="87">
        <v>24270105003</v>
      </c>
      <c r="P138" s="93">
        <v>45588</v>
      </c>
      <c r="Q138" s="87"/>
      <c r="R138" s="87"/>
      <c r="S138" s="87" t="s">
        <v>384</v>
      </c>
      <c r="T138" s="85">
        <v>45566</v>
      </c>
      <c r="U138" s="89"/>
      <c r="V138" s="90"/>
      <c r="W138" s="153"/>
      <c r="X138" s="89"/>
      <c r="Y138" s="84" t="s">
        <v>385</v>
      </c>
      <c r="Z138" s="97"/>
    </row>
    <row r="139" spans="1:26" s="98" customFormat="1" x14ac:dyDescent="0.35">
      <c r="A139" s="86">
        <v>136</v>
      </c>
      <c r="B139" s="85">
        <v>45604</v>
      </c>
      <c r="C139" s="84" t="s">
        <v>381</v>
      </c>
      <c r="D139" s="93">
        <v>45587</v>
      </c>
      <c r="E139" s="84" t="s">
        <v>382</v>
      </c>
      <c r="F139" s="85">
        <v>45605</v>
      </c>
      <c r="G139" s="87"/>
      <c r="H139" s="87" t="s">
        <v>72</v>
      </c>
      <c r="I139" s="87" t="s">
        <v>90</v>
      </c>
      <c r="J139" s="101" t="s">
        <v>356</v>
      </c>
      <c r="K139" s="87" t="s">
        <v>11</v>
      </c>
      <c r="L139" s="91">
        <v>15</v>
      </c>
      <c r="M139" s="91">
        <v>15</v>
      </c>
      <c r="N139" s="88">
        <f>Goods_Receipt[[#This Row],[ Invoice. /
 Received Qty ]]-Goods_Receipt[[#This Row],[ Accepted Qty ]]</f>
        <v>0</v>
      </c>
      <c r="O139" s="87">
        <v>24270105003</v>
      </c>
      <c r="P139" s="93">
        <v>45588</v>
      </c>
      <c r="Q139" s="87"/>
      <c r="R139" s="87"/>
      <c r="S139" s="87" t="s">
        <v>384</v>
      </c>
      <c r="T139" s="85">
        <v>45566</v>
      </c>
      <c r="U139" s="89"/>
      <c r="V139" s="90"/>
      <c r="W139" s="87"/>
      <c r="X139" s="89"/>
      <c r="Y139" s="84" t="s">
        <v>385</v>
      </c>
      <c r="Z139" s="97"/>
    </row>
    <row r="140" spans="1:26" s="98" customFormat="1" x14ac:dyDescent="0.35">
      <c r="A140" s="86">
        <v>137</v>
      </c>
      <c r="B140" s="85">
        <v>45604</v>
      </c>
      <c r="C140" s="84" t="s">
        <v>381</v>
      </c>
      <c r="D140" s="93">
        <v>45587</v>
      </c>
      <c r="E140" s="84" t="s">
        <v>382</v>
      </c>
      <c r="F140" s="85">
        <v>45605</v>
      </c>
      <c r="G140" s="87"/>
      <c r="H140" s="87" t="s">
        <v>72</v>
      </c>
      <c r="I140" s="87" t="s">
        <v>90</v>
      </c>
      <c r="J140" s="101" t="s">
        <v>383</v>
      </c>
      <c r="K140" s="87" t="s">
        <v>11</v>
      </c>
      <c r="L140" s="91">
        <v>40</v>
      </c>
      <c r="M140" s="91">
        <v>40</v>
      </c>
      <c r="N140" s="88">
        <f>Goods_Receipt[[#This Row],[ Invoice. /
 Received Qty ]]-Goods_Receipt[[#This Row],[ Accepted Qty ]]</f>
        <v>0</v>
      </c>
      <c r="O140" s="87">
        <v>24270105003</v>
      </c>
      <c r="P140" s="93">
        <v>45588</v>
      </c>
      <c r="Q140" s="87"/>
      <c r="R140" s="87"/>
      <c r="S140" s="87" t="s">
        <v>384</v>
      </c>
      <c r="T140" s="85">
        <v>45566</v>
      </c>
      <c r="U140" s="89"/>
      <c r="V140" s="90"/>
      <c r="W140" s="87"/>
      <c r="X140" s="89"/>
      <c r="Y140" s="84" t="s">
        <v>385</v>
      </c>
      <c r="Z140" s="97"/>
    </row>
    <row r="141" spans="1:26" s="98" customFormat="1" x14ac:dyDescent="0.35">
      <c r="A141" s="86">
        <v>138</v>
      </c>
      <c r="B141" s="85">
        <v>45604</v>
      </c>
      <c r="C141" s="84" t="s">
        <v>381</v>
      </c>
      <c r="D141" s="93">
        <v>45587</v>
      </c>
      <c r="E141" s="84" t="s">
        <v>382</v>
      </c>
      <c r="F141" s="85">
        <v>45605</v>
      </c>
      <c r="G141" s="87"/>
      <c r="H141" s="87" t="s">
        <v>72</v>
      </c>
      <c r="I141" s="87" t="s">
        <v>90</v>
      </c>
      <c r="J141" s="101" t="s">
        <v>358</v>
      </c>
      <c r="K141" s="87" t="s">
        <v>11</v>
      </c>
      <c r="L141" s="91">
        <v>60</v>
      </c>
      <c r="M141" s="91">
        <v>60</v>
      </c>
      <c r="N141" s="88">
        <f>Goods_Receipt[[#This Row],[ Invoice. /
 Received Qty ]]-Goods_Receipt[[#This Row],[ Accepted Qty ]]</f>
        <v>0</v>
      </c>
      <c r="O141" s="87">
        <v>24270105003</v>
      </c>
      <c r="P141" s="93">
        <v>45588</v>
      </c>
      <c r="Q141" s="87"/>
      <c r="R141" s="87"/>
      <c r="S141" s="87" t="s">
        <v>384</v>
      </c>
      <c r="T141" s="85">
        <v>45566</v>
      </c>
      <c r="U141" s="89"/>
      <c r="V141" s="90"/>
      <c r="W141" s="87"/>
      <c r="X141" s="89"/>
      <c r="Y141" s="84" t="s">
        <v>385</v>
      </c>
      <c r="Z141" s="97"/>
    </row>
    <row r="142" spans="1:26" s="98" customFormat="1" x14ac:dyDescent="0.35">
      <c r="A142" s="86">
        <v>139</v>
      </c>
      <c r="B142" s="85">
        <v>45604</v>
      </c>
      <c r="C142" s="84" t="s">
        <v>381</v>
      </c>
      <c r="D142" s="93">
        <v>45587</v>
      </c>
      <c r="E142" s="84" t="s">
        <v>382</v>
      </c>
      <c r="F142" s="85">
        <v>45605</v>
      </c>
      <c r="G142" s="87"/>
      <c r="H142" s="87" t="s">
        <v>72</v>
      </c>
      <c r="I142" s="87" t="s">
        <v>90</v>
      </c>
      <c r="J142" s="101" t="s">
        <v>359</v>
      </c>
      <c r="K142" s="87" t="s">
        <v>11</v>
      </c>
      <c r="L142" s="91">
        <v>30</v>
      </c>
      <c r="M142" s="91">
        <v>30</v>
      </c>
      <c r="N142" s="88">
        <f>Goods_Receipt[[#This Row],[ Invoice. /
 Received Qty ]]-Goods_Receipt[[#This Row],[ Accepted Qty ]]</f>
        <v>0</v>
      </c>
      <c r="O142" s="87">
        <v>24270105003</v>
      </c>
      <c r="P142" s="93">
        <v>45588</v>
      </c>
      <c r="Q142" s="87"/>
      <c r="R142" s="87"/>
      <c r="S142" s="87" t="s">
        <v>384</v>
      </c>
      <c r="T142" s="85">
        <v>45566</v>
      </c>
      <c r="U142" s="89"/>
      <c r="V142" s="90"/>
      <c r="W142" s="87"/>
      <c r="X142" s="89"/>
      <c r="Y142" s="84" t="s">
        <v>385</v>
      </c>
      <c r="Z142" s="97"/>
    </row>
    <row r="143" spans="1:26" s="98" customFormat="1" x14ac:dyDescent="0.35">
      <c r="A143" s="86">
        <v>140</v>
      </c>
      <c r="B143" s="85">
        <v>45604</v>
      </c>
      <c r="C143" s="84" t="s">
        <v>381</v>
      </c>
      <c r="D143" s="93">
        <v>45587</v>
      </c>
      <c r="E143" s="84" t="s">
        <v>382</v>
      </c>
      <c r="F143" s="85">
        <v>45605</v>
      </c>
      <c r="G143" s="87"/>
      <c r="H143" s="87" t="s">
        <v>72</v>
      </c>
      <c r="I143" s="87" t="s">
        <v>90</v>
      </c>
      <c r="J143" s="101" t="s">
        <v>360</v>
      </c>
      <c r="K143" s="87" t="s">
        <v>11</v>
      </c>
      <c r="L143" s="91">
        <v>20</v>
      </c>
      <c r="M143" s="91">
        <v>20</v>
      </c>
      <c r="N143" s="88">
        <f>Goods_Receipt[[#This Row],[ Invoice. /
 Received Qty ]]-Goods_Receipt[[#This Row],[ Accepted Qty ]]</f>
        <v>0</v>
      </c>
      <c r="O143" s="87">
        <v>24270105003</v>
      </c>
      <c r="P143" s="93">
        <v>45588</v>
      </c>
      <c r="Q143" s="87"/>
      <c r="R143" s="87"/>
      <c r="S143" s="87" t="s">
        <v>384</v>
      </c>
      <c r="T143" s="85">
        <v>45566</v>
      </c>
      <c r="U143" s="89"/>
      <c r="V143" s="90"/>
      <c r="W143" s="87"/>
      <c r="X143" s="89"/>
      <c r="Y143" s="84" t="s">
        <v>385</v>
      </c>
      <c r="Z143" s="97"/>
    </row>
    <row r="144" spans="1:26" s="98" customFormat="1" x14ac:dyDescent="0.35">
      <c r="A144" s="86">
        <v>141</v>
      </c>
      <c r="B144" s="85">
        <v>45604</v>
      </c>
      <c r="C144" s="84" t="s">
        <v>381</v>
      </c>
      <c r="D144" s="93">
        <v>45587</v>
      </c>
      <c r="E144" s="84" t="s">
        <v>382</v>
      </c>
      <c r="F144" s="85">
        <v>45605</v>
      </c>
      <c r="G144" s="87"/>
      <c r="H144" s="87" t="s">
        <v>72</v>
      </c>
      <c r="I144" s="87" t="s">
        <v>90</v>
      </c>
      <c r="J144" s="101" t="s">
        <v>378</v>
      </c>
      <c r="K144" s="87" t="s">
        <v>11</v>
      </c>
      <c r="L144" s="91">
        <v>910</v>
      </c>
      <c r="M144" s="91">
        <v>910</v>
      </c>
      <c r="N144" s="88">
        <f>Goods_Receipt[[#This Row],[ Invoice. /
 Received Qty ]]-Goods_Receipt[[#This Row],[ Accepted Qty ]]</f>
        <v>0</v>
      </c>
      <c r="O144" s="87">
        <v>24270105003</v>
      </c>
      <c r="P144" s="93">
        <v>45588</v>
      </c>
      <c r="Q144" s="87"/>
      <c r="R144" s="87"/>
      <c r="S144" s="87" t="s">
        <v>384</v>
      </c>
      <c r="T144" s="85">
        <v>45566</v>
      </c>
      <c r="U144" s="89"/>
      <c r="V144" s="90"/>
      <c r="W144" s="87"/>
      <c r="X144" s="89"/>
      <c r="Y144" s="84" t="s">
        <v>385</v>
      </c>
      <c r="Z144" s="97"/>
    </row>
    <row r="145" spans="1:26" s="98" customFormat="1" x14ac:dyDescent="0.35">
      <c r="A145" s="86">
        <v>142</v>
      </c>
      <c r="B145" s="85">
        <v>45604</v>
      </c>
      <c r="C145" s="84" t="s">
        <v>381</v>
      </c>
      <c r="D145" s="93">
        <v>45587</v>
      </c>
      <c r="E145" s="84" t="s">
        <v>382</v>
      </c>
      <c r="F145" s="85">
        <v>45605</v>
      </c>
      <c r="G145" s="87"/>
      <c r="H145" s="87" t="s">
        <v>72</v>
      </c>
      <c r="I145" s="87" t="s">
        <v>90</v>
      </c>
      <c r="J145" s="101" t="s">
        <v>380</v>
      </c>
      <c r="K145" s="87" t="s">
        <v>11</v>
      </c>
      <c r="L145" s="91">
        <v>15</v>
      </c>
      <c r="M145" s="91">
        <v>15</v>
      </c>
      <c r="N145" s="88">
        <f>Goods_Receipt[[#This Row],[ Invoice. /
 Received Qty ]]-Goods_Receipt[[#This Row],[ Accepted Qty ]]</f>
        <v>0</v>
      </c>
      <c r="O145" s="87">
        <v>24270105003</v>
      </c>
      <c r="P145" s="93">
        <v>45588</v>
      </c>
      <c r="Q145" s="87"/>
      <c r="R145" s="87"/>
      <c r="S145" s="87" t="s">
        <v>384</v>
      </c>
      <c r="T145" s="85">
        <v>45566</v>
      </c>
      <c r="U145" s="89"/>
      <c r="V145" s="90"/>
      <c r="W145" s="87"/>
      <c r="X145" s="89"/>
      <c r="Y145" s="84" t="s">
        <v>385</v>
      </c>
      <c r="Z145" s="97"/>
    </row>
    <row r="146" spans="1:26" s="98" customFormat="1" x14ac:dyDescent="0.35">
      <c r="A146" s="86">
        <v>143</v>
      </c>
      <c r="B146" s="85">
        <v>45604</v>
      </c>
      <c r="C146" s="84" t="s">
        <v>381</v>
      </c>
      <c r="D146" s="93">
        <v>45587</v>
      </c>
      <c r="E146" s="84" t="s">
        <v>382</v>
      </c>
      <c r="F146" s="85">
        <v>45605</v>
      </c>
      <c r="G146" s="87"/>
      <c r="H146" s="87" t="s">
        <v>72</v>
      </c>
      <c r="I146" s="87" t="s">
        <v>90</v>
      </c>
      <c r="J146" s="101" t="s">
        <v>379</v>
      </c>
      <c r="K146" s="87" t="s">
        <v>11</v>
      </c>
      <c r="L146" s="91">
        <v>15</v>
      </c>
      <c r="M146" s="91">
        <v>15</v>
      </c>
      <c r="N146" s="88">
        <f>Goods_Receipt[[#This Row],[ Invoice. /
 Received Qty ]]-Goods_Receipt[[#This Row],[ Accepted Qty ]]</f>
        <v>0</v>
      </c>
      <c r="O146" s="87">
        <v>24270105003</v>
      </c>
      <c r="P146" s="93">
        <v>45588</v>
      </c>
      <c r="Q146" s="87"/>
      <c r="R146" s="87"/>
      <c r="S146" s="87" t="s">
        <v>384</v>
      </c>
      <c r="T146" s="85">
        <v>45566</v>
      </c>
      <c r="U146" s="89"/>
      <c r="V146" s="90"/>
      <c r="W146" s="87"/>
      <c r="X146" s="89"/>
      <c r="Y146" s="84" t="s">
        <v>385</v>
      </c>
      <c r="Z146" s="97"/>
    </row>
    <row r="147" spans="1:26" s="98" customFormat="1" x14ac:dyDescent="0.35">
      <c r="A147" s="86">
        <v>144</v>
      </c>
      <c r="B147" s="85">
        <v>45604</v>
      </c>
      <c r="C147" s="84" t="s">
        <v>381</v>
      </c>
      <c r="D147" s="93">
        <v>45587</v>
      </c>
      <c r="E147" s="84" t="s">
        <v>382</v>
      </c>
      <c r="F147" s="85">
        <v>45605</v>
      </c>
      <c r="G147" s="87"/>
      <c r="H147" s="87" t="s">
        <v>72</v>
      </c>
      <c r="I147" s="87" t="s">
        <v>92</v>
      </c>
      <c r="J147" s="101" t="s">
        <v>362</v>
      </c>
      <c r="K147" s="87" t="s">
        <v>11</v>
      </c>
      <c r="L147" s="91">
        <v>47</v>
      </c>
      <c r="M147" s="91">
        <v>47</v>
      </c>
      <c r="N147" s="88">
        <f>Goods_Receipt[[#This Row],[ Invoice. /
 Received Qty ]]-Goods_Receipt[[#This Row],[ Accepted Qty ]]</f>
        <v>0</v>
      </c>
      <c r="O147" s="87">
        <v>24270105003</v>
      </c>
      <c r="P147" s="93">
        <v>45588</v>
      </c>
      <c r="Q147" s="87"/>
      <c r="R147" s="87"/>
      <c r="S147" s="87" t="s">
        <v>384</v>
      </c>
      <c r="T147" s="85">
        <v>45566</v>
      </c>
      <c r="U147" s="89"/>
      <c r="V147" s="90"/>
      <c r="W147" s="109"/>
      <c r="X147" s="89"/>
      <c r="Y147" s="84" t="s">
        <v>385</v>
      </c>
      <c r="Z147" s="97"/>
    </row>
    <row r="148" spans="1:26" s="98" customFormat="1" x14ac:dyDescent="0.35">
      <c r="A148" s="86">
        <v>145</v>
      </c>
      <c r="B148" s="85">
        <v>45604</v>
      </c>
      <c r="C148" s="84" t="s">
        <v>381</v>
      </c>
      <c r="D148" s="93">
        <v>45587</v>
      </c>
      <c r="E148" s="84" t="s">
        <v>382</v>
      </c>
      <c r="F148" s="85">
        <v>45605</v>
      </c>
      <c r="G148" s="87"/>
      <c r="H148" s="87" t="s">
        <v>72</v>
      </c>
      <c r="I148" s="87" t="s">
        <v>92</v>
      </c>
      <c r="J148" s="101" t="s">
        <v>361</v>
      </c>
      <c r="K148" s="87" t="s">
        <v>11</v>
      </c>
      <c r="L148" s="91">
        <v>16</v>
      </c>
      <c r="M148" s="91">
        <v>16</v>
      </c>
      <c r="N148" s="88">
        <f>Goods_Receipt[[#This Row],[ Invoice. /
 Received Qty ]]-Goods_Receipt[[#This Row],[ Accepted Qty ]]</f>
        <v>0</v>
      </c>
      <c r="O148" s="87">
        <v>24270105003</v>
      </c>
      <c r="P148" s="93">
        <v>45588</v>
      </c>
      <c r="Q148" s="87"/>
      <c r="R148" s="87"/>
      <c r="S148" s="87" t="s">
        <v>384</v>
      </c>
      <c r="T148" s="85">
        <v>45566</v>
      </c>
      <c r="U148" s="89"/>
      <c r="V148" s="90"/>
      <c r="W148" s="109"/>
      <c r="X148" s="89"/>
      <c r="Y148" s="84" t="s">
        <v>385</v>
      </c>
      <c r="Z148" s="97"/>
    </row>
    <row r="149" spans="1:26" s="98" customFormat="1" x14ac:dyDescent="0.35">
      <c r="A149" s="86">
        <v>146</v>
      </c>
      <c r="B149" s="85">
        <v>45604</v>
      </c>
      <c r="C149" s="84" t="s">
        <v>381</v>
      </c>
      <c r="D149" s="93">
        <v>45587</v>
      </c>
      <c r="E149" s="84" t="s">
        <v>382</v>
      </c>
      <c r="F149" s="85">
        <v>45605</v>
      </c>
      <c r="G149" s="87"/>
      <c r="H149" s="87" t="s">
        <v>72</v>
      </c>
      <c r="I149" s="87" t="s">
        <v>92</v>
      </c>
      <c r="J149" s="101" t="s">
        <v>367</v>
      </c>
      <c r="K149" s="87" t="s">
        <v>11</v>
      </c>
      <c r="L149" s="91">
        <v>6</v>
      </c>
      <c r="M149" s="91">
        <v>6</v>
      </c>
      <c r="N149" s="88">
        <f>Goods_Receipt[[#This Row],[ Invoice. /
 Received Qty ]]-Goods_Receipt[[#This Row],[ Accepted Qty ]]</f>
        <v>0</v>
      </c>
      <c r="O149" s="87">
        <v>24270105003</v>
      </c>
      <c r="P149" s="93">
        <v>45588</v>
      </c>
      <c r="Q149" s="87"/>
      <c r="R149" s="87"/>
      <c r="S149" s="87" t="s">
        <v>384</v>
      </c>
      <c r="T149" s="85">
        <v>45566</v>
      </c>
      <c r="U149" s="89"/>
      <c r="V149" s="90"/>
      <c r="W149" s="109"/>
      <c r="X149" s="89"/>
      <c r="Y149" s="84" t="s">
        <v>385</v>
      </c>
      <c r="Z149" s="97"/>
    </row>
    <row r="150" spans="1:26" s="98" customFormat="1" x14ac:dyDescent="0.35">
      <c r="A150" s="86">
        <v>147</v>
      </c>
      <c r="B150" s="85">
        <v>45604</v>
      </c>
      <c r="C150" s="84" t="s">
        <v>381</v>
      </c>
      <c r="D150" s="93">
        <v>45587</v>
      </c>
      <c r="E150" s="84" t="s">
        <v>382</v>
      </c>
      <c r="F150" s="85">
        <v>45605</v>
      </c>
      <c r="G150" s="87"/>
      <c r="H150" s="87" t="s">
        <v>72</v>
      </c>
      <c r="I150" s="87" t="s">
        <v>92</v>
      </c>
      <c r="J150" s="101" t="s">
        <v>366</v>
      </c>
      <c r="K150" s="87" t="s">
        <v>11</v>
      </c>
      <c r="L150" s="91">
        <v>10</v>
      </c>
      <c r="M150" s="91">
        <v>10</v>
      </c>
      <c r="N150" s="88">
        <f>Goods_Receipt[[#This Row],[ Invoice. /
 Received Qty ]]-Goods_Receipt[[#This Row],[ Accepted Qty ]]</f>
        <v>0</v>
      </c>
      <c r="O150" s="87">
        <v>24270105003</v>
      </c>
      <c r="P150" s="93">
        <v>45588</v>
      </c>
      <c r="Q150" s="87"/>
      <c r="R150" s="87"/>
      <c r="S150" s="87" t="s">
        <v>384</v>
      </c>
      <c r="T150" s="85">
        <v>45566</v>
      </c>
      <c r="U150" s="89"/>
      <c r="V150" s="90"/>
      <c r="W150" s="109"/>
      <c r="X150" s="89"/>
      <c r="Y150" s="84" t="s">
        <v>385</v>
      </c>
      <c r="Z150" s="97"/>
    </row>
    <row r="151" spans="1:26" s="98" customFormat="1" x14ac:dyDescent="0.35">
      <c r="A151" s="86">
        <v>148</v>
      </c>
      <c r="B151" s="85">
        <v>45604</v>
      </c>
      <c r="C151" s="84" t="s">
        <v>381</v>
      </c>
      <c r="D151" s="93">
        <v>45587</v>
      </c>
      <c r="E151" s="84" t="s">
        <v>382</v>
      </c>
      <c r="F151" s="85">
        <v>45605</v>
      </c>
      <c r="G151" s="87"/>
      <c r="H151" s="87" t="s">
        <v>72</v>
      </c>
      <c r="I151" s="87" t="s">
        <v>92</v>
      </c>
      <c r="J151" s="101" t="s">
        <v>365</v>
      </c>
      <c r="K151" s="87" t="s">
        <v>11</v>
      </c>
      <c r="L151" s="91">
        <v>290</v>
      </c>
      <c r="M151" s="91">
        <v>290</v>
      </c>
      <c r="N151" s="88">
        <f>Goods_Receipt[[#This Row],[ Invoice. /
 Received Qty ]]-Goods_Receipt[[#This Row],[ Accepted Qty ]]</f>
        <v>0</v>
      </c>
      <c r="O151" s="87">
        <v>24270105003</v>
      </c>
      <c r="P151" s="93">
        <v>45588</v>
      </c>
      <c r="Q151" s="87"/>
      <c r="R151" s="87"/>
      <c r="S151" s="87" t="s">
        <v>384</v>
      </c>
      <c r="T151" s="85">
        <v>45566</v>
      </c>
      <c r="U151" s="89"/>
      <c r="V151" s="90"/>
      <c r="W151" s="109"/>
      <c r="X151" s="89"/>
      <c r="Y151" s="84" t="s">
        <v>385</v>
      </c>
      <c r="Z151" s="97"/>
    </row>
    <row r="152" spans="1:26" s="98" customFormat="1" x14ac:dyDescent="0.35">
      <c r="A152" s="86">
        <v>149</v>
      </c>
      <c r="B152" s="85">
        <v>45604</v>
      </c>
      <c r="C152" s="84" t="s">
        <v>381</v>
      </c>
      <c r="D152" s="93">
        <v>45587</v>
      </c>
      <c r="E152" s="84" t="s">
        <v>382</v>
      </c>
      <c r="F152" s="85">
        <v>45605</v>
      </c>
      <c r="G152" s="87"/>
      <c r="H152" s="87" t="s">
        <v>72</v>
      </c>
      <c r="I152" s="87" t="s">
        <v>92</v>
      </c>
      <c r="J152" s="101" t="s">
        <v>363</v>
      </c>
      <c r="K152" s="87" t="s">
        <v>11</v>
      </c>
      <c r="L152" s="91">
        <v>20</v>
      </c>
      <c r="M152" s="91">
        <v>20</v>
      </c>
      <c r="N152" s="88">
        <f>Goods_Receipt[[#This Row],[ Invoice. /
 Received Qty ]]-Goods_Receipt[[#This Row],[ Accepted Qty ]]</f>
        <v>0</v>
      </c>
      <c r="O152" s="87">
        <v>24270105003</v>
      </c>
      <c r="P152" s="93">
        <v>45588</v>
      </c>
      <c r="Q152" s="87"/>
      <c r="R152" s="87"/>
      <c r="S152" s="87" t="s">
        <v>384</v>
      </c>
      <c r="T152" s="85">
        <v>45566</v>
      </c>
      <c r="U152" s="89"/>
      <c r="V152" s="90"/>
      <c r="W152" s="109"/>
      <c r="X152" s="89"/>
      <c r="Y152" s="84" t="s">
        <v>385</v>
      </c>
      <c r="Z152" s="97"/>
    </row>
    <row r="153" spans="1:26" s="98" customFormat="1" x14ac:dyDescent="0.35">
      <c r="A153" s="86">
        <v>150</v>
      </c>
      <c r="B153" s="85">
        <v>45604</v>
      </c>
      <c r="C153" s="84" t="s">
        <v>381</v>
      </c>
      <c r="D153" s="93">
        <v>45587</v>
      </c>
      <c r="E153" s="84" t="s">
        <v>382</v>
      </c>
      <c r="F153" s="85">
        <v>45605</v>
      </c>
      <c r="G153" s="87"/>
      <c r="H153" s="87" t="s">
        <v>72</v>
      </c>
      <c r="I153" s="87" t="s">
        <v>92</v>
      </c>
      <c r="J153" s="101" t="s">
        <v>364</v>
      </c>
      <c r="K153" s="87" t="s">
        <v>11</v>
      </c>
      <c r="L153" s="91">
        <v>30</v>
      </c>
      <c r="M153" s="91">
        <v>30</v>
      </c>
      <c r="N153" s="88">
        <f>Goods_Receipt[[#This Row],[ Invoice. /
 Received Qty ]]-Goods_Receipt[[#This Row],[ Accepted Qty ]]</f>
        <v>0</v>
      </c>
      <c r="O153" s="87">
        <v>24270105003</v>
      </c>
      <c r="P153" s="93">
        <v>45588</v>
      </c>
      <c r="Q153" s="87"/>
      <c r="R153" s="87"/>
      <c r="S153" s="87" t="s">
        <v>384</v>
      </c>
      <c r="T153" s="85">
        <v>45566</v>
      </c>
      <c r="U153" s="89"/>
      <c r="V153" s="90"/>
      <c r="W153" s="109"/>
      <c r="X153" s="89"/>
      <c r="Y153" s="84" t="s">
        <v>385</v>
      </c>
      <c r="Z153" s="97"/>
    </row>
    <row r="154" spans="1:26" s="98" customFormat="1" x14ac:dyDescent="0.35">
      <c r="A154" s="86">
        <v>151</v>
      </c>
      <c r="B154" s="85">
        <v>45604</v>
      </c>
      <c r="C154" s="84" t="s">
        <v>381</v>
      </c>
      <c r="D154" s="93">
        <v>45587</v>
      </c>
      <c r="E154" s="84" t="s">
        <v>382</v>
      </c>
      <c r="F154" s="85">
        <v>45605</v>
      </c>
      <c r="G154" s="87"/>
      <c r="H154" s="87" t="s">
        <v>72</v>
      </c>
      <c r="I154" s="87" t="s">
        <v>92</v>
      </c>
      <c r="J154" s="101" t="s">
        <v>368</v>
      </c>
      <c r="K154" s="87" t="s">
        <v>11</v>
      </c>
      <c r="L154" s="91">
        <v>30</v>
      </c>
      <c r="M154" s="91">
        <v>30</v>
      </c>
      <c r="N154" s="88">
        <f>Goods_Receipt[[#This Row],[ Invoice. /
 Received Qty ]]-Goods_Receipt[[#This Row],[ Accepted Qty ]]</f>
        <v>0</v>
      </c>
      <c r="O154" s="87">
        <v>24270105003</v>
      </c>
      <c r="P154" s="93">
        <v>45588</v>
      </c>
      <c r="Q154" s="87"/>
      <c r="R154" s="87"/>
      <c r="S154" s="87" t="s">
        <v>384</v>
      </c>
      <c r="T154" s="85">
        <v>45566</v>
      </c>
      <c r="U154" s="89"/>
      <c r="V154" s="90"/>
      <c r="W154" s="109"/>
      <c r="X154" s="89"/>
      <c r="Y154" s="84" t="s">
        <v>385</v>
      </c>
      <c r="Z154" s="97"/>
    </row>
    <row r="155" spans="1:26" s="98" customFormat="1" x14ac:dyDescent="0.35">
      <c r="A155" s="86">
        <v>152</v>
      </c>
      <c r="B155" s="85">
        <v>45604</v>
      </c>
      <c r="C155" s="84" t="s">
        <v>381</v>
      </c>
      <c r="D155" s="93">
        <v>45587</v>
      </c>
      <c r="E155" s="84" t="s">
        <v>382</v>
      </c>
      <c r="F155" s="85">
        <v>45605</v>
      </c>
      <c r="G155" s="87"/>
      <c r="H155" s="87" t="s">
        <v>72</v>
      </c>
      <c r="I155" s="87" t="s">
        <v>93</v>
      </c>
      <c r="J155" s="101" t="s">
        <v>375</v>
      </c>
      <c r="K155" s="87" t="s">
        <v>225</v>
      </c>
      <c r="L155" s="91">
        <v>34</v>
      </c>
      <c r="M155" s="91">
        <v>34</v>
      </c>
      <c r="N155" s="88">
        <f>Goods_Receipt[[#This Row],[ Invoice. /
 Received Qty ]]-Goods_Receipt[[#This Row],[ Accepted Qty ]]</f>
        <v>0</v>
      </c>
      <c r="O155" s="87">
        <v>24270105003</v>
      </c>
      <c r="P155" s="93">
        <v>45588</v>
      </c>
      <c r="Q155" s="87"/>
      <c r="R155" s="87"/>
      <c r="S155" s="87" t="s">
        <v>384</v>
      </c>
      <c r="T155" s="85">
        <v>45566</v>
      </c>
      <c r="U155" s="89"/>
      <c r="V155" s="90"/>
      <c r="W155" s="109"/>
      <c r="X155" s="89"/>
      <c r="Y155" s="84" t="s">
        <v>385</v>
      </c>
      <c r="Z155" s="97"/>
    </row>
    <row r="156" spans="1:26" s="98" customFormat="1" x14ac:dyDescent="0.35">
      <c r="A156" s="86">
        <v>153</v>
      </c>
      <c r="B156" s="85">
        <v>45604</v>
      </c>
      <c r="C156" s="84" t="s">
        <v>381</v>
      </c>
      <c r="D156" s="93">
        <v>45587</v>
      </c>
      <c r="E156" s="84" t="s">
        <v>382</v>
      </c>
      <c r="F156" s="85">
        <v>45605</v>
      </c>
      <c r="G156" s="87"/>
      <c r="H156" s="87" t="s">
        <v>72</v>
      </c>
      <c r="I156" s="87" t="s">
        <v>93</v>
      </c>
      <c r="J156" s="101" t="s">
        <v>374</v>
      </c>
      <c r="K156" s="87" t="s">
        <v>225</v>
      </c>
      <c r="L156" s="91">
        <v>34</v>
      </c>
      <c r="M156" s="91">
        <v>34</v>
      </c>
      <c r="N156" s="88">
        <f>Goods_Receipt[[#This Row],[ Invoice. /
 Received Qty ]]-Goods_Receipt[[#This Row],[ Accepted Qty ]]</f>
        <v>0</v>
      </c>
      <c r="O156" s="87">
        <v>24270105003</v>
      </c>
      <c r="P156" s="93">
        <v>45588</v>
      </c>
      <c r="Q156" s="87"/>
      <c r="R156" s="87"/>
      <c r="S156" s="87" t="s">
        <v>384</v>
      </c>
      <c r="T156" s="85">
        <v>45566</v>
      </c>
      <c r="U156" s="89"/>
      <c r="V156" s="90"/>
      <c r="W156" s="109"/>
      <c r="X156" s="89"/>
      <c r="Y156" s="84" t="s">
        <v>385</v>
      </c>
      <c r="Z156" s="97"/>
    </row>
    <row r="157" spans="1:26" s="98" customFormat="1" x14ac:dyDescent="0.35">
      <c r="A157" s="86">
        <v>154</v>
      </c>
      <c r="B157" s="85">
        <v>45604</v>
      </c>
      <c r="C157" s="84" t="s">
        <v>381</v>
      </c>
      <c r="D157" s="93">
        <v>45587</v>
      </c>
      <c r="E157" s="84" t="s">
        <v>382</v>
      </c>
      <c r="F157" s="85">
        <v>45605</v>
      </c>
      <c r="G157" s="87"/>
      <c r="H157" s="87" t="s">
        <v>72</v>
      </c>
      <c r="I157" s="87" t="s">
        <v>93</v>
      </c>
      <c r="J157" s="101" t="s">
        <v>373</v>
      </c>
      <c r="K157" s="87" t="s">
        <v>225</v>
      </c>
      <c r="L157" s="91">
        <v>34</v>
      </c>
      <c r="M157" s="91">
        <v>34</v>
      </c>
      <c r="N157" s="88">
        <f>Goods_Receipt[[#This Row],[ Invoice. /
 Received Qty ]]-Goods_Receipt[[#This Row],[ Accepted Qty ]]</f>
        <v>0</v>
      </c>
      <c r="O157" s="87">
        <v>24270105003</v>
      </c>
      <c r="P157" s="93">
        <v>45588</v>
      </c>
      <c r="Q157" s="87"/>
      <c r="R157" s="87"/>
      <c r="S157" s="87" t="s">
        <v>384</v>
      </c>
      <c r="T157" s="85">
        <v>45566</v>
      </c>
      <c r="U157" s="89"/>
      <c r="V157" s="90"/>
      <c r="W157" s="109"/>
      <c r="X157" s="89"/>
      <c r="Y157" s="84" t="s">
        <v>385</v>
      </c>
      <c r="Z157" s="97"/>
    </row>
    <row r="158" spans="1:26" s="98" customFormat="1" x14ac:dyDescent="0.35">
      <c r="A158" s="86">
        <v>155</v>
      </c>
      <c r="B158" s="85">
        <v>45604</v>
      </c>
      <c r="C158" s="84" t="s">
        <v>381</v>
      </c>
      <c r="D158" s="93">
        <v>45587</v>
      </c>
      <c r="E158" s="84" t="s">
        <v>382</v>
      </c>
      <c r="F158" s="85">
        <v>45605</v>
      </c>
      <c r="G158" s="87"/>
      <c r="H158" s="87" t="s">
        <v>72</v>
      </c>
      <c r="I158" s="87" t="s">
        <v>93</v>
      </c>
      <c r="J158" s="101" t="s">
        <v>372</v>
      </c>
      <c r="K158" s="87" t="s">
        <v>225</v>
      </c>
      <c r="L158" s="91">
        <v>10</v>
      </c>
      <c r="M158" s="91">
        <v>10</v>
      </c>
      <c r="N158" s="88">
        <f>Goods_Receipt[[#This Row],[ Invoice. /
 Received Qty ]]-Goods_Receipt[[#This Row],[ Accepted Qty ]]</f>
        <v>0</v>
      </c>
      <c r="O158" s="87">
        <v>24270105003</v>
      </c>
      <c r="P158" s="93">
        <v>45588</v>
      </c>
      <c r="Q158" s="87"/>
      <c r="R158" s="87"/>
      <c r="S158" s="87" t="s">
        <v>384</v>
      </c>
      <c r="T158" s="85">
        <v>45566</v>
      </c>
      <c r="U158" s="89"/>
      <c r="V158" s="90"/>
      <c r="W158" s="109"/>
      <c r="X158" s="89"/>
      <c r="Y158" s="84" t="s">
        <v>385</v>
      </c>
      <c r="Z158" s="97"/>
    </row>
    <row r="159" spans="1:26" s="98" customFormat="1" x14ac:dyDescent="0.35">
      <c r="A159" s="86">
        <v>156</v>
      </c>
      <c r="B159" s="85">
        <v>45604</v>
      </c>
      <c r="C159" s="84" t="s">
        <v>381</v>
      </c>
      <c r="D159" s="93">
        <v>45587</v>
      </c>
      <c r="E159" s="84" t="s">
        <v>382</v>
      </c>
      <c r="F159" s="85">
        <v>45605</v>
      </c>
      <c r="G159" s="87"/>
      <c r="H159" s="87" t="s">
        <v>72</v>
      </c>
      <c r="I159" s="87" t="s">
        <v>93</v>
      </c>
      <c r="J159" s="101" t="s">
        <v>371</v>
      </c>
      <c r="K159" s="87" t="s">
        <v>225</v>
      </c>
      <c r="L159" s="91">
        <v>5</v>
      </c>
      <c r="M159" s="91">
        <v>5</v>
      </c>
      <c r="N159" s="88">
        <f>Goods_Receipt[[#This Row],[ Invoice. /
 Received Qty ]]-Goods_Receipt[[#This Row],[ Accepted Qty ]]</f>
        <v>0</v>
      </c>
      <c r="O159" s="87">
        <v>24270105003</v>
      </c>
      <c r="P159" s="93">
        <v>45588</v>
      </c>
      <c r="Q159" s="87"/>
      <c r="R159" s="87"/>
      <c r="S159" s="87" t="s">
        <v>384</v>
      </c>
      <c r="T159" s="85">
        <v>45566</v>
      </c>
      <c r="U159" s="89"/>
      <c r="V159" s="90"/>
      <c r="W159" s="109"/>
      <c r="X159" s="89"/>
      <c r="Y159" s="84" t="s">
        <v>385</v>
      </c>
      <c r="Z159" s="97"/>
    </row>
    <row r="160" spans="1:26" s="98" customFormat="1" x14ac:dyDescent="0.35">
      <c r="A160" s="86">
        <v>157</v>
      </c>
      <c r="B160" s="85">
        <v>45604</v>
      </c>
      <c r="C160" s="84" t="s">
        <v>381</v>
      </c>
      <c r="D160" s="93">
        <v>45587</v>
      </c>
      <c r="E160" s="84" t="s">
        <v>382</v>
      </c>
      <c r="F160" s="85">
        <v>45605</v>
      </c>
      <c r="G160" s="87"/>
      <c r="H160" s="87" t="s">
        <v>72</v>
      </c>
      <c r="I160" s="87" t="s">
        <v>93</v>
      </c>
      <c r="J160" s="101" t="s">
        <v>369</v>
      </c>
      <c r="K160" s="87" t="s">
        <v>225</v>
      </c>
      <c r="L160" s="91">
        <v>5</v>
      </c>
      <c r="M160" s="91">
        <v>5</v>
      </c>
      <c r="N160" s="88">
        <f>Goods_Receipt[[#This Row],[ Invoice. /
 Received Qty ]]-Goods_Receipt[[#This Row],[ Accepted Qty ]]</f>
        <v>0</v>
      </c>
      <c r="O160" s="87">
        <v>24270105003</v>
      </c>
      <c r="P160" s="93">
        <v>45588</v>
      </c>
      <c r="Q160" s="87"/>
      <c r="R160" s="87"/>
      <c r="S160" s="87" t="s">
        <v>384</v>
      </c>
      <c r="T160" s="85">
        <v>45566</v>
      </c>
      <c r="U160" s="89"/>
      <c r="V160" s="90"/>
      <c r="W160" s="109"/>
      <c r="X160" s="89"/>
      <c r="Y160" s="84" t="s">
        <v>385</v>
      </c>
      <c r="Z160" s="97"/>
    </row>
    <row r="161" spans="1:26" s="98" customFormat="1" x14ac:dyDescent="0.35">
      <c r="A161" s="86">
        <v>158</v>
      </c>
      <c r="B161" s="85">
        <v>45604</v>
      </c>
      <c r="C161" s="84" t="s">
        <v>381</v>
      </c>
      <c r="D161" s="93">
        <v>45587</v>
      </c>
      <c r="E161" s="84" t="s">
        <v>382</v>
      </c>
      <c r="F161" s="85">
        <v>45605</v>
      </c>
      <c r="G161" s="87"/>
      <c r="H161" s="87" t="s">
        <v>72</v>
      </c>
      <c r="I161" s="87" t="s">
        <v>93</v>
      </c>
      <c r="J161" s="101" t="s">
        <v>370</v>
      </c>
      <c r="K161" s="87" t="s">
        <v>225</v>
      </c>
      <c r="L161" s="91">
        <v>80</v>
      </c>
      <c r="M161" s="91">
        <v>80</v>
      </c>
      <c r="N161" s="88">
        <f>Goods_Receipt[[#This Row],[ Invoice. /
 Received Qty ]]-Goods_Receipt[[#This Row],[ Accepted Qty ]]</f>
        <v>0</v>
      </c>
      <c r="O161" s="87">
        <v>24270105003</v>
      </c>
      <c r="P161" s="93">
        <v>45588</v>
      </c>
      <c r="Q161" s="87"/>
      <c r="R161" s="87"/>
      <c r="S161" s="87" t="s">
        <v>384</v>
      </c>
      <c r="T161" s="85">
        <v>45566</v>
      </c>
      <c r="U161" s="89"/>
      <c r="V161" s="90"/>
      <c r="W161" s="109"/>
      <c r="X161" s="89"/>
      <c r="Y161" s="84" t="s">
        <v>385</v>
      </c>
      <c r="Z161" s="97"/>
    </row>
    <row r="162" spans="1:26" s="98" customFormat="1" x14ac:dyDescent="0.35">
      <c r="A162" s="86">
        <v>159</v>
      </c>
      <c r="B162" s="85">
        <v>45604</v>
      </c>
      <c r="C162" s="84" t="s">
        <v>381</v>
      </c>
      <c r="D162" s="93">
        <v>45587</v>
      </c>
      <c r="E162" s="84" t="s">
        <v>382</v>
      </c>
      <c r="F162" s="85">
        <v>45605</v>
      </c>
      <c r="G162" s="87"/>
      <c r="H162" s="87" t="s">
        <v>72</v>
      </c>
      <c r="I162" s="87" t="s">
        <v>93</v>
      </c>
      <c r="J162" s="101" t="s">
        <v>376</v>
      </c>
      <c r="K162" s="87" t="s">
        <v>225</v>
      </c>
      <c r="L162" s="91">
        <v>5</v>
      </c>
      <c r="M162" s="91">
        <v>5</v>
      </c>
      <c r="N162" s="88">
        <f>Goods_Receipt[[#This Row],[ Invoice. /
 Received Qty ]]-Goods_Receipt[[#This Row],[ Accepted Qty ]]</f>
        <v>0</v>
      </c>
      <c r="O162" s="87">
        <v>24270105003</v>
      </c>
      <c r="P162" s="93">
        <v>45588</v>
      </c>
      <c r="Q162" s="87"/>
      <c r="R162" s="87"/>
      <c r="S162" s="87" t="s">
        <v>384</v>
      </c>
      <c r="T162" s="85">
        <v>45566</v>
      </c>
      <c r="U162" s="89"/>
      <c r="V162" s="90"/>
      <c r="W162" s="109"/>
      <c r="X162" s="89"/>
      <c r="Y162" s="84" t="s">
        <v>385</v>
      </c>
      <c r="Z162" s="97"/>
    </row>
    <row r="163" spans="1:26" s="98" customFormat="1" x14ac:dyDescent="0.35">
      <c r="A163" s="86">
        <v>160</v>
      </c>
      <c r="B163" s="85">
        <v>45604</v>
      </c>
      <c r="C163" s="84" t="s">
        <v>381</v>
      </c>
      <c r="D163" s="93">
        <v>45587</v>
      </c>
      <c r="E163" s="84" t="s">
        <v>382</v>
      </c>
      <c r="F163" s="85">
        <v>45605</v>
      </c>
      <c r="G163" s="87"/>
      <c r="H163" s="87" t="s">
        <v>72</v>
      </c>
      <c r="I163" s="158" t="s">
        <v>93</v>
      </c>
      <c r="J163" s="159" t="s">
        <v>406</v>
      </c>
      <c r="K163" s="158" t="s">
        <v>225</v>
      </c>
      <c r="L163" s="160">
        <v>5</v>
      </c>
      <c r="M163" s="160">
        <v>5</v>
      </c>
      <c r="N163" s="160">
        <f>Goods_Receipt[[#This Row],[ Invoice. /
 Received Qty ]]-Goods_Receipt[[#This Row],[ Accepted Qty ]]</f>
        <v>0</v>
      </c>
      <c r="O163" s="87">
        <v>24270105003</v>
      </c>
      <c r="P163" s="93">
        <v>45588</v>
      </c>
      <c r="Q163" s="87"/>
      <c r="R163" s="87"/>
      <c r="S163" s="87" t="s">
        <v>384</v>
      </c>
      <c r="T163" s="85">
        <v>45566</v>
      </c>
      <c r="U163" s="161"/>
      <c r="V163" s="162"/>
      <c r="W163" s="170"/>
      <c r="X163" s="161"/>
      <c r="Y163" s="84" t="s">
        <v>385</v>
      </c>
      <c r="Z163" s="163"/>
    </row>
    <row r="164" spans="1:26" s="98" customFormat="1" x14ac:dyDescent="0.35">
      <c r="A164" s="86">
        <v>161</v>
      </c>
      <c r="B164" s="85">
        <v>45604</v>
      </c>
      <c r="C164" s="84" t="s">
        <v>381</v>
      </c>
      <c r="D164" s="93">
        <v>45587</v>
      </c>
      <c r="E164" s="84" t="s">
        <v>382</v>
      </c>
      <c r="F164" s="85">
        <v>45605</v>
      </c>
      <c r="G164" s="87"/>
      <c r="H164" s="87" t="s">
        <v>72</v>
      </c>
      <c r="I164" s="87" t="s">
        <v>91</v>
      </c>
      <c r="J164" s="101" t="s">
        <v>352</v>
      </c>
      <c r="K164" s="87" t="s">
        <v>11</v>
      </c>
      <c r="L164" s="91">
        <v>16</v>
      </c>
      <c r="M164" s="91">
        <v>16</v>
      </c>
      <c r="N164" s="88">
        <f>Goods_Receipt[[#This Row],[ Invoice. /
 Received Qty ]]-Goods_Receipt[[#This Row],[ Accepted Qty ]]</f>
        <v>0</v>
      </c>
      <c r="O164" s="87">
        <v>24270105003</v>
      </c>
      <c r="P164" s="93">
        <v>45588</v>
      </c>
      <c r="Q164" s="87"/>
      <c r="R164" s="87"/>
      <c r="S164" s="87" t="s">
        <v>384</v>
      </c>
      <c r="T164" s="85">
        <v>45566</v>
      </c>
      <c r="U164" s="89"/>
      <c r="V164" s="90"/>
      <c r="W164" s="109"/>
      <c r="X164" s="89"/>
      <c r="Y164" s="84" t="s">
        <v>385</v>
      </c>
      <c r="Z164" s="97"/>
    </row>
    <row r="165" spans="1:26" s="98" customFormat="1" x14ac:dyDescent="0.35">
      <c r="A165" s="86">
        <v>162</v>
      </c>
      <c r="B165" s="85">
        <v>45604</v>
      </c>
      <c r="C165" s="84" t="s">
        <v>381</v>
      </c>
      <c r="D165" s="93">
        <v>45587</v>
      </c>
      <c r="E165" s="84" t="s">
        <v>382</v>
      </c>
      <c r="F165" s="85">
        <v>45605</v>
      </c>
      <c r="G165" s="87"/>
      <c r="H165" s="87" t="s">
        <v>72</v>
      </c>
      <c r="I165" s="87" t="s">
        <v>85</v>
      </c>
      <c r="J165" s="101" t="s">
        <v>377</v>
      </c>
      <c r="K165" s="87" t="s">
        <v>11</v>
      </c>
      <c r="L165" s="91">
        <v>20</v>
      </c>
      <c r="M165" s="91">
        <v>20</v>
      </c>
      <c r="N165" s="88">
        <f>Goods_Receipt[[#This Row],[ Invoice. /
 Received Qty ]]-Goods_Receipt[[#This Row],[ Accepted Qty ]]</f>
        <v>0</v>
      </c>
      <c r="O165" s="87">
        <v>24270105003</v>
      </c>
      <c r="P165" s="93">
        <v>45588</v>
      </c>
      <c r="Q165" s="87"/>
      <c r="R165" s="87"/>
      <c r="S165" s="87" t="s">
        <v>384</v>
      </c>
      <c r="T165" s="85">
        <v>45566</v>
      </c>
      <c r="U165" s="89"/>
      <c r="V165" s="90"/>
      <c r="W165" s="109"/>
      <c r="X165" s="89"/>
      <c r="Y165" s="84" t="s">
        <v>385</v>
      </c>
      <c r="Z165" s="97"/>
    </row>
    <row r="166" spans="1:26" s="98" customFormat="1" ht="26.25" customHeight="1" x14ac:dyDescent="0.35">
      <c r="A166" s="86">
        <v>163</v>
      </c>
      <c r="B166" s="85">
        <v>45605</v>
      </c>
      <c r="C166" s="87" t="s">
        <v>394</v>
      </c>
      <c r="D166" s="85">
        <v>45604</v>
      </c>
      <c r="E166" s="84">
        <v>45</v>
      </c>
      <c r="F166" s="85">
        <v>45605</v>
      </c>
      <c r="G166" s="87"/>
      <c r="H166" s="87" t="s">
        <v>72</v>
      </c>
      <c r="I166" s="87" t="s">
        <v>104</v>
      </c>
      <c r="J166" s="101" t="s">
        <v>386</v>
      </c>
      <c r="K166" s="87" t="s">
        <v>11</v>
      </c>
      <c r="L166" s="91">
        <v>1</v>
      </c>
      <c r="M166" s="91">
        <v>1</v>
      </c>
      <c r="N166" s="88">
        <f>Goods_Receipt[[#This Row],[ Invoice. /
 Received Qty ]]-Goods_Receipt[[#This Row],[ Accepted Qty ]]</f>
        <v>0</v>
      </c>
      <c r="O166" s="87">
        <v>10330</v>
      </c>
      <c r="P166" s="93">
        <v>45604</v>
      </c>
      <c r="Q166" s="90"/>
      <c r="R166" s="87" t="s">
        <v>395</v>
      </c>
      <c r="S166" s="87" t="s">
        <v>396</v>
      </c>
      <c r="T166" s="85">
        <v>45535</v>
      </c>
      <c r="U166" s="89"/>
      <c r="V166" s="90"/>
      <c r="W166" s="109"/>
      <c r="X166" s="89"/>
      <c r="Y166" s="84" t="s">
        <v>397</v>
      </c>
      <c r="Z166" s="97"/>
    </row>
    <row r="167" spans="1:26" s="98" customFormat="1" x14ac:dyDescent="0.35">
      <c r="A167" s="86">
        <v>164</v>
      </c>
      <c r="B167" s="85">
        <v>45605</v>
      </c>
      <c r="C167" s="87" t="s">
        <v>394</v>
      </c>
      <c r="D167" s="85">
        <v>45604</v>
      </c>
      <c r="E167" s="84">
        <v>45</v>
      </c>
      <c r="F167" s="85">
        <v>45605</v>
      </c>
      <c r="G167" s="87"/>
      <c r="H167" s="87" t="s">
        <v>72</v>
      </c>
      <c r="I167" s="87" t="s">
        <v>104</v>
      </c>
      <c r="J167" s="101" t="s">
        <v>387</v>
      </c>
      <c r="K167" s="87" t="s">
        <v>11</v>
      </c>
      <c r="L167" s="91">
        <v>2</v>
      </c>
      <c r="M167" s="91">
        <v>2</v>
      </c>
      <c r="N167" s="88">
        <f>Goods_Receipt[[#This Row],[ Invoice. /
 Received Qty ]]-Goods_Receipt[[#This Row],[ Accepted Qty ]]</f>
        <v>0</v>
      </c>
      <c r="O167" s="87">
        <v>10330</v>
      </c>
      <c r="P167" s="93">
        <v>45604</v>
      </c>
      <c r="Q167" s="90"/>
      <c r="R167" s="87" t="s">
        <v>395</v>
      </c>
      <c r="S167" s="87" t="s">
        <v>396</v>
      </c>
      <c r="T167" s="85">
        <v>45535</v>
      </c>
      <c r="U167" s="89"/>
      <c r="V167" s="90"/>
      <c r="W167" s="109"/>
      <c r="X167" s="91"/>
      <c r="Y167" s="84" t="s">
        <v>397</v>
      </c>
      <c r="Z167" s="97"/>
    </row>
    <row r="168" spans="1:26" s="98" customFormat="1" ht="23.25" customHeight="1" x14ac:dyDescent="0.35">
      <c r="A168" s="86">
        <v>165</v>
      </c>
      <c r="B168" s="85">
        <v>45605</v>
      </c>
      <c r="C168" s="87" t="s">
        <v>394</v>
      </c>
      <c r="D168" s="85">
        <v>45604</v>
      </c>
      <c r="E168" s="84">
        <v>45</v>
      </c>
      <c r="F168" s="85">
        <v>45605</v>
      </c>
      <c r="G168" s="87"/>
      <c r="H168" s="87" t="s">
        <v>72</v>
      </c>
      <c r="I168" s="87" t="s">
        <v>104</v>
      </c>
      <c r="J168" s="90" t="s">
        <v>388</v>
      </c>
      <c r="K168" s="87" t="s">
        <v>11</v>
      </c>
      <c r="L168" s="91">
        <v>1</v>
      </c>
      <c r="M168" s="91">
        <v>1</v>
      </c>
      <c r="N168" s="88">
        <f>Goods_Receipt[[#This Row],[ Invoice. /
 Received Qty ]]-Goods_Receipt[[#This Row],[ Accepted Qty ]]</f>
        <v>0</v>
      </c>
      <c r="O168" s="87">
        <v>10330</v>
      </c>
      <c r="P168" s="93">
        <v>45604</v>
      </c>
      <c r="Q168" s="90"/>
      <c r="R168" s="87" t="s">
        <v>395</v>
      </c>
      <c r="S168" s="87" t="s">
        <v>396</v>
      </c>
      <c r="T168" s="85">
        <v>45535</v>
      </c>
      <c r="U168" s="89"/>
      <c r="V168" s="90"/>
      <c r="W168" s="109"/>
      <c r="X168" s="91"/>
      <c r="Y168" s="84" t="s">
        <v>397</v>
      </c>
      <c r="Z168" s="97"/>
    </row>
    <row r="169" spans="1:26" s="98" customFormat="1" x14ac:dyDescent="0.35">
      <c r="A169" s="86">
        <v>166</v>
      </c>
      <c r="B169" s="85">
        <v>45605</v>
      </c>
      <c r="C169" s="87" t="s">
        <v>394</v>
      </c>
      <c r="D169" s="85">
        <v>45604</v>
      </c>
      <c r="E169" s="84">
        <v>45</v>
      </c>
      <c r="F169" s="85">
        <v>45605</v>
      </c>
      <c r="G169" s="87"/>
      <c r="H169" s="87" t="s">
        <v>72</v>
      </c>
      <c r="I169" s="87" t="s">
        <v>104</v>
      </c>
      <c r="J169" s="101" t="s">
        <v>389</v>
      </c>
      <c r="K169" s="87" t="s">
        <v>11</v>
      </c>
      <c r="L169" s="91">
        <v>1</v>
      </c>
      <c r="M169" s="91">
        <v>1</v>
      </c>
      <c r="N169" s="88">
        <f>Goods_Receipt[[#This Row],[ Invoice. /
 Received Qty ]]-Goods_Receipt[[#This Row],[ Accepted Qty ]]</f>
        <v>0</v>
      </c>
      <c r="O169" s="87">
        <v>10330</v>
      </c>
      <c r="P169" s="93">
        <v>45604</v>
      </c>
      <c r="Q169" s="90"/>
      <c r="R169" s="87" t="s">
        <v>395</v>
      </c>
      <c r="S169" s="87" t="s">
        <v>396</v>
      </c>
      <c r="T169" s="85">
        <v>45535</v>
      </c>
      <c r="U169" s="89"/>
      <c r="V169" s="90"/>
      <c r="W169" s="109"/>
      <c r="X169" s="91"/>
      <c r="Y169" s="84" t="s">
        <v>397</v>
      </c>
      <c r="Z169" s="97"/>
    </row>
    <row r="170" spans="1:26" s="98" customFormat="1" x14ac:dyDescent="0.35">
      <c r="A170" s="86">
        <v>167</v>
      </c>
      <c r="B170" s="85">
        <v>45605</v>
      </c>
      <c r="C170" s="87" t="s">
        <v>394</v>
      </c>
      <c r="D170" s="85">
        <v>45604</v>
      </c>
      <c r="E170" s="84">
        <v>45</v>
      </c>
      <c r="F170" s="85">
        <v>45605</v>
      </c>
      <c r="G170" s="87"/>
      <c r="H170" s="87" t="s">
        <v>72</v>
      </c>
      <c r="I170" s="87" t="s">
        <v>104</v>
      </c>
      <c r="J170" s="101" t="s">
        <v>390</v>
      </c>
      <c r="K170" s="87" t="s">
        <v>11</v>
      </c>
      <c r="L170" s="91">
        <v>1</v>
      </c>
      <c r="M170" s="91">
        <v>1</v>
      </c>
      <c r="N170" s="88">
        <f>Goods_Receipt[[#This Row],[ Invoice. /
 Received Qty ]]-Goods_Receipt[[#This Row],[ Accepted Qty ]]</f>
        <v>0</v>
      </c>
      <c r="O170" s="87">
        <v>10330</v>
      </c>
      <c r="P170" s="93">
        <v>45604</v>
      </c>
      <c r="Q170" s="90"/>
      <c r="R170" s="87" t="s">
        <v>395</v>
      </c>
      <c r="S170" s="87" t="s">
        <v>396</v>
      </c>
      <c r="T170" s="85">
        <v>45535</v>
      </c>
      <c r="U170" s="89"/>
      <c r="V170" s="90"/>
      <c r="W170" s="109"/>
      <c r="X170" s="91"/>
      <c r="Y170" s="84" t="s">
        <v>397</v>
      </c>
      <c r="Z170" s="97"/>
    </row>
    <row r="171" spans="1:26" s="98" customFormat="1" x14ac:dyDescent="0.35">
      <c r="A171" s="86">
        <v>168</v>
      </c>
      <c r="B171" s="85">
        <v>45605</v>
      </c>
      <c r="C171" s="87" t="s">
        <v>394</v>
      </c>
      <c r="D171" s="85">
        <v>45604</v>
      </c>
      <c r="E171" s="84">
        <v>45</v>
      </c>
      <c r="F171" s="85">
        <v>45605</v>
      </c>
      <c r="G171" s="87"/>
      <c r="H171" s="87" t="s">
        <v>72</v>
      </c>
      <c r="I171" s="87" t="s">
        <v>104</v>
      </c>
      <c r="J171" s="101" t="s">
        <v>391</v>
      </c>
      <c r="K171" s="87" t="s">
        <v>11</v>
      </c>
      <c r="L171" s="88">
        <v>1</v>
      </c>
      <c r="M171" s="88">
        <v>1</v>
      </c>
      <c r="N171" s="88">
        <f>Goods_Receipt[[#This Row],[ Invoice. /
 Received Qty ]]-Goods_Receipt[[#This Row],[ Accepted Qty ]]</f>
        <v>0</v>
      </c>
      <c r="O171" s="87">
        <v>10330</v>
      </c>
      <c r="P171" s="93">
        <v>45604</v>
      </c>
      <c r="Q171" s="90"/>
      <c r="R171" s="87" t="s">
        <v>395</v>
      </c>
      <c r="S171" s="87" t="s">
        <v>396</v>
      </c>
      <c r="T171" s="85">
        <v>45535</v>
      </c>
      <c r="U171" s="89"/>
      <c r="V171" s="90"/>
      <c r="W171" s="109"/>
      <c r="X171" s="91"/>
      <c r="Y171" s="84" t="s">
        <v>397</v>
      </c>
      <c r="Z171" s="97"/>
    </row>
    <row r="172" spans="1:26" s="98" customFormat="1" x14ac:dyDescent="0.35">
      <c r="A172" s="86">
        <v>169</v>
      </c>
      <c r="B172" s="85">
        <v>45605</v>
      </c>
      <c r="C172" s="87" t="s">
        <v>394</v>
      </c>
      <c r="D172" s="85">
        <v>45604</v>
      </c>
      <c r="E172" s="84">
        <v>45</v>
      </c>
      <c r="F172" s="85">
        <v>45605</v>
      </c>
      <c r="G172" s="87"/>
      <c r="H172" s="87" t="s">
        <v>72</v>
      </c>
      <c r="I172" s="87" t="s">
        <v>104</v>
      </c>
      <c r="J172" s="101" t="s">
        <v>392</v>
      </c>
      <c r="K172" s="87" t="s">
        <v>11</v>
      </c>
      <c r="L172" s="91">
        <v>1</v>
      </c>
      <c r="M172" s="91">
        <v>1</v>
      </c>
      <c r="N172" s="88">
        <f>Goods_Receipt[[#This Row],[ Invoice. /
 Received Qty ]]-Goods_Receipt[[#This Row],[ Accepted Qty ]]</f>
        <v>0</v>
      </c>
      <c r="O172" s="87">
        <v>10330</v>
      </c>
      <c r="P172" s="93">
        <v>45604</v>
      </c>
      <c r="Q172" s="90"/>
      <c r="R172" s="87" t="s">
        <v>395</v>
      </c>
      <c r="S172" s="87" t="s">
        <v>396</v>
      </c>
      <c r="T172" s="85">
        <v>45535</v>
      </c>
      <c r="U172" s="89"/>
      <c r="V172" s="90"/>
      <c r="W172" s="109"/>
      <c r="X172" s="91"/>
      <c r="Y172" s="84" t="s">
        <v>397</v>
      </c>
      <c r="Z172" s="97"/>
    </row>
    <row r="173" spans="1:26" s="98" customFormat="1" x14ac:dyDescent="0.35">
      <c r="A173" s="86">
        <v>170</v>
      </c>
      <c r="B173" s="85">
        <v>45605</v>
      </c>
      <c r="C173" s="87" t="s">
        <v>394</v>
      </c>
      <c r="D173" s="85">
        <v>45604</v>
      </c>
      <c r="E173" s="84">
        <v>45</v>
      </c>
      <c r="F173" s="85">
        <v>45605</v>
      </c>
      <c r="G173" s="87"/>
      <c r="H173" s="87" t="s">
        <v>72</v>
      </c>
      <c r="I173" s="87" t="s">
        <v>104</v>
      </c>
      <c r="J173" s="101" t="s">
        <v>393</v>
      </c>
      <c r="K173" s="87" t="s">
        <v>11</v>
      </c>
      <c r="L173" s="91">
        <v>6</v>
      </c>
      <c r="M173" s="91">
        <v>6</v>
      </c>
      <c r="N173" s="88">
        <f>Goods_Receipt[[#This Row],[ Invoice. /
 Received Qty ]]-Goods_Receipt[[#This Row],[ Accepted Qty ]]</f>
        <v>0</v>
      </c>
      <c r="O173" s="87">
        <v>10330</v>
      </c>
      <c r="P173" s="93">
        <v>45604</v>
      </c>
      <c r="Q173" s="90"/>
      <c r="R173" s="87" t="s">
        <v>395</v>
      </c>
      <c r="S173" s="87" t="s">
        <v>396</v>
      </c>
      <c r="T173" s="85">
        <v>45535</v>
      </c>
      <c r="U173" s="89"/>
      <c r="V173" s="90"/>
      <c r="W173" s="109"/>
      <c r="X173" s="91"/>
      <c r="Y173" s="84" t="s">
        <v>397</v>
      </c>
      <c r="Z173" s="97"/>
    </row>
    <row r="174" spans="1:26" s="98" customFormat="1" x14ac:dyDescent="0.35">
      <c r="A174" s="86">
        <v>171</v>
      </c>
      <c r="B174" s="85">
        <v>45605</v>
      </c>
      <c r="C174" s="87" t="s">
        <v>400</v>
      </c>
      <c r="D174" s="85">
        <v>45604</v>
      </c>
      <c r="E174" s="84">
        <v>46</v>
      </c>
      <c r="F174" s="85">
        <v>45605</v>
      </c>
      <c r="G174" s="87"/>
      <c r="H174" s="87" t="s">
        <v>72</v>
      </c>
      <c r="I174" s="87" t="s">
        <v>105</v>
      </c>
      <c r="J174" s="101" t="s">
        <v>398</v>
      </c>
      <c r="K174" s="87" t="s">
        <v>11</v>
      </c>
      <c r="L174" s="91">
        <v>3</v>
      </c>
      <c r="M174" s="91">
        <v>3</v>
      </c>
      <c r="N174" s="88">
        <f>Goods_Receipt[[#This Row],[ Invoice. /
 Received Qty ]]-Goods_Receipt[[#This Row],[ Accepted Qty ]]</f>
        <v>0</v>
      </c>
      <c r="O174" s="87" t="s">
        <v>401</v>
      </c>
      <c r="P174" s="93">
        <v>45604</v>
      </c>
      <c r="Q174" s="87"/>
      <c r="R174" s="87" t="s">
        <v>402</v>
      </c>
      <c r="S174" s="87" t="s">
        <v>403</v>
      </c>
      <c r="T174" s="85">
        <v>45468</v>
      </c>
      <c r="U174" s="89"/>
      <c r="V174" s="90"/>
      <c r="W174" s="109"/>
      <c r="X174" s="89"/>
      <c r="Y174" s="84" t="s">
        <v>404</v>
      </c>
      <c r="Z174" s="97"/>
    </row>
    <row r="175" spans="1:26" s="98" customFormat="1" x14ac:dyDescent="0.35">
      <c r="A175" s="86">
        <v>172</v>
      </c>
      <c r="B175" s="85">
        <v>45605</v>
      </c>
      <c r="C175" s="87" t="s">
        <v>400</v>
      </c>
      <c r="D175" s="85">
        <v>45604</v>
      </c>
      <c r="E175" s="84">
        <v>46</v>
      </c>
      <c r="F175" s="85">
        <v>45605</v>
      </c>
      <c r="G175" s="87"/>
      <c r="H175" s="87" t="s">
        <v>72</v>
      </c>
      <c r="I175" s="87" t="s">
        <v>105</v>
      </c>
      <c r="J175" s="101" t="s">
        <v>399</v>
      </c>
      <c r="K175" s="87" t="s">
        <v>11</v>
      </c>
      <c r="L175" s="91">
        <v>1</v>
      </c>
      <c r="M175" s="91">
        <v>1</v>
      </c>
      <c r="N175" s="88">
        <f>Goods_Receipt[[#This Row],[ Invoice. /
 Received Qty ]]-Goods_Receipt[[#This Row],[ Accepted Qty ]]</f>
        <v>0</v>
      </c>
      <c r="O175" s="87" t="s">
        <v>401</v>
      </c>
      <c r="P175" s="93">
        <v>45604</v>
      </c>
      <c r="Q175" s="87"/>
      <c r="R175" s="87" t="s">
        <v>402</v>
      </c>
      <c r="S175" s="87" t="s">
        <v>403</v>
      </c>
      <c r="T175" s="85">
        <v>45468</v>
      </c>
      <c r="U175" s="89"/>
      <c r="V175" s="90"/>
      <c r="W175" s="109"/>
      <c r="X175" s="89"/>
      <c r="Y175" s="84" t="s">
        <v>404</v>
      </c>
      <c r="Z175" s="97"/>
    </row>
    <row r="176" spans="1:26" s="98" customFormat="1" x14ac:dyDescent="0.35">
      <c r="A176" s="86">
        <v>173</v>
      </c>
      <c r="B176" s="85">
        <v>45603</v>
      </c>
      <c r="C176" s="87">
        <v>160</v>
      </c>
      <c r="D176" s="85">
        <v>45603</v>
      </c>
      <c r="E176" s="84">
        <v>47</v>
      </c>
      <c r="F176" s="85">
        <v>45609</v>
      </c>
      <c r="G176" s="87"/>
      <c r="H176" s="87" t="s">
        <v>72</v>
      </c>
      <c r="I176" s="87" t="s">
        <v>81</v>
      </c>
      <c r="J176" s="101" t="s">
        <v>421</v>
      </c>
      <c r="K176" s="87" t="s">
        <v>225</v>
      </c>
      <c r="L176" s="91">
        <v>15</v>
      </c>
      <c r="M176" s="91">
        <v>15</v>
      </c>
      <c r="N176" s="88">
        <f>Goods_Receipt[[#This Row],[ Invoice. /
 Received Qty ]]-Goods_Receipt[[#This Row],[ Accepted Qty ]]</f>
        <v>0</v>
      </c>
      <c r="O176" s="87"/>
      <c r="P176" s="87"/>
      <c r="Q176" s="87"/>
      <c r="R176" s="87" t="s">
        <v>440</v>
      </c>
      <c r="S176" s="87"/>
      <c r="T176" s="85"/>
      <c r="U176" s="89"/>
      <c r="V176" s="90"/>
      <c r="W176" s="109"/>
      <c r="X176" s="89"/>
      <c r="Y176" s="84"/>
      <c r="Z176" s="97"/>
    </row>
    <row r="177" spans="1:26" s="98" customFormat="1" x14ac:dyDescent="0.35">
      <c r="A177" s="86">
        <v>174</v>
      </c>
      <c r="B177" s="85">
        <v>45612</v>
      </c>
      <c r="C177" s="87" t="s">
        <v>426</v>
      </c>
      <c r="D177" s="85">
        <v>45594</v>
      </c>
      <c r="E177" s="84">
        <v>48</v>
      </c>
      <c r="F177" s="85">
        <v>45613</v>
      </c>
      <c r="G177" s="87"/>
      <c r="H177" s="87" t="s">
        <v>72</v>
      </c>
      <c r="I177" s="87" t="s">
        <v>99</v>
      </c>
      <c r="J177" s="101" t="s">
        <v>407</v>
      </c>
      <c r="K177" s="87" t="s">
        <v>11</v>
      </c>
      <c r="L177" s="91">
        <v>1</v>
      </c>
      <c r="M177" s="91">
        <v>1</v>
      </c>
      <c r="N177" s="88">
        <f>Goods_Receipt[[#This Row],[ Invoice. /
 Received Qty ]]-Goods_Receipt[[#This Row],[ Accepted Qty ]]</f>
        <v>0</v>
      </c>
      <c r="O177" s="84">
        <v>1802</v>
      </c>
      <c r="P177" s="93">
        <v>45611</v>
      </c>
      <c r="Q177" s="87"/>
      <c r="R177" s="87" t="s">
        <v>422</v>
      </c>
      <c r="S177" s="87" t="s">
        <v>423</v>
      </c>
      <c r="T177" s="85">
        <v>45446</v>
      </c>
      <c r="U177" s="89"/>
      <c r="V177" s="90"/>
      <c r="W177" s="109"/>
      <c r="X177" s="89"/>
      <c r="Y177" s="84" t="s">
        <v>424</v>
      </c>
      <c r="Z177" s="97"/>
    </row>
    <row r="178" spans="1:26" s="98" customFormat="1" x14ac:dyDescent="0.35">
      <c r="A178" s="86">
        <v>175</v>
      </c>
      <c r="B178" s="85">
        <v>45612</v>
      </c>
      <c r="C178" s="87" t="s">
        <v>426</v>
      </c>
      <c r="D178" s="85">
        <v>45594</v>
      </c>
      <c r="E178" s="84">
        <v>48</v>
      </c>
      <c r="F178" s="85">
        <v>45613</v>
      </c>
      <c r="G178" s="87"/>
      <c r="H178" s="87" t="s">
        <v>72</v>
      </c>
      <c r="I178" s="87" t="s">
        <v>99</v>
      </c>
      <c r="J178" s="101" t="s">
        <v>408</v>
      </c>
      <c r="K178" s="87" t="s">
        <v>11</v>
      </c>
      <c r="L178" s="91">
        <v>8</v>
      </c>
      <c r="M178" s="91">
        <v>8</v>
      </c>
      <c r="N178" s="88">
        <f>Goods_Receipt[[#This Row],[ Invoice. /
 Received Qty ]]-Goods_Receipt[[#This Row],[ Accepted Qty ]]</f>
        <v>0</v>
      </c>
      <c r="O178" s="84">
        <v>1802</v>
      </c>
      <c r="P178" s="93">
        <v>45611</v>
      </c>
      <c r="Q178" s="87"/>
      <c r="R178" s="87" t="s">
        <v>422</v>
      </c>
      <c r="S178" s="87" t="s">
        <v>423</v>
      </c>
      <c r="T178" s="85">
        <v>45446</v>
      </c>
      <c r="U178" s="89"/>
      <c r="V178" s="90"/>
      <c r="W178" s="109"/>
      <c r="X178" s="91"/>
      <c r="Y178" s="84" t="s">
        <v>424</v>
      </c>
      <c r="Z178" s="97"/>
    </row>
    <row r="179" spans="1:26" s="98" customFormat="1" x14ac:dyDescent="0.35">
      <c r="A179" s="86">
        <v>176</v>
      </c>
      <c r="B179" s="85">
        <v>45612</v>
      </c>
      <c r="C179" s="87" t="s">
        <v>426</v>
      </c>
      <c r="D179" s="85">
        <v>45594</v>
      </c>
      <c r="E179" s="84">
        <v>48</v>
      </c>
      <c r="F179" s="85">
        <v>45613</v>
      </c>
      <c r="G179" s="87"/>
      <c r="H179" s="87" t="s">
        <v>72</v>
      </c>
      <c r="I179" s="87" t="s">
        <v>99</v>
      </c>
      <c r="J179" s="101" t="s">
        <v>415</v>
      </c>
      <c r="K179" s="87" t="s">
        <v>11</v>
      </c>
      <c r="L179" s="91">
        <v>1</v>
      </c>
      <c r="M179" s="91">
        <v>1</v>
      </c>
      <c r="N179" s="88">
        <f>Goods_Receipt[[#This Row],[ Invoice. /
 Received Qty ]]-Goods_Receipt[[#This Row],[ Accepted Qty ]]</f>
        <v>0</v>
      </c>
      <c r="O179" s="84">
        <v>1802</v>
      </c>
      <c r="P179" s="93">
        <v>45611</v>
      </c>
      <c r="Q179" s="87"/>
      <c r="R179" s="87" t="s">
        <v>422</v>
      </c>
      <c r="S179" s="87" t="s">
        <v>423</v>
      </c>
      <c r="T179" s="85">
        <v>45446</v>
      </c>
      <c r="U179" s="89"/>
      <c r="V179" s="90"/>
      <c r="W179" s="109"/>
      <c r="X179" s="91"/>
      <c r="Y179" s="84" t="s">
        <v>424</v>
      </c>
      <c r="Z179" s="97"/>
    </row>
    <row r="180" spans="1:26" s="98" customFormat="1" x14ac:dyDescent="0.35">
      <c r="A180" s="86">
        <v>177</v>
      </c>
      <c r="B180" s="85">
        <v>45612</v>
      </c>
      <c r="C180" s="87" t="s">
        <v>426</v>
      </c>
      <c r="D180" s="85">
        <v>45594</v>
      </c>
      <c r="E180" s="84">
        <v>48</v>
      </c>
      <c r="F180" s="85">
        <v>45613</v>
      </c>
      <c r="G180" s="87"/>
      <c r="H180" s="87" t="s">
        <v>72</v>
      </c>
      <c r="I180" s="87" t="s">
        <v>99</v>
      </c>
      <c r="J180" s="101" t="s">
        <v>416</v>
      </c>
      <c r="K180" s="87" t="s">
        <v>11</v>
      </c>
      <c r="L180" s="91">
        <v>1</v>
      </c>
      <c r="M180" s="91">
        <v>1</v>
      </c>
      <c r="N180" s="88">
        <f>Goods_Receipt[[#This Row],[ Invoice. /
 Received Qty ]]-Goods_Receipt[[#This Row],[ Accepted Qty ]]</f>
        <v>0</v>
      </c>
      <c r="O180" s="84">
        <v>1802</v>
      </c>
      <c r="P180" s="93">
        <v>45611</v>
      </c>
      <c r="Q180" s="87"/>
      <c r="R180" s="87" t="s">
        <v>422</v>
      </c>
      <c r="S180" s="87" t="s">
        <v>423</v>
      </c>
      <c r="T180" s="85">
        <v>45446</v>
      </c>
      <c r="U180" s="89"/>
      <c r="V180" s="90"/>
      <c r="W180" s="109"/>
      <c r="X180" s="91"/>
      <c r="Y180" s="84" t="s">
        <v>424</v>
      </c>
      <c r="Z180" s="97"/>
    </row>
    <row r="181" spans="1:26" s="98" customFormat="1" x14ac:dyDescent="0.35">
      <c r="A181" s="86">
        <v>178</v>
      </c>
      <c r="B181" s="85">
        <v>45612</v>
      </c>
      <c r="C181" s="87" t="s">
        <v>426</v>
      </c>
      <c r="D181" s="85">
        <v>45594</v>
      </c>
      <c r="E181" s="84">
        <v>48</v>
      </c>
      <c r="F181" s="85">
        <v>45613</v>
      </c>
      <c r="G181" s="87"/>
      <c r="H181" s="87" t="s">
        <v>72</v>
      </c>
      <c r="I181" s="87" t="s">
        <v>99</v>
      </c>
      <c r="J181" s="101" t="s">
        <v>419</v>
      </c>
      <c r="K181" s="87" t="s">
        <v>11</v>
      </c>
      <c r="L181" s="91">
        <v>1</v>
      </c>
      <c r="M181" s="91">
        <v>1</v>
      </c>
      <c r="N181" s="88">
        <f>Goods_Receipt[[#This Row],[ Invoice. /
 Received Qty ]]-Goods_Receipt[[#This Row],[ Accepted Qty ]]</f>
        <v>0</v>
      </c>
      <c r="O181" s="84">
        <v>1802</v>
      </c>
      <c r="P181" s="93">
        <v>45611</v>
      </c>
      <c r="Q181" s="87"/>
      <c r="R181" s="87" t="s">
        <v>422</v>
      </c>
      <c r="S181" s="87" t="s">
        <v>423</v>
      </c>
      <c r="T181" s="85">
        <v>45446</v>
      </c>
      <c r="U181" s="89"/>
      <c r="V181" s="90"/>
      <c r="W181" s="109"/>
      <c r="X181" s="91"/>
      <c r="Y181" s="84" t="s">
        <v>424</v>
      </c>
      <c r="Z181" s="97"/>
    </row>
    <row r="182" spans="1:26" s="98" customFormat="1" x14ac:dyDescent="0.35">
      <c r="A182" s="86">
        <v>179</v>
      </c>
      <c r="B182" s="85">
        <v>45612</v>
      </c>
      <c r="C182" s="87" t="s">
        <v>426</v>
      </c>
      <c r="D182" s="85">
        <v>45594</v>
      </c>
      <c r="E182" s="84">
        <v>48</v>
      </c>
      <c r="F182" s="85">
        <v>45613</v>
      </c>
      <c r="G182" s="87"/>
      <c r="H182" s="87" t="s">
        <v>72</v>
      </c>
      <c r="I182" s="87" t="s">
        <v>99</v>
      </c>
      <c r="J182" s="101" t="s">
        <v>411</v>
      </c>
      <c r="K182" s="87" t="s">
        <v>11</v>
      </c>
      <c r="L182" s="91">
        <v>3</v>
      </c>
      <c r="M182" s="91">
        <v>3</v>
      </c>
      <c r="N182" s="88">
        <f>Goods_Receipt[[#This Row],[ Invoice. /
 Received Qty ]]-Goods_Receipt[[#This Row],[ Accepted Qty ]]</f>
        <v>0</v>
      </c>
      <c r="O182" s="84">
        <v>1802</v>
      </c>
      <c r="P182" s="93">
        <v>45611</v>
      </c>
      <c r="Q182" s="87"/>
      <c r="R182" s="87" t="s">
        <v>422</v>
      </c>
      <c r="S182" s="87" t="s">
        <v>423</v>
      </c>
      <c r="T182" s="85">
        <v>45446</v>
      </c>
      <c r="U182" s="89"/>
      <c r="V182" s="90"/>
      <c r="W182" s="109"/>
      <c r="X182" s="91"/>
      <c r="Y182" s="84" t="s">
        <v>424</v>
      </c>
      <c r="Z182" s="97"/>
    </row>
    <row r="183" spans="1:26" s="98" customFormat="1" x14ac:dyDescent="0.35">
      <c r="A183" s="86">
        <v>180</v>
      </c>
      <c r="B183" s="85">
        <v>45612</v>
      </c>
      <c r="C183" s="87" t="s">
        <v>426</v>
      </c>
      <c r="D183" s="85">
        <v>45594</v>
      </c>
      <c r="E183" s="84">
        <v>48</v>
      </c>
      <c r="F183" s="85">
        <v>45613</v>
      </c>
      <c r="G183" s="87"/>
      <c r="H183" s="87" t="s">
        <v>72</v>
      </c>
      <c r="I183" s="87" t="s">
        <v>99</v>
      </c>
      <c r="J183" s="101" t="s">
        <v>417</v>
      </c>
      <c r="K183" s="87" t="s">
        <v>11</v>
      </c>
      <c r="L183" s="91">
        <v>1</v>
      </c>
      <c r="M183" s="91">
        <v>1</v>
      </c>
      <c r="N183" s="88">
        <f>Goods_Receipt[[#This Row],[ Invoice. /
 Received Qty ]]-Goods_Receipt[[#This Row],[ Accepted Qty ]]</f>
        <v>0</v>
      </c>
      <c r="O183" s="84">
        <v>1802</v>
      </c>
      <c r="P183" s="93">
        <v>45611</v>
      </c>
      <c r="Q183" s="87"/>
      <c r="R183" s="87" t="s">
        <v>422</v>
      </c>
      <c r="S183" s="87" t="s">
        <v>423</v>
      </c>
      <c r="T183" s="85">
        <v>45446</v>
      </c>
      <c r="U183" s="89"/>
      <c r="V183" s="90"/>
      <c r="W183" s="109"/>
      <c r="X183" s="91"/>
      <c r="Y183" s="84" t="s">
        <v>424</v>
      </c>
      <c r="Z183" s="97"/>
    </row>
    <row r="184" spans="1:26" s="98" customFormat="1" x14ac:dyDescent="0.35">
      <c r="A184" s="86">
        <v>181</v>
      </c>
      <c r="B184" s="85">
        <v>45612</v>
      </c>
      <c r="C184" s="87" t="s">
        <v>426</v>
      </c>
      <c r="D184" s="85">
        <v>45594</v>
      </c>
      <c r="E184" s="84">
        <v>48</v>
      </c>
      <c r="F184" s="85">
        <v>45613</v>
      </c>
      <c r="G184" s="87"/>
      <c r="H184" s="87" t="s">
        <v>72</v>
      </c>
      <c r="I184" s="87" t="s">
        <v>99</v>
      </c>
      <c r="J184" s="101" t="s">
        <v>418</v>
      </c>
      <c r="K184" s="87" t="s">
        <v>11</v>
      </c>
      <c r="L184" s="91">
        <v>1</v>
      </c>
      <c r="M184" s="91">
        <v>1</v>
      </c>
      <c r="N184" s="88">
        <f>Goods_Receipt[[#This Row],[ Invoice. /
 Received Qty ]]-Goods_Receipt[[#This Row],[ Accepted Qty ]]</f>
        <v>0</v>
      </c>
      <c r="O184" s="84">
        <v>1802</v>
      </c>
      <c r="P184" s="93">
        <v>45611</v>
      </c>
      <c r="Q184" s="87"/>
      <c r="R184" s="87" t="s">
        <v>422</v>
      </c>
      <c r="S184" s="87" t="s">
        <v>423</v>
      </c>
      <c r="T184" s="85">
        <v>45446</v>
      </c>
      <c r="U184" s="89"/>
      <c r="V184" s="90"/>
      <c r="W184" s="109"/>
      <c r="X184" s="91"/>
      <c r="Y184" s="84" t="s">
        <v>424</v>
      </c>
      <c r="Z184" s="97"/>
    </row>
    <row r="185" spans="1:26" s="98" customFormat="1" x14ac:dyDescent="0.35">
      <c r="A185" s="86">
        <v>182</v>
      </c>
      <c r="B185" s="85">
        <v>45612</v>
      </c>
      <c r="C185" s="87" t="s">
        <v>426</v>
      </c>
      <c r="D185" s="85">
        <v>45594</v>
      </c>
      <c r="E185" s="84">
        <v>48</v>
      </c>
      <c r="F185" s="85">
        <v>45613</v>
      </c>
      <c r="G185" s="87"/>
      <c r="H185" s="87" t="s">
        <v>72</v>
      </c>
      <c r="I185" s="87" t="s">
        <v>99</v>
      </c>
      <c r="J185" s="101" t="s">
        <v>420</v>
      </c>
      <c r="K185" s="87" t="s">
        <v>11</v>
      </c>
      <c r="L185" s="91">
        <v>3</v>
      </c>
      <c r="M185" s="91">
        <v>3</v>
      </c>
      <c r="N185" s="88">
        <f>Goods_Receipt[[#This Row],[ Invoice. /
 Received Qty ]]-Goods_Receipt[[#This Row],[ Accepted Qty ]]</f>
        <v>0</v>
      </c>
      <c r="O185" s="84">
        <v>1802</v>
      </c>
      <c r="P185" s="93">
        <v>45611</v>
      </c>
      <c r="Q185" s="87"/>
      <c r="R185" s="87" t="s">
        <v>422</v>
      </c>
      <c r="S185" s="87" t="s">
        <v>423</v>
      </c>
      <c r="T185" s="85">
        <v>45446</v>
      </c>
      <c r="U185" s="89"/>
      <c r="V185" s="90"/>
      <c r="W185" s="109"/>
      <c r="X185" s="91"/>
      <c r="Y185" s="84" t="s">
        <v>424</v>
      </c>
      <c r="Z185" s="97"/>
    </row>
    <row r="186" spans="1:26" s="98" customFormat="1" x14ac:dyDescent="0.35">
      <c r="A186" s="86">
        <v>183</v>
      </c>
      <c r="B186" s="85">
        <v>45612</v>
      </c>
      <c r="C186" s="87" t="s">
        <v>426</v>
      </c>
      <c r="D186" s="85">
        <v>45594</v>
      </c>
      <c r="E186" s="84">
        <v>48</v>
      </c>
      <c r="F186" s="85">
        <v>45613</v>
      </c>
      <c r="G186" s="87"/>
      <c r="H186" s="87" t="s">
        <v>72</v>
      </c>
      <c r="I186" s="87" t="s">
        <v>99</v>
      </c>
      <c r="J186" s="101" t="s">
        <v>414</v>
      </c>
      <c r="K186" s="87" t="s">
        <v>11</v>
      </c>
      <c r="L186" s="91">
        <v>1</v>
      </c>
      <c r="M186" s="91">
        <v>1</v>
      </c>
      <c r="N186" s="88">
        <f>Goods_Receipt[[#This Row],[ Invoice. /
 Received Qty ]]-Goods_Receipt[[#This Row],[ Accepted Qty ]]</f>
        <v>0</v>
      </c>
      <c r="O186" s="84">
        <v>1802</v>
      </c>
      <c r="P186" s="93">
        <v>45611</v>
      </c>
      <c r="Q186" s="87"/>
      <c r="R186" s="87" t="s">
        <v>422</v>
      </c>
      <c r="S186" s="87" t="s">
        <v>423</v>
      </c>
      <c r="T186" s="85">
        <v>45446</v>
      </c>
      <c r="U186" s="89"/>
      <c r="V186" s="90"/>
      <c r="W186" s="109"/>
      <c r="X186" s="91"/>
      <c r="Y186" s="84" t="s">
        <v>424</v>
      </c>
      <c r="Z186" s="97"/>
    </row>
    <row r="187" spans="1:26" s="98" customFormat="1" x14ac:dyDescent="0.35">
      <c r="A187" s="86">
        <v>184</v>
      </c>
      <c r="B187" s="85">
        <v>45612</v>
      </c>
      <c r="C187" s="87" t="s">
        <v>426</v>
      </c>
      <c r="D187" s="85">
        <v>45594</v>
      </c>
      <c r="E187" s="84">
        <v>48</v>
      </c>
      <c r="F187" s="85">
        <v>45613</v>
      </c>
      <c r="G187" s="87"/>
      <c r="H187" s="87" t="s">
        <v>72</v>
      </c>
      <c r="I187" s="87" t="s">
        <v>99</v>
      </c>
      <c r="J187" s="101" t="s">
        <v>410</v>
      </c>
      <c r="K187" s="87" t="s">
        <v>11</v>
      </c>
      <c r="L187" s="91">
        <v>1</v>
      </c>
      <c r="M187" s="91">
        <v>1</v>
      </c>
      <c r="N187" s="88">
        <f>Goods_Receipt[[#This Row],[ Invoice. /
 Received Qty ]]-Goods_Receipt[[#This Row],[ Accepted Qty ]]</f>
        <v>0</v>
      </c>
      <c r="O187" s="84">
        <v>1802</v>
      </c>
      <c r="P187" s="93">
        <v>45611</v>
      </c>
      <c r="Q187" s="87"/>
      <c r="R187" s="87" t="s">
        <v>422</v>
      </c>
      <c r="S187" s="87" t="s">
        <v>423</v>
      </c>
      <c r="T187" s="85">
        <v>45446</v>
      </c>
      <c r="U187" s="89"/>
      <c r="V187" s="90"/>
      <c r="W187" s="109"/>
      <c r="X187" s="91"/>
      <c r="Y187" s="84" t="s">
        <v>424</v>
      </c>
      <c r="Z187" s="97"/>
    </row>
    <row r="188" spans="1:26" s="98" customFormat="1" x14ac:dyDescent="0.35">
      <c r="A188" s="86">
        <v>185</v>
      </c>
      <c r="B188" s="85">
        <v>45612</v>
      </c>
      <c r="C188" s="87" t="s">
        <v>426</v>
      </c>
      <c r="D188" s="85">
        <v>45594</v>
      </c>
      <c r="E188" s="84">
        <v>48</v>
      </c>
      <c r="F188" s="85">
        <v>45613</v>
      </c>
      <c r="G188" s="87"/>
      <c r="H188" s="87" t="s">
        <v>72</v>
      </c>
      <c r="I188" s="87" t="s">
        <v>99</v>
      </c>
      <c r="J188" s="101" t="s">
        <v>413</v>
      </c>
      <c r="K188" s="87" t="s">
        <v>11</v>
      </c>
      <c r="L188" s="91">
        <v>1</v>
      </c>
      <c r="M188" s="91">
        <v>1</v>
      </c>
      <c r="N188" s="88">
        <f>Goods_Receipt[[#This Row],[ Invoice. /
 Received Qty ]]-Goods_Receipt[[#This Row],[ Accepted Qty ]]</f>
        <v>0</v>
      </c>
      <c r="O188" s="84">
        <v>1802</v>
      </c>
      <c r="P188" s="93">
        <v>45611</v>
      </c>
      <c r="Q188" s="87"/>
      <c r="R188" s="87" t="s">
        <v>422</v>
      </c>
      <c r="S188" s="87" t="s">
        <v>423</v>
      </c>
      <c r="T188" s="85">
        <v>45446</v>
      </c>
      <c r="U188" s="89"/>
      <c r="V188" s="90"/>
      <c r="W188" s="109"/>
      <c r="X188" s="91"/>
      <c r="Y188" s="84" t="s">
        <v>424</v>
      </c>
      <c r="Z188" s="97"/>
    </row>
    <row r="189" spans="1:26" s="98" customFormat="1" x14ac:dyDescent="0.35">
      <c r="A189" s="86">
        <v>186</v>
      </c>
      <c r="B189" s="85">
        <v>45612</v>
      </c>
      <c r="C189" s="87" t="s">
        <v>426</v>
      </c>
      <c r="D189" s="85">
        <v>45594</v>
      </c>
      <c r="E189" s="84">
        <v>48</v>
      </c>
      <c r="F189" s="85">
        <v>45613</v>
      </c>
      <c r="G189" s="87"/>
      <c r="H189" s="87" t="s">
        <v>72</v>
      </c>
      <c r="I189" s="87" t="s">
        <v>99</v>
      </c>
      <c r="J189" s="101" t="s">
        <v>412</v>
      </c>
      <c r="K189" s="87" t="s">
        <v>11</v>
      </c>
      <c r="L189" s="91">
        <v>1</v>
      </c>
      <c r="M189" s="91">
        <v>1</v>
      </c>
      <c r="N189" s="88">
        <f>Goods_Receipt[[#This Row],[ Invoice. /
 Received Qty ]]-Goods_Receipt[[#This Row],[ Accepted Qty ]]</f>
        <v>0</v>
      </c>
      <c r="O189" s="84">
        <v>1802</v>
      </c>
      <c r="P189" s="93">
        <v>45611</v>
      </c>
      <c r="Q189" s="87"/>
      <c r="R189" s="87" t="s">
        <v>422</v>
      </c>
      <c r="S189" s="87" t="s">
        <v>423</v>
      </c>
      <c r="T189" s="85">
        <v>45446</v>
      </c>
      <c r="U189" s="89"/>
      <c r="V189" s="90"/>
      <c r="W189" s="109"/>
      <c r="X189" s="91"/>
      <c r="Y189" s="84" t="s">
        <v>424</v>
      </c>
      <c r="Z189" s="97"/>
    </row>
    <row r="190" spans="1:26" s="98" customFormat="1" x14ac:dyDescent="0.35">
      <c r="A190" s="86">
        <v>187</v>
      </c>
      <c r="B190" s="85">
        <v>45612</v>
      </c>
      <c r="C190" s="87" t="s">
        <v>426</v>
      </c>
      <c r="D190" s="85">
        <v>45594</v>
      </c>
      <c r="E190" s="84">
        <v>48</v>
      </c>
      <c r="F190" s="85">
        <v>45613</v>
      </c>
      <c r="G190" s="87"/>
      <c r="H190" s="87" t="s">
        <v>72</v>
      </c>
      <c r="I190" s="87" t="s">
        <v>99</v>
      </c>
      <c r="J190" s="101" t="s">
        <v>409</v>
      </c>
      <c r="K190" s="87" t="s">
        <v>11</v>
      </c>
      <c r="L190" s="91">
        <v>7</v>
      </c>
      <c r="M190" s="91">
        <v>7</v>
      </c>
      <c r="N190" s="88">
        <f>Goods_Receipt[[#This Row],[ Invoice. /
 Received Qty ]]-Goods_Receipt[[#This Row],[ Accepted Qty ]]</f>
        <v>0</v>
      </c>
      <c r="O190" s="84">
        <v>1802</v>
      </c>
      <c r="P190" s="93">
        <v>45611</v>
      </c>
      <c r="Q190" s="87"/>
      <c r="R190" s="87" t="s">
        <v>422</v>
      </c>
      <c r="S190" s="87" t="s">
        <v>423</v>
      </c>
      <c r="T190" s="85">
        <v>45446</v>
      </c>
      <c r="U190" s="89"/>
      <c r="V190" s="90"/>
      <c r="W190" s="109"/>
      <c r="X190" s="91"/>
      <c r="Y190" s="84" t="s">
        <v>424</v>
      </c>
      <c r="Z190" s="97"/>
    </row>
    <row r="191" spans="1:26" s="98" customFormat="1" x14ac:dyDescent="0.35">
      <c r="A191" s="86">
        <v>188</v>
      </c>
      <c r="B191" s="85">
        <v>45613</v>
      </c>
      <c r="C191" s="87" t="s">
        <v>425</v>
      </c>
      <c r="D191" s="85">
        <v>45594</v>
      </c>
      <c r="E191" s="84">
        <v>49</v>
      </c>
      <c r="F191" s="85">
        <v>45613</v>
      </c>
      <c r="G191" s="87"/>
      <c r="H191" s="87" t="s">
        <v>72</v>
      </c>
      <c r="I191" s="87" t="s">
        <v>99</v>
      </c>
      <c r="J191" s="101" t="s">
        <v>407</v>
      </c>
      <c r="K191" s="87" t="s">
        <v>11</v>
      </c>
      <c r="L191" s="91">
        <v>1</v>
      </c>
      <c r="M191" s="91">
        <v>1</v>
      </c>
      <c r="N191" s="88">
        <f>Goods_Receipt[[#This Row],[ Invoice. /
 Received Qty ]]-Goods_Receipt[[#This Row],[ Accepted Qty ]]</f>
        <v>0</v>
      </c>
      <c r="O191" s="87">
        <v>1804</v>
      </c>
      <c r="P191" s="93">
        <v>45611</v>
      </c>
      <c r="Q191" s="87"/>
      <c r="R191" s="87" t="s">
        <v>427</v>
      </c>
      <c r="S191" s="87" t="s">
        <v>423</v>
      </c>
      <c r="T191" s="85">
        <v>45446</v>
      </c>
      <c r="U191" s="89"/>
      <c r="V191" s="90"/>
      <c r="W191" s="109"/>
      <c r="X191" s="89"/>
      <c r="Y191" s="84" t="s">
        <v>428</v>
      </c>
      <c r="Z191" s="97"/>
    </row>
    <row r="192" spans="1:26" s="98" customFormat="1" x14ac:dyDescent="0.35">
      <c r="A192" s="86">
        <v>189</v>
      </c>
      <c r="B192" s="85">
        <v>45613</v>
      </c>
      <c r="C192" s="87" t="s">
        <v>425</v>
      </c>
      <c r="D192" s="85">
        <v>45594</v>
      </c>
      <c r="E192" s="84">
        <v>49</v>
      </c>
      <c r="F192" s="85">
        <v>45613</v>
      </c>
      <c r="G192" s="87"/>
      <c r="H192" s="87" t="s">
        <v>72</v>
      </c>
      <c r="I192" s="87" t="s">
        <v>99</v>
      </c>
      <c r="J192" s="101" t="s">
        <v>408</v>
      </c>
      <c r="K192" s="87" t="s">
        <v>11</v>
      </c>
      <c r="L192" s="91">
        <v>8</v>
      </c>
      <c r="M192" s="91">
        <v>8</v>
      </c>
      <c r="N192" s="88">
        <f>Goods_Receipt[[#This Row],[ Invoice. /
 Received Qty ]]-Goods_Receipt[[#This Row],[ Accepted Qty ]]</f>
        <v>0</v>
      </c>
      <c r="O192" s="87">
        <v>1804</v>
      </c>
      <c r="P192" s="93">
        <v>45611</v>
      </c>
      <c r="Q192" s="87"/>
      <c r="R192" s="87" t="s">
        <v>427</v>
      </c>
      <c r="S192" s="87" t="s">
        <v>423</v>
      </c>
      <c r="T192" s="85">
        <v>45446</v>
      </c>
      <c r="U192" s="89"/>
      <c r="V192" s="90"/>
      <c r="W192" s="109"/>
      <c r="X192" s="91"/>
      <c r="Y192" s="84" t="s">
        <v>428</v>
      </c>
      <c r="Z192" s="97"/>
    </row>
    <row r="193" spans="1:26" s="98" customFormat="1" x14ac:dyDescent="0.35">
      <c r="A193" s="86">
        <v>190</v>
      </c>
      <c r="B193" s="85">
        <v>45613</v>
      </c>
      <c r="C193" s="87" t="s">
        <v>425</v>
      </c>
      <c r="D193" s="85">
        <v>45594</v>
      </c>
      <c r="E193" s="84">
        <v>49</v>
      </c>
      <c r="F193" s="85">
        <v>45613</v>
      </c>
      <c r="G193" s="87"/>
      <c r="H193" s="87" t="s">
        <v>72</v>
      </c>
      <c r="I193" s="87" t="s">
        <v>99</v>
      </c>
      <c r="J193" s="101" t="s">
        <v>415</v>
      </c>
      <c r="K193" s="87" t="s">
        <v>11</v>
      </c>
      <c r="L193" s="91">
        <v>1</v>
      </c>
      <c r="M193" s="91">
        <v>1</v>
      </c>
      <c r="N193" s="88">
        <f>Goods_Receipt[[#This Row],[ Invoice. /
 Received Qty ]]-Goods_Receipt[[#This Row],[ Accepted Qty ]]</f>
        <v>0</v>
      </c>
      <c r="O193" s="87">
        <v>1804</v>
      </c>
      <c r="P193" s="93">
        <v>45611</v>
      </c>
      <c r="Q193" s="87"/>
      <c r="R193" s="87" t="s">
        <v>427</v>
      </c>
      <c r="S193" s="87" t="s">
        <v>423</v>
      </c>
      <c r="T193" s="85">
        <v>45446</v>
      </c>
      <c r="U193" s="89"/>
      <c r="V193" s="90"/>
      <c r="W193" s="109"/>
      <c r="X193" s="91"/>
      <c r="Y193" s="84" t="s">
        <v>428</v>
      </c>
      <c r="Z193" s="97"/>
    </row>
    <row r="194" spans="1:26" s="98" customFormat="1" x14ac:dyDescent="0.35">
      <c r="A194" s="86">
        <v>191</v>
      </c>
      <c r="B194" s="85">
        <v>45613</v>
      </c>
      <c r="C194" s="87" t="s">
        <v>425</v>
      </c>
      <c r="D194" s="85">
        <v>45594</v>
      </c>
      <c r="E194" s="84">
        <v>49</v>
      </c>
      <c r="F194" s="85">
        <v>45613</v>
      </c>
      <c r="G194" s="87"/>
      <c r="H194" s="87" t="s">
        <v>72</v>
      </c>
      <c r="I194" s="87" t="s">
        <v>99</v>
      </c>
      <c r="J194" s="101" t="s">
        <v>416</v>
      </c>
      <c r="K194" s="87" t="s">
        <v>11</v>
      </c>
      <c r="L194" s="91">
        <v>1</v>
      </c>
      <c r="M194" s="91">
        <v>1</v>
      </c>
      <c r="N194" s="88">
        <f>Goods_Receipt[[#This Row],[ Invoice. /
 Received Qty ]]-Goods_Receipt[[#This Row],[ Accepted Qty ]]</f>
        <v>0</v>
      </c>
      <c r="O194" s="87">
        <v>1804</v>
      </c>
      <c r="P194" s="93">
        <v>45611</v>
      </c>
      <c r="Q194" s="87"/>
      <c r="R194" s="87" t="s">
        <v>427</v>
      </c>
      <c r="S194" s="87" t="s">
        <v>423</v>
      </c>
      <c r="T194" s="85">
        <v>45446</v>
      </c>
      <c r="U194" s="89"/>
      <c r="V194" s="90"/>
      <c r="W194" s="109"/>
      <c r="X194" s="91"/>
      <c r="Y194" s="84" t="s">
        <v>428</v>
      </c>
      <c r="Z194" s="97"/>
    </row>
    <row r="195" spans="1:26" s="98" customFormat="1" x14ac:dyDescent="0.35">
      <c r="A195" s="86">
        <v>192</v>
      </c>
      <c r="B195" s="85">
        <v>45613</v>
      </c>
      <c r="C195" s="87" t="s">
        <v>425</v>
      </c>
      <c r="D195" s="85">
        <v>45594</v>
      </c>
      <c r="E195" s="84">
        <v>49</v>
      </c>
      <c r="F195" s="85">
        <v>45613</v>
      </c>
      <c r="G195" s="87"/>
      <c r="H195" s="87" t="s">
        <v>72</v>
      </c>
      <c r="I195" s="87" t="s">
        <v>99</v>
      </c>
      <c r="J195" s="101" t="s">
        <v>419</v>
      </c>
      <c r="K195" s="87" t="s">
        <v>11</v>
      </c>
      <c r="L195" s="91">
        <v>1</v>
      </c>
      <c r="M195" s="91">
        <v>1</v>
      </c>
      <c r="N195" s="88">
        <f>Goods_Receipt[[#This Row],[ Invoice. /
 Received Qty ]]-Goods_Receipt[[#This Row],[ Accepted Qty ]]</f>
        <v>0</v>
      </c>
      <c r="O195" s="87">
        <v>1804</v>
      </c>
      <c r="P195" s="93">
        <v>45611</v>
      </c>
      <c r="Q195" s="87"/>
      <c r="R195" s="87" t="s">
        <v>427</v>
      </c>
      <c r="S195" s="87" t="s">
        <v>423</v>
      </c>
      <c r="T195" s="85">
        <v>45446</v>
      </c>
      <c r="U195" s="89"/>
      <c r="V195" s="90"/>
      <c r="W195" s="109"/>
      <c r="X195" s="91"/>
      <c r="Y195" s="84" t="s">
        <v>428</v>
      </c>
      <c r="Z195" s="97"/>
    </row>
    <row r="196" spans="1:26" s="98" customFormat="1" x14ac:dyDescent="0.35">
      <c r="A196" s="86">
        <v>193</v>
      </c>
      <c r="B196" s="85">
        <v>45613</v>
      </c>
      <c r="C196" s="87" t="s">
        <v>425</v>
      </c>
      <c r="D196" s="85">
        <v>45594</v>
      </c>
      <c r="E196" s="84">
        <v>49</v>
      </c>
      <c r="F196" s="85">
        <v>45613</v>
      </c>
      <c r="G196" s="87"/>
      <c r="H196" s="87" t="s">
        <v>72</v>
      </c>
      <c r="I196" s="87" t="s">
        <v>99</v>
      </c>
      <c r="J196" s="101" t="s">
        <v>411</v>
      </c>
      <c r="K196" s="87" t="s">
        <v>11</v>
      </c>
      <c r="L196" s="91">
        <v>3</v>
      </c>
      <c r="M196" s="91">
        <v>3</v>
      </c>
      <c r="N196" s="88">
        <f>Goods_Receipt[[#This Row],[ Invoice. /
 Received Qty ]]-Goods_Receipt[[#This Row],[ Accepted Qty ]]</f>
        <v>0</v>
      </c>
      <c r="O196" s="87">
        <v>1804</v>
      </c>
      <c r="P196" s="93">
        <v>45611</v>
      </c>
      <c r="Q196" s="87"/>
      <c r="R196" s="87" t="s">
        <v>427</v>
      </c>
      <c r="S196" s="87" t="s">
        <v>423</v>
      </c>
      <c r="T196" s="85">
        <v>45446</v>
      </c>
      <c r="U196" s="89"/>
      <c r="V196" s="90"/>
      <c r="W196" s="109"/>
      <c r="X196" s="91"/>
      <c r="Y196" s="84" t="s">
        <v>428</v>
      </c>
      <c r="Z196" s="97"/>
    </row>
    <row r="197" spans="1:26" s="98" customFormat="1" x14ac:dyDescent="0.35">
      <c r="A197" s="86">
        <v>194</v>
      </c>
      <c r="B197" s="85">
        <v>45613</v>
      </c>
      <c r="C197" s="87" t="s">
        <v>425</v>
      </c>
      <c r="D197" s="85">
        <v>45594</v>
      </c>
      <c r="E197" s="84">
        <v>49</v>
      </c>
      <c r="F197" s="85">
        <v>45613</v>
      </c>
      <c r="G197" s="87"/>
      <c r="H197" s="87" t="s">
        <v>72</v>
      </c>
      <c r="I197" s="87" t="s">
        <v>99</v>
      </c>
      <c r="J197" s="101" t="s">
        <v>417</v>
      </c>
      <c r="K197" s="87" t="s">
        <v>11</v>
      </c>
      <c r="L197" s="91">
        <v>1</v>
      </c>
      <c r="M197" s="91">
        <v>1</v>
      </c>
      <c r="N197" s="88">
        <f>Goods_Receipt[[#This Row],[ Invoice. /
 Received Qty ]]-Goods_Receipt[[#This Row],[ Accepted Qty ]]</f>
        <v>0</v>
      </c>
      <c r="O197" s="87">
        <v>1804</v>
      </c>
      <c r="P197" s="93">
        <v>45611</v>
      </c>
      <c r="Q197" s="87"/>
      <c r="R197" s="87" t="s">
        <v>427</v>
      </c>
      <c r="S197" s="87" t="s">
        <v>423</v>
      </c>
      <c r="T197" s="85">
        <v>45446</v>
      </c>
      <c r="U197" s="89"/>
      <c r="V197" s="90"/>
      <c r="W197" s="109"/>
      <c r="X197" s="91"/>
      <c r="Y197" s="84" t="s">
        <v>428</v>
      </c>
      <c r="Z197" s="97"/>
    </row>
    <row r="198" spans="1:26" s="98" customFormat="1" x14ac:dyDescent="0.35">
      <c r="A198" s="86">
        <v>195</v>
      </c>
      <c r="B198" s="85">
        <v>45613</v>
      </c>
      <c r="C198" s="87" t="s">
        <v>425</v>
      </c>
      <c r="D198" s="85">
        <v>45594</v>
      </c>
      <c r="E198" s="84">
        <v>49</v>
      </c>
      <c r="F198" s="85">
        <v>45613</v>
      </c>
      <c r="G198" s="87"/>
      <c r="H198" s="87" t="s">
        <v>72</v>
      </c>
      <c r="I198" s="87" t="s">
        <v>99</v>
      </c>
      <c r="J198" s="101" t="s">
        <v>418</v>
      </c>
      <c r="K198" s="87" t="s">
        <v>11</v>
      </c>
      <c r="L198" s="91">
        <v>1</v>
      </c>
      <c r="M198" s="91">
        <v>1</v>
      </c>
      <c r="N198" s="88">
        <f>Goods_Receipt[[#This Row],[ Invoice. /
 Received Qty ]]-Goods_Receipt[[#This Row],[ Accepted Qty ]]</f>
        <v>0</v>
      </c>
      <c r="O198" s="87">
        <v>1804</v>
      </c>
      <c r="P198" s="93">
        <v>45611</v>
      </c>
      <c r="Q198" s="87"/>
      <c r="R198" s="87" t="s">
        <v>427</v>
      </c>
      <c r="S198" s="87" t="s">
        <v>423</v>
      </c>
      <c r="T198" s="85">
        <v>45446</v>
      </c>
      <c r="U198" s="89"/>
      <c r="V198" s="90"/>
      <c r="W198" s="109"/>
      <c r="X198" s="91"/>
      <c r="Y198" s="84" t="s">
        <v>428</v>
      </c>
      <c r="Z198" s="97"/>
    </row>
    <row r="199" spans="1:26" s="98" customFormat="1" x14ac:dyDescent="0.35">
      <c r="A199" s="86">
        <v>196</v>
      </c>
      <c r="B199" s="85">
        <v>45613</v>
      </c>
      <c r="C199" s="87" t="s">
        <v>425</v>
      </c>
      <c r="D199" s="85">
        <v>45594</v>
      </c>
      <c r="E199" s="84">
        <v>49</v>
      </c>
      <c r="F199" s="85">
        <v>45613</v>
      </c>
      <c r="G199" s="87"/>
      <c r="H199" s="87" t="s">
        <v>72</v>
      </c>
      <c r="I199" s="87" t="s">
        <v>99</v>
      </c>
      <c r="J199" s="101" t="s">
        <v>420</v>
      </c>
      <c r="K199" s="87" t="s">
        <v>11</v>
      </c>
      <c r="L199" s="91">
        <v>3</v>
      </c>
      <c r="M199" s="91">
        <v>3</v>
      </c>
      <c r="N199" s="88">
        <f>Goods_Receipt[[#This Row],[ Invoice. /
 Received Qty ]]-Goods_Receipt[[#This Row],[ Accepted Qty ]]</f>
        <v>0</v>
      </c>
      <c r="O199" s="87">
        <v>1804</v>
      </c>
      <c r="P199" s="93">
        <v>45611</v>
      </c>
      <c r="Q199" s="87"/>
      <c r="R199" s="87" t="s">
        <v>427</v>
      </c>
      <c r="S199" s="87" t="s">
        <v>423</v>
      </c>
      <c r="T199" s="85">
        <v>45446</v>
      </c>
      <c r="U199" s="89"/>
      <c r="V199" s="90"/>
      <c r="W199" s="109"/>
      <c r="X199" s="91"/>
      <c r="Y199" s="84" t="s">
        <v>428</v>
      </c>
      <c r="Z199" s="97"/>
    </row>
    <row r="200" spans="1:26" s="98" customFormat="1" x14ac:dyDescent="0.35">
      <c r="A200" s="86">
        <v>197</v>
      </c>
      <c r="B200" s="85">
        <v>45613</v>
      </c>
      <c r="C200" s="87" t="s">
        <v>425</v>
      </c>
      <c r="D200" s="85">
        <v>45594</v>
      </c>
      <c r="E200" s="84">
        <v>49</v>
      </c>
      <c r="F200" s="85">
        <v>45613</v>
      </c>
      <c r="G200" s="87"/>
      <c r="H200" s="87" t="s">
        <v>72</v>
      </c>
      <c r="I200" s="87" t="s">
        <v>99</v>
      </c>
      <c r="J200" s="101" t="s">
        <v>414</v>
      </c>
      <c r="K200" s="87" t="s">
        <v>11</v>
      </c>
      <c r="L200" s="91">
        <v>1</v>
      </c>
      <c r="M200" s="91">
        <v>1</v>
      </c>
      <c r="N200" s="88">
        <f>Goods_Receipt[[#This Row],[ Invoice. /
 Received Qty ]]-Goods_Receipt[[#This Row],[ Accepted Qty ]]</f>
        <v>0</v>
      </c>
      <c r="O200" s="87">
        <v>1804</v>
      </c>
      <c r="P200" s="93">
        <v>45611</v>
      </c>
      <c r="Q200" s="87"/>
      <c r="R200" s="87" t="s">
        <v>427</v>
      </c>
      <c r="S200" s="87" t="s">
        <v>423</v>
      </c>
      <c r="T200" s="85">
        <v>45446</v>
      </c>
      <c r="U200" s="89"/>
      <c r="V200" s="90"/>
      <c r="W200" s="109"/>
      <c r="X200" s="91"/>
      <c r="Y200" s="84" t="s">
        <v>428</v>
      </c>
      <c r="Z200" s="97"/>
    </row>
    <row r="201" spans="1:26" s="98" customFormat="1" x14ac:dyDescent="0.35">
      <c r="A201" s="86">
        <v>198</v>
      </c>
      <c r="B201" s="85">
        <v>45613</v>
      </c>
      <c r="C201" s="87" t="s">
        <v>425</v>
      </c>
      <c r="D201" s="85">
        <v>45594</v>
      </c>
      <c r="E201" s="84">
        <v>49</v>
      </c>
      <c r="F201" s="85">
        <v>45613</v>
      </c>
      <c r="G201" s="87"/>
      <c r="H201" s="87" t="s">
        <v>72</v>
      </c>
      <c r="I201" s="87" t="s">
        <v>99</v>
      </c>
      <c r="J201" s="101" t="s">
        <v>410</v>
      </c>
      <c r="K201" s="87" t="s">
        <v>11</v>
      </c>
      <c r="L201" s="91">
        <v>1</v>
      </c>
      <c r="M201" s="91">
        <v>1</v>
      </c>
      <c r="N201" s="88">
        <f>Goods_Receipt[[#This Row],[ Invoice. /
 Received Qty ]]-Goods_Receipt[[#This Row],[ Accepted Qty ]]</f>
        <v>0</v>
      </c>
      <c r="O201" s="87">
        <v>1804</v>
      </c>
      <c r="P201" s="93">
        <v>45611</v>
      </c>
      <c r="Q201" s="87"/>
      <c r="R201" s="87" t="s">
        <v>427</v>
      </c>
      <c r="S201" s="87" t="s">
        <v>423</v>
      </c>
      <c r="T201" s="85">
        <v>45446</v>
      </c>
      <c r="U201" s="89"/>
      <c r="V201" s="90"/>
      <c r="W201" s="109"/>
      <c r="X201" s="91"/>
      <c r="Y201" s="84" t="s">
        <v>428</v>
      </c>
      <c r="Z201" s="97"/>
    </row>
    <row r="202" spans="1:26" s="98" customFormat="1" x14ac:dyDescent="0.35">
      <c r="A202" s="86">
        <v>199</v>
      </c>
      <c r="B202" s="85">
        <v>45613</v>
      </c>
      <c r="C202" s="87" t="s">
        <v>425</v>
      </c>
      <c r="D202" s="85">
        <v>45594</v>
      </c>
      <c r="E202" s="84">
        <v>49</v>
      </c>
      <c r="F202" s="85">
        <v>45613</v>
      </c>
      <c r="G202" s="87"/>
      <c r="H202" s="87" t="s">
        <v>72</v>
      </c>
      <c r="I202" s="87" t="s">
        <v>99</v>
      </c>
      <c r="J202" s="101" t="s">
        <v>413</v>
      </c>
      <c r="K202" s="87" t="s">
        <v>11</v>
      </c>
      <c r="L202" s="91">
        <v>1</v>
      </c>
      <c r="M202" s="91">
        <v>1</v>
      </c>
      <c r="N202" s="88">
        <f>Goods_Receipt[[#This Row],[ Invoice. /
 Received Qty ]]-Goods_Receipt[[#This Row],[ Accepted Qty ]]</f>
        <v>0</v>
      </c>
      <c r="O202" s="87">
        <v>1804</v>
      </c>
      <c r="P202" s="93">
        <v>45611</v>
      </c>
      <c r="Q202" s="87"/>
      <c r="R202" s="87" t="s">
        <v>427</v>
      </c>
      <c r="S202" s="87" t="s">
        <v>423</v>
      </c>
      <c r="T202" s="85">
        <v>45446</v>
      </c>
      <c r="U202" s="89"/>
      <c r="V202" s="90"/>
      <c r="W202" s="109"/>
      <c r="X202" s="91"/>
      <c r="Y202" s="84" t="s">
        <v>428</v>
      </c>
      <c r="Z202" s="97"/>
    </row>
    <row r="203" spans="1:26" s="98" customFormat="1" x14ac:dyDescent="0.35">
      <c r="A203" s="86">
        <v>200</v>
      </c>
      <c r="B203" s="85">
        <v>45613</v>
      </c>
      <c r="C203" s="87" t="s">
        <v>425</v>
      </c>
      <c r="D203" s="85">
        <v>45594</v>
      </c>
      <c r="E203" s="84">
        <v>49</v>
      </c>
      <c r="F203" s="85">
        <v>45613</v>
      </c>
      <c r="G203" s="87"/>
      <c r="H203" s="87" t="s">
        <v>72</v>
      </c>
      <c r="I203" s="87" t="s">
        <v>99</v>
      </c>
      <c r="J203" s="101" t="s">
        <v>412</v>
      </c>
      <c r="K203" s="87" t="s">
        <v>11</v>
      </c>
      <c r="L203" s="91">
        <v>1</v>
      </c>
      <c r="M203" s="91">
        <v>1</v>
      </c>
      <c r="N203" s="88">
        <f>Goods_Receipt[[#This Row],[ Invoice. /
 Received Qty ]]-Goods_Receipt[[#This Row],[ Accepted Qty ]]</f>
        <v>0</v>
      </c>
      <c r="O203" s="87">
        <v>1804</v>
      </c>
      <c r="P203" s="93">
        <v>45611</v>
      </c>
      <c r="Q203" s="87"/>
      <c r="R203" s="87" t="s">
        <v>427</v>
      </c>
      <c r="S203" s="87" t="s">
        <v>423</v>
      </c>
      <c r="T203" s="85">
        <v>45446</v>
      </c>
      <c r="U203" s="89"/>
      <c r="V203" s="90"/>
      <c r="W203" s="109"/>
      <c r="X203" s="91"/>
      <c r="Y203" s="84" t="s">
        <v>428</v>
      </c>
      <c r="Z203" s="97"/>
    </row>
    <row r="204" spans="1:26" s="98" customFormat="1" x14ac:dyDescent="0.35">
      <c r="A204" s="86">
        <v>201</v>
      </c>
      <c r="B204" s="85">
        <v>45613</v>
      </c>
      <c r="C204" s="87" t="s">
        <v>425</v>
      </c>
      <c r="D204" s="85">
        <v>45594</v>
      </c>
      <c r="E204" s="84">
        <v>49</v>
      </c>
      <c r="F204" s="85">
        <v>45613</v>
      </c>
      <c r="G204" s="87"/>
      <c r="H204" s="87" t="s">
        <v>72</v>
      </c>
      <c r="I204" s="87" t="s">
        <v>99</v>
      </c>
      <c r="J204" s="101" t="s">
        <v>409</v>
      </c>
      <c r="K204" s="87" t="s">
        <v>11</v>
      </c>
      <c r="L204" s="91">
        <v>7</v>
      </c>
      <c r="M204" s="91">
        <v>7</v>
      </c>
      <c r="N204" s="88">
        <f>Goods_Receipt[[#This Row],[ Invoice. /
 Received Qty ]]-Goods_Receipt[[#This Row],[ Accepted Qty ]]</f>
        <v>0</v>
      </c>
      <c r="O204" s="87">
        <v>1804</v>
      </c>
      <c r="P204" s="93">
        <v>45611</v>
      </c>
      <c r="Q204" s="87"/>
      <c r="R204" s="87" t="s">
        <v>427</v>
      </c>
      <c r="S204" s="87" t="s">
        <v>423</v>
      </c>
      <c r="T204" s="85">
        <v>45446</v>
      </c>
      <c r="U204" s="89"/>
      <c r="V204" s="90"/>
      <c r="W204" s="109"/>
      <c r="X204" s="91"/>
      <c r="Y204" s="84" t="s">
        <v>428</v>
      </c>
      <c r="Z204" s="97"/>
    </row>
    <row r="205" spans="1:26" s="98" customFormat="1" x14ac:dyDescent="0.35">
      <c r="A205" s="86">
        <v>202</v>
      </c>
      <c r="B205" s="85">
        <v>45612</v>
      </c>
      <c r="C205" s="87">
        <v>163</v>
      </c>
      <c r="D205" s="85">
        <v>45609</v>
      </c>
      <c r="E205" s="84">
        <v>50</v>
      </c>
      <c r="F205" s="85">
        <v>45614</v>
      </c>
      <c r="G205" s="87"/>
      <c r="H205" s="87" t="s">
        <v>72</v>
      </c>
      <c r="I205" s="87" t="s">
        <v>81</v>
      </c>
      <c r="J205" s="101" t="s">
        <v>421</v>
      </c>
      <c r="K205" s="87" t="s">
        <v>225</v>
      </c>
      <c r="L205" s="91">
        <v>10</v>
      </c>
      <c r="M205" s="91">
        <v>10</v>
      </c>
      <c r="N205" s="88">
        <f>Goods_Receipt[[#This Row],[ Invoice. /
 Received Qty ]]-Goods_Receipt[[#This Row],[ Accepted Qty ]]</f>
        <v>0</v>
      </c>
      <c r="O205" s="87"/>
      <c r="P205" s="93"/>
      <c r="Q205" s="87"/>
      <c r="R205" s="87" t="s">
        <v>440</v>
      </c>
      <c r="S205" s="87"/>
      <c r="T205" s="85"/>
      <c r="U205" s="89"/>
      <c r="V205" s="90"/>
      <c r="W205" s="109"/>
      <c r="X205" s="89"/>
      <c r="Y205" s="84"/>
      <c r="Z205" s="97"/>
    </row>
    <row r="206" spans="1:26" s="98" customFormat="1" x14ac:dyDescent="0.35">
      <c r="A206" s="86">
        <v>203</v>
      </c>
      <c r="B206" s="85">
        <v>45614</v>
      </c>
      <c r="C206" s="87" t="s">
        <v>441</v>
      </c>
      <c r="D206" s="85">
        <v>45614</v>
      </c>
      <c r="E206" s="84" t="s">
        <v>442</v>
      </c>
      <c r="F206" s="85">
        <v>45614</v>
      </c>
      <c r="G206" s="87"/>
      <c r="H206" s="87" t="s">
        <v>72</v>
      </c>
      <c r="I206" s="87" t="s">
        <v>79</v>
      </c>
      <c r="J206" s="101" t="s">
        <v>432</v>
      </c>
      <c r="K206" s="87" t="s">
        <v>225</v>
      </c>
      <c r="L206" s="91">
        <v>150</v>
      </c>
      <c r="M206" s="91">
        <v>150</v>
      </c>
      <c r="N206" s="88">
        <f>Goods_Receipt[[#This Row],[ Invoice. /
 Received Qty ]]-Goods_Receipt[[#This Row],[ Accepted Qty ]]</f>
        <v>0</v>
      </c>
      <c r="O206" s="87"/>
      <c r="P206" s="93"/>
      <c r="Q206" s="87"/>
      <c r="R206" s="87" t="s">
        <v>441</v>
      </c>
      <c r="S206" s="87" t="s">
        <v>443</v>
      </c>
      <c r="T206" s="85">
        <v>45605</v>
      </c>
      <c r="U206" s="89"/>
      <c r="V206" s="90"/>
      <c r="W206" s="109"/>
      <c r="X206" s="89"/>
      <c r="Y206" s="84" t="s">
        <v>445</v>
      </c>
      <c r="Z206" s="97"/>
    </row>
    <row r="207" spans="1:26" s="98" customFormat="1" x14ac:dyDescent="0.35">
      <c r="A207" s="86">
        <v>204</v>
      </c>
      <c r="B207" s="85">
        <v>45614</v>
      </c>
      <c r="C207" s="87" t="s">
        <v>441</v>
      </c>
      <c r="D207" s="85">
        <v>45614</v>
      </c>
      <c r="E207" s="84" t="s">
        <v>442</v>
      </c>
      <c r="F207" s="85">
        <v>45614</v>
      </c>
      <c r="G207" s="87"/>
      <c r="H207" s="87" t="s">
        <v>72</v>
      </c>
      <c r="I207" s="87" t="s">
        <v>95</v>
      </c>
      <c r="J207" s="101" t="s">
        <v>433</v>
      </c>
      <c r="K207" s="87" t="s">
        <v>225</v>
      </c>
      <c r="L207" s="91">
        <v>30</v>
      </c>
      <c r="M207" s="91">
        <v>30</v>
      </c>
      <c r="N207" s="88">
        <f>Goods_Receipt[[#This Row],[ Invoice. /
 Received Qty ]]-Goods_Receipt[[#This Row],[ Accepted Qty ]]</f>
        <v>0</v>
      </c>
      <c r="O207" s="87"/>
      <c r="P207" s="93"/>
      <c r="Q207" s="87"/>
      <c r="R207" s="87" t="s">
        <v>441</v>
      </c>
      <c r="S207" s="87" t="s">
        <v>443</v>
      </c>
      <c r="T207" s="85">
        <v>45605</v>
      </c>
      <c r="U207" s="89"/>
      <c r="V207" s="90"/>
      <c r="W207" s="109"/>
      <c r="X207" s="89"/>
      <c r="Y207" s="84" t="s">
        <v>445</v>
      </c>
      <c r="Z207" s="97"/>
    </row>
    <row r="208" spans="1:26" s="98" customFormat="1" x14ac:dyDescent="0.35">
      <c r="A208" s="86">
        <v>205</v>
      </c>
      <c r="B208" s="85">
        <v>45614</v>
      </c>
      <c r="C208" s="87" t="s">
        <v>441</v>
      </c>
      <c r="D208" s="85">
        <v>45614</v>
      </c>
      <c r="E208" s="84" t="s">
        <v>442</v>
      </c>
      <c r="F208" s="85">
        <v>45614</v>
      </c>
      <c r="G208" s="87"/>
      <c r="H208" s="87" t="s">
        <v>72</v>
      </c>
      <c r="I208" s="87" t="s">
        <v>95</v>
      </c>
      <c r="J208" s="101" t="s">
        <v>434</v>
      </c>
      <c r="K208" s="87" t="s">
        <v>225</v>
      </c>
      <c r="L208" s="91">
        <v>3081</v>
      </c>
      <c r="M208" s="91">
        <v>3081</v>
      </c>
      <c r="N208" s="88">
        <f>Goods_Receipt[[#This Row],[ Invoice. /
 Received Qty ]]-Goods_Receipt[[#This Row],[ Accepted Qty ]]</f>
        <v>0</v>
      </c>
      <c r="O208" s="87"/>
      <c r="P208" s="93"/>
      <c r="Q208" s="87"/>
      <c r="R208" s="87" t="s">
        <v>441</v>
      </c>
      <c r="S208" s="87" t="s">
        <v>443</v>
      </c>
      <c r="T208" s="85">
        <v>45605</v>
      </c>
      <c r="U208" s="89"/>
      <c r="V208" s="90"/>
      <c r="W208" s="109"/>
      <c r="X208" s="89"/>
      <c r="Y208" s="84" t="s">
        <v>445</v>
      </c>
      <c r="Z208" s="97"/>
    </row>
    <row r="209" spans="1:26" s="98" customFormat="1" x14ac:dyDescent="0.35">
      <c r="A209" s="86">
        <v>206</v>
      </c>
      <c r="B209" s="85">
        <v>45614</v>
      </c>
      <c r="C209" s="87" t="s">
        <v>441</v>
      </c>
      <c r="D209" s="85">
        <v>45614</v>
      </c>
      <c r="E209" s="84" t="s">
        <v>442</v>
      </c>
      <c r="F209" s="85">
        <v>45614</v>
      </c>
      <c r="G209" s="87"/>
      <c r="H209" s="87" t="s">
        <v>72</v>
      </c>
      <c r="I209" s="87" t="s">
        <v>95</v>
      </c>
      <c r="J209" s="101" t="s">
        <v>435</v>
      </c>
      <c r="K209" s="87" t="s">
        <v>225</v>
      </c>
      <c r="L209" s="91">
        <v>30</v>
      </c>
      <c r="M209" s="91">
        <v>30</v>
      </c>
      <c r="N209" s="88">
        <f>Goods_Receipt[[#This Row],[ Invoice. /
 Received Qty ]]-Goods_Receipt[[#This Row],[ Accepted Qty ]]</f>
        <v>0</v>
      </c>
      <c r="O209" s="87"/>
      <c r="P209" s="93"/>
      <c r="Q209" s="87"/>
      <c r="R209" s="87" t="s">
        <v>441</v>
      </c>
      <c r="S209" s="87" t="s">
        <v>443</v>
      </c>
      <c r="T209" s="85">
        <v>45605</v>
      </c>
      <c r="U209" s="89"/>
      <c r="V209" s="90"/>
      <c r="W209" s="109"/>
      <c r="X209" s="89"/>
      <c r="Y209" s="84" t="s">
        <v>445</v>
      </c>
      <c r="Z209" s="97"/>
    </row>
    <row r="210" spans="1:26" s="98" customFormat="1" x14ac:dyDescent="0.35">
      <c r="A210" s="86">
        <v>207</v>
      </c>
      <c r="B210" s="85">
        <v>45614</v>
      </c>
      <c r="C210" s="87" t="s">
        <v>441</v>
      </c>
      <c r="D210" s="85">
        <v>45614</v>
      </c>
      <c r="E210" s="84" t="s">
        <v>442</v>
      </c>
      <c r="F210" s="85">
        <v>45614</v>
      </c>
      <c r="G210" s="87"/>
      <c r="H210" s="87" t="s">
        <v>72</v>
      </c>
      <c r="I210" s="87" t="s">
        <v>95</v>
      </c>
      <c r="J210" s="101" t="s">
        <v>436</v>
      </c>
      <c r="K210" s="87" t="s">
        <v>225</v>
      </c>
      <c r="L210" s="91">
        <v>2200</v>
      </c>
      <c r="M210" s="91">
        <v>2200</v>
      </c>
      <c r="N210" s="88">
        <f>Goods_Receipt[[#This Row],[ Invoice. /
 Received Qty ]]-Goods_Receipt[[#This Row],[ Accepted Qty ]]</f>
        <v>0</v>
      </c>
      <c r="O210" s="87"/>
      <c r="P210" s="93"/>
      <c r="Q210" s="87"/>
      <c r="R210" s="87" t="s">
        <v>441</v>
      </c>
      <c r="S210" s="87" t="s">
        <v>443</v>
      </c>
      <c r="T210" s="85">
        <v>45605</v>
      </c>
      <c r="U210" s="89"/>
      <c r="V210" s="90"/>
      <c r="W210" s="109"/>
      <c r="X210" s="89"/>
      <c r="Y210" s="84" t="s">
        <v>445</v>
      </c>
      <c r="Z210" s="97"/>
    </row>
    <row r="211" spans="1:26" s="98" customFormat="1" x14ac:dyDescent="0.35">
      <c r="A211" s="86">
        <v>208</v>
      </c>
      <c r="B211" s="85">
        <v>45614</v>
      </c>
      <c r="C211" s="87" t="s">
        <v>441</v>
      </c>
      <c r="D211" s="85">
        <v>45614</v>
      </c>
      <c r="E211" s="84" t="s">
        <v>442</v>
      </c>
      <c r="F211" s="85">
        <v>45614</v>
      </c>
      <c r="G211" s="87"/>
      <c r="H211" s="87" t="s">
        <v>72</v>
      </c>
      <c r="I211" s="87" t="s">
        <v>95</v>
      </c>
      <c r="J211" s="101" t="s">
        <v>437</v>
      </c>
      <c r="K211" s="87" t="s">
        <v>225</v>
      </c>
      <c r="L211" s="91">
        <v>400</v>
      </c>
      <c r="M211" s="91">
        <v>400</v>
      </c>
      <c r="N211" s="88">
        <f>Goods_Receipt[[#This Row],[ Invoice. /
 Received Qty ]]-Goods_Receipt[[#This Row],[ Accepted Qty ]]</f>
        <v>0</v>
      </c>
      <c r="O211" s="87"/>
      <c r="P211" s="93"/>
      <c r="Q211" s="87"/>
      <c r="R211" s="87" t="s">
        <v>441</v>
      </c>
      <c r="S211" s="87" t="s">
        <v>443</v>
      </c>
      <c r="T211" s="85">
        <v>45605</v>
      </c>
      <c r="U211" s="89"/>
      <c r="V211" s="90"/>
      <c r="W211" s="109"/>
      <c r="X211" s="89"/>
      <c r="Y211" s="84" t="s">
        <v>445</v>
      </c>
      <c r="Z211" s="97"/>
    </row>
    <row r="212" spans="1:26" s="98" customFormat="1" x14ac:dyDescent="0.35">
      <c r="A212" s="86">
        <v>209</v>
      </c>
      <c r="B212" s="85">
        <v>45614</v>
      </c>
      <c r="C212" s="87" t="s">
        <v>441</v>
      </c>
      <c r="D212" s="85">
        <v>45614</v>
      </c>
      <c r="E212" s="84" t="s">
        <v>442</v>
      </c>
      <c r="F212" s="85">
        <v>45614</v>
      </c>
      <c r="G212" s="87"/>
      <c r="H212" s="87" t="s">
        <v>72</v>
      </c>
      <c r="I212" s="87" t="s">
        <v>95</v>
      </c>
      <c r="J212" s="101" t="s">
        <v>438</v>
      </c>
      <c r="K212" s="87" t="s">
        <v>225</v>
      </c>
      <c r="L212" s="91">
        <v>250</v>
      </c>
      <c r="M212" s="91">
        <v>250</v>
      </c>
      <c r="N212" s="88">
        <f>Goods_Receipt[[#This Row],[ Invoice. /
 Received Qty ]]-Goods_Receipt[[#This Row],[ Accepted Qty ]]</f>
        <v>0</v>
      </c>
      <c r="O212" s="87"/>
      <c r="P212" s="93"/>
      <c r="Q212" s="87"/>
      <c r="R212" s="87" t="s">
        <v>441</v>
      </c>
      <c r="S212" s="87" t="s">
        <v>443</v>
      </c>
      <c r="T212" s="85">
        <v>45605</v>
      </c>
      <c r="U212" s="89"/>
      <c r="V212" s="90"/>
      <c r="W212" s="109"/>
      <c r="X212" s="89"/>
      <c r="Y212" s="84" t="s">
        <v>445</v>
      </c>
      <c r="Z212" s="97"/>
    </row>
    <row r="213" spans="1:26" s="98" customFormat="1" x14ac:dyDescent="0.35">
      <c r="A213" s="86">
        <v>210</v>
      </c>
      <c r="B213" s="85">
        <v>45614</v>
      </c>
      <c r="C213" s="87" t="s">
        <v>441</v>
      </c>
      <c r="D213" s="85">
        <v>45614</v>
      </c>
      <c r="E213" s="84" t="s">
        <v>442</v>
      </c>
      <c r="F213" s="85">
        <v>45614</v>
      </c>
      <c r="G213" s="87"/>
      <c r="H213" s="87" t="s">
        <v>72</v>
      </c>
      <c r="I213" s="87" t="s">
        <v>95</v>
      </c>
      <c r="J213" s="101" t="s">
        <v>439</v>
      </c>
      <c r="K213" s="87" t="s">
        <v>225</v>
      </c>
      <c r="L213" s="91">
        <v>100</v>
      </c>
      <c r="M213" s="91">
        <v>100</v>
      </c>
      <c r="N213" s="88">
        <f>Goods_Receipt[[#This Row],[ Invoice. /
 Received Qty ]]-Goods_Receipt[[#This Row],[ Accepted Qty ]]</f>
        <v>0</v>
      </c>
      <c r="O213" s="87"/>
      <c r="P213" s="93"/>
      <c r="Q213" s="87"/>
      <c r="R213" s="87" t="s">
        <v>441</v>
      </c>
      <c r="S213" s="87" t="s">
        <v>443</v>
      </c>
      <c r="T213" s="85">
        <v>45605</v>
      </c>
      <c r="U213" s="89"/>
      <c r="V213" s="90"/>
      <c r="W213" s="109"/>
      <c r="X213" s="89"/>
      <c r="Y213" s="84" t="s">
        <v>445</v>
      </c>
      <c r="Z213" s="97"/>
    </row>
    <row r="214" spans="1:26" s="98" customFormat="1" x14ac:dyDescent="0.35">
      <c r="A214" s="86">
        <v>211</v>
      </c>
      <c r="B214" s="85">
        <v>45614</v>
      </c>
      <c r="C214" s="87" t="s">
        <v>441</v>
      </c>
      <c r="D214" s="85">
        <v>45614</v>
      </c>
      <c r="E214" s="84" t="s">
        <v>442</v>
      </c>
      <c r="F214" s="85">
        <v>45614</v>
      </c>
      <c r="G214" s="87"/>
      <c r="H214" s="87" t="s">
        <v>72</v>
      </c>
      <c r="I214" s="87" t="s">
        <v>96</v>
      </c>
      <c r="J214" s="101" t="s">
        <v>429</v>
      </c>
      <c r="K214" s="87" t="s">
        <v>225</v>
      </c>
      <c r="L214" s="91">
        <v>100</v>
      </c>
      <c r="M214" s="91">
        <v>100</v>
      </c>
      <c r="N214" s="88">
        <f>Goods_Receipt[[#This Row],[ Invoice. /
 Received Qty ]]-Goods_Receipt[[#This Row],[ Accepted Qty ]]</f>
        <v>0</v>
      </c>
      <c r="O214" s="87"/>
      <c r="P214" s="93"/>
      <c r="Q214" s="87"/>
      <c r="R214" s="87" t="s">
        <v>441</v>
      </c>
      <c r="S214" s="87" t="s">
        <v>443</v>
      </c>
      <c r="T214" s="85">
        <v>45605</v>
      </c>
      <c r="U214" s="89"/>
      <c r="V214" s="90"/>
      <c r="W214" s="109"/>
      <c r="X214" s="89"/>
      <c r="Y214" s="84" t="s">
        <v>445</v>
      </c>
      <c r="Z214" s="97"/>
    </row>
    <row r="215" spans="1:26" s="98" customFormat="1" x14ac:dyDescent="0.35">
      <c r="A215" s="86">
        <v>212</v>
      </c>
      <c r="B215" s="175">
        <v>45614</v>
      </c>
      <c r="C215" s="87" t="s">
        <v>441</v>
      </c>
      <c r="D215" s="85">
        <v>45614</v>
      </c>
      <c r="E215" s="84" t="s">
        <v>442</v>
      </c>
      <c r="F215" s="85">
        <v>45614</v>
      </c>
      <c r="G215" s="87"/>
      <c r="H215" s="87" t="s">
        <v>72</v>
      </c>
      <c r="I215" s="87" t="s">
        <v>96</v>
      </c>
      <c r="J215" s="101" t="s">
        <v>430</v>
      </c>
      <c r="K215" s="87" t="s">
        <v>225</v>
      </c>
      <c r="L215" s="91">
        <v>300</v>
      </c>
      <c r="M215" s="91">
        <v>300</v>
      </c>
      <c r="N215" s="88">
        <f>Goods_Receipt[[#This Row],[ Invoice. /
 Received Qty ]]-Goods_Receipt[[#This Row],[ Accepted Qty ]]</f>
        <v>0</v>
      </c>
      <c r="O215" s="87"/>
      <c r="P215" s="93"/>
      <c r="Q215" s="87"/>
      <c r="R215" s="87" t="s">
        <v>441</v>
      </c>
      <c r="S215" s="87" t="s">
        <v>443</v>
      </c>
      <c r="T215" s="85">
        <v>45605</v>
      </c>
      <c r="U215" s="89"/>
      <c r="V215" s="90"/>
      <c r="W215" s="109"/>
      <c r="X215" s="89"/>
      <c r="Y215" s="84" t="s">
        <v>445</v>
      </c>
      <c r="Z215" s="97"/>
    </row>
    <row r="216" spans="1:26" s="98" customFormat="1" x14ac:dyDescent="0.35">
      <c r="A216" s="86">
        <v>213</v>
      </c>
      <c r="B216" s="85">
        <v>45614</v>
      </c>
      <c r="C216" s="87" t="s">
        <v>441</v>
      </c>
      <c r="D216" s="85">
        <v>45614</v>
      </c>
      <c r="E216" s="84" t="s">
        <v>442</v>
      </c>
      <c r="F216" s="85">
        <v>45614</v>
      </c>
      <c r="G216" s="87"/>
      <c r="H216" s="87" t="s">
        <v>72</v>
      </c>
      <c r="I216" s="87" t="s">
        <v>96</v>
      </c>
      <c r="J216" s="101" t="s">
        <v>431</v>
      </c>
      <c r="K216" s="87" t="s">
        <v>225</v>
      </c>
      <c r="L216" s="91">
        <v>1300</v>
      </c>
      <c r="M216" s="91">
        <v>1300</v>
      </c>
      <c r="N216" s="88">
        <f>Goods_Receipt[[#This Row],[ Invoice. /
 Received Qty ]]-Goods_Receipt[[#This Row],[ Accepted Qty ]]</f>
        <v>0</v>
      </c>
      <c r="O216" s="87"/>
      <c r="P216" s="93"/>
      <c r="Q216" s="87"/>
      <c r="R216" s="87" t="s">
        <v>441</v>
      </c>
      <c r="S216" s="87" t="s">
        <v>443</v>
      </c>
      <c r="T216" s="85">
        <v>45605</v>
      </c>
      <c r="U216" s="89"/>
      <c r="V216" s="90"/>
      <c r="W216" s="109"/>
      <c r="X216" s="89"/>
      <c r="Y216" s="84" t="s">
        <v>445</v>
      </c>
      <c r="Z216" s="97"/>
    </row>
    <row r="217" spans="1:26" s="98" customFormat="1" x14ac:dyDescent="0.35">
      <c r="A217" s="86">
        <v>214</v>
      </c>
      <c r="B217" s="175">
        <v>45584</v>
      </c>
      <c r="C217" s="177" t="s">
        <v>449</v>
      </c>
      <c r="D217" s="85">
        <v>45584</v>
      </c>
      <c r="E217" s="84" t="s">
        <v>450</v>
      </c>
      <c r="F217" s="85">
        <v>45615</v>
      </c>
      <c r="G217" s="87"/>
      <c r="H217" s="87" t="s">
        <v>72</v>
      </c>
      <c r="I217" s="87" t="s">
        <v>122</v>
      </c>
      <c r="J217" s="101" t="s">
        <v>451</v>
      </c>
      <c r="K217" s="87" t="s">
        <v>11</v>
      </c>
      <c r="L217" s="91">
        <v>6</v>
      </c>
      <c r="M217" s="91">
        <v>6</v>
      </c>
      <c r="N217" s="88">
        <f>Goods_Receipt[[#This Row],[ Invoice. /
 Received Qty ]]-Goods_Receipt[[#This Row],[ Accepted Qty ]]</f>
        <v>0</v>
      </c>
      <c r="O217" s="87"/>
      <c r="P217" s="93"/>
      <c r="Q217" s="87"/>
      <c r="R217" s="87"/>
      <c r="S217" s="87" t="s">
        <v>482</v>
      </c>
      <c r="T217" s="85">
        <v>45575</v>
      </c>
      <c r="U217" s="89"/>
      <c r="V217" s="90"/>
      <c r="W217" s="109"/>
      <c r="X217" s="89"/>
      <c r="Y217" s="84" t="s">
        <v>483</v>
      </c>
      <c r="Z217" s="97"/>
    </row>
    <row r="218" spans="1:26" s="98" customFormat="1" x14ac:dyDescent="0.35">
      <c r="A218" s="86">
        <v>215</v>
      </c>
      <c r="B218" s="175">
        <v>45584</v>
      </c>
      <c r="C218" s="177" t="s">
        <v>449</v>
      </c>
      <c r="D218" s="85">
        <v>45584</v>
      </c>
      <c r="E218" s="84" t="s">
        <v>450</v>
      </c>
      <c r="F218" s="85">
        <v>45615</v>
      </c>
      <c r="G218" s="87"/>
      <c r="H218" s="87" t="s">
        <v>72</v>
      </c>
      <c r="I218" s="87" t="s">
        <v>122</v>
      </c>
      <c r="J218" s="101" t="s">
        <v>452</v>
      </c>
      <c r="K218" s="87" t="s">
        <v>11</v>
      </c>
      <c r="L218" s="91">
        <v>15</v>
      </c>
      <c r="M218" s="91">
        <v>15</v>
      </c>
      <c r="N218" s="88">
        <f>Goods_Receipt[[#This Row],[ Invoice. /
 Received Qty ]]-Goods_Receipt[[#This Row],[ Accepted Qty ]]</f>
        <v>0</v>
      </c>
      <c r="O218" s="87"/>
      <c r="P218" s="93"/>
      <c r="Q218" s="87"/>
      <c r="R218" s="87"/>
      <c r="S218" s="87" t="s">
        <v>482</v>
      </c>
      <c r="T218" s="85">
        <v>45575</v>
      </c>
      <c r="U218" s="89"/>
      <c r="V218" s="90"/>
      <c r="W218" s="109"/>
      <c r="X218" s="89"/>
      <c r="Y218" s="84" t="s">
        <v>483</v>
      </c>
      <c r="Z218" s="97"/>
    </row>
    <row r="219" spans="1:26" s="98" customFormat="1" x14ac:dyDescent="0.35">
      <c r="A219" s="86">
        <v>216</v>
      </c>
      <c r="B219" s="175">
        <v>45584</v>
      </c>
      <c r="C219" s="177" t="s">
        <v>449</v>
      </c>
      <c r="D219" s="85">
        <v>45584</v>
      </c>
      <c r="E219" s="84" t="s">
        <v>450</v>
      </c>
      <c r="F219" s="85">
        <v>45615</v>
      </c>
      <c r="G219" s="87"/>
      <c r="H219" s="87" t="s">
        <v>72</v>
      </c>
      <c r="I219" s="87" t="s">
        <v>122</v>
      </c>
      <c r="J219" s="101" t="s">
        <v>453</v>
      </c>
      <c r="K219" s="87" t="s">
        <v>11</v>
      </c>
      <c r="L219" s="91">
        <v>3</v>
      </c>
      <c r="M219" s="91">
        <v>3</v>
      </c>
      <c r="N219" s="88">
        <f>Goods_Receipt[[#This Row],[ Invoice. /
 Received Qty ]]-Goods_Receipt[[#This Row],[ Accepted Qty ]]</f>
        <v>0</v>
      </c>
      <c r="O219" s="87"/>
      <c r="P219" s="93"/>
      <c r="Q219" s="87"/>
      <c r="R219" s="87"/>
      <c r="S219" s="87" t="s">
        <v>482</v>
      </c>
      <c r="T219" s="85">
        <v>45575</v>
      </c>
      <c r="U219" s="89"/>
      <c r="V219" s="90"/>
      <c r="W219" s="153"/>
      <c r="X219" s="89"/>
      <c r="Y219" s="84" t="s">
        <v>483</v>
      </c>
      <c r="Z219" s="97"/>
    </row>
    <row r="220" spans="1:26" s="98" customFormat="1" x14ac:dyDescent="0.35">
      <c r="A220" s="86">
        <v>217</v>
      </c>
      <c r="B220" s="175">
        <v>45584</v>
      </c>
      <c r="C220" s="177" t="s">
        <v>449</v>
      </c>
      <c r="D220" s="85">
        <v>45584</v>
      </c>
      <c r="E220" s="84" t="s">
        <v>450</v>
      </c>
      <c r="F220" s="85">
        <v>45615</v>
      </c>
      <c r="G220" s="87"/>
      <c r="H220" s="87" t="s">
        <v>72</v>
      </c>
      <c r="I220" s="87" t="s">
        <v>122</v>
      </c>
      <c r="J220" s="101" t="s">
        <v>454</v>
      </c>
      <c r="K220" s="87" t="s">
        <v>11</v>
      </c>
      <c r="L220" s="91">
        <v>7</v>
      </c>
      <c r="M220" s="91">
        <v>7</v>
      </c>
      <c r="N220" s="88">
        <f>Goods_Receipt[[#This Row],[ Invoice. /
 Received Qty ]]-Goods_Receipt[[#This Row],[ Accepted Qty ]]</f>
        <v>0</v>
      </c>
      <c r="O220" s="87"/>
      <c r="P220" s="93"/>
      <c r="Q220" s="87"/>
      <c r="R220" s="87"/>
      <c r="S220" s="87" t="s">
        <v>482</v>
      </c>
      <c r="T220" s="85">
        <v>45575</v>
      </c>
      <c r="U220" s="89"/>
      <c r="V220" s="90"/>
      <c r="W220" s="109"/>
      <c r="X220" s="89"/>
      <c r="Y220" s="84" t="s">
        <v>483</v>
      </c>
      <c r="Z220" s="97"/>
    </row>
    <row r="221" spans="1:26" s="98" customFormat="1" x14ac:dyDescent="0.35">
      <c r="A221" s="86">
        <v>218</v>
      </c>
      <c r="B221" s="175">
        <v>45584</v>
      </c>
      <c r="C221" s="177" t="s">
        <v>449</v>
      </c>
      <c r="D221" s="85">
        <v>45584</v>
      </c>
      <c r="E221" s="84" t="s">
        <v>450</v>
      </c>
      <c r="F221" s="85">
        <v>45615</v>
      </c>
      <c r="G221" s="87"/>
      <c r="H221" s="87" t="s">
        <v>72</v>
      </c>
      <c r="I221" s="87" t="s">
        <v>122</v>
      </c>
      <c r="J221" s="101" t="s">
        <v>456</v>
      </c>
      <c r="K221" s="87" t="s">
        <v>11</v>
      </c>
      <c r="L221" s="91">
        <v>20</v>
      </c>
      <c r="M221" s="91">
        <v>20</v>
      </c>
      <c r="N221" s="88">
        <f>Goods_Receipt[[#This Row],[ Invoice. /
 Received Qty ]]-Goods_Receipt[[#This Row],[ Accepted Qty ]]</f>
        <v>0</v>
      </c>
      <c r="O221" s="87"/>
      <c r="P221" s="93"/>
      <c r="Q221" s="87"/>
      <c r="R221" s="87"/>
      <c r="S221" s="87" t="s">
        <v>482</v>
      </c>
      <c r="T221" s="85">
        <v>45575</v>
      </c>
      <c r="U221" s="89"/>
      <c r="V221" s="90"/>
      <c r="W221" s="109"/>
      <c r="X221" s="89"/>
      <c r="Y221" s="84" t="s">
        <v>483</v>
      </c>
      <c r="Z221" s="97"/>
    </row>
    <row r="222" spans="1:26" s="98" customFormat="1" x14ac:dyDescent="0.35">
      <c r="A222" s="86">
        <v>219</v>
      </c>
      <c r="B222" s="175">
        <v>45584</v>
      </c>
      <c r="C222" s="177" t="s">
        <v>449</v>
      </c>
      <c r="D222" s="85">
        <v>45584</v>
      </c>
      <c r="E222" s="84" t="s">
        <v>450</v>
      </c>
      <c r="F222" s="85">
        <v>45615</v>
      </c>
      <c r="G222" s="87"/>
      <c r="H222" s="87" t="s">
        <v>72</v>
      </c>
      <c r="I222" s="87" t="s">
        <v>122</v>
      </c>
      <c r="J222" s="101" t="s">
        <v>455</v>
      </c>
      <c r="K222" s="87" t="s">
        <v>11</v>
      </c>
      <c r="L222" s="91">
        <v>5</v>
      </c>
      <c r="M222" s="91">
        <v>5</v>
      </c>
      <c r="N222" s="88">
        <f>Goods_Receipt[[#This Row],[ Invoice. /
 Received Qty ]]-Goods_Receipt[[#This Row],[ Accepted Qty ]]</f>
        <v>0</v>
      </c>
      <c r="O222" s="87"/>
      <c r="P222" s="93"/>
      <c r="Q222" s="87"/>
      <c r="R222" s="87"/>
      <c r="S222" s="87" t="s">
        <v>482</v>
      </c>
      <c r="T222" s="85">
        <v>45575</v>
      </c>
      <c r="U222" s="89"/>
      <c r="V222" s="90"/>
      <c r="W222" s="109"/>
      <c r="X222" s="89"/>
      <c r="Y222" s="84" t="s">
        <v>483</v>
      </c>
      <c r="Z222" s="97"/>
    </row>
    <row r="223" spans="1:26" s="98" customFormat="1" x14ac:dyDescent="0.35">
      <c r="A223" s="86">
        <v>220</v>
      </c>
      <c r="B223" s="175">
        <v>45584</v>
      </c>
      <c r="C223" s="177" t="s">
        <v>449</v>
      </c>
      <c r="D223" s="85">
        <v>45584</v>
      </c>
      <c r="E223" s="84" t="s">
        <v>450</v>
      </c>
      <c r="F223" s="85">
        <v>45615</v>
      </c>
      <c r="G223" s="87"/>
      <c r="H223" s="87" t="s">
        <v>72</v>
      </c>
      <c r="I223" s="87" t="s">
        <v>122</v>
      </c>
      <c r="J223" s="101" t="s">
        <v>457</v>
      </c>
      <c r="K223" s="87" t="s">
        <v>11</v>
      </c>
      <c r="L223" s="91">
        <v>1</v>
      </c>
      <c r="M223" s="91">
        <v>1</v>
      </c>
      <c r="N223" s="88">
        <f>Goods_Receipt[[#This Row],[ Invoice. /
 Received Qty ]]-Goods_Receipt[[#This Row],[ Accepted Qty ]]</f>
        <v>0</v>
      </c>
      <c r="O223" s="87"/>
      <c r="P223" s="93"/>
      <c r="Q223" s="87"/>
      <c r="R223" s="87"/>
      <c r="S223" s="87" t="s">
        <v>482</v>
      </c>
      <c r="T223" s="85">
        <v>45575</v>
      </c>
      <c r="U223" s="89"/>
      <c r="V223" s="90"/>
      <c r="W223" s="109"/>
      <c r="X223" s="89"/>
      <c r="Y223" s="84" t="s">
        <v>483</v>
      </c>
      <c r="Z223" s="97"/>
    </row>
    <row r="224" spans="1:26" s="98" customFormat="1" x14ac:dyDescent="0.35">
      <c r="A224" s="86">
        <v>221</v>
      </c>
      <c r="B224" s="175">
        <v>45584</v>
      </c>
      <c r="C224" s="177" t="s">
        <v>449</v>
      </c>
      <c r="D224" s="85">
        <v>45584</v>
      </c>
      <c r="E224" s="84" t="s">
        <v>450</v>
      </c>
      <c r="F224" s="85">
        <v>45615</v>
      </c>
      <c r="G224" s="87"/>
      <c r="H224" s="87" t="s">
        <v>72</v>
      </c>
      <c r="I224" s="87" t="s">
        <v>122</v>
      </c>
      <c r="J224" s="101" t="s">
        <v>458</v>
      </c>
      <c r="K224" s="87" t="s">
        <v>11</v>
      </c>
      <c r="L224" s="91">
        <v>15</v>
      </c>
      <c r="M224" s="91">
        <v>15</v>
      </c>
      <c r="N224" s="88">
        <f>Goods_Receipt[[#This Row],[ Invoice. /
 Received Qty ]]-Goods_Receipt[[#This Row],[ Accepted Qty ]]</f>
        <v>0</v>
      </c>
      <c r="O224" s="87"/>
      <c r="P224" s="93"/>
      <c r="Q224" s="87"/>
      <c r="R224" s="87"/>
      <c r="S224" s="87" t="s">
        <v>482</v>
      </c>
      <c r="T224" s="85">
        <v>45575</v>
      </c>
      <c r="U224" s="89"/>
      <c r="V224" s="90"/>
      <c r="W224" s="109"/>
      <c r="X224" s="89"/>
      <c r="Y224" s="84" t="s">
        <v>483</v>
      </c>
      <c r="Z224" s="97"/>
    </row>
    <row r="225" spans="1:26" s="98" customFormat="1" x14ac:dyDescent="0.35">
      <c r="A225" s="86">
        <v>222</v>
      </c>
      <c r="B225" s="175">
        <v>45584</v>
      </c>
      <c r="C225" s="177" t="s">
        <v>449</v>
      </c>
      <c r="D225" s="85">
        <v>45584</v>
      </c>
      <c r="E225" s="84" t="s">
        <v>450</v>
      </c>
      <c r="F225" s="85">
        <v>45615</v>
      </c>
      <c r="G225" s="87"/>
      <c r="H225" s="87" t="s">
        <v>72</v>
      </c>
      <c r="I225" s="87" t="s">
        <v>122</v>
      </c>
      <c r="J225" s="101" t="s">
        <v>459</v>
      </c>
      <c r="K225" s="87" t="s">
        <v>11</v>
      </c>
      <c r="L225" s="91">
        <v>15</v>
      </c>
      <c r="M225" s="91">
        <v>15</v>
      </c>
      <c r="N225" s="88">
        <f>Goods_Receipt[[#This Row],[ Invoice. /
 Received Qty ]]-Goods_Receipt[[#This Row],[ Accepted Qty ]]</f>
        <v>0</v>
      </c>
      <c r="O225" s="87"/>
      <c r="P225" s="93"/>
      <c r="Q225" s="87"/>
      <c r="R225" s="87"/>
      <c r="S225" s="87" t="s">
        <v>482</v>
      </c>
      <c r="T225" s="85">
        <v>45575</v>
      </c>
      <c r="U225" s="89"/>
      <c r="V225" s="90"/>
      <c r="W225" s="109"/>
      <c r="X225" s="89"/>
      <c r="Y225" s="84" t="s">
        <v>483</v>
      </c>
      <c r="Z225" s="97"/>
    </row>
    <row r="226" spans="1:26" s="98" customFormat="1" x14ac:dyDescent="0.35">
      <c r="A226" s="86">
        <v>223</v>
      </c>
      <c r="B226" s="175">
        <v>45584</v>
      </c>
      <c r="C226" s="177" t="s">
        <v>449</v>
      </c>
      <c r="D226" s="85">
        <v>45584</v>
      </c>
      <c r="E226" s="84" t="s">
        <v>450</v>
      </c>
      <c r="F226" s="85">
        <v>45615</v>
      </c>
      <c r="G226" s="87"/>
      <c r="H226" s="87" t="s">
        <v>72</v>
      </c>
      <c r="I226" s="87" t="s">
        <v>122</v>
      </c>
      <c r="J226" s="101" t="s">
        <v>460</v>
      </c>
      <c r="K226" s="87" t="s">
        <v>11</v>
      </c>
      <c r="L226" s="91">
        <v>18</v>
      </c>
      <c r="M226" s="91">
        <v>18</v>
      </c>
      <c r="N226" s="88">
        <f>Goods_Receipt[[#This Row],[ Invoice. /
 Received Qty ]]-Goods_Receipt[[#This Row],[ Accepted Qty ]]</f>
        <v>0</v>
      </c>
      <c r="O226" s="87"/>
      <c r="P226" s="93"/>
      <c r="Q226" s="87"/>
      <c r="R226" s="87"/>
      <c r="S226" s="87" t="s">
        <v>482</v>
      </c>
      <c r="T226" s="85">
        <v>45575</v>
      </c>
      <c r="U226" s="89"/>
      <c r="V226" s="90"/>
      <c r="W226" s="109"/>
      <c r="X226" s="89"/>
      <c r="Y226" s="84" t="s">
        <v>483</v>
      </c>
      <c r="Z226" s="97"/>
    </row>
    <row r="227" spans="1:26" s="98" customFormat="1" x14ac:dyDescent="0.35">
      <c r="A227" s="86">
        <v>224</v>
      </c>
      <c r="B227" s="175">
        <v>45584</v>
      </c>
      <c r="C227" s="177" t="s">
        <v>449</v>
      </c>
      <c r="D227" s="85">
        <v>45584</v>
      </c>
      <c r="E227" s="84" t="s">
        <v>450</v>
      </c>
      <c r="F227" s="85">
        <v>45615</v>
      </c>
      <c r="G227" s="87"/>
      <c r="H227" s="87" t="s">
        <v>72</v>
      </c>
      <c r="I227" s="87" t="s">
        <v>122</v>
      </c>
      <c r="J227" s="101" t="s">
        <v>461</v>
      </c>
      <c r="K227" s="87" t="s">
        <v>11</v>
      </c>
      <c r="L227" s="91">
        <v>15</v>
      </c>
      <c r="M227" s="91">
        <v>15</v>
      </c>
      <c r="N227" s="88">
        <f>Goods_Receipt[[#This Row],[ Invoice. /
 Received Qty ]]-Goods_Receipt[[#This Row],[ Accepted Qty ]]</f>
        <v>0</v>
      </c>
      <c r="O227" s="87"/>
      <c r="P227" s="93"/>
      <c r="Q227" s="87"/>
      <c r="R227" s="87"/>
      <c r="S227" s="87" t="s">
        <v>482</v>
      </c>
      <c r="T227" s="85">
        <v>45575</v>
      </c>
      <c r="U227" s="89"/>
      <c r="V227" s="90"/>
      <c r="W227" s="109"/>
      <c r="X227" s="89"/>
      <c r="Y227" s="84" t="s">
        <v>483</v>
      </c>
      <c r="Z227" s="97"/>
    </row>
    <row r="228" spans="1:26" s="98" customFormat="1" x14ac:dyDescent="0.35">
      <c r="A228" s="86">
        <v>225</v>
      </c>
      <c r="B228" s="175">
        <v>45584</v>
      </c>
      <c r="C228" s="177" t="s">
        <v>449</v>
      </c>
      <c r="D228" s="85">
        <v>45584</v>
      </c>
      <c r="E228" s="84" t="s">
        <v>450</v>
      </c>
      <c r="F228" s="85">
        <v>45615</v>
      </c>
      <c r="G228" s="87"/>
      <c r="H228" s="87" t="s">
        <v>72</v>
      </c>
      <c r="I228" s="87" t="s">
        <v>122</v>
      </c>
      <c r="J228" s="101" t="s">
        <v>462</v>
      </c>
      <c r="K228" s="87" t="s">
        <v>11</v>
      </c>
      <c r="L228" s="91">
        <v>1</v>
      </c>
      <c r="M228" s="91">
        <v>1</v>
      </c>
      <c r="N228" s="88">
        <f>Goods_Receipt[[#This Row],[ Invoice. /
 Received Qty ]]-Goods_Receipt[[#This Row],[ Accepted Qty ]]</f>
        <v>0</v>
      </c>
      <c r="O228" s="87"/>
      <c r="P228" s="93"/>
      <c r="Q228" s="87"/>
      <c r="R228" s="87"/>
      <c r="S228" s="87" t="s">
        <v>482</v>
      </c>
      <c r="T228" s="85">
        <v>45575</v>
      </c>
      <c r="U228" s="89"/>
      <c r="V228" s="90"/>
      <c r="W228" s="109"/>
      <c r="X228" s="89"/>
      <c r="Y228" s="84" t="s">
        <v>483</v>
      </c>
      <c r="Z228" s="97"/>
    </row>
    <row r="229" spans="1:26" s="98" customFormat="1" x14ac:dyDescent="0.35">
      <c r="A229" s="86">
        <v>226</v>
      </c>
      <c r="B229" s="175">
        <v>45584</v>
      </c>
      <c r="C229" s="177" t="s">
        <v>449</v>
      </c>
      <c r="D229" s="85">
        <v>45584</v>
      </c>
      <c r="E229" s="84" t="s">
        <v>450</v>
      </c>
      <c r="F229" s="85">
        <v>45615</v>
      </c>
      <c r="G229" s="87"/>
      <c r="H229" s="87" t="s">
        <v>72</v>
      </c>
      <c r="I229" s="87" t="s">
        <v>122</v>
      </c>
      <c r="J229" s="101" t="s">
        <v>463</v>
      </c>
      <c r="K229" s="87" t="s">
        <v>11</v>
      </c>
      <c r="L229" s="91">
        <v>1</v>
      </c>
      <c r="M229" s="91">
        <v>1</v>
      </c>
      <c r="N229" s="88">
        <f>Goods_Receipt[[#This Row],[ Invoice. /
 Received Qty ]]-Goods_Receipt[[#This Row],[ Accepted Qty ]]</f>
        <v>0</v>
      </c>
      <c r="O229" s="87"/>
      <c r="P229" s="93"/>
      <c r="Q229" s="87"/>
      <c r="R229" s="87"/>
      <c r="S229" s="87" t="s">
        <v>482</v>
      </c>
      <c r="T229" s="85">
        <v>45575</v>
      </c>
      <c r="U229" s="89"/>
      <c r="V229" s="90"/>
      <c r="W229" s="109"/>
      <c r="X229" s="89"/>
      <c r="Y229" s="84" t="s">
        <v>483</v>
      </c>
      <c r="Z229" s="97"/>
    </row>
    <row r="230" spans="1:26" s="98" customFormat="1" x14ac:dyDescent="0.35">
      <c r="A230" s="86">
        <v>227</v>
      </c>
      <c r="B230" s="175">
        <v>45584</v>
      </c>
      <c r="C230" s="177" t="s">
        <v>449</v>
      </c>
      <c r="D230" s="85">
        <v>45584</v>
      </c>
      <c r="E230" s="84" t="s">
        <v>450</v>
      </c>
      <c r="F230" s="85">
        <v>45615</v>
      </c>
      <c r="G230" s="87"/>
      <c r="H230" s="87" t="s">
        <v>72</v>
      </c>
      <c r="I230" s="87" t="s">
        <v>122</v>
      </c>
      <c r="J230" s="101" t="s">
        <v>464</v>
      </c>
      <c r="K230" s="87" t="s">
        <v>11</v>
      </c>
      <c r="L230" s="91">
        <v>1</v>
      </c>
      <c r="M230" s="91">
        <v>1</v>
      </c>
      <c r="N230" s="88">
        <f>Goods_Receipt[[#This Row],[ Invoice. /
 Received Qty ]]-Goods_Receipt[[#This Row],[ Accepted Qty ]]</f>
        <v>0</v>
      </c>
      <c r="O230" s="87"/>
      <c r="P230" s="93"/>
      <c r="Q230" s="87"/>
      <c r="R230" s="87"/>
      <c r="S230" s="87" t="s">
        <v>482</v>
      </c>
      <c r="T230" s="85">
        <v>45575</v>
      </c>
      <c r="U230" s="89"/>
      <c r="V230" s="90"/>
      <c r="W230" s="109"/>
      <c r="X230" s="89"/>
      <c r="Y230" s="84" t="s">
        <v>483</v>
      </c>
      <c r="Z230" s="97"/>
    </row>
    <row r="231" spans="1:26" s="98" customFormat="1" x14ac:dyDescent="0.35">
      <c r="A231" s="86">
        <v>228</v>
      </c>
      <c r="B231" s="175">
        <v>45584</v>
      </c>
      <c r="C231" s="177" t="s">
        <v>449</v>
      </c>
      <c r="D231" s="85">
        <v>45584</v>
      </c>
      <c r="E231" s="84" t="s">
        <v>450</v>
      </c>
      <c r="F231" s="85">
        <v>45615</v>
      </c>
      <c r="G231" s="87"/>
      <c r="H231" s="87" t="s">
        <v>72</v>
      </c>
      <c r="I231" s="87" t="s">
        <v>122</v>
      </c>
      <c r="J231" s="101" t="s">
        <v>465</v>
      </c>
      <c r="K231" s="87" t="s">
        <v>11</v>
      </c>
      <c r="L231" s="91">
        <v>2</v>
      </c>
      <c r="M231" s="91">
        <v>2</v>
      </c>
      <c r="N231" s="88">
        <f>Goods_Receipt[[#This Row],[ Invoice. /
 Received Qty ]]-Goods_Receipt[[#This Row],[ Accepted Qty ]]</f>
        <v>0</v>
      </c>
      <c r="O231" s="87"/>
      <c r="P231" s="93"/>
      <c r="Q231" s="87"/>
      <c r="R231" s="87"/>
      <c r="S231" s="87" t="s">
        <v>482</v>
      </c>
      <c r="T231" s="85">
        <v>45575</v>
      </c>
      <c r="U231" s="89"/>
      <c r="V231" s="90"/>
      <c r="W231" s="109"/>
      <c r="X231" s="89"/>
      <c r="Y231" s="84" t="s">
        <v>483</v>
      </c>
      <c r="Z231" s="97"/>
    </row>
    <row r="232" spans="1:26" s="98" customFormat="1" x14ac:dyDescent="0.35">
      <c r="A232" s="86">
        <v>229</v>
      </c>
      <c r="B232" s="175">
        <v>45584</v>
      </c>
      <c r="C232" s="177" t="s">
        <v>449</v>
      </c>
      <c r="D232" s="85">
        <v>45584</v>
      </c>
      <c r="E232" s="84" t="s">
        <v>450</v>
      </c>
      <c r="F232" s="85">
        <v>45615</v>
      </c>
      <c r="G232" s="87"/>
      <c r="H232" s="87" t="s">
        <v>72</v>
      </c>
      <c r="I232" s="87" t="s">
        <v>122</v>
      </c>
      <c r="J232" s="101" t="s">
        <v>466</v>
      </c>
      <c r="K232" s="87" t="s">
        <v>11</v>
      </c>
      <c r="L232" s="91">
        <v>1</v>
      </c>
      <c r="M232" s="91">
        <v>1</v>
      </c>
      <c r="N232" s="88">
        <f>Goods_Receipt[[#This Row],[ Invoice. /
 Received Qty ]]-Goods_Receipt[[#This Row],[ Accepted Qty ]]</f>
        <v>0</v>
      </c>
      <c r="O232" s="87"/>
      <c r="P232" s="93"/>
      <c r="Q232" s="87"/>
      <c r="R232" s="87"/>
      <c r="S232" s="87" t="s">
        <v>482</v>
      </c>
      <c r="T232" s="85">
        <v>45575</v>
      </c>
      <c r="U232" s="89"/>
      <c r="V232" s="90"/>
      <c r="W232" s="109"/>
      <c r="X232" s="89"/>
      <c r="Y232" s="84" t="s">
        <v>483</v>
      </c>
      <c r="Z232" s="97"/>
    </row>
    <row r="233" spans="1:26" s="98" customFormat="1" x14ac:dyDescent="0.35">
      <c r="A233" s="86">
        <v>230</v>
      </c>
      <c r="B233" s="175">
        <v>45584</v>
      </c>
      <c r="C233" s="177" t="s">
        <v>449</v>
      </c>
      <c r="D233" s="85">
        <v>45584</v>
      </c>
      <c r="E233" s="84" t="s">
        <v>450</v>
      </c>
      <c r="F233" s="85">
        <v>45615</v>
      </c>
      <c r="G233" s="87"/>
      <c r="H233" s="87" t="s">
        <v>72</v>
      </c>
      <c r="I233" s="87" t="s">
        <v>122</v>
      </c>
      <c r="J233" s="101" t="s">
        <v>467</v>
      </c>
      <c r="K233" s="87" t="s">
        <v>11</v>
      </c>
      <c r="L233" s="91">
        <v>2</v>
      </c>
      <c r="M233" s="91">
        <v>2</v>
      </c>
      <c r="N233" s="88">
        <f>Goods_Receipt[[#This Row],[ Invoice. /
 Received Qty ]]-Goods_Receipt[[#This Row],[ Accepted Qty ]]</f>
        <v>0</v>
      </c>
      <c r="O233" s="87"/>
      <c r="P233" s="93"/>
      <c r="Q233" s="87"/>
      <c r="R233" s="87"/>
      <c r="S233" s="87" t="s">
        <v>482</v>
      </c>
      <c r="T233" s="85">
        <v>45575</v>
      </c>
      <c r="U233" s="89"/>
      <c r="V233" s="90"/>
      <c r="W233" s="109"/>
      <c r="X233" s="89"/>
      <c r="Y233" s="84" t="s">
        <v>483</v>
      </c>
      <c r="Z233" s="97"/>
    </row>
    <row r="234" spans="1:26" s="98" customFormat="1" x14ac:dyDescent="0.35">
      <c r="A234" s="86">
        <v>231</v>
      </c>
      <c r="B234" s="175">
        <v>45584</v>
      </c>
      <c r="C234" s="177" t="s">
        <v>449</v>
      </c>
      <c r="D234" s="85">
        <v>45584</v>
      </c>
      <c r="E234" s="84" t="s">
        <v>450</v>
      </c>
      <c r="F234" s="85">
        <v>45615</v>
      </c>
      <c r="G234" s="87"/>
      <c r="H234" s="87" t="s">
        <v>72</v>
      </c>
      <c r="I234" s="87" t="s">
        <v>122</v>
      </c>
      <c r="J234" s="101" t="s">
        <v>468</v>
      </c>
      <c r="K234" s="87" t="s">
        <v>11</v>
      </c>
      <c r="L234" s="91">
        <v>2</v>
      </c>
      <c r="M234" s="91">
        <v>2</v>
      </c>
      <c r="N234" s="88">
        <f>Goods_Receipt[[#This Row],[ Invoice. /
 Received Qty ]]-Goods_Receipt[[#This Row],[ Accepted Qty ]]</f>
        <v>0</v>
      </c>
      <c r="O234" s="87"/>
      <c r="P234" s="93"/>
      <c r="Q234" s="87"/>
      <c r="R234" s="87"/>
      <c r="S234" s="87" t="s">
        <v>482</v>
      </c>
      <c r="T234" s="85">
        <v>45575</v>
      </c>
      <c r="U234" s="89"/>
      <c r="V234" s="90"/>
      <c r="W234" s="109"/>
      <c r="X234" s="89"/>
      <c r="Y234" s="84" t="s">
        <v>483</v>
      </c>
      <c r="Z234" s="97"/>
    </row>
    <row r="235" spans="1:26" s="98" customFormat="1" x14ac:dyDescent="0.35">
      <c r="A235" s="86">
        <v>232</v>
      </c>
      <c r="B235" s="175">
        <v>45584</v>
      </c>
      <c r="C235" s="177" t="s">
        <v>449</v>
      </c>
      <c r="D235" s="85">
        <v>45584</v>
      </c>
      <c r="E235" s="84" t="s">
        <v>450</v>
      </c>
      <c r="F235" s="85">
        <v>45615</v>
      </c>
      <c r="G235" s="87"/>
      <c r="H235" s="87" t="s">
        <v>72</v>
      </c>
      <c r="I235" s="87" t="s">
        <v>122</v>
      </c>
      <c r="J235" s="101" t="s">
        <v>469</v>
      </c>
      <c r="K235" s="87" t="s">
        <v>11</v>
      </c>
      <c r="L235" s="91">
        <v>2</v>
      </c>
      <c r="M235" s="91">
        <v>2</v>
      </c>
      <c r="N235" s="88">
        <f>Goods_Receipt[[#This Row],[ Invoice. /
 Received Qty ]]-Goods_Receipt[[#This Row],[ Accepted Qty ]]</f>
        <v>0</v>
      </c>
      <c r="O235" s="87"/>
      <c r="P235" s="93"/>
      <c r="Q235" s="87"/>
      <c r="R235" s="87"/>
      <c r="S235" s="87" t="s">
        <v>482</v>
      </c>
      <c r="T235" s="85">
        <v>45575</v>
      </c>
      <c r="U235" s="89"/>
      <c r="V235" s="90"/>
      <c r="W235" s="109"/>
      <c r="X235" s="89"/>
      <c r="Y235" s="84" t="s">
        <v>483</v>
      </c>
      <c r="Z235" s="97"/>
    </row>
    <row r="236" spans="1:26" s="98" customFormat="1" x14ac:dyDescent="0.35">
      <c r="A236" s="86">
        <v>233</v>
      </c>
      <c r="B236" s="175">
        <v>45584</v>
      </c>
      <c r="C236" s="177" t="s">
        <v>449</v>
      </c>
      <c r="D236" s="85">
        <v>45584</v>
      </c>
      <c r="E236" s="84" t="s">
        <v>450</v>
      </c>
      <c r="F236" s="85">
        <v>45615</v>
      </c>
      <c r="G236" s="87"/>
      <c r="H236" s="87" t="s">
        <v>72</v>
      </c>
      <c r="I236" s="87" t="s">
        <v>122</v>
      </c>
      <c r="J236" s="101" t="s">
        <v>470</v>
      </c>
      <c r="K236" s="87" t="s">
        <v>13</v>
      </c>
      <c r="L236" s="91">
        <v>1</v>
      </c>
      <c r="M236" s="91">
        <v>1</v>
      </c>
      <c r="N236" s="88">
        <f>Goods_Receipt[[#This Row],[ Invoice. /
 Received Qty ]]-Goods_Receipt[[#This Row],[ Accepted Qty ]]</f>
        <v>0</v>
      </c>
      <c r="O236" s="87"/>
      <c r="P236" s="93"/>
      <c r="Q236" s="87"/>
      <c r="R236" s="87"/>
      <c r="S236" s="87" t="s">
        <v>482</v>
      </c>
      <c r="T236" s="85">
        <v>45575</v>
      </c>
      <c r="U236" s="89"/>
      <c r="V236" s="90"/>
      <c r="W236" s="109"/>
      <c r="X236" s="89"/>
      <c r="Y236" s="84" t="s">
        <v>483</v>
      </c>
      <c r="Z236" s="97"/>
    </row>
    <row r="237" spans="1:26" s="98" customFormat="1" x14ac:dyDescent="0.35">
      <c r="A237" s="86">
        <v>234</v>
      </c>
      <c r="B237" s="175">
        <v>45584</v>
      </c>
      <c r="C237" s="177" t="s">
        <v>449</v>
      </c>
      <c r="D237" s="85">
        <v>45584</v>
      </c>
      <c r="E237" s="84" t="s">
        <v>450</v>
      </c>
      <c r="F237" s="85">
        <v>45615</v>
      </c>
      <c r="G237" s="87"/>
      <c r="H237" s="87" t="s">
        <v>72</v>
      </c>
      <c r="I237" s="87" t="s">
        <v>122</v>
      </c>
      <c r="J237" s="101" t="s">
        <v>471</v>
      </c>
      <c r="K237" s="87" t="s">
        <v>11</v>
      </c>
      <c r="L237" s="91">
        <v>1</v>
      </c>
      <c r="M237" s="91">
        <v>1</v>
      </c>
      <c r="N237" s="88">
        <f>Goods_Receipt[[#This Row],[ Invoice. /
 Received Qty ]]-Goods_Receipt[[#This Row],[ Accepted Qty ]]</f>
        <v>0</v>
      </c>
      <c r="O237" s="87"/>
      <c r="P237" s="93"/>
      <c r="Q237" s="87"/>
      <c r="R237" s="87"/>
      <c r="S237" s="87" t="s">
        <v>482</v>
      </c>
      <c r="T237" s="85">
        <v>45575</v>
      </c>
      <c r="U237" s="89"/>
      <c r="V237" s="90"/>
      <c r="W237" s="109"/>
      <c r="X237" s="89"/>
      <c r="Y237" s="84" t="s">
        <v>483</v>
      </c>
      <c r="Z237" s="97"/>
    </row>
    <row r="238" spans="1:26" s="98" customFormat="1" x14ac:dyDescent="0.35">
      <c r="A238" s="86">
        <v>235</v>
      </c>
      <c r="B238" s="175">
        <v>45584</v>
      </c>
      <c r="C238" s="177" t="s">
        <v>449</v>
      </c>
      <c r="D238" s="85">
        <v>45584</v>
      </c>
      <c r="E238" s="84" t="s">
        <v>450</v>
      </c>
      <c r="F238" s="85">
        <v>45615</v>
      </c>
      <c r="G238" s="87"/>
      <c r="H238" s="87" t="s">
        <v>72</v>
      </c>
      <c r="I238" s="87" t="s">
        <v>122</v>
      </c>
      <c r="J238" s="101" t="s">
        <v>472</v>
      </c>
      <c r="K238" s="87" t="s">
        <v>11</v>
      </c>
      <c r="L238" s="91">
        <v>1</v>
      </c>
      <c r="M238" s="91">
        <v>1</v>
      </c>
      <c r="N238" s="88">
        <f>Goods_Receipt[[#This Row],[ Invoice. /
 Received Qty ]]-Goods_Receipt[[#This Row],[ Accepted Qty ]]</f>
        <v>0</v>
      </c>
      <c r="O238" s="87"/>
      <c r="P238" s="93"/>
      <c r="Q238" s="87"/>
      <c r="R238" s="87"/>
      <c r="S238" s="87" t="s">
        <v>482</v>
      </c>
      <c r="T238" s="85">
        <v>45575</v>
      </c>
      <c r="U238" s="89"/>
      <c r="V238" s="90"/>
      <c r="W238" s="109"/>
      <c r="X238" s="89"/>
      <c r="Y238" s="84" t="s">
        <v>483</v>
      </c>
      <c r="Z238" s="97"/>
    </row>
    <row r="239" spans="1:26" s="98" customFormat="1" x14ac:dyDescent="0.35">
      <c r="A239" s="86">
        <v>236</v>
      </c>
      <c r="B239" s="175">
        <v>45584</v>
      </c>
      <c r="C239" s="177" t="s">
        <v>449</v>
      </c>
      <c r="D239" s="85">
        <v>45584</v>
      </c>
      <c r="E239" s="84" t="s">
        <v>450</v>
      </c>
      <c r="F239" s="85">
        <v>45615</v>
      </c>
      <c r="G239" s="87"/>
      <c r="H239" s="87" t="s">
        <v>72</v>
      </c>
      <c r="I239" s="87" t="s">
        <v>122</v>
      </c>
      <c r="J239" s="101" t="s">
        <v>473</v>
      </c>
      <c r="K239" s="87" t="s">
        <v>11</v>
      </c>
      <c r="L239" s="91">
        <v>1</v>
      </c>
      <c r="M239" s="91">
        <v>1</v>
      </c>
      <c r="N239" s="88">
        <f>Goods_Receipt[[#This Row],[ Invoice. /
 Received Qty ]]-Goods_Receipt[[#This Row],[ Accepted Qty ]]</f>
        <v>0</v>
      </c>
      <c r="O239" s="87"/>
      <c r="P239" s="93"/>
      <c r="Q239" s="87"/>
      <c r="R239" s="87"/>
      <c r="S239" s="87" t="s">
        <v>482</v>
      </c>
      <c r="T239" s="85">
        <v>45575</v>
      </c>
      <c r="U239" s="89"/>
      <c r="V239" s="90"/>
      <c r="W239" s="109"/>
      <c r="X239" s="89"/>
      <c r="Y239" s="84" t="s">
        <v>483</v>
      </c>
      <c r="Z239" s="97"/>
    </row>
    <row r="240" spans="1:26" s="98" customFormat="1" x14ac:dyDescent="0.35">
      <c r="A240" s="86">
        <v>237</v>
      </c>
      <c r="B240" s="175">
        <v>45584</v>
      </c>
      <c r="C240" s="177" t="s">
        <v>449</v>
      </c>
      <c r="D240" s="85">
        <v>45584</v>
      </c>
      <c r="E240" s="84" t="s">
        <v>450</v>
      </c>
      <c r="F240" s="85">
        <v>45615</v>
      </c>
      <c r="G240" s="87"/>
      <c r="H240" s="87" t="s">
        <v>72</v>
      </c>
      <c r="I240" s="87" t="s">
        <v>122</v>
      </c>
      <c r="J240" s="101" t="s">
        <v>474</v>
      </c>
      <c r="K240" s="87" t="s">
        <v>11</v>
      </c>
      <c r="L240" s="91">
        <v>1</v>
      </c>
      <c r="M240" s="91">
        <v>1</v>
      </c>
      <c r="N240" s="88">
        <f>Goods_Receipt[[#This Row],[ Invoice. /
 Received Qty ]]-Goods_Receipt[[#This Row],[ Accepted Qty ]]</f>
        <v>0</v>
      </c>
      <c r="O240" s="87"/>
      <c r="P240" s="93"/>
      <c r="Q240" s="87"/>
      <c r="R240" s="87"/>
      <c r="S240" s="87" t="s">
        <v>482</v>
      </c>
      <c r="T240" s="85">
        <v>45575</v>
      </c>
      <c r="U240" s="89"/>
      <c r="V240" s="90"/>
      <c r="W240" s="109"/>
      <c r="X240" s="89"/>
      <c r="Y240" s="84" t="s">
        <v>483</v>
      </c>
      <c r="Z240" s="97"/>
    </row>
    <row r="241" spans="1:26" s="98" customFormat="1" x14ac:dyDescent="0.35">
      <c r="A241" s="86">
        <v>238</v>
      </c>
      <c r="B241" s="175">
        <v>45584</v>
      </c>
      <c r="C241" s="177" t="s">
        <v>449</v>
      </c>
      <c r="D241" s="85">
        <v>45584</v>
      </c>
      <c r="E241" s="84" t="s">
        <v>450</v>
      </c>
      <c r="F241" s="85">
        <v>45615</v>
      </c>
      <c r="G241" s="87"/>
      <c r="H241" s="87" t="s">
        <v>72</v>
      </c>
      <c r="I241" s="87" t="s">
        <v>122</v>
      </c>
      <c r="J241" s="101" t="s">
        <v>475</v>
      </c>
      <c r="K241" s="87" t="s">
        <v>11</v>
      </c>
      <c r="L241" s="91">
        <v>1</v>
      </c>
      <c r="M241" s="91">
        <v>1</v>
      </c>
      <c r="N241" s="88">
        <f>Goods_Receipt[[#This Row],[ Invoice. /
 Received Qty ]]-Goods_Receipt[[#This Row],[ Accepted Qty ]]</f>
        <v>0</v>
      </c>
      <c r="O241" s="87"/>
      <c r="P241" s="93"/>
      <c r="Q241" s="87"/>
      <c r="R241" s="87"/>
      <c r="S241" s="87" t="s">
        <v>482</v>
      </c>
      <c r="T241" s="85">
        <v>45575</v>
      </c>
      <c r="U241" s="89"/>
      <c r="V241" s="90"/>
      <c r="W241" s="109"/>
      <c r="X241" s="89"/>
      <c r="Y241" s="84" t="s">
        <v>483</v>
      </c>
      <c r="Z241" s="97"/>
    </row>
    <row r="242" spans="1:26" s="98" customFormat="1" x14ac:dyDescent="0.35">
      <c r="A242" s="86">
        <v>239</v>
      </c>
      <c r="B242" s="175">
        <v>45584</v>
      </c>
      <c r="C242" s="177" t="s">
        <v>449</v>
      </c>
      <c r="D242" s="85">
        <v>45584</v>
      </c>
      <c r="E242" s="84" t="s">
        <v>450</v>
      </c>
      <c r="F242" s="85">
        <v>45615</v>
      </c>
      <c r="G242" s="87"/>
      <c r="H242" s="87" t="s">
        <v>72</v>
      </c>
      <c r="I242" s="87" t="s">
        <v>122</v>
      </c>
      <c r="J242" s="101" t="s">
        <v>476</v>
      </c>
      <c r="K242" s="87" t="s">
        <v>11</v>
      </c>
      <c r="L242" s="91">
        <v>1</v>
      </c>
      <c r="M242" s="91">
        <v>1</v>
      </c>
      <c r="N242" s="88">
        <f>Goods_Receipt[[#This Row],[ Invoice. /
 Received Qty ]]-Goods_Receipt[[#This Row],[ Accepted Qty ]]</f>
        <v>0</v>
      </c>
      <c r="O242" s="87"/>
      <c r="P242" s="93"/>
      <c r="Q242" s="87"/>
      <c r="R242" s="87"/>
      <c r="S242" s="87" t="s">
        <v>482</v>
      </c>
      <c r="T242" s="85">
        <v>45575</v>
      </c>
      <c r="U242" s="89"/>
      <c r="V242" s="90"/>
      <c r="W242" s="109"/>
      <c r="X242" s="89"/>
      <c r="Y242" s="84" t="s">
        <v>483</v>
      </c>
      <c r="Z242" s="97"/>
    </row>
    <row r="243" spans="1:26" s="98" customFormat="1" x14ac:dyDescent="0.35">
      <c r="A243" s="86">
        <v>240</v>
      </c>
      <c r="B243" s="175">
        <v>45584</v>
      </c>
      <c r="C243" s="177" t="s">
        <v>449</v>
      </c>
      <c r="D243" s="85">
        <v>45584</v>
      </c>
      <c r="E243" s="84" t="s">
        <v>450</v>
      </c>
      <c r="F243" s="85">
        <v>45615</v>
      </c>
      <c r="G243" s="87"/>
      <c r="H243" s="87" t="s">
        <v>72</v>
      </c>
      <c r="I243" s="87" t="s">
        <v>122</v>
      </c>
      <c r="J243" s="101" t="s">
        <v>477</v>
      </c>
      <c r="K243" s="87" t="s">
        <v>11</v>
      </c>
      <c r="L243" s="91">
        <v>3</v>
      </c>
      <c r="M243" s="91">
        <v>3</v>
      </c>
      <c r="N243" s="88">
        <f>Goods_Receipt[[#This Row],[ Invoice. /
 Received Qty ]]-Goods_Receipt[[#This Row],[ Accepted Qty ]]</f>
        <v>0</v>
      </c>
      <c r="O243" s="87"/>
      <c r="P243" s="93"/>
      <c r="Q243" s="87"/>
      <c r="R243" s="87"/>
      <c r="S243" s="87" t="s">
        <v>482</v>
      </c>
      <c r="T243" s="85">
        <v>45575</v>
      </c>
      <c r="U243" s="89"/>
      <c r="V243" s="90"/>
      <c r="W243" s="109"/>
      <c r="X243" s="89"/>
      <c r="Y243" s="84" t="s">
        <v>483</v>
      </c>
      <c r="Z243" s="97"/>
    </row>
    <row r="244" spans="1:26" s="98" customFormat="1" ht="32.25" customHeight="1" x14ac:dyDescent="0.35">
      <c r="A244" s="86">
        <v>241</v>
      </c>
      <c r="B244" s="175">
        <v>45584</v>
      </c>
      <c r="C244" s="177" t="s">
        <v>449</v>
      </c>
      <c r="D244" s="85">
        <v>45584</v>
      </c>
      <c r="E244" s="84" t="s">
        <v>450</v>
      </c>
      <c r="F244" s="85">
        <v>45615</v>
      </c>
      <c r="G244" s="87"/>
      <c r="H244" s="87" t="s">
        <v>72</v>
      </c>
      <c r="I244" s="87" t="s">
        <v>122</v>
      </c>
      <c r="J244" s="90" t="s">
        <v>478</v>
      </c>
      <c r="K244" s="87" t="s">
        <v>11</v>
      </c>
      <c r="L244" s="88">
        <v>1</v>
      </c>
      <c r="M244" s="88">
        <v>1</v>
      </c>
      <c r="N244" s="88">
        <f>Goods_Receipt[[#This Row],[ Invoice. /
 Received Qty ]]-Goods_Receipt[[#This Row],[ Accepted Qty ]]</f>
        <v>0</v>
      </c>
      <c r="O244" s="87"/>
      <c r="P244" s="93"/>
      <c r="Q244" s="87"/>
      <c r="R244" s="87"/>
      <c r="S244" s="87" t="s">
        <v>482</v>
      </c>
      <c r="T244" s="85">
        <v>45575</v>
      </c>
      <c r="U244" s="89"/>
      <c r="V244" s="90"/>
      <c r="W244" s="109"/>
      <c r="X244" s="91"/>
      <c r="Y244" s="84" t="s">
        <v>483</v>
      </c>
      <c r="Z244" s="97"/>
    </row>
    <row r="245" spans="1:26" s="98" customFormat="1" x14ac:dyDescent="0.35">
      <c r="A245" s="86">
        <v>242</v>
      </c>
      <c r="B245" s="175">
        <v>45584</v>
      </c>
      <c r="C245" s="177" t="s">
        <v>449</v>
      </c>
      <c r="D245" s="85">
        <v>45584</v>
      </c>
      <c r="E245" s="84" t="s">
        <v>450</v>
      </c>
      <c r="F245" s="85">
        <v>45615</v>
      </c>
      <c r="G245" s="87"/>
      <c r="H245" s="87" t="s">
        <v>72</v>
      </c>
      <c r="I245" s="87" t="s">
        <v>122</v>
      </c>
      <c r="J245" s="101" t="s">
        <v>479</v>
      </c>
      <c r="K245" s="87" t="s">
        <v>13</v>
      </c>
      <c r="L245" s="91">
        <v>2</v>
      </c>
      <c r="M245" s="91">
        <v>2</v>
      </c>
      <c r="N245" s="88">
        <f>Goods_Receipt[[#This Row],[ Invoice. /
 Received Qty ]]-Goods_Receipt[[#This Row],[ Accepted Qty ]]</f>
        <v>0</v>
      </c>
      <c r="O245" s="87"/>
      <c r="P245" s="93"/>
      <c r="Q245" s="87"/>
      <c r="R245" s="87"/>
      <c r="S245" s="87" t="s">
        <v>482</v>
      </c>
      <c r="T245" s="85">
        <v>45575</v>
      </c>
      <c r="U245" s="89"/>
      <c r="V245" s="90"/>
      <c r="W245" s="109"/>
      <c r="X245" s="91"/>
      <c r="Y245" s="84" t="s">
        <v>483</v>
      </c>
      <c r="Z245" s="97"/>
    </row>
    <row r="246" spans="1:26" s="98" customFormat="1" x14ac:dyDescent="0.35">
      <c r="A246" s="86">
        <v>243</v>
      </c>
      <c r="B246" s="175">
        <v>45584</v>
      </c>
      <c r="C246" s="177" t="s">
        <v>449</v>
      </c>
      <c r="D246" s="85">
        <v>45584</v>
      </c>
      <c r="E246" s="84" t="s">
        <v>450</v>
      </c>
      <c r="F246" s="85">
        <v>45615</v>
      </c>
      <c r="G246" s="87"/>
      <c r="H246" s="87" t="s">
        <v>72</v>
      </c>
      <c r="I246" s="87" t="s">
        <v>122</v>
      </c>
      <c r="J246" s="101" t="s">
        <v>480</v>
      </c>
      <c r="K246" s="87" t="s">
        <v>11</v>
      </c>
      <c r="L246" s="91">
        <v>2</v>
      </c>
      <c r="M246" s="91">
        <v>2</v>
      </c>
      <c r="N246" s="88">
        <f>Goods_Receipt[[#This Row],[ Invoice. /
 Received Qty ]]-Goods_Receipt[[#This Row],[ Accepted Qty ]]</f>
        <v>0</v>
      </c>
      <c r="O246" s="87"/>
      <c r="P246" s="93"/>
      <c r="Q246" s="87"/>
      <c r="R246" s="87"/>
      <c r="S246" s="87" t="s">
        <v>482</v>
      </c>
      <c r="T246" s="85">
        <v>45575</v>
      </c>
      <c r="U246" s="89"/>
      <c r="V246" s="90"/>
      <c r="W246" s="109"/>
      <c r="X246" s="91"/>
      <c r="Y246" s="84" t="s">
        <v>483</v>
      </c>
      <c r="Z246" s="97"/>
    </row>
    <row r="247" spans="1:26" s="98" customFormat="1" x14ac:dyDescent="0.35">
      <c r="A247" s="86">
        <v>244</v>
      </c>
      <c r="B247" s="175">
        <v>45584</v>
      </c>
      <c r="C247" s="177" t="s">
        <v>449</v>
      </c>
      <c r="D247" s="85">
        <v>45584</v>
      </c>
      <c r="E247" s="84" t="s">
        <v>450</v>
      </c>
      <c r="F247" s="85">
        <v>45615</v>
      </c>
      <c r="G247" s="87"/>
      <c r="H247" s="87" t="s">
        <v>72</v>
      </c>
      <c r="I247" s="87" t="s">
        <v>122</v>
      </c>
      <c r="J247" s="101" t="s">
        <v>481</v>
      </c>
      <c r="K247" s="87" t="s">
        <v>11</v>
      </c>
      <c r="L247" s="91">
        <v>2</v>
      </c>
      <c r="M247" s="91">
        <v>2</v>
      </c>
      <c r="N247" s="88">
        <f>Goods_Receipt[[#This Row],[ Invoice. /
 Received Qty ]]-Goods_Receipt[[#This Row],[ Accepted Qty ]]</f>
        <v>0</v>
      </c>
      <c r="O247" s="87"/>
      <c r="P247" s="93"/>
      <c r="Q247" s="87"/>
      <c r="R247" s="87"/>
      <c r="S247" s="87" t="s">
        <v>482</v>
      </c>
      <c r="T247" s="85">
        <v>45575</v>
      </c>
      <c r="U247" s="89"/>
      <c r="V247" s="90"/>
      <c r="W247" s="109"/>
      <c r="X247" s="91"/>
      <c r="Y247" s="84" t="s">
        <v>483</v>
      </c>
      <c r="Z247" s="97"/>
    </row>
    <row r="248" spans="1:26" s="98" customFormat="1" x14ac:dyDescent="0.35">
      <c r="A248" s="86">
        <v>245</v>
      </c>
      <c r="B248" s="85">
        <v>45615</v>
      </c>
      <c r="C248" s="87" t="s">
        <v>485</v>
      </c>
      <c r="D248" s="85">
        <v>45618</v>
      </c>
      <c r="E248" s="84">
        <v>57</v>
      </c>
      <c r="F248" s="85">
        <v>45621</v>
      </c>
      <c r="G248" s="87"/>
      <c r="H248" s="87" t="s">
        <v>72</v>
      </c>
      <c r="I248" s="87" t="s">
        <v>84</v>
      </c>
      <c r="J248" s="101" t="s">
        <v>486</v>
      </c>
      <c r="K248" s="87" t="s">
        <v>11</v>
      </c>
      <c r="L248" s="91">
        <v>1</v>
      </c>
      <c r="M248" s="91">
        <v>1</v>
      </c>
      <c r="N248" s="88">
        <f>Goods_Receipt[[#This Row],[ Invoice. /
 Received Qty ]]-Goods_Receipt[[#This Row],[ Accepted Qty ]]</f>
        <v>0</v>
      </c>
      <c r="O248" s="87"/>
      <c r="P248" s="93"/>
      <c r="Q248" s="87"/>
      <c r="R248" s="87" t="s">
        <v>487</v>
      </c>
      <c r="S248" s="87" t="s">
        <v>251</v>
      </c>
      <c r="T248" s="85">
        <v>45538</v>
      </c>
      <c r="U248" s="89"/>
      <c r="V248" s="90"/>
      <c r="W248" s="109"/>
      <c r="X248" s="89"/>
      <c r="Y248" s="84" t="s">
        <v>488</v>
      </c>
      <c r="Z248" s="97"/>
    </row>
    <row r="249" spans="1:26" s="98" customFormat="1" x14ac:dyDescent="0.35">
      <c r="A249" s="86">
        <v>246</v>
      </c>
      <c r="B249" s="85">
        <v>45619</v>
      </c>
      <c r="C249" s="87" t="s">
        <v>510</v>
      </c>
      <c r="D249" s="85">
        <v>45618</v>
      </c>
      <c r="E249" s="84" t="s">
        <v>511</v>
      </c>
      <c r="F249" s="85">
        <v>45621</v>
      </c>
      <c r="G249" s="87"/>
      <c r="H249" s="87" t="s">
        <v>72</v>
      </c>
      <c r="I249" s="87" t="s">
        <v>128</v>
      </c>
      <c r="J249" s="101" t="s">
        <v>489</v>
      </c>
      <c r="K249" s="87" t="s">
        <v>225</v>
      </c>
      <c r="L249" s="91">
        <v>800</v>
      </c>
      <c r="M249" s="91">
        <v>800</v>
      </c>
      <c r="N249" s="88">
        <f>Goods_Receipt[[#This Row],[ Invoice. /
 Received Qty ]]-Goods_Receipt[[#This Row],[ Accepted Qty ]]</f>
        <v>0</v>
      </c>
      <c r="O249" s="87">
        <v>1111</v>
      </c>
      <c r="P249" s="93">
        <v>45618</v>
      </c>
      <c r="Q249" s="87"/>
      <c r="R249" s="87" t="s">
        <v>512</v>
      </c>
      <c r="S249" s="87" t="s">
        <v>513</v>
      </c>
      <c r="T249" s="85"/>
      <c r="U249" s="89"/>
      <c r="V249" s="90"/>
      <c r="W249" s="87"/>
      <c r="X249" s="89"/>
      <c r="Y249" s="84"/>
      <c r="Z249" s="97"/>
    </row>
    <row r="250" spans="1:26" s="98" customFormat="1" x14ac:dyDescent="0.35">
      <c r="A250" s="86">
        <v>247</v>
      </c>
      <c r="B250" s="85">
        <v>45619</v>
      </c>
      <c r="C250" s="87" t="s">
        <v>510</v>
      </c>
      <c r="D250" s="85">
        <v>45618</v>
      </c>
      <c r="E250" s="84" t="s">
        <v>511</v>
      </c>
      <c r="F250" s="85">
        <v>45621</v>
      </c>
      <c r="G250" s="87"/>
      <c r="H250" s="87" t="s">
        <v>72</v>
      </c>
      <c r="I250" s="87" t="s">
        <v>128</v>
      </c>
      <c r="J250" s="101" t="s">
        <v>490</v>
      </c>
      <c r="K250" s="87" t="s">
        <v>225</v>
      </c>
      <c r="L250" s="91">
        <v>3000</v>
      </c>
      <c r="M250" s="91">
        <v>3000</v>
      </c>
      <c r="N250" s="88">
        <f>Goods_Receipt[[#This Row],[ Invoice. /
 Received Qty ]]-Goods_Receipt[[#This Row],[ Accepted Qty ]]</f>
        <v>0</v>
      </c>
      <c r="O250" s="87">
        <v>1111</v>
      </c>
      <c r="P250" s="93">
        <v>45618</v>
      </c>
      <c r="Q250" s="87"/>
      <c r="R250" s="87" t="s">
        <v>512</v>
      </c>
      <c r="S250" s="87" t="s">
        <v>513</v>
      </c>
      <c r="T250" s="85"/>
      <c r="U250" s="89"/>
      <c r="V250" s="90"/>
      <c r="W250" s="87"/>
      <c r="X250" s="89"/>
      <c r="Y250" s="84"/>
      <c r="Z250" s="97"/>
    </row>
    <row r="251" spans="1:26" s="98" customFormat="1" x14ac:dyDescent="0.35">
      <c r="A251" s="86">
        <v>248</v>
      </c>
      <c r="B251" s="85">
        <v>45619</v>
      </c>
      <c r="C251" s="87" t="s">
        <v>510</v>
      </c>
      <c r="D251" s="85">
        <v>45618</v>
      </c>
      <c r="E251" s="84" t="s">
        <v>511</v>
      </c>
      <c r="F251" s="85">
        <v>45621</v>
      </c>
      <c r="G251" s="87"/>
      <c r="H251" s="87" t="s">
        <v>72</v>
      </c>
      <c r="I251" s="87" t="s">
        <v>128</v>
      </c>
      <c r="J251" s="101" t="s">
        <v>491</v>
      </c>
      <c r="K251" s="87" t="s">
        <v>225</v>
      </c>
      <c r="L251" s="91">
        <v>80</v>
      </c>
      <c r="M251" s="91">
        <v>80</v>
      </c>
      <c r="N251" s="88">
        <f>Goods_Receipt[[#This Row],[ Invoice. /
 Received Qty ]]-Goods_Receipt[[#This Row],[ Accepted Qty ]]</f>
        <v>0</v>
      </c>
      <c r="O251" s="87">
        <v>1111</v>
      </c>
      <c r="P251" s="93">
        <v>45618</v>
      </c>
      <c r="Q251" s="87"/>
      <c r="R251" s="87" t="s">
        <v>512</v>
      </c>
      <c r="S251" s="87" t="s">
        <v>513</v>
      </c>
      <c r="T251" s="85"/>
      <c r="U251" s="89"/>
      <c r="V251" s="90"/>
      <c r="W251" s="109"/>
      <c r="X251" s="89"/>
      <c r="Y251" s="84"/>
      <c r="Z251" s="97"/>
    </row>
    <row r="252" spans="1:26" s="98" customFormat="1" x14ac:dyDescent="0.35">
      <c r="A252" s="86">
        <v>249</v>
      </c>
      <c r="B252" s="85">
        <v>45619</v>
      </c>
      <c r="C252" s="87" t="s">
        <v>510</v>
      </c>
      <c r="D252" s="85">
        <v>45618</v>
      </c>
      <c r="E252" s="84" t="s">
        <v>511</v>
      </c>
      <c r="F252" s="85">
        <v>45621</v>
      </c>
      <c r="G252" s="87"/>
      <c r="H252" s="87" t="s">
        <v>72</v>
      </c>
      <c r="I252" s="87" t="s">
        <v>128</v>
      </c>
      <c r="J252" s="101" t="s">
        <v>492</v>
      </c>
      <c r="K252" s="87" t="s">
        <v>11</v>
      </c>
      <c r="L252" s="88">
        <v>4</v>
      </c>
      <c r="M252" s="88">
        <v>4</v>
      </c>
      <c r="N252" s="88">
        <f>Goods_Receipt[[#This Row],[ Invoice. /
 Received Qty ]]-Goods_Receipt[[#This Row],[ Accepted Qty ]]</f>
        <v>0</v>
      </c>
      <c r="O252" s="87">
        <v>1111</v>
      </c>
      <c r="P252" s="93">
        <v>45618</v>
      </c>
      <c r="Q252" s="87"/>
      <c r="R252" s="87" t="s">
        <v>512</v>
      </c>
      <c r="S252" s="87" t="s">
        <v>513</v>
      </c>
      <c r="T252" s="85"/>
      <c r="U252" s="89"/>
      <c r="V252" s="90"/>
      <c r="W252" s="87"/>
      <c r="X252" s="89"/>
      <c r="Y252" s="84"/>
      <c r="Z252" s="97"/>
    </row>
    <row r="253" spans="1:26" s="98" customFormat="1" x14ac:dyDescent="0.35">
      <c r="A253" s="86">
        <v>250</v>
      </c>
      <c r="B253" s="85">
        <v>45619</v>
      </c>
      <c r="C253" s="87" t="s">
        <v>510</v>
      </c>
      <c r="D253" s="85">
        <v>45618</v>
      </c>
      <c r="E253" s="84" t="s">
        <v>511</v>
      </c>
      <c r="F253" s="85">
        <v>45621</v>
      </c>
      <c r="G253" s="87"/>
      <c r="H253" s="87" t="s">
        <v>72</v>
      </c>
      <c r="I253" s="87" t="s">
        <v>128</v>
      </c>
      <c r="J253" s="101" t="s">
        <v>493</v>
      </c>
      <c r="K253" s="87" t="s">
        <v>11</v>
      </c>
      <c r="L253" s="91">
        <v>130</v>
      </c>
      <c r="M253" s="91">
        <v>130</v>
      </c>
      <c r="N253" s="88">
        <f>Goods_Receipt[[#This Row],[ Invoice. /
 Received Qty ]]-Goods_Receipt[[#This Row],[ Accepted Qty ]]</f>
        <v>0</v>
      </c>
      <c r="O253" s="87">
        <v>1111</v>
      </c>
      <c r="P253" s="93">
        <v>45618</v>
      </c>
      <c r="Q253" s="87"/>
      <c r="R253" s="87" t="s">
        <v>512</v>
      </c>
      <c r="S253" s="87" t="s">
        <v>513</v>
      </c>
      <c r="T253" s="85"/>
      <c r="U253" s="89"/>
      <c r="V253" s="90"/>
      <c r="W253" s="87"/>
      <c r="X253" s="89"/>
      <c r="Y253" s="84"/>
      <c r="Z253" s="97"/>
    </row>
    <row r="254" spans="1:26" s="98" customFormat="1" x14ac:dyDescent="0.35">
      <c r="A254" s="86">
        <v>251</v>
      </c>
      <c r="B254" s="85">
        <v>45619</v>
      </c>
      <c r="C254" s="87" t="s">
        <v>510</v>
      </c>
      <c r="D254" s="85">
        <v>45618</v>
      </c>
      <c r="E254" s="84" t="s">
        <v>511</v>
      </c>
      <c r="F254" s="85">
        <v>45621</v>
      </c>
      <c r="G254" s="87"/>
      <c r="H254" s="87" t="s">
        <v>72</v>
      </c>
      <c r="I254" s="87" t="s">
        <v>128</v>
      </c>
      <c r="J254" s="101" t="s">
        <v>494</v>
      </c>
      <c r="K254" s="87" t="s">
        <v>11</v>
      </c>
      <c r="L254" s="91">
        <v>20</v>
      </c>
      <c r="M254" s="91">
        <v>20</v>
      </c>
      <c r="N254" s="88">
        <f>Goods_Receipt[[#This Row],[ Invoice. /
 Received Qty ]]-Goods_Receipt[[#This Row],[ Accepted Qty ]]</f>
        <v>0</v>
      </c>
      <c r="O254" s="87">
        <v>1111</v>
      </c>
      <c r="P254" s="93">
        <v>45618</v>
      </c>
      <c r="Q254" s="87"/>
      <c r="R254" s="87" t="s">
        <v>512</v>
      </c>
      <c r="S254" s="87" t="s">
        <v>513</v>
      </c>
      <c r="T254" s="85"/>
      <c r="U254" s="89"/>
      <c r="V254" s="90"/>
      <c r="W254" s="109"/>
      <c r="X254" s="89"/>
      <c r="Y254" s="84"/>
      <c r="Z254" s="97"/>
    </row>
    <row r="255" spans="1:26" s="98" customFormat="1" x14ac:dyDescent="0.35">
      <c r="A255" s="86">
        <v>252</v>
      </c>
      <c r="B255" s="85">
        <v>45619</v>
      </c>
      <c r="C255" s="87" t="s">
        <v>510</v>
      </c>
      <c r="D255" s="85">
        <v>45618</v>
      </c>
      <c r="E255" s="84" t="s">
        <v>511</v>
      </c>
      <c r="F255" s="85">
        <v>45621</v>
      </c>
      <c r="G255" s="87"/>
      <c r="H255" s="87" t="s">
        <v>72</v>
      </c>
      <c r="I255" s="87" t="s">
        <v>128</v>
      </c>
      <c r="J255" s="101" t="s">
        <v>495</v>
      </c>
      <c r="K255" s="87" t="s">
        <v>11</v>
      </c>
      <c r="L255" s="91">
        <v>170</v>
      </c>
      <c r="M255" s="91">
        <v>170</v>
      </c>
      <c r="N255" s="88">
        <f>Goods_Receipt[[#This Row],[ Invoice. /
 Received Qty ]]-Goods_Receipt[[#This Row],[ Accepted Qty ]]</f>
        <v>0</v>
      </c>
      <c r="O255" s="87">
        <v>1111</v>
      </c>
      <c r="P255" s="93">
        <v>45618</v>
      </c>
      <c r="Q255" s="87"/>
      <c r="R255" s="87" t="s">
        <v>512</v>
      </c>
      <c r="S255" s="87" t="s">
        <v>513</v>
      </c>
      <c r="T255" s="85"/>
      <c r="U255" s="89"/>
      <c r="V255" s="90"/>
      <c r="W255" s="87"/>
      <c r="X255" s="89"/>
      <c r="Y255" s="84"/>
      <c r="Z255" s="97"/>
    </row>
    <row r="256" spans="1:26" s="98" customFormat="1" x14ac:dyDescent="0.35">
      <c r="A256" s="86">
        <v>253</v>
      </c>
      <c r="B256" s="85">
        <v>45619</v>
      </c>
      <c r="C256" s="87" t="s">
        <v>510</v>
      </c>
      <c r="D256" s="85">
        <v>45618</v>
      </c>
      <c r="E256" s="84" t="s">
        <v>511</v>
      </c>
      <c r="F256" s="85">
        <v>45621</v>
      </c>
      <c r="G256" s="87"/>
      <c r="H256" s="87" t="s">
        <v>72</v>
      </c>
      <c r="I256" s="87" t="s">
        <v>128</v>
      </c>
      <c r="J256" s="101" t="s">
        <v>496</v>
      </c>
      <c r="K256" s="87" t="s">
        <v>11</v>
      </c>
      <c r="L256" s="91">
        <v>5</v>
      </c>
      <c r="M256" s="91">
        <v>5</v>
      </c>
      <c r="N256" s="88">
        <f>Goods_Receipt[[#This Row],[ Invoice. /
 Received Qty ]]-Goods_Receipt[[#This Row],[ Accepted Qty ]]</f>
        <v>0</v>
      </c>
      <c r="O256" s="87">
        <v>1111</v>
      </c>
      <c r="P256" s="93">
        <v>45618</v>
      </c>
      <c r="Q256" s="87"/>
      <c r="R256" s="87" t="s">
        <v>512</v>
      </c>
      <c r="S256" s="87" t="s">
        <v>513</v>
      </c>
      <c r="T256" s="85"/>
      <c r="U256" s="89"/>
      <c r="V256" s="90"/>
      <c r="W256" s="87"/>
      <c r="X256" s="89"/>
      <c r="Y256" s="84"/>
      <c r="Z256" s="97"/>
    </row>
    <row r="257" spans="1:26" s="98" customFormat="1" x14ac:dyDescent="0.35">
      <c r="A257" s="86">
        <v>254</v>
      </c>
      <c r="B257" s="85">
        <v>45619</v>
      </c>
      <c r="C257" s="87" t="s">
        <v>510</v>
      </c>
      <c r="D257" s="85">
        <v>45618</v>
      </c>
      <c r="E257" s="84" t="s">
        <v>511</v>
      </c>
      <c r="F257" s="85">
        <v>45621</v>
      </c>
      <c r="G257" s="87"/>
      <c r="H257" s="87" t="s">
        <v>72</v>
      </c>
      <c r="I257" s="87" t="s">
        <v>128</v>
      </c>
      <c r="J257" s="101" t="s">
        <v>497</v>
      </c>
      <c r="K257" s="87" t="s">
        <v>11</v>
      </c>
      <c r="L257" s="91">
        <v>100</v>
      </c>
      <c r="M257" s="91">
        <v>100</v>
      </c>
      <c r="N257" s="88">
        <f>Goods_Receipt[[#This Row],[ Invoice. /
 Received Qty ]]-Goods_Receipt[[#This Row],[ Accepted Qty ]]</f>
        <v>0</v>
      </c>
      <c r="O257" s="87">
        <v>1111</v>
      </c>
      <c r="P257" s="93">
        <v>45618</v>
      </c>
      <c r="Q257" s="87"/>
      <c r="R257" s="87" t="s">
        <v>512</v>
      </c>
      <c r="S257" s="87" t="s">
        <v>513</v>
      </c>
      <c r="T257" s="85"/>
      <c r="U257" s="89"/>
      <c r="V257" s="90"/>
      <c r="W257" s="87"/>
      <c r="X257" s="89"/>
      <c r="Y257" s="84"/>
      <c r="Z257" s="97"/>
    </row>
    <row r="258" spans="1:26" s="98" customFormat="1" x14ac:dyDescent="0.35">
      <c r="A258" s="86">
        <v>255</v>
      </c>
      <c r="B258" s="85">
        <v>45619</v>
      </c>
      <c r="C258" s="87" t="s">
        <v>510</v>
      </c>
      <c r="D258" s="85">
        <v>45618</v>
      </c>
      <c r="E258" s="84" t="s">
        <v>511</v>
      </c>
      <c r="F258" s="85">
        <v>45621</v>
      </c>
      <c r="G258" s="87"/>
      <c r="H258" s="87" t="s">
        <v>72</v>
      </c>
      <c r="I258" s="87" t="s">
        <v>128</v>
      </c>
      <c r="J258" s="101" t="s">
        <v>498</v>
      </c>
      <c r="K258" s="87" t="s">
        <v>11</v>
      </c>
      <c r="L258" s="91">
        <v>130</v>
      </c>
      <c r="M258" s="91">
        <v>130</v>
      </c>
      <c r="N258" s="88">
        <f>Goods_Receipt[[#This Row],[ Invoice. /
 Received Qty ]]-Goods_Receipt[[#This Row],[ Accepted Qty ]]</f>
        <v>0</v>
      </c>
      <c r="O258" s="87">
        <v>1111</v>
      </c>
      <c r="P258" s="93">
        <v>45618</v>
      </c>
      <c r="Q258" s="87"/>
      <c r="R258" s="87" t="s">
        <v>512</v>
      </c>
      <c r="S258" s="87" t="s">
        <v>513</v>
      </c>
      <c r="T258" s="85"/>
      <c r="U258" s="89"/>
      <c r="V258" s="90"/>
      <c r="W258" s="87"/>
      <c r="X258" s="89"/>
      <c r="Y258" s="84"/>
      <c r="Z258" s="97"/>
    </row>
    <row r="259" spans="1:26" s="98" customFormat="1" x14ac:dyDescent="0.35">
      <c r="A259" s="86">
        <v>256</v>
      </c>
      <c r="B259" s="85">
        <v>45619</v>
      </c>
      <c r="C259" s="87" t="s">
        <v>510</v>
      </c>
      <c r="D259" s="85">
        <v>45618</v>
      </c>
      <c r="E259" s="84" t="s">
        <v>511</v>
      </c>
      <c r="F259" s="85">
        <v>45621</v>
      </c>
      <c r="G259" s="87"/>
      <c r="H259" s="87" t="s">
        <v>72</v>
      </c>
      <c r="I259" s="87" t="s">
        <v>128</v>
      </c>
      <c r="J259" s="101" t="s">
        <v>499</v>
      </c>
      <c r="K259" s="87" t="s">
        <v>11</v>
      </c>
      <c r="L259" s="91">
        <v>40</v>
      </c>
      <c r="M259" s="91">
        <v>40</v>
      </c>
      <c r="N259" s="88">
        <f>Goods_Receipt[[#This Row],[ Invoice. /
 Received Qty ]]-Goods_Receipt[[#This Row],[ Accepted Qty ]]</f>
        <v>0</v>
      </c>
      <c r="O259" s="87">
        <v>1111</v>
      </c>
      <c r="P259" s="93">
        <v>45618</v>
      </c>
      <c r="Q259" s="87"/>
      <c r="R259" s="87" t="s">
        <v>512</v>
      </c>
      <c r="S259" s="87" t="s">
        <v>513</v>
      </c>
      <c r="T259" s="85"/>
      <c r="U259" s="89"/>
      <c r="V259" s="90"/>
      <c r="W259" s="87"/>
      <c r="X259" s="89"/>
      <c r="Y259" s="84"/>
      <c r="Z259" s="97"/>
    </row>
    <row r="260" spans="1:26" s="98" customFormat="1" x14ac:dyDescent="0.35">
      <c r="A260" s="86">
        <v>257</v>
      </c>
      <c r="B260" s="85">
        <v>45619</v>
      </c>
      <c r="C260" s="87" t="s">
        <v>510</v>
      </c>
      <c r="D260" s="85">
        <v>45618</v>
      </c>
      <c r="E260" s="84" t="s">
        <v>511</v>
      </c>
      <c r="F260" s="85">
        <v>45621</v>
      </c>
      <c r="G260" s="87"/>
      <c r="H260" s="87" t="s">
        <v>72</v>
      </c>
      <c r="I260" s="87" t="s">
        <v>128</v>
      </c>
      <c r="J260" s="101" t="s">
        <v>500</v>
      </c>
      <c r="K260" s="87" t="s">
        <v>11</v>
      </c>
      <c r="L260" s="91">
        <v>300</v>
      </c>
      <c r="M260" s="91">
        <v>300</v>
      </c>
      <c r="N260" s="88">
        <f>Goods_Receipt[[#This Row],[ Invoice. /
 Received Qty ]]-Goods_Receipt[[#This Row],[ Accepted Qty ]]</f>
        <v>0</v>
      </c>
      <c r="O260" s="87">
        <v>1111</v>
      </c>
      <c r="P260" s="93">
        <v>45618</v>
      </c>
      <c r="Q260" s="87"/>
      <c r="R260" s="87" t="s">
        <v>512</v>
      </c>
      <c r="S260" s="87" t="s">
        <v>513</v>
      </c>
      <c r="T260" s="85"/>
      <c r="U260" s="89"/>
      <c r="V260" s="90"/>
      <c r="W260" s="109"/>
      <c r="X260" s="89"/>
      <c r="Y260" s="84"/>
      <c r="Z260" s="97"/>
    </row>
    <row r="261" spans="1:26" s="98" customFormat="1" x14ac:dyDescent="0.35">
      <c r="A261" s="86">
        <v>258</v>
      </c>
      <c r="B261" s="85">
        <v>45619</v>
      </c>
      <c r="C261" s="87" t="s">
        <v>510</v>
      </c>
      <c r="D261" s="85">
        <v>45618</v>
      </c>
      <c r="E261" s="84" t="s">
        <v>511</v>
      </c>
      <c r="F261" s="85">
        <v>45621</v>
      </c>
      <c r="G261" s="87"/>
      <c r="H261" s="87" t="s">
        <v>72</v>
      </c>
      <c r="I261" s="87" t="s">
        <v>128</v>
      </c>
      <c r="J261" s="101" t="s">
        <v>501</v>
      </c>
      <c r="K261" s="87" t="s">
        <v>11</v>
      </c>
      <c r="L261" s="91">
        <v>1050</v>
      </c>
      <c r="M261" s="91">
        <v>1050</v>
      </c>
      <c r="N261" s="88">
        <f>Goods_Receipt[[#This Row],[ Invoice. /
 Received Qty ]]-Goods_Receipt[[#This Row],[ Accepted Qty ]]</f>
        <v>0</v>
      </c>
      <c r="O261" s="87">
        <v>1111</v>
      </c>
      <c r="P261" s="93">
        <v>45618</v>
      </c>
      <c r="Q261" s="87"/>
      <c r="R261" s="87" t="s">
        <v>512</v>
      </c>
      <c r="S261" s="87" t="s">
        <v>513</v>
      </c>
      <c r="T261" s="85"/>
      <c r="U261" s="89"/>
      <c r="V261" s="90"/>
      <c r="W261" s="87"/>
      <c r="X261" s="89"/>
      <c r="Y261" s="84"/>
      <c r="Z261" s="97"/>
    </row>
    <row r="262" spans="1:26" s="98" customFormat="1" x14ac:dyDescent="0.35">
      <c r="A262" s="86">
        <v>259</v>
      </c>
      <c r="B262" s="85">
        <v>45619</v>
      </c>
      <c r="C262" s="87" t="s">
        <v>510</v>
      </c>
      <c r="D262" s="85">
        <v>45618</v>
      </c>
      <c r="E262" s="84" t="s">
        <v>511</v>
      </c>
      <c r="F262" s="85">
        <v>45621</v>
      </c>
      <c r="G262" s="87"/>
      <c r="H262" s="87" t="s">
        <v>72</v>
      </c>
      <c r="I262" s="87" t="s">
        <v>128</v>
      </c>
      <c r="J262" s="101" t="s">
        <v>502</v>
      </c>
      <c r="K262" s="87" t="s">
        <v>11</v>
      </c>
      <c r="L262" s="91">
        <v>5</v>
      </c>
      <c r="M262" s="91">
        <v>5</v>
      </c>
      <c r="N262" s="88">
        <f>Goods_Receipt[[#This Row],[ Invoice. /
 Received Qty ]]-Goods_Receipt[[#This Row],[ Accepted Qty ]]</f>
        <v>0</v>
      </c>
      <c r="O262" s="87">
        <v>1111</v>
      </c>
      <c r="P262" s="93">
        <v>45618</v>
      </c>
      <c r="Q262" s="87"/>
      <c r="R262" s="87" t="s">
        <v>512</v>
      </c>
      <c r="S262" s="87" t="s">
        <v>513</v>
      </c>
      <c r="T262" s="85"/>
      <c r="U262" s="89"/>
      <c r="V262" s="90"/>
      <c r="W262" s="87"/>
      <c r="X262" s="89"/>
      <c r="Y262" s="84"/>
      <c r="Z262" s="97"/>
    </row>
    <row r="263" spans="1:26" s="98" customFormat="1" x14ac:dyDescent="0.35">
      <c r="A263" s="86">
        <v>260</v>
      </c>
      <c r="B263" s="85">
        <v>45619</v>
      </c>
      <c r="C263" s="87" t="s">
        <v>510</v>
      </c>
      <c r="D263" s="85">
        <v>45618</v>
      </c>
      <c r="E263" s="84" t="s">
        <v>511</v>
      </c>
      <c r="F263" s="85">
        <v>45621</v>
      </c>
      <c r="G263" s="87"/>
      <c r="H263" s="87" t="s">
        <v>72</v>
      </c>
      <c r="I263" s="87" t="s">
        <v>128</v>
      </c>
      <c r="J263" s="101" t="s">
        <v>503</v>
      </c>
      <c r="K263" s="87" t="s">
        <v>11</v>
      </c>
      <c r="L263" s="91">
        <v>5</v>
      </c>
      <c r="M263" s="91">
        <v>5</v>
      </c>
      <c r="N263" s="88">
        <f>Goods_Receipt[[#This Row],[ Invoice. /
 Received Qty ]]-Goods_Receipt[[#This Row],[ Accepted Qty ]]</f>
        <v>0</v>
      </c>
      <c r="O263" s="87">
        <v>1111</v>
      </c>
      <c r="P263" s="93">
        <v>45618</v>
      </c>
      <c r="Q263" s="87"/>
      <c r="R263" s="87" t="s">
        <v>512</v>
      </c>
      <c r="S263" s="87" t="s">
        <v>513</v>
      </c>
      <c r="T263" s="85"/>
      <c r="U263" s="89"/>
      <c r="V263" s="90"/>
      <c r="W263" s="87"/>
      <c r="X263" s="89"/>
      <c r="Y263" s="84"/>
      <c r="Z263" s="97"/>
    </row>
    <row r="264" spans="1:26" s="98" customFormat="1" x14ac:dyDescent="0.35">
      <c r="A264" s="86">
        <v>261</v>
      </c>
      <c r="B264" s="85">
        <v>45619</v>
      </c>
      <c r="C264" s="87" t="s">
        <v>510</v>
      </c>
      <c r="D264" s="85">
        <v>45618</v>
      </c>
      <c r="E264" s="84" t="s">
        <v>511</v>
      </c>
      <c r="F264" s="85">
        <v>45621</v>
      </c>
      <c r="G264" s="87"/>
      <c r="H264" s="87" t="s">
        <v>72</v>
      </c>
      <c r="I264" s="87" t="s">
        <v>128</v>
      </c>
      <c r="J264" s="101" t="s">
        <v>504</v>
      </c>
      <c r="K264" s="87" t="s">
        <v>100</v>
      </c>
      <c r="L264" s="91">
        <v>20000</v>
      </c>
      <c r="M264" s="91">
        <v>20000</v>
      </c>
      <c r="N264" s="88">
        <f>Goods_Receipt[[#This Row],[ Invoice. /
 Received Qty ]]-Goods_Receipt[[#This Row],[ Accepted Qty ]]</f>
        <v>0</v>
      </c>
      <c r="O264" s="87">
        <v>1111</v>
      </c>
      <c r="P264" s="93">
        <v>45618</v>
      </c>
      <c r="Q264" s="87"/>
      <c r="R264" s="87" t="s">
        <v>512</v>
      </c>
      <c r="S264" s="87" t="s">
        <v>513</v>
      </c>
      <c r="T264" s="85"/>
      <c r="U264" s="89"/>
      <c r="V264" s="90"/>
      <c r="W264" s="109"/>
      <c r="X264" s="89"/>
      <c r="Y264" s="84"/>
      <c r="Z264" s="97"/>
    </row>
    <row r="265" spans="1:26" s="98" customFormat="1" x14ac:dyDescent="0.35">
      <c r="A265" s="86">
        <v>262</v>
      </c>
      <c r="B265" s="85">
        <v>45619</v>
      </c>
      <c r="C265" s="87" t="s">
        <v>510</v>
      </c>
      <c r="D265" s="85">
        <v>45618</v>
      </c>
      <c r="E265" s="84" t="s">
        <v>511</v>
      </c>
      <c r="F265" s="85">
        <v>45621</v>
      </c>
      <c r="G265" s="87"/>
      <c r="H265" s="87" t="s">
        <v>72</v>
      </c>
      <c r="I265" s="87" t="s">
        <v>128</v>
      </c>
      <c r="J265" s="101" t="s">
        <v>505</v>
      </c>
      <c r="K265" s="87" t="s">
        <v>11</v>
      </c>
      <c r="L265" s="91">
        <v>2</v>
      </c>
      <c r="M265" s="91">
        <v>2</v>
      </c>
      <c r="N265" s="88">
        <f>Goods_Receipt[[#This Row],[ Invoice. /
 Received Qty ]]-Goods_Receipt[[#This Row],[ Accepted Qty ]]</f>
        <v>0</v>
      </c>
      <c r="O265" s="87">
        <v>1111</v>
      </c>
      <c r="P265" s="93">
        <v>45618</v>
      </c>
      <c r="Q265" s="87"/>
      <c r="R265" s="87" t="s">
        <v>512</v>
      </c>
      <c r="S265" s="87" t="s">
        <v>513</v>
      </c>
      <c r="T265" s="85"/>
      <c r="U265" s="89"/>
      <c r="V265" s="90"/>
      <c r="W265" s="109"/>
      <c r="X265" s="89"/>
      <c r="Y265" s="84"/>
      <c r="Z265" s="97"/>
    </row>
    <row r="266" spans="1:26" s="98" customFormat="1" x14ac:dyDescent="0.35">
      <c r="A266" s="86">
        <v>263</v>
      </c>
      <c r="B266" s="85">
        <v>45619</v>
      </c>
      <c r="C266" s="87" t="s">
        <v>510</v>
      </c>
      <c r="D266" s="85">
        <v>45618</v>
      </c>
      <c r="E266" s="84" t="s">
        <v>511</v>
      </c>
      <c r="F266" s="85">
        <v>45621</v>
      </c>
      <c r="G266" s="87"/>
      <c r="H266" s="87" t="s">
        <v>72</v>
      </c>
      <c r="I266" s="87" t="s">
        <v>128</v>
      </c>
      <c r="J266" s="101" t="s">
        <v>506</v>
      </c>
      <c r="K266" s="87" t="s">
        <v>13</v>
      </c>
      <c r="L266" s="91">
        <v>2</v>
      </c>
      <c r="M266" s="91">
        <v>2</v>
      </c>
      <c r="N266" s="88">
        <f>Goods_Receipt[[#This Row],[ Invoice. /
 Received Qty ]]-Goods_Receipt[[#This Row],[ Accepted Qty ]]</f>
        <v>0</v>
      </c>
      <c r="O266" s="87">
        <v>1111</v>
      </c>
      <c r="P266" s="93">
        <v>45618</v>
      </c>
      <c r="Q266" s="87"/>
      <c r="R266" s="87" t="s">
        <v>512</v>
      </c>
      <c r="S266" s="87" t="s">
        <v>513</v>
      </c>
      <c r="T266" s="85"/>
      <c r="U266" s="89"/>
      <c r="V266" s="90"/>
      <c r="W266" s="87"/>
      <c r="X266" s="89"/>
      <c r="Y266" s="84"/>
      <c r="Z266" s="97"/>
    </row>
    <row r="267" spans="1:26" s="98" customFormat="1" x14ac:dyDescent="0.35">
      <c r="A267" s="86">
        <v>264</v>
      </c>
      <c r="B267" s="85">
        <v>45619</v>
      </c>
      <c r="C267" s="87" t="s">
        <v>510</v>
      </c>
      <c r="D267" s="85">
        <v>45618</v>
      </c>
      <c r="E267" s="84" t="s">
        <v>511</v>
      </c>
      <c r="F267" s="85">
        <v>45621</v>
      </c>
      <c r="G267" s="87"/>
      <c r="H267" s="87" t="s">
        <v>72</v>
      </c>
      <c r="I267" s="87" t="s">
        <v>128</v>
      </c>
      <c r="J267" s="101" t="s">
        <v>507</v>
      </c>
      <c r="K267" s="87" t="s">
        <v>11</v>
      </c>
      <c r="L267" s="91">
        <v>2</v>
      </c>
      <c r="M267" s="91">
        <v>2</v>
      </c>
      <c r="N267" s="88">
        <f>Goods_Receipt[[#This Row],[ Invoice. /
 Received Qty ]]-Goods_Receipt[[#This Row],[ Accepted Qty ]]</f>
        <v>0</v>
      </c>
      <c r="O267" s="87">
        <v>1111</v>
      </c>
      <c r="P267" s="93">
        <v>45618</v>
      </c>
      <c r="Q267" s="87"/>
      <c r="R267" s="87" t="s">
        <v>512</v>
      </c>
      <c r="S267" s="87" t="s">
        <v>513</v>
      </c>
      <c r="T267" s="85"/>
      <c r="U267" s="89"/>
      <c r="V267" s="90"/>
      <c r="W267" s="87"/>
      <c r="X267" s="89"/>
      <c r="Y267" s="84"/>
      <c r="Z267" s="97"/>
    </row>
    <row r="268" spans="1:26" s="98" customFormat="1" x14ac:dyDescent="0.35">
      <c r="A268" s="86">
        <v>265</v>
      </c>
      <c r="B268" s="85">
        <v>45619</v>
      </c>
      <c r="C268" s="87" t="s">
        <v>510</v>
      </c>
      <c r="D268" s="85">
        <v>45618</v>
      </c>
      <c r="E268" s="84" t="s">
        <v>511</v>
      </c>
      <c r="F268" s="85">
        <v>45621</v>
      </c>
      <c r="G268" s="87"/>
      <c r="H268" s="87" t="s">
        <v>72</v>
      </c>
      <c r="I268" s="87" t="s">
        <v>128</v>
      </c>
      <c r="J268" s="101" t="s">
        <v>508</v>
      </c>
      <c r="K268" s="87" t="s">
        <v>11</v>
      </c>
      <c r="L268" s="91">
        <v>2</v>
      </c>
      <c r="M268" s="91">
        <v>2</v>
      </c>
      <c r="N268" s="88">
        <f>Goods_Receipt[[#This Row],[ Invoice. /
 Received Qty ]]-Goods_Receipt[[#This Row],[ Accepted Qty ]]</f>
        <v>0</v>
      </c>
      <c r="O268" s="87">
        <v>1111</v>
      </c>
      <c r="P268" s="93">
        <v>45618</v>
      </c>
      <c r="Q268" s="87"/>
      <c r="R268" s="87" t="s">
        <v>512</v>
      </c>
      <c r="S268" s="87" t="s">
        <v>513</v>
      </c>
      <c r="T268" s="85"/>
      <c r="U268" s="89"/>
      <c r="V268" s="90"/>
      <c r="W268" s="109"/>
      <c r="X268" s="89"/>
      <c r="Y268" s="84"/>
      <c r="Z268" s="97"/>
    </row>
    <row r="269" spans="1:26" s="98" customFormat="1" x14ac:dyDescent="0.35">
      <c r="A269" s="86">
        <v>266</v>
      </c>
      <c r="B269" s="85">
        <v>45619</v>
      </c>
      <c r="C269" s="87" t="s">
        <v>510</v>
      </c>
      <c r="D269" s="85">
        <v>45618</v>
      </c>
      <c r="E269" s="84" t="s">
        <v>511</v>
      </c>
      <c r="F269" s="85">
        <v>45621</v>
      </c>
      <c r="G269" s="87"/>
      <c r="H269" s="87" t="s">
        <v>72</v>
      </c>
      <c r="I269" s="87" t="s">
        <v>128</v>
      </c>
      <c r="J269" s="101" t="s">
        <v>509</v>
      </c>
      <c r="K269" s="87" t="s">
        <v>11</v>
      </c>
      <c r="L269" s="91">
        <v>4</v>
      </c>
      <c r="M269" s="91">
        <v>4</v>
      </c>
      <c r="N269" s="88">
        <f>Goods_Receipt[[#This Row],[ Invoice. /
 Received Qty ]]-Goods_Receipt[[#This Row],[ Accepted Qty ]]</f>
        <v>0</v>
      </c>
      <c r="O269" s="87">
        <v>1111</v>
      </c>
      <c r="P269" s="93">
        <v>45618</v>
      </c>
      <c r="Q269" s="87"/>
      <c r="R269" s="87" t="s">
        <v>512</v>
      </c>
      <c r="S269" s="87" t="s">
        <v>513</v>
      </c>
      <c r="T269" s="85"/>
      <c r="U269" s="89"/>
      <c r="V269" s="90"/>
      <c r="W269" s="87"/>
      <c r="X269" s="89"/>
      <c r="Y269" s="84"/>
      <c r="Z269" s="97"/>
    </row>
    <row r="270" spans="1:26" s="98" customFormat="1" x14ac:dyDescent="0.35">
      <c r="A270" s="86">
        <v>267</v>
      </c>
      <c r="B270" s="85">
        <v>45621</v>
      </c>
      <c r="C270" s="87" t="s">
        <v>514</v>
      </c>
      <c r="D270" s="85">
        <v>45611</v>
      </c>
      <c r="E270" s="84">
        <v>60</v>
      </c>
      <c r="F270" s="85">
        <v>46352</v>
      </c>
      <c r="G270" s="87"/>
      <c r="H270" s="87" t="s">
        <v>72</v>
      </c>
      <c r="I270" s="87" t="s">
        <v>75</v>
      </c>
      <c r="J270" s="101" t="s">
        <v>515</v>
      </c>
      <c r="K270" s="87" t="s">
        <v>11</v>
      </c>
      <c r="L270" s="91">
        <v>42000</v>
      </c>
      <c r="M270" s="91">
        <v>42000</v>
      </c>
      <c r="N270" s="88">
        <f>Goods_Receipt[[#This Row],[ Invoice. /
 Received Qty ]]-Goods_Receipt[[#This Row],[ Accepted Qty ]]</f>
        <v>0</v>
      </c>
      <c r="O270" s="87"/>
      <c r="P270" s="93"/>
      <c r="Q270" s="87"/>
      <c r="R270" s="87"/>
      <c r="S270" s="87" t="s">
        <v>516</v>
      </c>
      <c r="T270" s="85">
        <v>45611</v>
      </c>
      <c r="U270" s="89"/>
      <c r="V270" s="90"/>
      <c r="W270" s="109"/>
      <c r="X270" s="89"/>
      <c r="Y270" s="84"/>
      <c r="Z270" s="97"/>
    </row>
    <row r="271" spans="1:26" s="98" customFormat="1" x14ac:dyDescent="0.35">
      <c r="A271" s="86">
        <v>268</v>
      </c>
      <c r="B271" s="85">
        <v>45621</v>
      </c>
      <c r="C271" s="87" t="s">
        <v>523</v>
      </c>
      <c r="D271" s="85">
        <v>45614</v>
      </c>
      <c r="E271" s="84">
        <v>61</v>
      </c>
      <c r="F271" s="85">
        <v>45622</v>
      </c>
      <c r="G271" s="87"/>
      <c r="H271" s="87" t="s">
        <v>72</v>
      </c>
      <c r="I271" s="87" t="s">
        <v>85</v>
      </c>
      <c r="J271" s="101" t="s">
        <v>517</v>
      </c>
      <c r="K271" s="87" t="s">
        <v>11</v>
      </c>
      <c r="L271" s="91">
        <v>127</v>
      </c>
      <c r="M271" s="91">
        <v>127</v>
      </c>
      <c r="N271" s="88">
        <f>Goods_Receipt[[#This Row],[ Invoice. /
 Received Qty ]]-Goods_Receipt[[#This Row],[ Accepted Qty ]]</f>
        <v>0</v>
      </c>
      <c r="O271" s="87"/>
      <c r="P271" s="93"/>
      <c r="Q271" s="87"/>
      <c r="R271" s="87"/>
      <c r="S271" s="87" t="s">
        <v>524</v>
      </c>
      <c r="T271" s="85"/>
      <c r="U271" s="89"/>
      <c r="V271" s="90"/>
      <c r="W271" s="87"/>
      <c r="X271" s="91"/>
      <c r="Y271" s="84"/>
      <c r="Z271" s="97"/>
    </row>
    <row r="272" spans="1:26" s="98" customFormat="1" x14ac:dyDescent="0.35">
      <c r="A272" s="86">
        <v>269</v>
      </c>
      <c r="B272" s="85">
        <v>45621</v>
      </c>
      <c r="C272" s="87" t="s">
        <v>523</v>
      </c>
      <c r="D272" s="85">
        <v>45614</v>
      </c>
      <c r="E272" s="84">
        <v>61</v>
      </c>
      <c r="F272" s="85">
        <v>45622</v>
      </c>
      <c r="G272" s="87"/>
      <c r="H272" s="87" t="s">
        <v>72</v>
      </c>
      <c r="I272" s="87" t="s">
        <v>85</v>
      </c>
      <c r="J272" s="101" t="s">
        <v>518</v>
      </c>
      <c r="K272" s="87" t="s">
        <v>11</v>
      </c>
      <c r="L272" s="91">
        <v>84</v>
      </c>
      <c r="M272" s="91">
        <v>84</v>
      </c>
      <c r="N272" s="88">
        <f>Goods_Receipt[[#This Row],[ Invoice. /
 Received Qty ]]-Goods_Receipt[[#This Row],[ Accepted Qty ]]</f>
        <v>0</v>
      </c>
      <c r="O272" s="87"/>
      <c r="P272" s="93"/>
      <c r="Q272" s="87"/>
      <c r="R272" s="87"/>
      <c r="S272" s="87" t="s">
        <v>524</v>
      </c>
      <c r="T272" s="85"/>
      <c r="U272" s="89"/>
      <c r="V272" s="90"/>
      <c r="W272" s="87"/>
      <c r="X272" s="91"/>
      <c r="Y272" s="84"/>
      <c r="Z272" s="97"/>
    </row>
    <row r="273" spans="1:26" s="98" customFormat="1" x14ac:dyDescent="0.35">
      <c r="A273" s="86">
        <v>270</v>
      </c>
      <c r="B273" s="85">
        <v>45621</v>
      </c>
      <c r="C273" s="87" t="s">
        <v>523</v>
      </c>
      <c r="D273" s="85">
        <v>45614</v>
      </c>
      <c r="E273" s="84">
        <v>61</v>
      </c>
      <c r="F273" s="85">
        <v>45622</v>
      </c>
      <c r="G273" s="87"/>
      <c r="H273" s="87" t="s">
        <v>72</v>
      </c>
      <c r="I273" s="87" t="s">
        <v>85</v>
      </c>
      <c r="J273" s="101" t="s">
        <v>519</v>
      </c>
      <c r="K273" s="87" t="s">
        <v>11</v>
      </c>
      <c r="L273" s="188">
        <v>124</v>
      </c>
      <c r="M273" s="189">
        <v>124</v>
      </c>
      <c r="N273" s="88">
        <f>Goods_Receipt[[#This Row],[ Invoice. /
 Received Qty ]]-Goods_Receipt[[#This Row],[ Accepted Qty ]]</f>
        <v>0</v>
      </c>
      <c r="O273" s="87"/>
      <c r="P273" s="93"/>
      <c r="Q273" s="87"/>
      <c r="R273" s="87"/>
      <c r="S273" s="87" t="s">
        <v>524</v>
      </c>
      <c r="T273" s="85"/>
      <c r="U273" s="89"/>
      <c r="V273" s="90"/>
      <c r="W273" s="87"/>
      <c r="X273" s="91"/>
      <c r="Y273" s="84"/>
      <c r="Z273" s="97"/>
    </row>
    <row r="274" spans="1:26" s="98" customFormat="1" x14ac:dyDescent="0.35">
      <c r="A274" s="86">
        <v>271</v>
      </c>
      <c r="B274" s="85">
        <v>45621</v>
      </c>
      <c r="C274" s="87" t="s">
        <v>523</v>
      </c>
      <c r="D274" s="85">
        <v>45614</v>
      </c>
      <c r="E274" s="84">
        <v>61</v>
      </c>
      <c r="F274" s="85">
        <v>45622</v>
      </c>
      <c r="G274" s="87"/>
      <c r="H274" s="87" t="s">
        <v>72</v>
      </c>
      <c r="I274" s="87" t="s">
        <v>85</v>
      </c>
      <c r="J274" s="101" t="s">
        <v>520</v>
      </c>
      <c r="K274" s="87" t="s">
        <v>11</v>
      </c>
      <c r="L274" s="188">
        <v>56</v>
      </c>
      <c r="M274" s="189">
        <v>56</v>
      </c>
      <c r="N274" s="88">
        <f>Goods_Receipt[[#This Row],[ Invoice. /
 Received Qty ]]-Goods_Receipt[[#This Row],[ Accepted Qty ]]</f>
        <v>0</v>
      </c>
      <c r="O274" s="87"/>
      <c r="P274" s="93"/>
      <c r="Q274" s="87"/>
      <c r="R274" s="87"/>
      <c r="S274" s="87" t="s">
        <v>524</v>
      </c>
      <c r="T274" s="85"/>
      <c r="U274" s="89"/>
      <c r="V274" s="90"/>
      <c r="W274" s="87"/>
      <c r="X274" s="91"/>
      <c r="Y274" s="84"/>
      <c r="Z274" s="97"/>
    </row>
    <row r="275" spans="1:26" s="98" customFormat="1" x14ac:dyDescent="0.35">
      <c r="A275" s="86">
        <v>272</v>
      </c>
      <c r="B275" s="85">
        <v>45621</v>
      </c>
      <c r="C275" s="87" t="s">
        <v>523</v>
      </c>
      <c r="D275" s="85">
        <v>45614</v>
      </c>
      <c r="E275" s="84">
        <v>61</v>
      </c>
      <c r="F275" s="85">
        <v>45622</v>
      </c>
      <c r="G275" s="87"/>
      <c r="H275" s="87" t="s">
        <v>72</v>
      </c>
      <c r="I275" s="87" t="s">
        <v>85</v>
      </c>
      <c r="J275" s="101" t="s">
        <v>521</v>
      </c>
      <c r="K275" s="87" t="s">
        <v>11</v>
      </c>
      <c r="L275" s="91">
        <v>56</v>
      </c>
      <c r="M275" s="91">
        <v>56</v>
      </c>
      <c r="N275" s="88">
        <f>Goods_Receipt[[#This Row],[ Invoice. /
 Received Qty ]]-Goods_Receipt[[#This Row],[ Accepted Qty ]]</f>
        <v>0</v>
      </c>
      <c r="O275" s="87"/>
      <c r="P275" s="87"/>
      <c r="Q275" s="87"/>
      <c r="R275" s="87"/>
      <c r="S275" s="87" t="s">
        <v>524</v>
      </c>
      <c r="T275" s="85"/>
      <c r="U275" s="89"/>
      <c r="V275" s="90"/>
      <c r="W275" s="87"/>
      <c r="X275" s="91"/>
      <c r="Y275" s="84"/>
      <c r="Z275" s="97"/>
    </row>
    <row r="276" spans="1:26" s="98" customFormat="1" x14ac:dyDescent="0.35">
      <c r="A276" s="86">
        <v>273</v>
      </c>
      <c r="B276" s="85">
        <v>45621</v>
      </c>
      <c r="C276" s="87" t="s">
        <v>523</v>
      </c>
      <c r="D276" s="85">
        <v>45614</v>
      </c>
      <c r="E276" s="84">
        <v>61</v>
      </c>
      <c r="F276" s="85">
        <v>45622</v>
      </c>
      <c r="G276" s="87"/>
      <c r="H276" s="87" t="s">
        <v>72</v>
      </c>
      <c r="I276" s="87" t="s">
        <v>85</v>
      </c>
      <c r="J276" s="101" t="s">
        <v>522</v>
      </c>
      <c r="K276" s="87" t="s">
        <v>11</v>
      </c>
      <c r="L276" s="91">
        <v>85</v>
      </c>
      <c r="M276" s="91">
        <v>85</v>
      </c>
      <c r="N276" s="88">
        <f>Goods_Receipt[[#This Row],[ Invoice. /
 Received Qty ]]-Goods_Receipt[[#This Row],[ Accepted Qty ]]</f>
        <v>0</v>
      </c>
      <c r="O276" s="87"/>
      <c r="P276" s="87"/>
      <c r="Q276" s="87"/>
      <c r="R276" s="87"/>
      <c r="S276" s="87" t="s">
        <v>524</v>
      </c>
      <c r="T276" s="85"/>
      <c r="U276" s="89"/>
      <c r="V276" s="90"/>
      <c r="W276" s="87"/>
      <c r="X276" s="91"/>
      <c r="Y276" s="84"/>
      <c r="Z276" s="97"/>
    </row>
    <row r="277" spans="1:26" s="98" customFormat="1" x14ac:dyDescent="0.35">
      <c r="A277" s="86">
        <v>274</v>
      </c>
      <c r="B277" s="85">
        <v>45621</v>
      </c>
      <c r="C277" s="87" t="s">
        <v>552</v>
      </c>
      <c r="D277" s="85">
        <v>45622</v>
      </c>
      <c r="E277" s="84">
        <v>62</v>
      </c>
      <c r="F277" s="85">
        <v>45626</v>
      </c>
      <c r="G277" s="87"/>
      <c r="H277" s="87" t="s">
        <v>72</v>
      </c>
      <c r="I277" s="87" t="s">
        <v>548</v>
      </c>
      <c r="J277" s="101" t="s">
        <v>541</v>
      </c>
      <c r="K277" s="87" t="s">
        <v>11</v>
      </c>
      <c r="L277" s="91">
        <v>3</v>
      </c>
      <c r="M277" s="91">
        <v>3</v>
      </c>
      <c r="N277" s="88">
        <f>Goods_Receipt[[#This Row],[ Invoice. /
 Received Qty ]]-Goods_Receipt[[#This Row],[ Accepted Qty ]]</f>
        <v>0</v>
      </c>
      <c r="O277" s="87"/>
      <c r="P277" s="87"/>
      <c r="Q277" s="87"/>
      <c r="R277" s="87" t="s">
        <v>553</v>
      </c>
      <c r="S277" s="87" t="s">
        <v>554</v>
      </c>
      <c r="T277" s="85">
        <v>45486</v>
      </c>
      <c r="U277" s="89"/>
      <c r="V277" s="90"/>
      <c r="W277" s="109"/>
      <c r="X277" s="89"/>
      <c r="Y277" s="84" t="s">
        <v>560</v>
      </c>
      <c r="Z277" s="97"/>
    </row>
    <row r="278" spans="1:26" s="98" customFormat="1" x14ac:dyDescent="0.35">
      <c r="A278" s="86">
        <v>275</v>
      </c>
      <c r="B278" s="85">
        <v>45622</v>
      </c>
      <c r="C278" s="87" t="s">
        <v>561</v>
      </c>
      <c r="D278" s="85">
        <v>45621</v>
      </c>
      <c r="E278" s="84" t="s">
        <v>562</v>
      </c>
      <c r="F278" s="85">
        <v>45622</v>
      </c>
      <c r="G278" s="87"/>
      <c r="H278" s="87" t="s">
        <v>72</v>
      </c>
      <c r="I278" s="87" t="s">
        <v>548</v>
      </c>
      <c r="J278" s="101" t="s">
        <v>542</v>
      </c>
      <c r="K278" s="87" t="s">
        <v>11</v>
      </c>
      <c r="L278" s="91">
        <v>3</v>
      </c>
      <c r="M278" s="91">
        <v>3</v>
      </c>
      <c r="N278" s="88">
        <f>Goods_Receipt[[#This Row],[ Invoice. /
 Received Qty ]]-Goods_Receipt[[#This Row],[ Accepted Qty ]]</f>
        <v>0</v>
      </c>
      <c r="O278" s="87"/>
      <c r="P278" s="87"/>
      <c r="Q278" s="87"/>
      <c r="R278" s="87" t="s">
        <v>553</v>
      </c>
      <c r="S278" s="87" t="s">
        <v>555</v>
      </c>
      <c r="T278" s="85">
        <v>45486</v>
      </c>
      <c r="U278" s="89"/>
      <c r="V278" s="90"/>
      <c r="W278" s="109"/>
      <c r="X278" s="89"/>
      <c r="Y278" s="84" t="s">
        <v>559</v>
      </c>
      <c r="Z278" s="97"/>
    </row>
    <row r="279" spans="1:26" s="98" customFormat="1" x14ac:dyDescent="0.35">
      <c r="A279" s="86">
        <v>276</v>
      </c>
      <c r="B279" s="85">
        <v>45622</v>
      </c>
      <c r="C279" s="87" t="s">
        <v>561</v>
      </c>
      <c r="D279" s="85">
        <v>45621</v>
      </c>
      <c r="E279" s="84" t="s">
        <v>562</v>
      </c>
      <c r="F279" s="85">
        <v>45622</v>
      </c>
      <c r="G279" s="87"/>
      <c r="H279" s="87" t="s">
        <v>72</v>
      </c>
      <c r="I279" s="87" t="s">
        <v>548</v>
      </c>
      <c r="J279" s="101" t="s">
        <v>543</v>
      </c>
      <c r="K279" s="87" t="s">
        <v>11</v>
      </c>
      <c r="L279" s="91">
        <v>3</v>
      </c>
      <c r="M279" s="91">
        <v>3</v>
      </c>
      <c r="N279" s="88">
        <f>Goods_Receipt[[#This Row],[ Invoice. /
 Received Qty ]]-Goods_Receipt[[#This Row],[ Accepted Qty ]]</f>
        <v>0</v>
      </c>
      <c r="O279" s="87"/>
      <c r="P279" s="87"/>
      <c r="Q279" s="87"/>
      <c r="R279" s="87" t="s">
        <v>553</v>
      </c>
      <c r="S279" s="87" t="s">
        <v>555</v>
      </c>
      <c r="T279" s="85">
        <v>45486</v>
      </c>
      <c r="U279" s="89"/>
      <c r="V279" s="90"/>
      <c r="W279" s="109"/>
      <c r="X279" s="89"/>
      <c r="Y279" s="84" t="s">
        <v>559</v>
      </c>
      <c r="Z279" s="97"/>
    </row>
    <row r="280" spans="1:26" s="98" customFormat="1" x14ac:dyDescent="0.35">
      <c r="A280" s="86">
        <v>277</v>
      </c>
      <c r="B280" s="85">
        <v>45622</v>
      </c>
      <c r="C280" s="87" t="s">
        <v>561</v>
      </c>
      <c r="D280" s="85">
        <v>45621</v>
      </c>
      <c r="E280" s="84" t="s">
        <v>562</v>
      </c>
      <c r="F280" s="85">
        <v>45622</v>
      </c>
      <c r="G280" s="87"/>
      <c r="H280" s="87" t="s">
        <v>72</v>
      </c>
      <c r="I280" s="87" t="s">
        <v>548</v>
      </c>
      <c r="J280" s="101" t="s">
        <v>544</v>
      </c>
      <c r="K280" s="87" t="s">
        <v>11</v>
      </c>
      <c r="L280" s="91">
        <v>3</v>
      </c>
      <c r="M280" s="91">
        <v>3</v>
      </c>
      <c r="N280" s="88">
        <f>Goods_Receipt[[#This Row],[ Invoice. /
 Received Qty ]]-Goods_Receipt[[#This Row],[ Accepted Qty ]]</f>
        <v>0</v>
      </c>
      <c r="O280" s="87"/>
      <c r="P280" s="87"/>
      <c r="Q280" s="87"/>
      <c r="R280" s="87" t="s">
        <v>553</v>
      </c>
      <c r="S280" s="87" t="s">
        <v>555</v>
      </c>
      <c r="T280" s="85">
        <v>45486</v>
      </c>
      <c r="U280" s="89"/>
      <c r="V280" s="90"/>
      <c r="W280" s="109"/>
      <c r="X280" s="89"/>
      <c r="Y280" s="84" t="s">
        <v>559</v>
      </c>
      <c r="Z280" s="97"/>
    </row>
    <row r="281" spans="1:26" s="98" customFormat="1" x14ac:dyDescent="0.35">
      <c r="A281" s="86">
        <v>278</v>
      </c>
      <c r="B281" s="85">
        <v>45622</v>
      </c>
      <c r="C281" s="87" t="s">
        <v>561</v>
      </c>
      <c r="D281" s="85">
        <v>45621</v>
      </c>
      <c r="E281" s="84" t="s">
        <v>562</v>
      </c>
      <c r="F281" s="85">
        <v>45622</v>
      </c>
      <c r="G281" s="87"/>
      <c r="H281" s="87" t="s">
        <v>72</v>
      </c>
      <c r="I281" s="87" t="s">
        <v>548</v>
      </c>
      <c r="J281" s="101" t="s">
        <v>545</v>
      </c>
      <c r="K281" s="87" t="s">
        <v>11</v>
      </c>
      <c r="L281" s="91">
        <v>3</v>
      </c>
      <c r="M281" s="91">
        <v>3</v>
      </c>
      <c r="N281" s="88">
        <f>Goods_Receipt[[#This Row],[ Invoice. /
 Received Qty ]]-Goods_Receipt[[#This Row],[ Accepted Qty ]]</f>
        <v>0</v>
      </c>
      <c r="O281" s="87"/>
      <c r="P281" s="87"/>
      <c r="Q281" s="87"/>
      <c r="R281" s="87" t="s">
        <v>553</v>
      </c>
      <c r="S281" s="87" t="s">
        <v>555</v>
      </c>
      <c r="T281" s="85">
        <v>45486</v>
      </c>
      <c r="U281" s="89"/>
      <c r="V281" s="90"/>
      <c r="W281" s="109"/>
      <c r="X281" s="89"/>
      <c r="Y281" s="84" t="s">
        <v>559</v>
      </c>
      <c r="Z281" s="97"/>
    </row>
    <row r="282" spans="1:26" s="98" customFormat="1" x14ac:dyDescent="0.35">
      <c r="A282" s="86">
        <v>279</v>
      </c>
      <c r="B282" s="85">
        <v>45622</v>
      </c>
      <c r="C282" s="87" t="s">
        <v>561</v>
      </c>
      <c r="D282" s="85">
        <v>45621</v>
      </c>
      <c r="E282" s="84" t="s">
        <v>562</v>
      </c>
      <c r="F282" s="85">
        <v>45622</v>
      </c>
      <c r="G282" s="87"/>
      <c r="H282" s="87" t="s">
        <v>72</v>
      </c>
      <c r="I282" s="87" t="s">
        <v>548</v>
      </c>
      <c r="J282" s="101" t="s">
        <v>546</v>
      </c>
      <c r="K282" s="87" t="s">
        <v>11</v>
      </c>
      <c r="L282" s="91">
        <v>3</v>
      </c>
      <c r="M282" s="91">
        <v>3</v>
      </c>
      <c r="N282" s="88">
        <f>Goods_Receipt[[#This Row],[ Invoice. /
 Received Qty ]]-Goods_Receipt[[#This Row],[ Accepted Qty ]]</f>
        <v>0</v>
      </c>
      <c r="O282" s="87"/>
      <c r="P282" s="87"/>
      <c r="Q282" s="87"/>
      <c r="R282" s="87" t="s">
        <v>553</v>
      </c>
      <c r="S282" s="87" t="s">
        <v>555</v>
      </c>
      <c r="T282" s="85">
        <v>45486</v>
      </c>
      <c r="U282" s="89"/>
      <c r="V282" s="90"/>
      <c r="W282" s="109"/>
      <c r="X282" s="89"/>
      <c r="Y282" s="84" t="s">
        <v>559</v>
      </c>
      <c r="Z282" s="97"/>
    </row>
    <row r="283" spans="1:26" s="98" customFormat="1" x14ac:dyDescent="0.35">
      <c r="A283" s="86">
        <v>280</v>
      </c>
      <c r="B283" s="85">
        <v>45622</v>
      </c>
      <c r="C283" s="87" t="s">
        <v>563</v>
      </c>
      <c r="D283" s="85">
        <v>45622</v>
      </c>
      <c r="E283" s="84">
        <v>65</v>
      </c>
      <c r="F283" s="85">
        <v>45622</v>
      </c>
      <c r="G283" s="87"/>
      <c r="H283" s="87" t="s">
        <v>72</v>
      </c>
      <c r="I283" s="87" t="s">
        <v>548</v>
      </c>
      <c r="J283" s="101" t="s">
        <v>547</v>
      </c>
      <c r="K283" s="87" t="s">
        <v>11</v>
      </c>
      <c r="L283" s="91">
        <v>2</v>
      </c>
      <c r="M283" s="91">
        <v>2</v>
      </c>
      <c r="N283" s="88">
        <f>Goods_Receipt[[#This Row],[ Invoice. /
 Received Qty ]]-Goods_Receipt[[#This Row],[ Accepted Qty ]]</f>
        <v>0</v>
      </c>
      <c r="O283" s="87"/>
      <c r="P283" s="93"/>
      <c r="Q283" s="87"/>
      <c r="R283" s="87" t="s">
        <v>553</v>
      </c>
      <c r="S283" s="87" t="s">
        <v>555</v>
      </c>
      <c r="T283" s="85">
        <v>45486</v>
      </c>
      <c r="U283" s="89"/>
      <c r="V283" s="90"/>
      <c r="W283" s="109"/>
      <c r="X283" s="89"/>
      <c r="Y283" s="84" t="s">
        <v>556</v>
      </c>
      <c r="Z283" s="97"/>
    </row>
    <row r="284" spans="1:26" s="98" customFormat="1" x14ac:dyDescent="0.35">
      <c r="A284" s="86">
        <v>281</v>
      </c>
      <c r="B284" s="85">
        <v>45622</v>
      </c>
      <c r="C284" s="87" t="s">
        <v>564</v>
      </c>
      <c r="D284" s="85">
        <v>45621</v>
      </c>
      <c r="E284" s="84">
        <v>66</v>
      </c>
      <c r="F284" s="85">
        <v>45622</v>
      </c>
      <c r="G284" s="87"/>
      <c r="H284" s="87" t="s">
        <v>72</v>
      </c>
      <c r="I284" s="87" t="s">
        <v>548</v>
      </c>
      <c r="J284" s="101" t="s">
        <v>549</v>
      </c>
      <c r="K284" s="87" t="s">
        <v>551</v>
      </c>
      <c r="L284" s="91">
        <v>1</v>
      </c>
      <c r="M284" s="91">
        <v>1</v>
      </c>
      <c r="N284" s="88">
        <f>Goods_Receipt[[#This Row],[ Invoice. /
 Received Qty ]]-Goods_Receipt[[#This Row],[ Accepted Qty ]]</f>
        <v>0</v>
      </c>
      <c r="O284" s="87"/>
      <c r="P284" s="93"/>
      <c r="Q284" s="87"/>
      <c r="R284" s="87" t="s">
        <v>557</v>
      </c>
      <c r="S284" s="87" t="s">
        <v>555</v>
      </c>
      <c r="T284" s="85">
        <v>45486</v>
      </c>
      <c r="U284" s="89"/>
      <c r="V284" s="90"/>
      <c r="W284" s="109"/>
      <c r="X284" s="89"/>
      <c r="Y284" s="84" t="s">
        <v>558</v>
      </c>
      <c r="Z284" s="97"/>
    </row>
    <row r="285" spans="1:26" s="98" customFormat="1" x14ac:dyDescent="0.35">
      <c r="A285" s="86">
        <v>282</v>
      </c>
      <c r="B285" s="85">
        <v>45622</v>
      </c>
      <c r="C285" s="87" t="s">
        <v>561</v>
      </c>
      <c r="D285" s="85">
        <v>45621</v>
      </c>
      <c r="E285" s="84" t="s">
        <v>562</v>
      </c>
      <c r="F285" s="85">
        <v>45622</v>
      </c>
      <c r="G285" s="87"/>
      <c r="H285" s="87" t="s">
        <v>72</v>
      </c>
      <c r="I285" s="87" t="s">
        <v>548</v>
      </c>
      <c r="J285" s="101" t="s">
        <v>545</v>
      </c>
      <c r="K285" s="87" t="s">
        <v>11</v>
      </c>
      <c r="L285" s="91">
        <v>3</v>
      </c>
      <c r="M285" s="91">
        <v>3</v>
      </c>
      <c r="N285" s="88">
        <f>Goods_Receipt[[#This Row],[ Invoice. /
 Received Qty ]]-Goods_Receipt[[#This Row],[ Accepted Qty ]]</f>
        <v>0</v>
      </c>
      <c r="O285" s="87"/>
      <c r="P285" s="93"/>
      <c r="Q285" s="87"/>
      <c r="R285" s="87" t="s">
        <v>553</v>
      </c>
      <c r="S285" s="87" t="s">
        <v>555</v>
      </c>
      <c r="T285" s="85">
        <v>45486</v>
      </c>
      <c r="U285" s="89"/>
      <c r="V285" s="90"/>
      <c r="W285" s="109"/>
      <c r="X285" s="89"/>
      <c r="Y285" s="84" t="s">
        <v>559</v>
      </c>
      <c r="Z285" s="97"/>
    </row>
    <row r="286" spans="1:26" s="98" customFormat="1" x14ac:dyDescent="0.35">
      <c r="A286" s="86">
        <v>283</v>
      </c>
      <c r="B286" s="85">
        <v>45629</v>
      </c>
      <c r="C286" s="87" t="s">
        <v>584</v>
      </c>
      <c r="D286" s="85">
        <v>45629</v>
      </c>
      <c r="E286" s="84">
        <v>67</v>
      </c>
      <c r="F286" s="85">
        <v>45630</v>
      </c>
      <c r="G286" s="87"/>
      <c r="H286" s="87" t="s">
        <v>72</v>
      </c>
      <c r="I286" s="87" t="s">
        <v>581</v>
      </c>
      <c r="J286" s="101" t="s">
        <v>582</v>
      </c>
      <c r="K286" s="87" t="s">
        <v>11</v>
      </c>
      <c r="L286" s="91">
        <v>4005</v>
      </c>
      <c r="M286" s="91">
        <v>4005</v>
      </c>
      <c r="N286" s="88">
        <f>Goods_Receipt[[#This Row],[ Invoice. /
 Received Qty ]]-Goods_Receipt[[#This Row],[ Accepted Qty ]]</f>
        <v>0</v>
      </c>
      <c r="O286" s="87"/>
      <c r="P286" s="93"/>
      <c r="Q286" s="87"/>
      <c r="R286" s="87"/>
      <c r="S286" s="87" t="s">
        <v>585</v>
      </c>
      <c r="T286" s="85">
        <v>45467</v>
      </c>
      <c r="U286" s="89"/>
      <c r="V286" s="90"/>
      <c r="W286" s="109"/>
      <c r="X286" s="89"/>
      <c r="Y286" s="84"/>
      <c r="Z286" s="97"/>
    </row>
    <row r="287" spans="1:26" s="98" customFormat="1" x14ac:dyDescent="0.35">
      <c r="A287" s="86">
        <v>284</v>
      </c>
      <c r="B287" s="85">
        <v>45629</v>
      </c>
      <c r="C287" s="87" t="s">
        <v>584</v>
      </c>
      <c r="D287" s="85">
        <v>45629</v>
      </c>
      <c r="E287" s="84">
        <v>67</v>
      </c>
      <c r="F287" s="85">
        <v>45630</v>
      </c>
      <c r="G287" s="87"/>
      <c r="H287" s="87" t="s">
        <v>72</v>
      </c>
      <c r="I287" s="87" t="s">
        <v>581</v>
      </c>
      <c r="J287" s="101" t="s">
        <v>583</v>
      </c>
      <c r="K287" s="87" t="s">
        <v>11</v>
      </c>
      <c r="L287" s="91">
        <v>897</v>
      </c>
      <c r="M287" s="91">
        <v>897</v>
      </c>
      <c r="N287" s="88">
        <f>Goods_Receipt[[#This Row],[ Invoice. /
 Received Qty ]]-Goods_Receipt[[#This Row],[ Accepted Qty ]]</f>
        <v>0</v>
      </c>
      <c r="O287" s="87"/>
      <c r="P287" s="93"/>
      <c r="Q287" s="87"/>
      <c r="R287" s="257"/>
      <c r="S287" s="87" t="s">
        <v>585</v>
      </c>
      <c r="T287" s="85">
        <v>45467</v>
      </c>
      <c r="U287" s="89"/>
      <c r="V287" s="90"/>
      <c r="W287" s="87"/>
      <c r="X287" s="91"/>
      <c r="Y287" s="84"/>
      <c r="Z287" s="97"/>
    </row>
    <row r="288" spans="1:26" s="98" customFormat="1" x14ac:dyDescent="0.35">
      <c r="A288" s="86">
        <v>285</v>
      </c>
      <c r="B288" s="85">
        <v>45631</v>
      </c>
      <c r="C288" s="87" t="s">
        <v>586</v>
      </c>
      <c r="D288" s="85">
        <v>45630</v>
      </c>
      <c r="E288" s="84">
        <v>68</v>
      </c>
      <c r="F288" s="85">
        <v>45632</v>
      </c>
      <c r="G288" s="87"/>
      <c r="H288" s="87" t="s">
        <v>72</v>
      </c>
      <c r="I288" s="87" t="s">
        <v>82</v>
      </c>
      <c r="J288" s="101" t="s">
        <v>191</v>
      </c>
      <c r="K288" s="87" t="s">
        <v>225</v>
      </c>
      <c r="L288" s="91">
        <v>5520</v>
      </c>
      <c r="M288" s="91">
        <v>5520</v>
      </c>
      <c r="N288" s="88">
        <f>Goods_Receipt[[#This Row],[ Invoice. /
 Received Qty ]]-Goods_Receipt[[#This Row],[ Accepted Qty ]]</f>
        <v>0</v>
      </c>
      <c r="O288" s="87"/>
      <c r="P288" s="93"/>
      <c r="Q288" s="87"/>
      <c r="R288" s="87" t="s">
        <v>587</v>
      </c>
      <c r="S288" s="87"/>
      <c r="T288" s="85"/>
      <c r="U288" s="89"/>
      <c r="V288" s="90"/>
      <c r="W288" s="87"/>
      <c r="X288" s="89"/>
      <c r="Y288" s="84" t="s">
        <v>588</v>
      </c>
      <c r="Z288" s="97"/>
    </row>
    <row r="289" spans="1:26" s="98" customFormat="1" x14ac:dyDescent="0.35">
      <c r="A289" s="86">
        <v>286</v>
      </c>
      <c r="B289" s="85">
        <v>45631</v>
      </c>
      <c r="C289" s="87" t="s">
        <v>586</v>
      </c>
      <c r="D289" s="85">
        <v>45630</v>
      </c>
      <c r="E289" s="84">
        <v>68</v>
      </c>
      <c r="F289" s="85">
        <v>45632</v>
      </c>
      <c r="G289" s="87"/>
      <c r="H289" s="87" t="s">
        <v>72</v>
      </c>
      <c r="I289" s="87" t="s">
        <v>82</v>
      </c>
      <c r="J289" s="101" t="s">
        <v>192</v>
      </c>
      <c r="K289" s="87" t="s">
        <v>225</v>
      </c>
      <c r="L289" s="91">
        <v>2029</v>
      </c>
      <c r="M289" s="91">
        <v>4092</v>
      </c>
      <c r="N289" s="259">
        <f>Goods_Receipt[[#This Row],[ Invoice. /
 Received Qty ]]-Goods_Receipt[[#This Row],[ Accepted Qty ]]</f>
        <v>-2063</v>
      </c>
      <c r="O289" s="87"/>
      <c r="P289" s="93"/>
      <c r="Q289" s="87"/>
      <c r="R289" s="87" t="s">
        <v>587</v>
      </c>
      <c r="S289" s="87"/>
      <c r="T289" s="85"/>
      <c r="U289" s="89"/>
      <c r="V289" s="90"/>
      <c r="W289" s="87"/>
      <c r="X289" s="89"/>
      <c r="Y289" s="84" t="s">
        <v>588</v>
      </c>
      <c r="Z289" s="97"/>
    </row>
    <row r="290" spans="1:26" s="98" customFormat="1" x14ac:dyDescent="0.35">
      <c r="A290" s="86">
        <v>287</v>
      </c>
      <c r="B290" s="85"/>
      <c r="C290" s="87"/>
      <c r="D290" s="85"/>
      <c r="E290" s="84"/>
      <c r="F290" s="85"/>
      <c r="G290" s="87"/>
      <c r="H290" s="87"/>
      <c r="I290" s="87"/>
      <c r="J290" s="101"/>
      <c r="K290" s="87"/>
      <c r="L290" s="91"/>
      <c r="M290" s="91"/>
      <c r="N290" s="88">
        <f>Goods_Receipt[[#This Row],[ Invoice. /
 Received Qty ]]-Goods_Receipt[[#This Row],[ Accepted Qty ]]</f>
        <v>0</v>
      </c>
      <c r="O290" s="87"/>
      <c r="P290" s="93"/>
      <c r="Q290" s="87"/>
      <c r="R290" s="87"/>
      <c r="S290" s="87"/>
      <c r="T290" s="85"/>
      <c r="U290" s="89"/>
      <c r="V290" s="90"/>
      <c r="W290" s="87"/>
      <c r="X290" s="91"/>
      <c r="Y290" s="84"/>
      <c r="Z290" s="97"/>
    </row>
    <row r="291" spans="1:26" s="98" customFormat="1" x14ac:dyDescent="0.35">
      <c r="A291" s="86">
        <v>288</v>
      </c>
      <c r="B291" s="85"/>
      <c r="C291" s="87"/>
      <c r="D291" s="85"/>
      <c r="E291" s="84"/>
      <c r="F291" s="85"/>
      <c r="G291" s="87"/>
      <c r="H291" s="87"/>
      <c r="I291" s="87"/>
      <c r="J291" s="101"/>
      <c r="K291" s="87"/>
      <c r="L291" s="91"/>
      <c r="M291" s="91"/>
      <c r="N291" s="88">
        <f>Goods_Receipt[[#This Row],[ Invoice. /
 Received Qty ]]-Goods_Receipt[[#This Row],[ Accepted Qty ]]</f>
        <v>0</v>
      </c>
      <c r="O291" s="87"/>
      <c r="P291" s="93"/>
      <c r="Q291" s="87"/>
      <c r="R291" s="87"/>
      <c r="S291" s="87"/>
      <c r="T291" s="85"/>
      <c r="U291" s="89"/>
      <c r="V291" s="90"/>
      <c r="W291" s="87"/>
      <c r="X291" s="91"/>
      <c r="Y291" s="84"/>
      <c r="Z291" s="97"/>
    </row>
    <row r="292" spans="1:26" s="98" customFormat="1" x14ac:dyDescent="0.35">
      <c r="A292" s="86">
        <v>289</v>
      </c>
      <c r="B292" s="85"/>
      <c r="C292" s="87"/>
      <c r="D292" s="85"/>
      <c r="E292" s="84"/>
      <c r="F292" s="85"/>
      <c r="G292" s="87"/>
      <c r="H292" s="87"/>
      <c r="I292" s="87"/>
      <c r="J292" s="101"/>
      <c r="K292" s="87"/>
      <c r="L292" s="91"/>
      <c r="M292" s="91"/>
      <c r="N292" s="88">
        <f>Goods_Receipt[[#This Row],[ Invoice. /
 Received Qty ]]-Goods_Receipt[[#This Row],[ Accepted Qty ]]</f>
        <v>0</v>
      </c>
      <c r="O292" s="87"/>
      <c r="P292" s="93"/>
      <c r="Q292" s="87"/>
      <c r="R292" s="87"/>
      <c r="S292" s="87"/>
      <c r="T292" s="85"/>
      <c r="U292" s="89"/>
      <c r="V292" s="90"/>
      <c r="W292" s="87"/>
      <c r="X292" s="91"/>
      <c r="Y292" s="84"/>
      <c r="Z292" s="97"/>
    </row>
    <row r="293" spans="1:26" s="98" customFormat="1" x14ac:dyDescent="0.35">
      <c r="A293" s="86">
        <v>290</v>
      </c>
      <c r="B293" s="85"/>
      <c r="C293" s="87"/>
      <c r="D293" s="85"/>
      <c r="E293" s="84"/>
      <c r="F293" s="85"/>
      <c r="G293" s="87"/>
      <c r="H293" s="87"/>
      <c r="I293" s="87"/>
      <c r="J293" s="101"/>
      <c r="K293" s="87"/>
      <c r="L293" s="91"/>
      <c r="M293" s="91"/>
      <c r="N293" s="88">
        <f>Goods_Receipt[[#This Row],[ Invoice. /
 Received Qty ]]-Goods_Receipt[[#This Row],[ Accepted Qty ]]</f>
        <v>0</v>
      </c>
      <c r="O293" s="87"/>
      <c r="P293" s="93"/>
      <c r="Q293" s="87"/>
      <c r="R293" s="87"/>
      <c r="S293" s="87"/>
      <c r="T293" s="85"/>
      <c r="U293" s="89"/>
      <c r="V293" s="90"/>
      <c r="W293" s="87"/>
      <c r="X293" s="91"/>
      <c r="Y293" s="84"/>
      <c r="Z293" s="97"/>
    </row>
    <row r="294" spans="1:26" s="98" customFormat="1" x14ac:dyDescent="0.35">
      <c r="A294" s="86">
        <v>291</v>
      </c>
      <c r="B294" s="85"/>
      <c r="C294" s="87"/>
      <c r="D294" s="85"/>
      <c r="E294" s="84"/>
      <c r="F294" s="85"/>
      <c r="G294" s="87"/>
      <c r="H294" s="87"/>
      <c r="I294" s="87"/>
      <c r="J294" s="101"/>
      <c r="K294" s="87"/>
      <c r="L294" s="91"/>
      <c r="M294" s="91"/>
      <c r="N294" s="88">
        <f>Goods_Receipt[[#This Row],[ Invoice. /
 Received Qty ]]-Goods_Receipt[[#This Row],[ Accepted Qty ]]</f>
        <v>0</v>
      </c>
      <c r="O294" s="87"/>
      <c r="P294" s="93"/>
      <c r="Q294" s="87"/>
      <c r="R294" s="87"/>
      <c r="S294" s="87"/>
      <c r="T294" s="85"/>
      <c r="U294" s="89"/>
      <c r="V294" s="90"/>
      <c r="W294" s="87"/>
      <c r="X294" s="91"/>
      <c r="Y294" s="84"/>
      <c r="Z294" s="97"/>
    </row>
    <row r="295" spans="1:26" s="98" customFormat="1" x14ac:dyDescent="0.35">
      <c r="A295" s="86">
        <v>292</v>
      </c>
      <c r="B295" s="85"/>
      <c r="C295" s="87"/>
      <c r="D295" s="85"/>
      <c r="E295" s="84"/>
      <c r="F295" s="85"/>
      <c r="G295" s="87"/>
      <c r="H295" s="87"/>
      <c r="I295" s="87"/>
      <c r="J295" s="101"/>
      <c r="K295" s="87"/>
      <c r="L295" s="91"/>
      <c r="M295" s="91"/>
      <c r="N295" s="88">
        <f>Goods_Receipt[[#This Row],[ Invoice. /
 Received Qty ]]-Goods_Receipt[[#This Row],[ Accepted Qty ]]</f>
        <v>0</v>
      </c>
      <c r="O295" s="87"/>
      <c r="P295" s="93"/>
      <c r="Q295" s="87"/>
      <c r="R295" s="87"/>
      <c r="S295" s="87"/>
      <c r="T295" s="85"/>
      <c r="U295" s="89"/>
      <c r="V295" s="90"/>
      <c r="W295" s="87"/>
      <c r="X295" s="91"/>
      <c r="Y295" s="84"/>
      <c r="Z295" s="97"/>
    </row>
    <row r="296" spans="1:26" s="98" customFormat="1" x14ac:dyDescent="0.35">
      <c r="A296" s="86">
        <v>293</v>
      </c>
      <c r="B296" s="85"/>
      <c r="C296" s="87"/>
      <c r="D296" s="85"/>
      <c r="E296" s="84"/>
      <c r="F296" s="85"/>
      <c r="G296" s="87"/>
      <c r="H296" s="87"/>
      <c r="I296" s="87"/>
      <c r="J296" s="101"/>
      <c r="K296" s="87"/>
      <c r="L296" s="91"/>
      <c r="M296" s="91"/>
      <c r="N296" s="88">
        <f>Goods_Receipt[[#This Row],[ Invoice. /
 Received Qty ]]-Goods_Receipt[[#This Row],[ Accepted Qty ]]</f>
        <v>0</v>
      </c>
      <c r="O296" s="87"/>
      <c r="P296" s="87"/>
      <c r="Q296" s="87"/>
      <c r="R296" s="87"/>
      <c r="S296" s="87"/>
      <c r="T296" s="85"/>
      <c r="U296" s="89"/>
      <c r="V296" s="90"/>
      <c r="W296" s="87"/>
      <c r="X296" s="91"/>
      <c r="Y296" s="84"/>
      <c r="Z296" s="97"/>
    </row>
    <row r="297" spans="1:26" s="98" customFormat="1" x14ac:dyDescent="0.35">
      <c r="A297" s="86">
        <v>294</v>
      </c>
      <c r="B297" s="85"/>
      <c r="C297" s="87"/>
      <c r="D297" s="85"/>
      <c r="E297" s="84"/>
      <c r="F297" s="85"/>
      <c r="G297" s="87"/>
      <c r="H297" s="87"/>
      <c r="I297" s="87"/>
      <c r="J297" s="101"/>
      <c r="K297" s="87"/>
      <c r="L297" s="91"/>
      <c r="M297" s="91"/>
      <c r="N297" s="88">
        <f>Goods_Receipt[[#This Row],[ Invoice. /
 Received Qty ]]-Goods_Receipt[[#This Row],[ Accepted Qty ]]</f>
        <v>0</v>
      </c>
      <c r="O297" s="87"/>
      <c r="P297" s="87"/>
      <c r="Q297" s="87"/>
      <c r="R297" s="87"/>
      <c r="S297" s="87"/>
      <c r="T297" s="85"/>
      <c r="U297" s="89"/>
      <c r="V297" s="90"/>
      <c r="W297" s="87"/>
      <c r="X297" s="91"/>
      <c r="Y297" s="84"/>
      <c r="Z297" s="97"/>
    </row>
    <row r="298" spans="1:26" s="98" customFormat="1" x14ac:dyDescent="0.35">
      <c r="A298" s="86">
        <v>295</v>
      </c>
      <c r="B298" s="85"/>
      <c r="C298" s="87"/>
      <c r="D298" s="85"/>
      <c r="E298" s="84"/>
      <c r="F298" s="85"/>
      <c r="G298" s="87"/>
      <c r="H298" s="87"/>
      <c r="I298" s="87"/>
      <c r="J298" s="101"/>
      <c r="K298" s="87"/>
      <c r="L298" s="91"/>
      <c r="M298" s="91"/>
      <c r="N298" s="88">
        <f>Goods_Receipt[[#This Row],[ Invoice. /
 Received Qty ]]-Goods_Receipt[[#This Row],[ Accepted Qty ]]</f>
        <v>0</v>
      </c>
      <c r="O298" s="87"/>
      <c r="P298" s="93"/>
      <c r="Q298" s="87"/>
      <c r="R298" s="87"/>
      <c r="S298" s="87"/>
      <c r="T298" s="85"/>
      <c r="U298" s="89"/>
      <c r="V298" s="90"/>
      <c r="W298" s="87"/>
      <c r="X298" s="91"/>
      <c r="Y298" s="84"/>
      <c r="Z298" s="97"/>
    </row>
    <row r="299" spans="1:26" s="98" customFormat="1" x14ac:dyDescent="0.35">
      <c r="A299" s="86">
        <v>296</v>
      </c>
      <c r="B299" s="85"/>
      <c r="C299" s="87"/>
      <c r="D299" s="85"/>
      <c r="E299" s="84"/>
      <c r="F299" s="85"/>
      <c r="G299" s="87"/>
      <c r="H299" s="87"/>
      <c r="I299" s="87"/>
      <c r="J299" s="101"/>
      <c r="K299" s="87"/>
      <c r="L299" s="91"/>
      <c r="M299" s="91"/>
      <c r="N299" s="88">
        <f>Goods_Receipt[[#This Row],[ Invoice. /
 Received Qty ]]-Goods_Receipt[[#This Row],[ Accepted Qty ]]</f>
        <v>0</v>
      </c>
      <c r="O299" s="87"/>
      <c r="P299" s="93"/>
      <c r="Q299" s="87"/>
      <c r="R299" s="87"/>
      <c r="S299" s="87"/>
      <c r="T299" s="85"/>
      <c r="U299" s="89"/>
      <c r="V299" s="90"/>
      <c r="W299" s="87"/>
      <c r="X299" s="91"/>
      <c r="Y299" s="84"/>
      <c r="Z299" s="97"/>
    </row>
    <row r="300" spans="1:26" s="98" customFormat="1" x14ac:dyDescent="0.35">
      <c r="A300" s="86">
        <v>297</v>
      </c>
      <c r="B300" s="85"/>
      <c r="C300" s="87"/>
      <c r="D300" s="85"/>
      <c r="E300" s="84"/>
      <c r="F300" s="85"/>
      <c r="G300" s="87"/>
      <c r="H300" s="87"/>
      <c r="I300" s="87"/>
      <c r="J300" s="101"/>
      <c r="K300" s="87"/>
      <c r="L300" s="91"/>
      <c r="M300" s="91"/>
      <c r="N300" s="88">
        <f>Goods_Receipt[[#This Row],[ Invoice. /
 Received Qty ]]-Goods_Receipt[[#This Row],[ Accepted Qty ]]</f>
        <v>0</v>
      </c>
      <c r="O300" s="87"/>
      <c r="P300" s="93"/>
      <c r="Q300" s="87"/>
      <c r="R300" s="87"/>
      <c r="S300" s="87"/>
      <c r="T300" s="85"/>
      <c r="U300" s="89"/>
      <c r="V300" s="90"/>
      <c r="W300" s="87"/>
      <c r="X300" s="91"/>
      <c r="Y300" s="84"/>
      <c r="Z300" s="97"/>
    </row>
    <row r="301" spans="1:26" s="98" customFormat="1" x14ac:dyDescent="0.35">
      <c r="A301" s="86">
        <v>298</v>
      </c>
      <c r="B301" s="85"/>
      <c r="C301" s="87"/>
      <c r="D301" s="85"/>
      <c r="E301" s="84"/>
      <c r="F301" s="85"/>
      <c r="G301" s="87"/>
      <c r="H301" s="87"/>
      <c r="I301" s="87"/>
      <c r="J301" s="101"/>
      <c r="K301" s="87"/>
      <c r="L301" s="91"/>
      <c r="M301" s="91"/>
      <c r="N301" s="88">
        <f>Goods_Receipt[[#This Row],[ Invoice. /
 Received Qty ]]-Goods_Receipt[[#This Row],[ Accepted Qty ]]</f>
        <v>0</v>
      </c>
      <c r="O301" s="87"/>
      <c r="P301" s="93"/>
      <c r="Q301" s="87"/>
      <c r="R301" s="87"/>
      <c r="S301" s="87"/>
      <c r="T301" s="85"/>
      <c r="U301" s="89"/>
      <c r="V301" s="90"/>
      <c r="W301" s="87"/>
      <c r="X301" s="91"/>
      <c r="Y301" s="84"/>
      <c r="Z301" s="97"/>
    </row>
    <row r="302" spans="1:26" s="98" customFormat="1" x14ac:dyDescent="0.35">
      <c r="A302" s="86">
        <v>299</v>
      </c>
      <c r="B302" s="85"/>
      <c r="C302" s="87"/>
      <c r="D302" s="85"/>
      <c r="E302" s="84"/>
      <c r="F302" s="85"/>
      <c r="G302" s="87"/>
      <c r="H302" s="87"/>
      <c r="I302" s="87"/>
      <c r="J302" s="101"/>
      <c r="K302" s="87"/>
      <c r="L302" s="91"/>
      <c r="M302" s="91"/>
      <c r="N302" s="88">
        <f>Goods_Receipt[[#This Row],[ Invoice. /
 Received Qty ]]-Goods_Receipt[[#This Row],[ Accepted Qty ]]</f>
        <v>0</v>
      </c>
      <c r="O302" s="87"/>
      <c r="P302" s="87"/>
      <c r="Q302" s="87"/>
      <c r="R302" s="87"/>
      <c r="S302" s="87"/>
      <c r="T302" s="85"/>
      <c r="U302" s="89"/>
      <c r="V302" s="90"/>
      <c r="W302" s="87"/>
      <c r="X302" s="91"/>
      <c r="Y302" s="84"/>
      <c r="Z302" s="97"/>
    </row>
    <row r="303" spans="1:26" s="98" customFormat="1" x14ac:dyDescent="0.35">
      <c r="A303" s="86">
        <v>300</v>
      </c>
      <c r="B303" s="85"/>
      <c r="C303" s="87"/>
      <c r="D303" s="85"/>
      <c r="E303" s="84"/>
      <c r="F303" s="85"/>
      <c r="G303" s="87"/>
      <c r="H303" s="87"/>
      <c r="I303" s="87"/>
      <c r="J303" s="101"/>
      <c r="K303" s="87"/>
      <c r="L303" s="91"/>
      <c r="M303" s="91"/>
      <c r="N303" s="88">
        <f>Goods_Receipt[[#This Row],[ Invoice. /
 Received Qty ]]-Goods_Receipt[[#This Row],[ Accepted Qty ]]</f>
        <v>0</v>
      </c>
      <c r="O303" s="87"/>
      <c r="P303" s="87"/>
      <c r="Q303" s="87"/>
      <c r="R303" s="87"/>
      <c r="S303" s="87"/>
      <c r="T303" s="85"/>
      <c r="U303" s="89"/>
      <c r="V303" s="90"/>
      <c r="W303" s="87"/>
      <c r="X303" s="91"/>
      <c r="Y303" s="84"/>
      <c r="Z303" s="97"/>
    </row>
    <row r="304" spans="1:26" s="98" customFormat="1" x14ac:dyDescent="0.35">
      <c r="A304" s="86">
        <v>301</v>
      </c>
      <c r="B304" s="85"/>
      <c r="C304" s="87"/>
      <c r="D304" s="85"/>
      <c r="E304" s="84"/>
      <c r="F304" s="85"/>
      <c r="G304" s="87"/>
      <c r="H304" s="87"/>
      <c r="I304" s="87"/>
      <c r="J304" s="101"/>
      <c r="K304" s="87"/>
      <c r="L304" s="91"/>
      <c r="M304" s="91"/>
      <c r="N304" s="88">
        <f>Goods_Receipt[[#This Row],[ Invoice. /
 Received Qty ]]-Goods_Receipt[[#This Row],[ Accepted Qty ]]</f>
        <v>0</v>
      </c>
      <c r="O304" s="87"/>
      <c r="P304" s="93"/>
      <c r="Q304" s="87"/>
      <c r="R304" s="87"/>
      <c r="S304" s="87"/>
      <c r="T304" s="85"/>
      <c r="U304" s="89"/>
      <c r="V304" s="90"/>
      <c r="W304" s="87"/>
      <c r="X304" s="91"/>
      <c r="Y304" s="84"/>
      <c r="Z304" s="97"/>
    </row>
    <row r="305" spans="1:26" s="98" customFormat="1" x14ac:dyDescent="0.35">
      <c r="A305" s="86">
        <v>302</v>
      </c>
      <c r="B305" s="85"/>
      <c r="C305" s="87"/>
      <c r="D305" s="85"/>
      <c r="E305" s="84"/>
      <c r="F305" s="85"/>
      <c r="G305" s="87"/>
      <c r="H305" s="87"/>
      <c r="I305" s="87"/>
      <c r="J305" s="101"/>
      <c r="K305" s="87"/>
      <c r="L305" s="91"/>
      <c r="M305" s="91"/>
      <c r="N305" s="88">
        <f>Goods_Receipt[[#This Row],[ Invoice. /
 Received Qty ]]-Goods_Receipt[[#This Row],[ Accepted Qty ]]</f>
        <v>0</v>
      </c>
      <c r="O305" s="87"/>
      <c r="P305" s="93"/>
      <c r="Q305" s="87"/>
      <c r="R305" s="87"/>
      <c r="S305" s="87"/>
      <c r="T305" s="85"/>
      <c r="U305" s="89"/>
      <c r="V305" s="90"/>
      <c r="W305" s="87"/>
      <c r="X305" s="91"/>
      <c r="Y305" s="84"/>
      <c r="Z305" s="97"/>
    </row>
    <row r="306" spans="1:26" s="98" customFormat="1" x14ac:dyDescent="0.35">
      <c r="A306" s="86">
        <v>303</v>
      </c>
      <c r="B306" s="85"/>
      <c r="C306" s="87"/>
      <c r="D306" s="85"/>
      <c r="E306" s="84"/>
      <c r="F306" s="85"/>
      <c r="G306" s="87"/>
      <c r="H306" s="87"/>
      <c r="I306" s="87"/>
      <c r="J306" s="101"/>
      <c r="K306" s="87"/>
      <c r="L306" s="91"/>
      <c r="M306" s="91"/>
      <c r="N306" s="88">
        <f>Goods_Receipt[[#This Row],[ Invoice. /
 Received Qty ]]-Goods_Receipt[[#This Row],[ Accepted Qty ]]</f>
        <v>0</v>
      </c>
      <c r="O306" s="87"/>
      <c r="P306" s="93"/>
      <c r="Q306" s="87"/>
      <c r="R306" s="87"/>
      <c r="S306" s="87"/>
      <c r="T306" s="85"/>
      <c r="U306" s="89"/>
      <c r="V306" s="90"/>
      <c r="W306" s="87"/>
      <c r="X306" s="91"/>
      <c r="Y306" s="84"/>
      <c r="Z306" s="97"/>
    </row>
    <row r="307" spans="1:26" s="98" customFormat="1" x14ac:dyDescent="0.35">
      <c r="A307" s="86">
        <v>304</v>
      </c>
      <c r="B307" s="85"/>
      <c r="C307" s="87"/>
      <c r="D307" s="85"/>
      <c r="E307" s="84"/>
      <c r="F307" s="85"/>
      <c r="G307" s="87"/>
      <c r="H307" s="87"/>
      <c r="I307" s="87"/>
      <c r="J307" s="101"/>
      <c r="K307" s="87"/>
      <c r="L307" s="91"/>
      <c r="M307" s="91"/>
      <c r="N307" s="88">
        <f>Goods_Receipt[[#This Row],[ Invoice. /
 Received Qty ]]-Goods_Receipt[[#This Row],[ Accepted Qty ]]</f>
        <v>0</v>
      </c>
      <c r="O307" s="87"/>
      <c r="P307" s="87"/>
      <c r="Q307" s="87"/>
      <c r="R307" s="87"/>
      <c r="S307" s="87"/>
      <c r="T307" s="85"/>
      <c r="U307" s="89"/>
      <c r="V307" s="90"/>
      <c r="W307" s="87"/>
      <c r="X307" s="91"/>
      <c r="Y307" s="84"/>
      <c r="Z307" s="97"/>
    </row>
    <row r="308" spans="1:26" s="98" customFormat="1" x14ac:dyDescent="0.35">
      <c r="A308" s="86">
        <v>305</v>
      </c>
      <c r="B308" s="85"/>
      <c r="C308" s="87"/>
      <c r="D308" s="85"/>
      <c r="E308" s="84"/>
      <c r="F308" s="85"/>
      <c r="G308" s="87"/>
      <c r="H308" s="87"/>
      <c r="I308" s="87"/>
      <c r="J308" s="101"/>
      <c r="K308" s="87"/>
      <c r="L308" s="91"/>
      <c r="M308" s="91"/>
      <c r="N308" s="88">
        <f>Goods_Receipt[[#This Row],[ Invoice. /
 Received Qty ]]-Goods_Receipt[[#This Row],[ Accepted Qty ]]</f>
        <v>0</v>
      </c>
      <c r="O308" s="87"/>
      <c r="P308" s="87"/>
      <c r="Q308" s="87"/>
      <c r="R308" s="87"/>
      <c r="S308" s="87"/>
      <c r="T308" s="85"/>
      <c r="U308" s="89"/>
      <c r="V308" s="90"/>
      <c r="W308" s="87"/>
      <c r="X308" s="91"/>
      <c r="Y308" s="84"/>
      <c r="Z308" s="97"/>
    </row>
    <row r="309" spans="1:26" s="98" customFormat="1" x14ac:dyDescent="0.35">
      <c r="A309" s="86">
        <v>306</v>
      </c>
      <c r="B309" s="85"/>
      <c r="C309" s="87"/>
      <c r="D309" s="85"/>
      <c r="E309" s="84"/>
      <c r="F309" s="85"/>
      <c r="G309" s="87"/>
      <c r="H309" s="87"/>
      <c r="I309" s="87"/>
      <c r="J309" s="101"/>
      <c r="K309" s="87"/>
      <c r="L309" s="91"/>
      <c r="M309" s="91"/>
      <c r="N309" s="88">
        <f>Goods_Receipt[[#This Row],[ Invoice. /
 Received Qty ]]-Goods_Receipt[[#This Row],[ Accepted Qty ]]</f>
        <v>0</v>
      </c>
      <c r="O309" s="87"/>
      <c r="P309" s="87"/>
      <c r="Q309" s="87"/>
      <c r="R309" s="87"/>
      <c r="S309" s="87"/>
      <c r="T309" s="85"/>
      <c r="U309" s="89"/>
      <c r="V309" s="90"/>
      <c r="W309" s="87"/>
      <c r="X309" s="91"/>
      <c r="Y309" s="84"/>
      <c r="Z309" s="97"/>
    </row>
    <row r="310" spans="1:26" s="98" customFormat="1" x14ac:dyDescent="0.35">
      <c r="A310" s="86">
        <v>307</v>
      </c>
      <c r="B310" s="85"/>
      <c r="C310" s="87"/>
      <c r="D310" s="85"/>
      <c r="E310" s="84"/>
      <c r="F310" s="85"/>
      <c r="G310" s="87"/>
      <c r="H310" s="87"/>
      <c r="I310" s="87"/>
      <c r="J310" s="101"/>
      <c r="K310" s="87"/>
      <c r="L310" s="91"/>
      <c r="M310" s="91"/>
      <c r="N310" s="88">
        <f>Goods_Receipt[[#This Row],[ Invoice. /
 Received Qty ]]-Goods_Receipt[[#This Row],[ Accepted Qty ]]</f>
        <v>0</v>
      </c>
      <c r="O310" s="87"/>
      <c r="P310" s="87"/>
      <c r="Q310" s="87"/>
      <c r="R310" s="87"/>
      <c r="S310" s="87"/>
      <c r="T310" s="85"/>
      <c r="U310" s="89"/>
      <c r="V310" s="90"/>
      <c r="W310" s="87"/>
      <c r="X310" s="91"/>
      <c r="Y310" s="84"/>
      <c r="Z310" s="97"/>
    </row>
    <row r="311" spans="1:26" s="98" customFormat="1" x14ac:dyDescent="0.35">
      <c r="A311" s="86">
        <v>308</v>
      </c>
      <c r="B311" s="85"/>
      <c r="C311" s="87"/>
      <c r="D311" s="85"/>
      <c r="E311" s="84"/>
      <c r="F311" s="85"/>
      <c r="G311" s="87"/>
      <c r="H311" s="87"/>
      <c r="I311" s="87"/>
      <c r="J311" s="101"/>
      <c r="K311" s="87"/>
      <c r="L311" s="91"/>
      <c r="M311" s="91"/>
      <c r="N311" s="88">
        <f>Goods_Receipt[[#This Row],[ Invoice. /
 Received Qty ]]-Goods_Receipt[[#This Row],[ Accepted Qty ]]</f>
        <v>0</v>
      </c>
      <c r="O311" s="87"/>
      <c r="P311" s="87"/>
      <c r="Q311" s="87"/>
      <c r="R311" s="87"/>
      <c r="S311" s="87"/>
      <c r="T311" s="85"/>
      <c r="U311" s="89"/>
      <c r="V311" s="90"/>
      <c r="W311" s="87"/>
      <c r="X311" s="91"/>
      <c r="Y311" s="84"/>
      <c r="Z311" s="97"/>
    </row>
    <row r="312" spans="1:26" s="98" customFormat="1" x14ac:dyDescent="0.35">
      <c r="A312" s="86">
        <v>309</v>
      </c>
      <c r="B312" s="85"/>
      <c r="C312" s="87"/>
      <c r="D312" s="85"/>
      <c r="E312" s="84"/>
      <c r="F312" s="85"/>
      <c r="G312" s="87"/>
      <c r="H312" s="87"/>
      <c r="I312" s="87"/>
      <c r="J312" s="101"/>
      <c r="K312" s="87"/>
      <c r="L312" s="91"/>
      <c r="M312" s="91"/>
      <c r="N312" s="88">
        <f>Goods_Receipt[[#This Row],[ Invoice. /
 Received Qty ]]-Goods_Receipt[[#This Row],[ Accepted Qty ]]</f>
        <v>0</v>
      </c>
      <c r="O312" s="87"/>
      <c r="P312" s="87"/>
      <c r="Q312" s="87"/>
      <c r="R312" s="87"/>
      <c r="S312" s="87"/>
      <c r="T312" s="85"/>
      <c r="U312" s="89"/>
      <c r="V312" s="90"/>
      <c r="W312" s="87"/>
      <c r="X312" s="91"/>
      <c r="Y312" s="84"/>
      <c r="Z312" s="97"/>
    </row>
    <row r="313" spans="1:26" s="98" customFormat="1" x14ac:dyDescent="0.35">
      <c r="A313" s="86">
        <v>310</v>
      </c>
      <c r="B313" s="85"/>
      <c r="C313" s="87"/>
      <c r="D313" s="85"/>
      <c r="E313" s="84"/>
      <c r="F313" s="85"/>
      <c r="G313" s="87"/>
      <c r="H313" s="87"/>
      <c r="I313" s="87"/>
      <c r="J313" s="101"/>
      <c r="K313" s="87"/>
      <c r="L313" s="91"/>
      <c r="M313" s="91"/>
      <c r="N313" s="88">
        <f>Goods_Receipt[[#This Row],[ Invoice. /
 Received Qty ]]-Goods_Receipt[[#This Row],[ Accepted Qty ]]</f>
        <v>0</v>
      </c>
      <c r="O313" s="87"/>
      <c r="P313" s="93"/>
      <c r="Q313" s="87"/>
      <c r="R313" s="87"/>
      <c r="S313" s="87"/>
      <c r="T313" s="85"/>
      <c r="U313" s="89"/>
      <c r="V313" s="90"/>
      <c r="W313" s="87"/>
      <c r="X313" s="91"/>
      <c r="Y313" s="84"/>
      <c r="Z313" s="97"/>
    </row>
    <row r="314" spans="1:26" s="98" customFormat="1" x14ac:dyDescent="0.35">
      <c r="A314" s="86">
        <v>311</v>
      </c>
      <c r="B314" s="85"/>
      <c r="C314" s="87"/>
      <c r="D314" s="85"/>
      <c r="E314" s="84"/>
      <c r="F314" s="85"/>
      <c r="G314" s="87"/>
      <c r="H314" s="87"/>
      <c r="I314" s="87"/>
      <c r="J314" s="101"/>
      <c r="K314" s="87"/>
      <c r="L314" s="91"/>
      <c r="M314" s="91"/>
      <c r="N314" s="88">
        <f>Goods_Receipt[[#This Row],[ Invoice. /
 Received Qty ]]-Goods_Receipt[[#This Row],[ Accepted Qty ]]</f>
        <v>0</v>
      </c>
      <c r="O314" s="87"/>
      <c r="P314" s="93"/>
      <c r="Q314" s="87"/>
      <c r="R314" s="87"/>
      <c r="S314" s="87"/>
      <c r="T314" s="85"/>
      <c r="U314" s="89"/>
      <c r="V314" s="90"/>
      <c r="W314" s="87"/>
      <c r="X314" s="91"/>
      <c r="Y314" s="84"/>
      <c r="Z314" s="97"/>
    </row>
    <row r="315" spans="1:26" s="98" customFormat="1" x14ac:dyDescent="0.35">
      <c r="A315" s="86">
        <v>312</v>
      </c>
      <c r="B315" s="85"/>
      <c r="C315" s="87"/>
      <c r="D315" s="85"/>
      <c r="E315" s="84"/>
      <c r="F315" s="85"/>
      <c r="G315" s="87"/>
      <c r="H315" s="87"/>
      <c r="I315" s="87"/>
      <c r="J315" s="101"/>
      <c r="K315" s="87"/>
      <c r="L315" s="91"/>
      <c r="M315" s="91"/>
      <c r="N315" s="88">
        <f>Goods_Receipt[[#This Row],[ Invoice. /
 Received Qty ]]-Goods_Receipt[[#This Row],[ Accepted Qty ]]</f>
        <v>0</v>
      </c>
      <c r="O315" s="87"/>
      <c r="P315" s="93"/>
      <c r="Q315" s="87"/>
      <c r="R315" s="87"/>
      <c r="S315" s="87"/>
      <c r="T315" s="85"/>
      <c r="U315" s="89"/>
      <c r="V315" s="90"/>
      <c r="W315" s="87"/>
      <c r="X315" s="91"/>
      <c r="Y315" s="84"/>
      <c r="Z315" s="97"/>
    </row>
    <row r="316" spans="1:26" s="98" customFormat="1" x14ac:dyDescent="0.35">
      <c r="A316" s="86">
        <v>313</v>
      </c>
      <c r="B316" s="85"/>
      <c r="C316" s="87"/>
      <c r="D316" s="85"/>
      <c r="E316" s="84"/>
      <c r="F316" s="85"/>
      <c r="G316" s="87"/>
      <c r="H316" s="87"/>
      <c r="I316" s="87"/>
      <c r="J316" s="101"/>
      <c r="K316" s="87"/>
      <c r="L316" s="91"/>
      <c r="M316" s="91"/>
      <c r="N316" s="88">
        <f>Goods_Receipt[[#This Row],[ Invoice. /
 Received Qty ]]-Goods_Receipt[[#This Row],[ Accepted Qty ]]</f>
        <v>0</v>
      </c>
      <c r="O316" s="87"/>
      <c r="P316" s="93"/>
      <c r="Q316" s="87"/>
      <c r="R316" s="87"/>
      <c r="S316" s="87"/>
      <c r="T316" s="85"/>
      <c r="U316" s="89"/>
      <c r="V316" s="90"/>
      <c r="W316" s="87"/>
      <c r="X316" s="91"/>
      <c r="Y316" s="84"/>
      <c r="Z316" s="97"/>
    </row>
    <row r="317" spans="1:26" s="98" customFormat="1" x14ac:dyDescent="0.35">
      <c r="A317" s="86">
        <v>314</v>
      </c>
      <c r="B317" s="85"/>
      <c r="C317" s="87"/>
      <c r="D317" s="85"/>
      <c r="E317" s="84"/>
      <c r="F317" s="85"/>
      <c r="G317" s="87"/>
      <c r="H317" s="87"/>
      <c r="I317" s="87"/>
      <c r="J317" s="101"/>
      <c r="K317" s="87"/>
      <c r="L317" s="91"/>
      <c r="M317" s="91"/>
      <c r="N317" s="88">
        <f>Goods_Receipt[[#This Row],[ Invoice. /
 Received Qty ]]-Goods_Receipt[[#This Row],[ Accepted Qty ]]</f>
        <v>0</v>
      </c>
      <c r="O317" s="87"/>
      <c r="P317" s="93"/>
      <c r="Q317" s="87"/>
      <c r="R317" s="87"/>
      <c r="S317" s="87"/>
      <c r="T317" s="85"/>
      <c r="U317" s="89"/>
      <c r="V317" s="90"/>
      <c r="W317" s="87"/>
      <c r="X317" s="91"/>
      <c r="Y317" s="84"/>
      <c r="Z317" s="97"/>
    </row>
    <row r="318" spans="1:26" s="98" customFormat="1" x14ac:dyDescent="0.35">
      <c r="A318" s="86">
        <v>315</v>
      </c>
      <c r="B318" s="85"/>
      <c r="C318" s="87"/>
      <c r="D318" s="85"/>
      <c r="E318" s="84"/>
      <c r="F318" s="85"/>
      <c r="G318" s="87"/>
      <c r="H318" s="87"/>
      <c r="I318" s="87"/>
      <c r="J318" s="101"/>
      <c r="K318" s="87"/>
      <c r="L318" s="91"/>
      <c r="M318" s="91"/>
      <c r="N318" s="88">
        <f>Goods_Receipt[[#This Row],[ Invoice. /
 Received Qty ]]-Goods_Receipt[[#This Row],[ Accepted Qty ]]</f>
        <v>0</v>
      </c>
      <c r="O318" s="87"/>
      <c r="P318" s="93"/>
      <c r="Q318" s="87"/>
      <c r="R318" s="87"/>
      <c r="S318" s="87"/>
      <c r="T318" s="85"/>
      <c r="U318" s="89"/>
      <c r="V318" s="90"/>
      <c r="W318" s="87"/>
      <c r="X318" s="91"/>
      <c r="Y318" s="84"/>
      <c r="Z318" s="97"/>
    </row>
    <row r="319" spans="1:26" s="98" customFormat="1" x14ac:dyDescent="0.35">
      <c r="A319" s="86">
        <v>316</v>
      </c>
      <c r="B319" s="85"/>
      <c r="C319" s="87"/>
      <c r="D319" s="85"/>
      <c r="E319" s="84"/>
      <c r="F319" s="85"/>
      <c r="G319" s="87"/>
      <c r="H319" s="87"/>
      <c r="I319" s="87"/>
      <c r="J319" s="101"/>
      <c r="K319" s="87"/>
      <c r="L319" s="91"/>
      <c r="M319" s="91"/>
      <c r="N319" s="88">
        <f>Goods_Receipt[[#This Row],[ Invoice. /
 Received Qty ]]-Goods_Receipt[[#This Row],[ Accepted Qty ]]</f>
        <v>0</v>
      </c>
      <c r="O319" s="87"/>
      <c r="P319" s="93"/>
      <c r="Q319" s="87"/>
      <c r="R319" s="87"/>
      <c r="S319" s="87"/>
      <c r="T319" s="85"/>
      <c r="U319" s="89"/>
      <c r="V319" s="90"/>
      <c r="W319" s="87"/>
      <c r="X319" s="91"/>
      <c r="Y319" s="84"/>
      <c r="Z319" s="97"/>
    </row>
    <row r="320" spans="1:26" s="98" customFormat="1" x14ac:dyDescent="0.35">
      <c r="A320" s="86">
        <v>317</v>
      </c>
      <c r="B320" s="85"/>
      <c r="C320" s="87"/>
      <c r="D320" s="85"/>
      <c r="E320" s="84"/>
      <c r="F320" s="85"/>
      <c r="G320" s="87"/>
      <c r="H320" s="87"/>
      <c r="I320" s="87"/>
      <c r="J320" s="101"/>
      <c r="K320" s="87"/>
      <c r="L320" s="91"/>
      <c r="M320" s="91"/>
      <c r="N320" s="88">
        <f>Goods_Receipt[[#This Row],[ Invoice. /
 Received Qty ]]-Goods_Receipt[[#This Row],[ Accepted Qty ]]</f>
        <v>0</v>
      </c>
      <c r="O320" s="87"/>
      <c r="P320" s="93"/>
      <c r="Q320" s="87"/>
      <c r="R320" s="87"/>
      <c r="S320" s="87"/>
      <c r="T320" s="85"/>
      <c r="U320" s="89"/>
      <c r="V320" s="90"/>
      <c r="W320" s="87"/>
      <c r="X320" s="91"/>
      <c r="Y320" s="84"/>
      <c r="Z320" s="97"/>
    </row>
    <row r="321" spans="1:26" s="98" customFormat="1" x14ac:dyDescent="0.35">
      <c r="A321" s="86">
        <v>318</v>
      </c>
      <c r="B321" s="85"/>
      <c r="C321" s="87"/>
      <c r="D321" s="85"/>
      <c r="E321" s="84"/>
      <c r="F321" s="85"/>
      <c r="G321" s="87"/>
      <c r="H321" s="87"/>
      <c r="I321" s="87"/>
      <c r="J321" s="101"/>
      <c r="K321" s="87"/>
      <c r="L321" s="91"/>
      <c r="M321" s="91"/>
      <c r="N321" s="88">
        <f>Goods_Receipt[[#This Row],[ Invoice. /
 Received Qty ]]-Goods_Receipt[[#This Row],[ Accepted Qty ]]</f>
        <v>0</v>
      </c>
      <c r="O321" s="87"/>
      <c r="P321" s="93"/>
      <c r="Q321" s="87"/>
      <c r="R321" s="87"/>
      <c r="S321" s="87"/>
      <c r="T321" s="85"/>
      <c r="U321" s="89"/>
      <c r="V321" s="90"/>
      <c r="W321" s="87"/>
      <c r="X321" s="91"/>
      <c r="Y321" s="84"/>
      <c r="Z321" s="97"/>
    </row>
    <row r="322" spans="1:26" s="98" customFormat="1" x14ac:dyDescent="0.35">
      <c r="A322" s="86">
        <v>319</v>
      </c>
      <c r="B322" s="85"/>
      <c r="C322" s="87"/>
      <c r="D322" s="85"/>
      <c r="E322" s="84"/>
      <c r="F322" s="85"/>
      <c r="G322" s="87"/>
      <c r="H322" s="87"/>
      <c r="I322" s="87"/>
      <c r="J322" s="101"/>
      <c r="K322" s="87"/>
      <c r="L322" s="91"/>
      <c r="M322" s="91"/>
      <c r="N322" s="88">
        <f>Goods_Receipt[[#This Row],[ Invoice. /
 Received Qty ]]-Goods_Receipt[[#This Row],[ Accepted Qty ]]</f>
        <v>0</v>
      </c>
      <c r="O322" s="87"/>
      <c r="P322" s="93"/>
      <c r="Q322" s="87"/>
      <c r="R322" s="87"/>
      <c r="S322" s="87"/>
      <c r="T322" s="85"/>
      <c r="U322" s="89"/>
      <c r="V322" s="90"/>
      <c r="W322" s="87"/>
      <c r="X322" s="91"/>
      <c r="Y322" s="84"/>
      <c r="Z322" s="97"/>
    </row>
    <row r="323" spans="1:26" s="98" customFormat="1" x14ac:dyDescent="0.35">
      <c r="A323" s="86">
        <v>320</v>
      </c>
      <c r="B323" s="85"/>
      <c r="C323" s="87"/>
      <c r="D323" s="85"/>
      <c r="E323" s="84"/>
      <c r="F323" s="85"/>
      <c r="G323" s="87"/>
      <c r="H323" s="87"/>
      <c r="I323" s="87"/>
      <c r="J323" s="101"/>
      <c r="K323" s="87"/>
      <c r="L323" s="91"/>
      <c r="M323" s="91"/>
      <c r="N323" s="88">
        <f>Goods_Receipt[[#This Row],[ Invoice. /
 Received Qty ]]-Goods_Receipt[[#This Row],[ Accepted Qty ]]</f>
        <v>0</v>
      </c>
      <c r="O323" s="87"/>
      <c r="P323" s="93"/>
      <c r="Q323" s="87"/>
      <c r="R323" s="87"/>
      <c r="S323" s="87"/>
      <c r="T323" s="85"/>
      <c r="U323" s="89"/>
      <c r="V323" s="90"/>
      <c r="W323" s="87"/>
      <c r="X323" s="91"/>
      <c r="Y323" s="84"/>
      <c r="Z323" s="97"/>
    </row>
    <row r="324" spans="1:26" s="98" customFormat="1" x14ac:dyDescent="0.35">
      <c r="A324" s="86">
        <v>321</v>
      </c>
      <c r="B324" s="85"/>
      <c r="C324" s="87"/>
      <c r="D324" s="85"/>
      <c r="E324" s="84"/>
      <c r="F324" s="85"/>
      <c r="G324" s="87"/>
      <c r="H324" s="87"/>
      <c r="I324" s="87"/>
      <c r="J324" s="101"/>
      <c r="K324" s="87"/>
      <c r="L324" s="91"/>
      <c r="M324" s="91"/>
      <c r="N324" s="88">
        <f>Goods_Receipt[[#This Row],[ Invoice. /
 Received Qty ]]-Goods_Receipt[[#This Row],[ Accepted Qty ]]</f>
        <v>0</v>
      </c>
      <c r="O324" s="87"/>
      <c r="P324" s="93"/>
      <c r="Q324" s="87"/>
      <c r="R324" s="87"/>
      <c r="S324" s="87"/>
      <c r="T324" s="85"/>
      <c r="U324" s="89"/>
      <c r="V324" s="90"/>
      <c r="W324" s="87"/>
      <c r="X324" s="91"/>
      <c r="Y324" s="84"/>
      <c r="Z324" s="97"/>
    </row>
    <row r="325" spans="1:26" s="98" customFormat="1" x14ac:dyDescent="0.35">
      <c r="A325" s="86">
        <v>322</v>
      </c>
      <c r="B325" s="85"/>
      <c r="C325" s="87"/>
      <c r="D325" s="85"/>
      <c r="E325" s="84"/>
      <c r="F325" s="85"/>
      <c r="G325" s="87"/>
      <c r="H325" s="87"/>
      <c r="I325" s="87"/>
      <c r="J325" s="101"/>
      <c r="K325" s="87"/>
      <c r="L325" s="91"/>
      <c r="M325" s="91"/>
      <c r="N325" s="88">
        <f>Goods_Receipt[[#This Row],[ Invoice. /
 Received Qty ]]-Goods_Receipt[[#This Row],[ Accepted Qty ]]</f>
        <v>0</v>
      </c>
      <c r="O325" s="87"/>
      <c r="P325" s="93"/>
      <c r="Q325" s="87"/>
      <c r="R325" s="87"/>
      <c r="S325" s="87"/>
      <c r="T325" s="85"/>
      <c r="U325" s="89"/>
      <c r="V325" s="90"/>
      <c r="W325" s="87"/>
      <c r="X325" s="91"/>
      <c r="Y325" s="84"/>
      <c r="Z325" s="97"/>
    </row>
    <row r="326" spans="1:26" s="98" customFormat="1" x14ac:dyDescent="0.35">
      <c r="A326" s="86">
        <v>323</v>
      </c>
      <c r="B326" s="85"/>
      <c r="C326" s="87"/>
      <c r="D326" s="85"/>
      <c r="E326" s="84"/>
      <c r="F326" s="85"/>
      <c r="G326" s="87"/>
      <c r="H326" s="87"/>
      <c r="I326" s="87"/>
      <c r="J326" s="101"/>
      <c r="K326" s="87"/>
      <c r="L326" s="91"/>
      <c r="M326" s="91"/>
      <c r="N326" s="88">
        <f>Goods_Receipt[[#This Row],[ Invoice. /
 Received Qty ]]-Goods_Receipt[[#This Row],[ Accepted Qty ]]</f>
        <v>0</v>
      </c>
      <c r="O326" s="87"/>
      <c r="P326" s="93"/>
      <c r="Q326" s="87"/>
      <c r="R326" s="87"/>
      <c r="S326" s="87"/>
      <c r="T326" s="85"/>
      <c r="U326" s="89"/>
      <c r="V326" s="90"/>
      <c r="W326" s="87"/>
      <c r="X326" s="91"/>
      <c r="Y326" s="84"/>
      <c r="Z326" s="97"/>
    </row>
    <row r="327" spans="1:26" s="98" customFormat="1" x14ac:dyDescent="0.35">
      <c r="A327" s="86">
        <v>324</v>
      </c>
      <c r="B327" s="85"/>
      <c r="C327" s="87"/>
      <c r="D327" s="85"/>
      <c r="E327" s="84"/>
      <c r="F327" s="85"/>
      <c r="G327" s="87"/>
      <c r="H327" s="87"/>
      <c r="I327" s="87"/>
      <c r="J327" s="101"/>
      <c r="K327" s="87"/>
      <c r="L327" s="91"/>
      <c r="M327" s="91"/>
      <c r="N327" s="88">
        <f>Goods_Receipt[[#This Row],[ Invoice. /
 Received Qty ]]-Goods_Receipt[[#This Row],[ Accepted Qty ]]</f>
        <v>0</v>
      </c>
      <c r="O327" s="87"/>
      <c r="P327" s="93"/>
      <c r="Q327" s="87"/>
      <c r="R327" s="87"/>
      <c r="S327" s="87"/>
      <c r="T327" s="85"/>
      <c r="U327" s="89"/>
      <c r="V327" s="90"/>
      <c r="W327" s="87"/>
      <c r="X327" s="91"/>
      <c r="Y327" s="84"/>
      <c r="Z327" s="97"/>
    </row>
    <row r="328" spans="1:26" s="98" customFormat="1" x14ac:dyDescent="0.35">
      <c r="A328" s="86">
        <v>325</v>
      </c>
      <c r="B328" s="85"/>
      <c r="C328" s="87"/>
      <c r="D328" s="85"/>
      <c r="E328" s="84"/>
      <c r="F328" s="85"/>
      <c r="G328" s="87"/>
      <c r="H328" s="87"/>
      <c r="I328" s="87"/>
      <c r="J328" s="101"/>
      <c r="K328" s="87"/>
      <c r="L328" s="91"/>
      <c r="M328" s="91"/>
      <c r="N328" s="88">
        <f>Goods_Receipt[[#This Row],[ Invoice. /
 Received Qty ]]-Goods_Receipt[[#This Row],[ Accepted Qty ]]</f>
        <v>0</v>
      </c>
      <c r="O328" s="87"/>
      <c r="P328" s="93"/>
      <c r="Q328" s="87"/>
      <c r="R328" s="87"/>
      <c r="S328" s="87"/>
      <c r="T328" s="85"/>
      <c r="U328" s="89"/>
      <c r="V328" s="90"/>
      <c r="W328" s="87"/>
      <c r="X328" s="91"/>
      <c r="Y328" s="84"/>
      <c r="Z328" s="97"/>
    </row>
    <row r="329" spans="1:26" s="98" customFormat="1" x14ac:dyDescent="0.35">
      <c r="A329" s="86">
        <v>326</v>
      </c>
      <c r="B329" s="85"/>
      <c r="C329" s="87"/>
      <c r="D329" s="85"/>
      <c r="E329" s="84"/>
      <c r="F329" s="85"/>
      <c r="G329" s="87"/>
      <c r="H329" s="87"/>
      <c r="I329" s="87"/>
      <c r="J329" s="101"/>
      <c r="K329" s="87"/>
      <c r="L329" s="91"/>
      <c r="M329" s="91"/>
      <c r="N329" s="88">
        <f>Goods_Receipt[[#This Row],[ Invoice. /
 Received Qty ]]-Goods_Receipt[[#This Row],[ Accepted Qty ]]</f>
        <v>0</v>
      </c>
      <c r="O329" s="87"/>
      <c r="P329" s="93"/>
      <c r="Q329" s="87"/>
      <c r="R329" s="87"/>
      <c r="S329" s="87"/>
      <c r="T329" s="85"/>
      <c r="U329" s="89"/>
      <c r="V329" s="90"/>
      <c r="W329" s="87"/>
      <c r="X329" s="91"/>
      <c r="Y329" s="84"/>
      <c r="Z329" s="97"/>
    </row>
    <row r="330" spans="1:26" s="98" customFormat="1" x14ac:dyDescent="0.35">
      <c r="A330" s="86">
        <v>327</v>
      </c>
      <c r="B330" s="85"/>
      <c r="C330" s="87"/>
      <c r="D330" s="85"/>
      <c r="E330" s="84"/>
      <c r="F330" s="85"/>
      <c r="G330" s="87"/>
      <c r="H330" s="87"/>
      <c r="I330" s="87"/>
      <c r="J330" s="101"/>
      <c r="K330" s="87"/>
      <c r="L330" s="91"/>
      <c r="M330" s="91"/>
      <c r="N330" s="88">
        <f>Goods_Receipt[[#This Row],[ Invoice. /
 Received Qty ]]-Goods_Receipt[[#This Row],[ Accepted Qty ]]</f>
        <v>0</v>
      </c>
      <c r="O330" s="87"/>
      <c r="P330" s="93"/>
      <c r="Q330" s="87"/>
      <c r="R330" s="87"/>
      <c r="S330" s="87"/>
      <c r="T330" s="85"/>
      <c r="U330" s="89"/>
      <c r="V330" s="90"/>
      <c r="W330" s="87"/>
      <c r="X330" s="91"/>
      <c r="Y330" s="84"/>
      <c r="Z330" s="97"/>
    </row>
    <row r="331" spans="1:26" s="98" customFormat="1" x14ac:dyDescent="0.35">
      <c r="A331" s="86">
        <v>328</v>
      </c>
      <c r="B331" s="85"/>
      <c r="C331" s="87"/>
      <c r="D331" s="85"/>
      <c r="E331" s="84"/>
      <c r="F331" s="85"/>
      <c r="G331" s="87"/>
      <c r="H331" s="87"/>
      <c r="I331" s="87"/>
      <c r="J331" s="101"/>
      <c r="K331" s="87"/>
      <c r="L331" s="91"/>
      <c r="M331" s="91"/>
      <c r="N331" s="88">
        <f>Goods_Receipt[[#This Row],[ Invoice. /
 Received Qty ]]-Goods_Receipt[[#This Row],[ Accepted Qty ]]</f>
        <v>0</v>
      </c>
      <c r="O331" s="87"/>
      <c r="P331" s="93"/>
      <c r="Q331" s="87"/>
      <c r="R331" s="87"/>
      <c r="S331" s="87"/>
      <c r="T331" s="85"/>
      <c r="U331" s="89"/>
      <c r="V331" s="90"/>
      <c r="W331" s="87"/>
      <c r="X331" s="91"/>
      <c r="Y331" s="84"/>
      <c r="Z331" s="97"/>
    </row>
    <row r="332" spans="1:26" s="98" customFormat="1" x14ac:dyDescent="0.35">
      <c r="A332" s="86">
        <v>329</v>
      </c>
      <c r="B332" s="85"/>
      <c r="C332" s="87"/>
      <c r="D332" s="85"/>
      <c r="E332" s="84"/>
      <c r="F332" s="85"/>
      <c r="G332" s="87"/>
      <c r="H332" s="87"/>
      <c r="I332" s="87"/>
      <c r="J332" s="101"/>
      <c r="K332" s="87"/>
      <c r="L332" s="91"/>
      <c r="M332" s="91"/>
      <c r="N332" s="88">
        <f>Goods_Receipt[[#This Row],[ Invoice. /
 Received Qty ]]-Goods_Receipt[[#This Row],[ Accepted Qty ]]</f>
        <v>0</v>
      </c>
      <c r="O332" s="87"/>
      <c r="P332" s="93"/>
      <c r="Q332" s="87"/>
      <c r="R332" s="87"/>
      <c r="S332" s="87"/>
      <c r="T332" s="85"/>
      <c r="U332" s="89"/>
      <c r="V332" s="90"/>
      <c r="W332" s="87"/>
      <c r="X332" s="91"/>
      <c r="Y332" s="84"/>
      <c r="Z332" s="97"/>
    </row>
    <row r="333" spans="1:26" s="98" customFormat="1" x14ac:dyDescent="0.35">
      <c r="A333" s="86">
        <v>330</v>
      </c>
      <c r="B333" s="85"/>
      <c r="C333" s="87"/>
      <c r="D333" s="85"/>
      <c r="E333" s="84"/>
      <c r="F333" s="85"/>
      <c r="G333" s="87"/>
      <c r="H333" s="87"/>
      <c r="I333" s="87"/>
      <c r="J333" s="101"/>
      <c r="K333" s="87"/>
      <c r="L333" s="91"/>
      <c r="M333" s="91"/>
      <c r="N333" s="88">
        <f>Goods_Receipt[[#This Row],[ Invoice. /
 Received Qty ]]-Goods_Receipt[[#This Row],[ Accepted Qty ]]</f>
        <v>0</v>
      </c>
      <c r="O333" s="87"/>
      <c r="P333" s="93"/>
      <c r="Q333" s="87"/>
      <c r="R333" s="87"/>
      <c r="S333" s="87"/>
      <c r="T333" s="85"/>
      <c r="U333" s="89"/>
      <c r="V333" s="90"/>
      <c r="W333" s="87"/>
      <c r="X333" s="91"/>
      <c r="Y333" s="84"/>
      <c r="Z333" s="97"/>
    </row>
    <row r="334" spans="1:26" s="98" customFormat="1" x14ac:dyDescent="0.35">
      <c r="A334" s="86">
        <v>331</v>
      </c>
      <c r="B334" s="85"/>
      <c r="C334" s="87"/>
      <c r="D334" s="85"/>
      <c r="E334" s="84"/>
      <c r="F334" s="85"/>
      <c r="G334" s="87"/>
      <c r="H334" s="87"/>
      <c r="I334" s="87"/>
      <c r="J334" s="101"/>
      <c r="K334" s="87"/>
      <c r="L334" s="91"/>
      <c r="M334" s="91"/>
      <c r="N334" s="88">
        <f>Goods_Receipt[[#This Row],[ Invoice. /
 Received Qty ]]-Goods_Receipt[[#This Row],[ Accepted Qty ]]</f>
        <v>0</v>
      </c>
      <c r="O334" s="87"/>
      <c r="P334" s="93"/>
      <c r="Q334" s="87"/>
      <c r="R334" s="87"/>
      <c r="S334" s="87"/>
      <c r="T334" s="85"/>
      <c r="U334" s="89"/>
      <c r="V334" s="90"/>
      <c r="W334" s="87"/>
      <c r="X334" s="91"/>
      <c r="Y334" s="84"/>
      <c r="Z334" s="97"/>
    </row>
    <row r="335" spans="1:26" s="98" customFormat="1" x14ac:dyDescent="0.35">
      <c r="A335" s="86">
        <v>332</v>
      </c>
      <c r="B335" s="85"/>
      <c r="C335" s="87"/>
      <c r="D335" s="85"/>
      <c r="E335" s="84"/>
      <c r="F335" s="85"/>
      <c r="G335" s="87"/>
      <c r="H335" s="87"/>
      <c r="I335" s="87"/>
      <c r="J335" s="101"/>
      <c r="K335" s="87"/>
      <c r="L335" s="91"/>
      <c r="M335" s="91"/>
      <c r="N335" s="88">
        <f>Goods_Receipt[[#This Row],[ Invoice. /
 Received Qty ]]-Goods_Receipt[[#This Row],[ Accepted Qty ]]</f>
        <v>0</v>
      </c>
      <c r="O335" s="87"/>
      <c r="P335" s="93"/>
      <c r="Q335" s="87"/>
      <c r="R335" s="87"/>
      <c r="S335" s="87"/>
      <c r="T335" s="85"/>
      <c r="U335" s="89"/>
      <c r="V335" s="90"/>
      <c r="W335" s="87"/>
      <c r="X335" s="91"/>
      <c r="Y335" s="84"/>
      <c r="Z335" s="97"/>
    </row>
    <row r="336" spans="1:26" s="98" customFormat="1" x14ac:dyDescent="0.35">
      <c r="A336" s="86">
        <v>333</v>
      </c>
      <c r="B336" s="85"/>
      <c r="C336" s="87"/>
      <c r="D336" s="85"/>
      <c r="E336" s="84"/>
      <c r="F336" s="85"/>
      <c r="G336" s="87"/>
      <c r="H336" s="87"/>
      <c r="I336" s="87"/>
      <c r="J336" s="101"/>
      <c r="K336" s="87"/>
      <c r="L336" s="91"/>
      <c r="M336" s="91"/>
      <c r="N336" s="88">
        <f>Goods_Receipt[[#This Row],[ Invoice. /
 Received Qty ]]-Goods_Receipt[[#This Row],[ Accepted Qty ]]</f>
        <v>0</v>
      </c>
      <c r="O336" s="87"/>
      <c r="P336" s="93"/>
      <c r="Q336" s="87"/>
      <c r="R336" s="87"/>
      <c r="S336" s="87"/>
      <c r="T336" s="85"/>
      <c r="U336" s="89"/>
      <c r="V336" s="90"/>
      <c r="W336" s="87"/>
      <c r="X336" s="91"/>
      <c r="Y336" s="84"/>
      <c r="Z336" s="97"/>
    </row>
    <row r="337" spans="1:26" s="98" customFormat="1" x14ac:dyDescent="0.35">
      <c r="A337" s="86">
        <v>334</v>
      </c>
      <c r="B337" s="85"/>
      <c r="C337" s="87"/>
      <c r="D337" s="85"/>
      <c r="E337" s="84"/>
      <c r="F337" s="85"/>
      <c r="G337" s="87"/>
      <c r="H337" s="87"/>
      <c r="I337" s="87"/>
      <c r="J337" s="101"/>
      <c r="K337" s="87"/>
      <c r="L337" s="91"/>
      <c r="M337" s="91"/>
      <c r="N337" s="88">
        <f>Goods_Receipt[[#This Row],[ Invoice. /
 Received Qty ]]-Goods_Receipt[[#This Row],[ Accepted Qty ]]</f>
        <v>0</v>
      </c>
      <c r="O337" s="87"/>
      <c r="P337" s="93"/>
      <c r="Q337" s="87"/>
      <c r="R337" s="87"/>
      <c r="S337" s="87"/>
      <c r="T337" s="85"/>
      <c r="U337" s="89"/>
      <c r="V337" s="90"/>
      <c r="W337" s="87"/>
      <c r="X337" s="91"/>
      <c r="Y337" s="84"/>
      <c r="Z337" s="97"/>
    </row>
    <row r="338" spans="1:26" s="98" customFormat="1" x14ac:dyDescent="0.35">
      <c r="A338" s="86">
        <v>335</v>
      </c>
      <c r="B338" s="85"/>
      <c r="C338" s="87"/>
      <c r="D338" s="85"/>
      <c r="E338" s="84"/>
      <c r="F338" s="85"/>
      <c r="G338" s="87"/>
      <c r="H338" s="87"/>
      <c r="I338" s="87"/>
      <c r="J338" s="101"/>
      <c r="K338" s="87"/>
      <c r="L338" s="91"/>
      <c r="M338" s="91"/>
      <c r="N338" s="88">
        <f>Goods_Receipt[[#This Row],[ Invoice. /
 Received Qty ]]-Goods_Receipt[[#This Row],[ Accepted Qty ]]</f>
        <v>0</v>
      </c>
      <c r="O338" s="87"/>
      <c r="P338" s="93"/>
      <c r="Q338" s="87"/>
      <c r="R338" s="87"/>
      <c r="S338" s="87"/>
      <c r="T338" s="85"/>
      <c r="U338" s="89"/>
      <c r="V338" s="90"/>
      <c r="W338" s="87"/>
      <c r="X338" s="91"/>
      <c r="Y338" s="84"/>
      <c r="Z338" s="97"/>
    </row>
    <row r="339" spans="1:26" s="98" customFormat="1" x14ac:dyDescent="0.35">
      <c r="A339" s="86">
        <v>336</v>
      </c>
      <c r="B339" s="85"/>
      <c r="C339" s="87"/>
      <c r="D339" s="85"/>
      <c r="E339" s="84"/>
      <c r="F339" s="85"/>
      <c r="G339" s="87"/>
      <c r="H339" s="87"/>
      <c r="I339" s="87"/>
      <c r="J339" s="101"/>
      <c r="K339" s="87"/>
      <c r="L339" s="91"/>
      <c r="M339" s="91"/>
      <c r="N339" s="88">
        <f>Goods_Receipt[[#This Row],[ Invoice. /
 Received Qty ]]-Goods_Receipt[[#This Row],[ Accepted Qty ]]</f>
        <v>0</v>
      </c>
      <c r="O339" s="87"/>
      <c r="P339" s="93"/>
      <c r="Q339" s="87"/>
      <c r="R339" s="87"/>
      <c r="S339" s="87"/>
      <c r="T339" s="85"/>
      <c r="U339" s="89"/>
      <c r="V339" s="90"/>
      <c r="W339" s="87"/>
      <c r="X339" s="91"/>
      <c r="Y339" s="84"/>
      <c r="Z339" s="97"/>
    </row>
    <row r="340" spans="1:26" s="98" customFormat="1" x14ac:dyDescent="0.35">
      <c r="A340" s="86">
        <v>337</v>
      </c>
      <c r="B340" s="85"/>
      <c r="C340" s="87"/>
      <c r="D340" s="85"/>
      <c r="E340" s="84"/>
      <c r="F340" s="85"/>
      <c r="G340" s="87"/>
      <c r="H340" s="87"/>
      <c r="I340" s="87"/>
      <c r="J340" s="101"/>
      <c r="K340" s="87"/>
      <c r="L340" s="91"/>
      <c r="M340" s="91"/>
      <c r="N340" s="88">
        <f>Goods_Receipt[[#This Row],[ Invoice. /
 Received Qty ]]-Goods_Receipt[[#This Row],[ Accepted Qty ]]</f>
        <v>0</v>
      </c>
      <c r="O340" s="87"/>
      <c r="P340" s="93"/>
      <c r="Q340" s="87"/>
      <c r="R340" s="87"/>
      <c r="S340" s="87"/>
      <c r="T340" s="85"/>
      <c r="U340" s="89"/>
      <c r="V340" s="90"/>
      <c r="W340" s="87"/>
      <c r="X340" s="91"/>
      <c r="Y340" s="84"/>
      <c r="Z340" s="97"/>
    </row>
    <row r="341" spans="1:26" s="98" customFormat="1" x14ac:dyDescent="0.35">
      <c r="A341" s="86">
        <v>338</v>
      </c>
      <c r="B341" s="85"/>
      <c r="C341" s="87"/>
      <c r="D341" s="85"/>
      <c r="E341" s="84"/>
      <c r="F341" s="85"/>
      <c r="G341" s="87"/>
      <c r="H341" s="87"/>
      <c r="I341" s="87"/>
      <c r="J341" s="101"/>
      <c r="K341" s="87"/>
      <c r="L341" s="91"/>
      <c r="M341" s="91"/>
      <c r="N341" s="88">
        <f>Goods_Receipt[[#This Row],[ Invoice. /
 Received Qty ]]-Goods_Receipt[[#This Row],[ Accepted Qty ]]</f>
        <v>0</v>
      </c>
      <c r="O341" s="87"/>
      <c r="P341" s="93"/>
      <c r="Q341" s="87"/>
      <c r="R341" s="87"/>
      <c r="S341" s="87"/>
      <c r="T341" s="85"/>
      <c r="U341" s="89"/>
      <c r="V341" s="90"/>
      <c r="W341" s="87"/>
      <c r="X341" s="91"/>
      <c r="Y341" s="84"/>
      <c r="Z341" s="97"/>
    </row>
    <row r="342" spans="1:26" s="98" customFormat="1" x14ac:dyDescent="0.35">
      <c r="A342" s="86">
        <v>339</v>
      </c>
      <c r="B342" s="85"/>
      <c r="C342" s="87"/>
      <c r="D342" s="85"/>
      <c r="E342" s="84"/>
      <c r="F342" s="85"/>
      <c r="G342" s="87"/>
      <c r="H342" s="87"/>
      <c r="I342" s="87"/>
      <c r="J342" s="101"/>
      <c r="K342" s="87"/>
      <c r="L342" s="91"/>
      <c r="M342" s="91"/>
      <c r="N342" s="88">
        <f>Goods_Receipt[[#This Row],[ Invoice. /
 Received Qty ]]-Goods_Receipt[[#This Row],[ Accepted Qty ]]</f>
        <v>0</v>
      </c>
      <c r="O342" s="87"/>
      <c r="P342" s="93"/>
      <c r="Q342" s="87"/>
      <c r="R342" s="87"/>
      <c r="S342" s="87"/>
      <c r="T342" s="85"/>
      <c r="U342" s="89"/>
      <c r="V342" s="90"/>
      <c r="W342" s="87"/>
      <c r="X342" s="91"/>
      <c r="Y342" s="84"/>
      <c r="Z342" s="97"/>
    </row>
    <row r="343" spans="1:26" s="98" customFormat="1" x14ac:dyDescent="0.35">
      <c r="A343" s="86">
        <v>340</v>
      </c>
      <c r="B343" s="85"/>
      <c r="C343" s="87"/>
      <c r="D343" s="85"/>
      <c r="E343" s="84"/>
      <c r="F343" s="85"/>
      <c r="G343" s="87"/>
      <c r="H343" s="87"/>
      <c r="I343" s="87"/>
      <c r="J343" s="101"/>
      <c r="K343" s="87"/>
      <c r="L343" s="91"/>
      <c r="M343" s="91"/>
      <c r="N343" s="88">
        <f>Goods_Receipt[[#This Row],[ Invoice. /
 Received Qty ]]-Goods_Receipt[[#This Row],[ Accepted Qty ]]</f>
        <v>0</v>
      </c>
      <c r="O343" s="87"/>
      <c r="P343" s="93"/>
      <c r="Q343" s="87"/>
      <c r="R343" s="87"/>
      <c r="S343" s="87"/>
      <c r="T343" s="85"/>
      <c r="U343" s="89"/>
      <c r="V343" s="90"/>
      <c r="W343" s="87"/>
      <c r="X343" s="91"/>
      <c r="Y343" s="84"/>
      <c r="Z343" s="97"/>
    </row>
    <row r="344" spans="1:26" s="98" customFormat="1" x14ac:dyDescent="0.35">
      <c r="A344" s="86">
        <v>341</v>
      </c>
      <c r="B344" s="85"/>
      <c r="C344" s="87"/>
      <c r="D344" s="85"/>
      <c r="E344" s="84"/>
      <c r="F344" s="85"/>
      <c r="G344" s="87"/>
      <c r="H344" s="87"/>
      <c r="I344" s="87"/>
      <c r="J344" s="101"/>
      <c r="K344" s="87"/>
      <c r="L344" s="91"/>
      <c r="M344" s="91"/>
      <c r="N344" s="88">
        <f>Goods_Receipt[[#This Row],[ Invoice. /
 Received Qty ]]-Goods_Receipt[[#This Row],[ Accepted Qty ]]</f>
        <v>0</v>
      </c>
      <c r="O344" s="87"/>
      <c r="P344" s="87"/>
      <c r="Q344" s="87"/>
      <c r="R344" s="87"/>
      <c r="S344" s="87"/>
      <c r="T344" s="85"/>
      <c r="U344" s="89"/>
      <c r="V344" s="90"/>
      <c r="W344" s="87"/>
      <c r="X344" s="91"/>
      <c r="Y344" s="84"/>
      <c r="Z344" s="97"/>
    </row>
    <row r="345" spans="1:26" s="98" customFormat="1" x14ac:dyDescent="0.35">
      <c r="A345" s="86">
        <v>342</v>
      </c>
      <c r="B345" s="85"/>
      <c r="C345" s="87"/>
      <c r="D345" s="85"/>
      <c r="E345" s="84"/>
      <c r="F345" s="85"/>
      <c r="G345" s="87"/>
      <c r="H345" s="87"/>
      <c r="I345" s="87"/>
      <c r="J345" s="101"/>
      <c r="K345" s="87"/>
      <c r="L345" s="91"/>
      <c r="M345" s="91"/>
      <c r="N345" s="88">
        <f>Goods_Receipt[[#This Row],[ Invoice. /
 Received Qty ]]-Goods_Receipt[[#This Row],[ Accepted Qty ]]</f>
        <v>0</v>
      </c>
      <c r="O345" s="87"/>
      <c r="P345" s="87"/>
      <c r="Q345" s="87"/>
      <c r="R345" s="87"/>
      <c r="S345" s="87"/>
      <c r="T345" s="85"/>
      <c r="U345" s="89"/>
      <c r="V345" s="90"/>
      <c r="W345" s="87"/>
      <c r="X345" s="91"/>
      <c r="Y345" s="84"/>
      <c r="Z345" s="97"/>
    </row>
    <row r="346" spans="1:26" s="98" customFormat="1" x14ac:dyDescent="0.35">
      <c r="A346" s="86">
        <v>343</v>
      </c>
      <c r="B346" s="85"/>
      <c r="C346" s="94"/>
      <c r="D346" s="85"/>
      <c r="E346" s="84"/>
      <c r="F346" s="85"/>
      <c r="G346" s="87"/>
      <c r="H346" s="87"/>
      <c r="I346" s="87"/>
      <c r="J346" s="101"/>
      <c r="K346" s="87"/>
      <c r="L346" s="91"/>
      <c r="M346" s="91"/>
      <c r="N346" s="88">
        <f>Goods_Receipt[[#This Row],[ Invoice. /
 Received Qty ]]-Goods_Receipt[[#This Row],[ Accepted Qty ]]</f>
        <v>0</v>
      </c>
      <c r="O346" s="87"/>
      <c r="P346" s="87"/>
      <c r="Q346" s="87"/>
      <c r="R346" s="87"/>
      <c r="S346" s="87"/>
      <c r="T346" s="85"/>
      <c r="U346" s="89"/>
      <c r="V346" s="90"/>
      <c r="W346" s="87"/>
      <c r="X346" s="91"/>
      <c r="Y346" s="84"/>
      <c r="Z346" s="97"/>
    </row>
    <row r="347" spans="1:26" s="98" customFormat="1" x14ac:dyDescent="0.35">
      <c r="A347" s="86">
        <v>344</v>
      </c>
      <c r="B347" s="85"/>
      <c r="C347" s="94"/>
      <c r="D347" s="85"/>
      <c r="E347" s="84"/>
      <c r="F347" s="85"/>
      <c r="G347" s="87"/>
      <c r="H347" s="87"/>
      <c r="I347" s="87"/>
      <c r="J347" s="101"/>
      <c r="K347" s="87"/>
      <c r="L347" s="91"/>
      <c r="M347" s="91"/>
      <c r="N347" s="88">
        <f>Goods_Receipt[[#This Row],[ Invoice. /
 Received Qty ]]-Goods_Receipt[[#This Row],[ Accepted Qty ]]</f>
        <v>0</v>
      </c>
      <c r="O347" s="87"/>
      <c r="P347" s="87"/>
      <c r="Q347" s="87"/>
      <c r="R347" s="87"/>
      <c r="S347" s="87"/>
      <c r="T347" s="85"/>
      <c r="U347" s="89"/>
      <c r="V347" s="90"/>
      <c r="W347" s="87"/>
      <c r="X347" s="91"/>
      <c r="Y347" s="84"/>
      <c r="Z347" s="97"/>
    </row>
    <row r="348" spans="1:26" s="98" customFormat="1" x14ac:dyDescent="0.35">
      <c r="A348" s="86">
        <v>345</v>
      </c>
      <c r="B348" s="85"/>
      <c r="C348" s="94"/>
      <c r="D348" s="85"/>
      <c r="E348" s="84"/>
      <c r="F348" s="85"/>
      <c r="G348" s="87"/>
      <c r="H348" s="87"/>
      <c r="I348" s="87"/>
      <c r="J348" s="101"/>
      <c r="K348" s="87"/>
      <c r="L348" s="91"/>
      <c r="M348" s="91"/>
      <c r="N348" s="88">
        <f>Goods_Receipt[[#This Row],[ Invoice. /
 Received Qty ]]-Goods_Receipt[[#This Row],[ Accepted Qty ]]</f>
        <v>0</v>
      </c>
      <c r="O348" s="87"/>
      <c r="P348" s="87"/>
      <c r="Q348" s="87"/>
      <c r="R348" s="87"/>
      <c r="S348" s="87"/>
      <c r="T348" s="85"/>
      <c r="U348" s="89"/>
      <c r="V348" s="90"/>
      <c r="W348" s="87"/>
      <c r="X348" s="91"/>
      <c r="Y348" s="84"/>
      <c r="Z348" s="97"/>
    </row>
    <row r="349" spans="1:26" s="98" customFormat="1" x14ac:dyDescent="0.35">
      <c r="A349" s="86">
        <v>346</v>
      </c>
      <c r="B349" s="85"/>
      <c r="C349" s="94"/>
      <c r="D349" s="85"/>
      <c r="E349" s="84"/>
      <c r="F349" s="85"/>
      <c r="G349" s="87"/>
      <c r="H349" s="87"/>
      <c r="I349" s="87"/>
      <c r="J349" s="101"/>
      <c r="K349" s="87"/>
      <c r="L349" s="91"/>
      <c r="M349" s="91"/>
      <c r="N349" s="88">
        <f>Goods_Receipt[[#This Row],[ Invoice. /
 Received Qty ]]-Goods_Receipt[[#This Row],[ Accepted Qty ]]</f>
        <v>0</v>
      </c>
      <c r="O349" s="87"/>
      <c r="P349" s="87"/>
      <c r="Q349" s="87"/>
      <c r="R349" s="87"/>
      <c r="S349" s="87"/>
      <c r="T349" s="85"/>
      <c r="U349" s="89"/>
      <c r="V349" s="90"/>
      <c r="W349" s="87"/>
      <c r="X349" s="91"/>
      <c r="Y349" s="84"/>
      <c r="Z349" s="97"/>
    </row>
    <row r="350" spans="1:26" s="98" customFormat="1" x14ac:dyDescent="0.35">
      <c r="A350" s="86">
        <v>347</v>
      </c>
      <c r="B350" s="85"/>
      <c r="C350" s="94"/>
      <c r="D350" s="85"/>
      <c r="E350" s="84"/>
      <c r="F350" s="85"/>
      <c r="G350" s="87"/>
      <c r="H350" s="87"/>
      <c r="I350" s="87"/>
      <c r="J350" s="101"/>
      <c r="K350" s="87"/>
      <c r="L350" s="91"/>
      <c r="M350" s="91"/>
      <c r="N350" s="88">
        <f>Goods_Receipt[[#This Row],[ Invoice. /
 Received Qty ]]-Goods_Receipt[[#This Row],[ Accepted Qty ]]</f>
        <v>0</v>
      </c>
      <c r="O350" s="87"/>
      <c r="P350" s="87"/>
      <c r="Q350" s="87"/>
      <c r="R350" s="87"/>
      <c r="S350" s="87"/>
      <c r="T350" s="85"/>
      <c r="U350" s="89"/>
      <c r="V350" s="90"/>
      <c r="W350" s="87"/>
      <c r="X350" s="91"/>
      <c r="Y350" s="84"/>
      <c r="Z350" s="97"/>
    </row>
    <row r="351" spans="1:26" s="98" customFormat="1" x14ac:dyDescent="0.35">
      <c r="A351" s="86">
        <v>348</v>
      </c>
      <c r="B351" s="85"/>
      <c r="C351" s="87"/>
      <c r="D351" s="85"/>
      <c r="E351" s="84"/>
      <c r="F351" s="85"/>
      <c r="G351" s="87"/>
      <c r="H351" s="87"/>
      <c r="I351" s="87"/>
      <c r="J351" s="101"/>
      <c r="K351" s="87"/>
      <c r="L351" s="91"/>
      <c r="M351" s="91"/>
      <c r="N351" s="88">
        <f>Goods_Receipt[[#This Row],[ Invoice. /
 Received Qty ]]-Goods_Receipt[[#This Row],[ Accepted Qty ]]</f>
        <v>0</v>
      </c>
      <c r="O351" s="87"/>
      <c r="P351" s="87"/>
      <c r="Q351" s="87"/>
      <c r="R351" s="87"/>
      <c r="S351" s="87"/>
      <c r="T351" s="85"/>
      <c r="U351" s="89"/>
      <c r="V351" s="90"/>
      <c r="W351" s="87"/>
      <c r="X351" s="91"/>
      <c r="Y351" s="84"/>
      <c r="Z351" s="97"/>
    </row>
    <row r="352" spans="1:26" s="98" customFormat="1" x14ac:dyDescent="0.35">
      <c r="A352" s="86">
        <v>349</v>
      </c>
      <c r="B352" s="85"/>
      <c r="C352" s="87"/>
      <c r="D352" s="85"/>
      <c r="E352" s="84"/>
      <c r="F352" s="85"/>
      <c r="G352" s="87"/>
      <c r="H352" s="87"/>
      <c r="I352" s="87"/>
      <c r="J352" s="101"/>
      <c r="K352" s="87"/>
      <c r="L352" s="91"/>
      <c r="M352" s="91"/>
      <c r="N352" s="88">
        <f>Goods_Receipt[[#This Row],[ Invoice. /
 Received Qty ]]-Goods_Receipt[[#This Row],[ Accepted Qty ]]</f>
        <v>0</v>
      </c>
      <c r="O352" s="87"/>
      <c r="P352" s="87"/>
      <c r="Q352" s="87"/>
      <c r="R352" s="87"/>
      <c r="S352" s="87"/>
      <c r="T352" s="85"/>
      <c r="U352" s="89"/>
      <c r="V352" s="90"/>
      <c r="W352" s="87"/>
      <c r="X352" s="91"/>
      <c r="Y352" s="84"/>
      <c r="Z352" s="97"/>
    </row>
    <row r="353" spans="1:26" s="98" customFormat="1" x14ac:dyDescent="0.35">
      <c r="A353" s="86">
        <v>350</v>
      </c>
      <c r="B353" s="85"/>
      <c r="C353" s="87"/>
      <c r="D353" s="85"/>
      <c r="E353" s="84"/>
      <c r="F353" s="85"/>
      <c r="G353" s="87"/>
      <c r="H353" s="87"/>
      <c r="I353" s="87"/>
      <c r="J353" s="101"/>
      <c r="K353" s="87"/>
      <c r="L353" s="91"/>
      <c r="M353" s="91"/>
      <c r="N353" s="88">
        <f>Goods_Receipt[[#This Row],[ Invoice. /
 Received Qty ]]-Goods_Receipt[[#This Row],[ Accepted Qty ]]</f>
        <v>0</v>
      </c>
      <c r="O353" s="87"/>
      <c r="P353" s="87"/>
      <c r="Q353" s="87"/>
      <c r="R353" s="87"/>
      <c r="S353" s="87"/>
      <c r="T353" s="85"/>
      <c r="U353" s="89"/>
      <c r="V353" s="90"/>
      <c r="W353" s="87"/>
      <c r="X353" s="91"/>
      <c r="Y353" s="84"/>
      <c r="Z353" s="97"/>
    </row>
    <row r="354" spans="1:26" s="98" customFormat="1" x14ac:dyDescent="0.35">
      <c r="A354" s="86">
        <v>351</v>
      </c>
      <c r="B354" s="85"/>
      <c r="C354" s="87"/>
      <c r="D354" s="85"/>
      <c r="E354" s="84"/>
      <c r="F354" s="85"/>
      <c r="G354" s="87"/>
      <c r="H354" s="87"/>
      <c r="I354" s="87"/>
      <c r="J354" s="101"/>
      <c r="K354" s="87"/>
      <c r="L354" s="91"/>
      <c r="M354" s="91"/>
      <c r="N354" s="88">
        <f>Goods_Receipt[[#This Row],[ Invoice. /
 Received Qty ]]-Goods_Receipt[[#This Row],[ Accepted Qty ]]</f>
        <v>0</v>
      </c>
      <c r="O354" s="87"/>
      <c r="P354" s="87"/>
      <c r="Q354" s="87"/>
      <c r="R354" s="87"/>
      <c r="S354" s="87"/>
      <c r="T354" s="85"/>
      <c r="U354" s="89"/>
      <c r="V354" s="90"/>
      <c r="W354" s="87"/>
      <c r="X354" s="91"/>
      <c r="Y354" s="84"/>
      <c r="Z354" s="97"/>
    </row>
    <row r="355" spans="1:26" s="98" customFormat="1" x14ac:dyDescent="0.35">
      <c r="A355" s="86">
        <v>352</v>
      </c>
      <c r="B355" s="85"/>
      <c r="C355" s="87"/>
      <c r="D355" s="85"/>
      <c r="E355" s="84"/>
      <c r="F355" s="85"/>
      <c r="G355" s="87"/>
      <c r="H355" s="87"/>
      <c r="I355" s="87"/>
      <c r="J355" s="101"/>
      <c r="K355" s="87"/>
      <c r="L355" s="91"/>
      <c r="M355" s="91"/>
      <c r="N355" s="88">
        <f>Goods_Receipt[[#This Row],[ Invoice. /
 Received Qty ]]-Goods_Receipt[[#This Row],[ Accepted Qty ]]</f>
        <v>0</v>
      </c>
      <c r="O355" s="87"/>
      <c r="P355" s="87"/>
      <c r="Q355" s="87"/>
      <c r="R355" s="87"/>
      <c r="S355" s="87"/>
      <c r="T355" s="85"/>
      <c r="U355" s="89"/>
      <c r="V355" s="90"/>
      <c r="W355" s="87"/>
      <c r="X355" s="91"/>
      <c r="Y355" s="84"/>
      <c r="Z355" s="97"/>
    </row>
    <row r="356" spans="1:26" s="98" customFormat="1" x14ac:dyDescent="0.35">
      <c r="A356" s="86">
        <v>353</v>
      </c>
      <c r="B356" s="85"/>
      <c r="C356" s="87"/>
      <c r="D356" s="85"/>
      <c r="E356" s="84"/>
      <c r="F356" s="85"/>
      <c r="G356" s="87"/>
      <c r="H356" s="87"/>
      <c r="I356" s="87"/>
      <c r="J356" s="101"/>
      <c r="K356" s="87"/>
      <c r="L356" s="91"/>
      <c r="M356" s="91"/>
      <c r="N356" s="88">
        <f>Goods_Receipt[[#This Row],[ Invoice. /
 Received Qty ]]-Goods_Receipt[[#This Row],[ Accepted Qty ]]</f>
        <v>0</v>
      </c>
      <c r="O356" s="87"/>
      <c r="P356" s="87"/>
      <c r="Q356" s="87"/>
      <c r="R356" s="87"/>
      <c r="S356" s="87"/>
      <c r="T356" s="85"/>
      <c r="U356" s="89"/>
      <c r="V356" s="90"/>
      <c r="W356" s="87"/>
      <c r="X356" s="91"/>
      <c r="Y356" s="84"/>
      <c r="Z356" s="97"/>
    </row>
    <row r="357" spans="1:26" s="98" customFormat="1" x14ac:dyDescent="0.35">
      <c r="A357" s="86">
        <v>354</v>
      </c>
      <c r="B357" s="85"/>
      <c r="C357" s="87"/>
      <c r="D357" s="85"/>
      <c r="E357" s="84"/>
      <c r="F357" s="85"/>
      <c r="G357" s="87"/>
      <c r="H357" s="87"/>
      <c r="I357" s="87"/>
      <c r="J357" s="101"/>
      <c r="K357" s="87"/>
      <c r="L357" s="91"/>
      <c r="M357" s="91"/>
      <c r="N357" s="88">
        <f>Goods_Receipt[[#This Row],[ Invoice. /
 Received Qty ]]-Goods_Receipt[[#This Row],[ Accepted Qty ]]</f>
        <v>0</v>
      </c>
      <c r="O357" s="87"/>
      <c r="P357" s="87"/>
      <c r="Q357" s="87"/>
      <c r="R357" s="87"/>
      <c r="S357" s="87"/>
      <c r="T357" s="85"/>
      <c r="U357" s="89"/>
      <c r="V357" s="90"/>
      <c r="W357" s="87"/>
      <c r="X357" s="91"/>
      <c r="Y357" s="84"/>
      <c r="Z357" s="97"/>
    </row>
    <row r="358" spans="1:26" s="98" customFormat="1" x14ac:dyDescent="0.35">
      <c r="A358" s="86">
        <v>355</v>
      </c>
      <c r="B358" s="85"/>
      <c r="C358" s="87"/>
      <c r="D358" s="85"/>
      <c r="E358" s="84"/>
      <c r="F358" s="85"/>
      <c r="G358" s="87"/>
      <c r="H358" s="87"/>
      <c r="I358" s="87"/>
      <c r="J358" s="101"/>
      <c r="K358" s="87"/>
      <c r="L358" s="91"/>
      <c r="M358" s="91"/>
      <c r="N358" s="88">
        <f>Goods_Receipt[[#This Row],[ Invoice. /
 Received Qty ]]-Goods_Receipt[[#This Row],[ Accepted Qty ]]</f>
        <v>0</v>
      </c>
      <c r="O358" s="87"/>
      <c r="P358" s="87"/>
      <c r="Q358" s="87"/>
      <c r="R358" s="87"/>
      <c r="S358" s="87"/>
      <c r="T358" s="85"/>
      <c r="U358" s="89"/>
      <c r="V358" s="90"/>
      <c r="W358" s="87"/>
      <c r="X358" s="91"/>
      <c r="Y358" s="84"/>
      <c r="Z358" s="97"/>
    </row>
    <row r="359" spans="1:26" s="98" customFormat="1" x14ac:dyDescent="0.35">
      <c r="A359" s="86">
        <v>356</v>
      </c>
      <c r="B359" s="85"/>
      <c r="C359" s="87"/>
      <c r="D359" s="85"/>
      <c r="E359" s="84"/>
      <c r="F359" s="85"/>
      <c r="G359" s="87"/>
      <c r="H359" s="87"/>
      <c r="I359" s="87"/>
      <c r="J359" s="101"/>
      <c r="K359" s="87"/>
      <c r="L359" s="91"/>
      <c r="M359" s="91"/>
      <c r="N359" s="88">
        <f>Goods_Receipt[[#This Row],[ Invoice. /
 Received Qty ]]-Goods_Receipt[[#This Row],[ Accepted Qty ]]</f>
        <v>0</v>
      </c>
      <c r="O359" s="87"/>
      <c r="P359" s="87"/>
      <c r="Q359" s="87"/>
      <c r="R359" s="87"/>
      <c r="S359" s="87"/>
      <c r="T359" s="85"/>
      <c r="U359" s="89"/>
      <c r="V359" s="90"/>
      <c r="W359" s="87"/>
      <c r="X359" s="91"/>
      <c r="Y359" s="84"/>
      <c r="Z359" s="97"/>
    </row>
    <row r="360" spans="1:26" s="98" customFormat="1" x14ac:dyDescent="0.35">
      <c r="A360" s="86">
        <v>357</v>
      </c>
      <c r="B360" s="85"/>
      <c r="C360" s="87"/>
      <c r="D360" s="85"/>
      <c r="E360" s="84"/>
      <c r="F360" s="85"/>
      <c r="G360" s="87"/>
      <c r="H360" s="87"/>
      <c r="I360" s="87"/>
      <c r="J360" s="101"/>
      <c r="K360" s="87"/>
      <c r="L360" s="91"/>
      <c r="M360" s="91"/>
      <c r="N360" s="88">
        <f>Goods_Receipt[[#This Row],[ Invoice. /
 Received Qty ]]-Goods_Receipt[[#This Row],[ Accepted Qty ]]</f>
        <v>0</v>
      </c>
      <c r="O360" s="87"/>
      <c r="P360" s="87"/>
      <c r="Q360" s="87"/>
      <c r="R360" s="87"/>
      <c r="S360" s="87"/>
      <c r="T360" s="85"/>
      <c r="U360" s="89"/>
      <c r="V360" s="90"/>
      <c r="W360" s="87"/>
      <c r="X360" s="91"/>
      <c r="Y360" s="84"/>
      <c r="Z360" s="97"/>
    </row>
    <row r="361" spans="1:26" s="98" customFormat="1" x14ac:dyDescent="0.35">
      <c r="A361" s="86">
        <v>358</v>
      </c>
      <c r="B361" s="85"/>
      <c r="C361" s="87"/>
      <c r="D361" s="85"/>
      <c r="E361" s="84"/>
      <c r="F361" s="85"/>
      <c r="G361" s="87"/>
      <c r="H361" s="87"/>
      <c r="I361" s="87"/>
      <c r="J361" s="101"/>
      <c r="K361" s="87"/>
      <c r="L361" s="91"/>
      <c r="M361" s="91"/>
      <c r="N361" s="88">
        <f>Goods_Receipt[[#This Row],[ Invoice. /
 Received Qty ]]-Goods_Receipt[[#This Row],[ Accepted Qty ]]</f>
        <v>0</v>
      </c>
      <c r="O361" s="87"/>
      <c r="P361" s="87"/>
      <c r="Q361" s="87"/>
      <c r="R361" s="87"/>
      <c r="S361" s="87"/>
      <c r="T361" s="85"/>
      <c r="U361" s="89"/>
      <c r="V361" s="90"/>
      <c r="W361" s="87"/>
      <c r="X361" s="91"/>
      <c r="Y361" s="84"/>
      <c r="Z361" s="97"/>
    </row>
    <row r="362" spans="1:26" s="98" customFormat="1" x14ac:dyDescent="0.35">
      <c r="A362" s="86">
        <v>359</v>
      </c>
      <c r="B362" s="85"/>
      <c r="C362" s="87"/>
      <c r="D362" s="85"/>
      <c r="E362" s="84"/>
      <c r="F362" s="85"/>
      <c r="G362" s="87"/>
      <c r="H362" s="87"/>
      <c r="I362" s="87"/>
      <c r="J362" s="101"/>
      <c r="K362" s="87"/>
      <c r="L362" s="91"/>
      <c r="M362" s="91"/>
      <c r="N362" s="88">
        <f>Goods_Receipt[[#This Row],[ Invoice. /
 Received Qty ]]-Goods_Receipt[[#This Row],[ Accepted Qty ]]</f>
        <v>0</v>
      </c>
      <c r="O362" s="87"/>
      <c r="P362" s="87"/>
      <c r="Q362" s="87"/>
      <c r="R362" s="87"/>
      <c r="S362" s="87"/>
      <c r="T362" s="85"/>
      <c r="U362" s="89"/>
      <c r="V362" s="90"/>
      <c r="W362" s="90"/>
      <c r="X362" s="91"/>
      <c r="Y362" s="84"/>
      <c r="Z362" s="97"/>
    </row>
    <row r="363" spans="1:26" s="98" customFormat="1" x14ac:dyDescent="0.35">
      <c r="A363" s="86">
        <v>360</v>
      </c>
      <c r="B363" s="85"/>
      <c r="C363" s="87"/>
      <c r="D363" s="85"/>
      <c r="E363" s="84"/>
      <c r="F363" s="85"/>
      <c r="G363" s="87"/>
      <c r="H363" s="87"/>
      <c r="I363" s="87"/>
      <c r="J363" s="101"/>
      <c r="K363" s="87"/>
      <c r="L363" s="91"/>
      <c r="M363" s="91"/>
      <c r="N363" s="88">
        <f>Goods_Receipt[[#This Row],[ Invoice. /
 Received Qty ]]-Goods_Receipt[[#This Row],[ Accepted Qty ]]</f>
        <v>0</v>
      </c>
      <c r="O363" s="87"/>
      <c r="P363" s="93"/>
      <c r="Q363" s="87"/>
      <c r="R363" s="87"/>
      <c r="S363" s="87"/>
      <c r="T363" s="85"/>
      <c r="U363" s="89"/>
      <c r="V363" s="90"/>
      <c r="W363" s="87"/>
      <c r="X363" s="91"/>
      <c r="Y363" s="84"/>
      <c r="Z363" s="97"/>
    </row>
    <row r="364" spans="1:26" s="98" customFormat="1" x14ac:dyDescent="0.35">
      <c r="A364" s="86">
        <v>361</v>
      </c>
      <c r="B364" s="85"/>
      <c r="C364" s="87"/>
      <c r="D364" s="85"/>
      <c r="E364" s="84"/>
      <c r="F364" s="85"/>
      <c r="G364" s="87"/>
      <c r="H364" s="87"/>
      <c r="I364" s="87"/>
      <c r="J364" s="101"/>
      <c r="K364" s="87"/>
      <c r="L364" s="91"/>
      <c r="M364" s="91"/>
      <c r="N364" s="88">
        <f>Goods_Receipt[[#This Row],[ Invoice. /
 Received Qty ]]-Goods_Receipt[[#This Row],[ Accepted Qty ]]</f>
        <v>0</v>
      </c>
      <c r="O364" s="87"/>
      <c r="P364" s="93"/>
      <c r="Q364" s="87"/>
      <c r="R364" s="87"/>
      <c r="S364" s="87"/>
      <c r="T364" s="85"/>
      <c r="U364" s="89"/>
      <c r="V364" s="90"/>
      <c r="W364" s="87"/>
      <c r="X364" s="91"/>
      <c r="Y364" s="84"/>
      <c r="Z364" s="97"/>
    </row>
    <row r="365" spans="1:26" s="98" customFormat="1" x14ac:dyDescent="0.35">
      <c r="A365" s="86">
        <v>362</v>
      </c>
      <c r="B365" s="85"/>
      <c r="C365" s="87"/>
      <c r="D365" s="85"/>
      <c r="E365" s="84"/>
      <c r="F365" s="85"/>
      <c r="G365" s="87"/>
      <c r="H365" s="87"/>
      <c r="I365" s="87"/>
      <c r="J365" s="101"/>
      <c r="K365" s="87"/>
      <c r="L365" s="91"/>
      <c r="M365" s="91"/>
      <c r="N365" s="88">
        <f>Goods_Receipt[[#This Row],[ Invoice. /
 Received Qty ]]-Goods_Receipt[[#This Row],[ Accepted Qty ]]</f>
        <v>0</v>
      </c>
      <c r="O365" s="87"/>
      <c r="P365" s="93"/>
      <c r="Q365" s="87"/>
      <c r="R365" s="87"/>
      <c r="S365" s="87"/>
      <c r="T365" s="85"/>
      <c r="U365" s="89"/>
      <c r="V365" s="90"/>
      <c r="W365" s="87"/>
      <c r="X365" s="91"/>
      <c r="Y365" s="84"/>
      <c r="Z365" s="97"/>
    </row>
    <row r="366" spans="1:26" s="98" customFormat="1" x14ac:dyDescent="0.35">
      <c r="A366" s="86">
        <v>363</v>
      </c>
      <c r="B366" s="85"/>
      <c r="C366" s="87"/>
      <c r="D366" s="85"/>
      <c r="E366" s="84"/>
      <c r="F366" s="85"/>
      <c r="G366" s="87"/>
      <c r="H366" s="87"/>
      <c r="I366" s="87"/>
      <c r="J366" s="101"/>
      <c r="K366" s="87"/>
      <c r="L366" s="91"/>
      <c r="M366" s="91"/>
      <c r="N366" s="88">
        <f>Goods_Receipt[[#This Row],[ Invoice. /
 Received Qty ]]-Goods_Receipt[[#This Row],[ Accepted Qty ]]</f>
        <v>0</v>
      </c>
      <c r="O366" s="87"/>
      <c r="P366" s="93"/>
      <c r="Q366" s="87"/>
      <c r="R366" s="87"/>
      <c r="S366" s="87"/>
      <c r="T366" s="85"/>
      <c r="U366" s="89"/>
      <c r="V366" s="90"/>
      <c r="W366" s="87"/>
      <c r="X366" s="91"/>
      <c r="Y366" s="84"/>
      <c r="Z366" s="97"/>
    </row>
    <row r="367" spans="1:26" s="98" customFormat="1" x14ac:dyDescent="0.35">
      <c r="A367" s="86">
        <v>364</v>
      </c>
      <c r="B367" s="85"/>
      <c r="C367" s="87"/>
      <c r="D367" s="85"/>
      <c r="E367" s="84"/>
      <c r="F367" s="85"/>
      <c r="G367" s="87"/>
      <c r="H367" s="87"/>
      <c r="I367" s="87"/>
      <c r="J367" s="101"/>
      <c r="K367" s="87"/>
      <c r="L367" s="91"/>
      <c r="M367" s="91"/>
      <c r="N367" s="88">
        <f>Goods_Receipt[[#This Row],[ Invoice. /
 Received Qty ]]-Goods_Receipt[[#This Row],[ Accepted Qty ]]</f>
        <v>0</v>
      </c>
      <c r="O367" s="87"/>
      <c r="P367" s="93"/>
      <c r="Q367" s="87"/>
      <c r="R367" s="87"/>
      <c r="S367" s="87"/>
      <c r="T367" s="85"/>
      <c r="U367" s="89"/>
      <c r="V367" s="90"/>
      <c r="W367" s="90"/>
      <c r="X367" s="91"/>
      <c r="Y367" s="84"/>
      <c r="Z367" s="97"/>
    </row>
    <row r="368" spans="1:26" s="98" customFormat="1" x14ac:dyDescent="0.35">
      <c r="A368" s="86">
        <v>365</v>
      </c>
      <c r="B368" s="85"/>
      <c r="C368" s="87"/>
      <c r="D368" s="85"/>
      <c r="E368" s="84"/>
      <c r="F368" s="85"/>
      <c r="G368" s="87"/>
      <c r="H368" s="87"/>
      <c r="I368" s="87"/>
      <c r="J368" s="101"/>
      <c r="K368" s="87"/>
      <c r="L368" s="91"/>
      <c r="M368" s="91"/>
      <c r="N368" s="88">
        <f>Goods_Receipt[[#This Row],[ Invoice. /
 Received Qty ]]-Goods_Receipt[[#This Row],[ Accepted Qty ]]</f>
        <v>0</v>
      </c>
      <c r="O368" s="87"/>
      <c r="P368" s="87"/>
      <c r="Q368" s="87"/>
      <c r="R368" s="87"/>
      <c r="S368" s="87"/>
      <c r="T368" s="85"/>
      <c r="U368" s="89"/>
      <c r="V368" s="90"/>
      <c r="W368" s="87"/>
      <c r="X368" s="91"/>
      <c r="Y368" s="84"/>
      <c r="Z368" s="97"/>
    </row>
    <row r="369" spans="1:26" s="98" customFormat="1" x14ac:dyDescent="0.35">
      <c r="A369" s="86">
        <v>366</v>
      </c>
      <c r="B369" s="85"/>
      <c r="C369" s="87"/>
      <c r="D369" s="85"/>
      <c r="E369" s="84"/>
      <c r="F369" s="85"/>
      <c r="G369" s="87"/>
      <c r="H369" s="87"/>
      <c r="I369" s="87"/>
      <c r="J369" s="101"/>
      <c r="K369" s="87"/>
      <c r="L369" s="91"/>
      <c r="M369" s="91"/>
      <c r="N369" s="88">
        <f>Goods_Receipt[[#This Row],[ Invoice. /
 Received Qty ]]-Goods_Receipt[[#This Row],[ Accepted Qty ]]</f>
        <v>0</v>
      </c>
      <c r="O369" s="87"/>
      <c r="P369" s="87"/>
      <c r="Q369" s="87"/>
      <c r="R369" s="87"/>
      <c r="S369" s="87"/>
      <c r="T369" s="85"/>
      <c r="U369" s="89"/>
      <c r="V369" s="90"/>
      <c r="W369" s="87"/>
      <c r="X369" s="91"/>
      <c r="Y369" s="84"/>
      <c r="Z369" s="97"/>
    </row>
    <row r="370" spans="1:26" s="98" customFormat="1" x14ac:dyDescent="0.35">
      <c r="A370" s="86">
        <v>367</v>
      </c>
      <c r="B370" s="85"/>
      <c r="C370" s="87"/>
      <c r="D370" s="85"/>
      <c r="E370" s="84"/>
      <c r="F370" s="85"/>
      <c r="G370" s="87"/>
      <c r="H370" s="87"/>
      <c r="I370" s="87"/>
      <c r="J370" s="101"/>
      <c r="K370" s="87"/>
      <c r="L370" s="91"/>
      <c r="M370" s="91"/>
      <c r="N370" s="88">
        <f>Goods_Receipt[[#This Row],[ Invoice. /
 Received Qty ]]-Goods_Receipt[[#This Row],[ Accepted Qty ]]</f>
        <v>0</v>
      </c>
      <c r="O370" s="87"/>
      <c r="P370" s="87"/>
      <c r="Q370" s="87"/>
      <c r="R370" s="87"/>
      <c r="S370" s="87"/>
      <c r="T370" s="85"/>
      <c r="U370" s="89"/>
      <c r="V370" s="90"/>
      <c r="W370" s="87"/>
      <c r="X370" s="91"/>
      <c r="Y370" s="84"/>
      <c r="Z370" s="97"/>
    </row>
    <row r="371" spans="1:26" s="98" customFormat="1" x14ac:dyDescent="0.35">
      <c r="A371" s="86">
        <v>368</v>
      </c>
      <c r="B371" s="85"/>
      <c r="C371" s="87"/>
      <c r="D371" s="85"/>
      <c r="E371" s="84"/>
      <c r="F371" s="85"/>
      <c r="G371" s="87"/>
      <c r="H371" s="87"/>
      <c r="I371" s="87"/>
      <c r="J371" s="101"/>
      <c r="K371" s="87"/>
      <c r="L371" s="91"/>
      <c r="M371" s="91"/>
      <c r="N371" s="88">
        <f>Goods_Receipt[[#This Row],[ Invoice. /
 Received Qty ]]-Goods_Receipt[[#This Row],[ Accepted Qty ]]</f>
        <v>0</v>
      </c>
      <c r="O371" s="87"/>
      <c r="P371" s="87"/>
      <c r="Q371" s="87"/>
      <c r="R371" s="87"/>
      <c r="S371" s="87"/>
      <c r="T371" s="85"/>
      <c r="U371" s="89"/>
      <c r="V371" s="90"/>
      <c r="W371" s="87"/>
      <c r="X371" s="91"/>
      <c r="Y371" s="84"/>
      <c r="Z371" s="97"/>
    </row>
    <row r="372" spans="1:26" s="98" customFormat="1" x14ac:dyDescent="0.35">
      <c r="A372" s="86">
        <v>369</v>
      </c>
      <c r="B372" s="85"/>
      <c r="C372" s="87"/>
      <c r="D372" s="85"/>
      <c r="E372" s="84"/>
      <c r="F372" s="85"/>
      <c r="G372" s="87"/>
      <c r="H372" s="87"/>
      <c r="I372" s="87"/>
      <c r="J372" s="101"/>
      <c r="K372" s="87"/>
      <c r="L372" s="91"/>
      <c r="M372" s="91"/>
      <c r="N372" s="88">
        <f>Goods_Receipt[[#This Row],[ Invoice. /
 Received Qty ]]-Goods_Receipt[[#This Row],[ Accepted Qty ]]</f>
        <v>0</v>
      </c>
      <c r="O372" s="87"/>
      <c r="P372" s="87"/>
      <c r="Q372" s="87"/>
      <c r="R372" s="87"/>
      <c r="S372" s="87"/>
      <c r="T372" s="85"/>
      <c r="U372" s="89"/>
      <c r="V372" s="90"/>
      <c r="W372" s="87"/>
      <c r="X372" s="91"/>
      <c r="Y372" s="84"/>
      <c r="Z372" s="97"/>
    </row>
    <row r="373" spans="1:26" s="98" customFormat="1" x14ac:dyDescent="0.35">
      <c r="A373" s="86">
        <v>370</v>
      </c>
      <c r="B373" s="85"/>
      <c r="C373" s="87"/>
      <c r="D373" s="85"/>
      <c r="E373" s="84"/>
      <c r="F373" s="85"/>
      <c r="G373" s="87"/>
      <c r="H373" s="87"/>
      <c r="I373" s="87"/>
      <c r="J373" s="101"/>
      <c r="K373" s="87"/>
      <c r="L373" s="91"/>
      <c r="M373" s="91"/>
      <c r="N373" s="88">
        <f>Goods_Receipt[[#This Row],[ Invoice. /
 Received Qty ]]-Goods_Receipt[[#This Row],[ Accepted Qty ]]</f>
        <v>0</v>
      </c>
      <c r="O373" s="87"/>
      <c r="P373" s="87"/>
      <c r="Q373" s="87"/>
      <c r="R373" s="87"/>
      <c r="S373" s="87"/>
      <c r="T373" s="85"/>
      <c r="U373" s="89"/>
      <c r="V373" s="90"/>
      <c r="W373" s="87"/>
      <c r="X373" s="91"/>
      <c r="Y373" s="84"/>
      <c r="Z373" s="97"/>
    </row>
    <row r="374" spans="1:26" s="98" customFormat="1" x14ac:dyDescent="0.35">
      <c r="A374" s="86">
        <v>371</v>
      </c>
      <c r="B374" s="85"/>
      <c r="C374" s="87"/>
      <c r="D374" s="85"/>
      <c r="E374" s="84"/>
      <c r="F374" s="85"/>
      <c r="G374" s="87"/>
      <c r="H374" s="87"/>
      <c r="I374" s="87"/>
      <c r="J374" s="101"/>
      <c r="K374" s="87"/>
      <c r="L374" s="91"/>
      <c r="M374" s="91"/>
      <c r="N374" s="88">
        <f>Goods_Receipt[[#This Row],[ Invoice. /
 Received Qty ]]-Goods_Receipt[[#This Row],[ Accepted Qty ]]</f>
        <v>0</v>
      </c>
      <c r="O374" s="87"/>
      <c r="P374" s="87"/>
      <c r="Q374" s="87"/>
      <c r="R374" s="87"/>
      <c r="S374" s="87"/>
      <c r="T374" s="85"/>
      <c r="U374" s="89"/>
      <c r="V374" s="90"/>
      <c r="W374" s="87"/>
      <c r="X374" s="91"/>
      <c r="Y374" s="84"/>
      <c r="Z374" s="97"/>
    </row>
    <row r="375" spans="1:26" s="98" customFormat="1" x14ac:dyDescent="0.35">
      <c r="A375" s="86">
        <v>372</v>
      </c>
      <c r="B375" s="85"/>
      <c r="C375" s="87"/>
      <c r="D375" s="85"/>
      <c r="E375" s="84"/>
      <c r="F375" s="85"/>
      <c r="G375" s="87"/>
      <c r="H375" s="87"/>
      <c r="I375" s="87"/>
      <c r="J375" s="101"/>
      <c r="K375" s="87"/>
      <c r="L375" s="91"/>
      <c r="M375" s="91"/>
      <c r="N375" s="88">
        <f>Goods_Receipt[[#This Row],[ Invoice. /
 Received Qty ]]-Goods_Receipt[[#This Row],[ Accepted Qty ]]</f>
        <v>0</v>
      </c>
      <c r="O375" s="87"/>
      <c r="P375" s="87"/>
      <c r="Q375" s="87"/>
      <c r="R375" s="87"/>
      <c r="S375" s="87"/>
      <c r="T375" s="85"/>
      <c r="U375" s="89"/>
      <c r="V375" s="90"/>
      <c r="W375" s="87"/>
      <c r="X375" s="91"/>
      <c r="Y375" s="84"/>
      <c r="Z375" s="97"/>
    </row>
    <row r="376" spans="1:26" s="98" customFormat="1" x14ac:dyDescent="0.35">
      <c r="A376" s="86">
        <v>373</v>
      </c>
      <c r="B376" s="85"/>
      <c r="C376" s="87"/>
      <c r="D376" s="85"/>
      <c r="E376" s="84"/>
      <c r="F376" s="85"/>
      <c r="G376" s="87"/>
      <c r="H376" s="87"/>
      <c r="I376" s="87"/>
      <c r="J376" s="101"/>
      <c r="K376" s="87"/>
      <c r="L376" s="91"/>
      <c r="M376" s="91"/>
      <c r="N376" s="88">
        <f>Goods_Receipt[[#This Row],[ Invoice. /
 Received Qty ]]-Goods_Receipt[[#This Row],[ Accepted Qty ]]</f>
        <v>0</v>
      </c>
      <c r="O376" s="87"/>
      <c r="P376" s="87"/>
      <c r="Q376" s="87"/>
      <c r="R376" s="87"/>
      <c r="S376" s="87"/>
      <c r="T376" s="85"/>
      <c r="U376" s="89"/>
      <c r="V376" s="90"/>
      <c r="W376" s="87"/>
      <c r="X376" s="91"/>
      <c r="Y376" s="84"/>
      <c r="Z376" s="97"/>
    </row>
    <row r="377" spans="1:26" s="98" customFormat="1" x14ac:dyDescent="0.35">
      <c r="A377" s="86">
        <v>374</v>
      </c>
      <c r="B377" s="85"/>
      <c r="C377" s="87"/>
      <c r="D377" s="85"/>
      <c r="E377" s="84"/>
      <c r="F377" s="85"/>
      <c r="G377" s="87"/>
      <c r="H377" s="87"/>
      <c r="I377" s="87"/>
      <c r="J377" s="101"/>
      <c r="K377" s="87"/>
      <c r="L377" s="91"/>
      <c r="M377" s="91"/>
      <c r="N377" s="88">
        <f>Goods_Receipt[[#This Row],[ Invoice. /
 Received Qty ]]-Goods_Receipt[[#This Row],[ Accepted Qty ]]</f>
        <v>0</v>
      </c>
      <c r="O377" s="87"/>
      <c r="P377" s="93"/>
      <c r="Q377" s="87"/>
      <c r="R377" s="87"/>
      <c r="S377" s="87"/>
      <c r="T377" s="85"/>
      <c r="U377" s="89"/>
      <c r="V377" s="90"/>
      <c r="W377" s="87"/>
      <c r="X377" s="91"/>
      <c r="Y377" s="84"/>
      <c r="Z377" s="97"/>
    </row>
    <row r="378" spans="1:26" s="98" customFormat="1" x14ac:dyDescent="0.35">
      <c r="A378" s="86">
        <v>375</v>
      </c>
      <c r="B378" s="85"/>
      <c r="C378" s="87"/>
      <c r="D378" s="85"/>
      <c r="E378" s="84"/>
      <c r="F378" s="85"/>
      <c r="G378" s="87"/>
      <c r="H378" s="87"/>
      <c r="I378" s="87"/>
      <c r="J378" s="101"/>
      <c r="K378" s="87"/>
      <c r="L378" s="91"/>
      <c r="M378" s="91"/>
      <c r="N378" s="88">
        <f>Goods_Receipt[[#This Row],[ Invoice. /
 Received Qty ]]-Goods_Receipt[[#This Row],[ Accepted Qty ]]</f>
        <v>0</v>
      </c>
      <c r="O378" s="87"/>
      <c r="P378" s="93"/>
      <c r="Q378" s="87"/>
      <c r="R378" s="87"/>
      <c r="S378" s="87"/>
      <c r="T378" s="85"/>
      <c r="U378" s="89"/>
      <c r="V378" s="90"/>
      <c r="W378" s="87"/>
      <c r="X378" s="91"/>
      <c r="Y378" s="84"/>
      <c r="Z378" s="97"/>
    </row>
    <row r="379" spans="1:26" s="98" customFormat="1" x14ac:dyDescent="0.35">
      <c r="A379" s="86">
        <v>376</v>
      </c>
      <c r="B379" s="85"/>
      <c r="C379" s="87"/>
      <c r="D379" s="85"/>
      <c r="E379" s="84"/>
      <c r="F379" s="85"/>
      <c r="G379" s="87"/>
      <c r="H379" s="87"/>
      <c r="I379" s="87"/>
      <c r="J379" s="101"/>
      <c r="K379" s="87"/>
      <c r="L379" s="91"/>
      <c r="M379" s="91"/>
      <c r="N379" s="88">
        <f>Goods_Receipt[[#This Row],[ Invoice. /
 Received Qty ]]-Goods_Receipt[[#This Row],[ Accepted Qty ]]</f>
        <v>0</v>
      </c>
      <c r="O379" s="87"/>
      <c r="P379" s="93"/>
      <c r="Q379" s="87"/>
      <c r="R379" s="87"/>
      <c r="S379" s="87"/>
      <c r="T379" s="85"/>
      <c r="U379" s="89"/>
      <c r="V379" s="90"/>
      <c r="W379" s="87"/>
      <c r="X379" s="91"/>
      <c r="Y379" s="84"/>
      <c r="Z379" s="97"/>
    </row>
    <row r="380" spans="1:26" s="98" customFormat="1" x14ac:dyDescent="0.35">
      <c r="A380" s="86">
        <v>377</v>
      </c>
      <c r="B380" s="85"/>
      <c r="C380" s="87"/>
      <c r="D380" s="85"/>
      <c r="E380" s="84"/>
      <c r="F380" s="85"/>
      <c r="G380" s="87"/>
      <c r="H380" s="87"/>
      <c r="I380" s="87"/>
      <c r="J380" s="101"/>
      <c r="K380" s="87"/>
      <c r="L380" s="91"/>
      <c r="M380" s="91"/>
      <c r="N380" s="88">
        <f>Goods_Receipt[[#This Row],[ Invoice. /
 Received Qty ]]-Goods_Receipt[[#This Row],[ Accepted Qty ]]</f>
        <v>0</v>
      </c>
      <c r="O380" s="87"/>
      <c r="P380" s="93"/>
      <c r="Q380" s="87"/>
      <c r="R380" s="87"/>
      <c r="S380" s="87"/>
      <c r="T380" s="85"/>
      <c r="U380" s="89"/>
      <c r="V380" s="90"/>
      <c r="W380" s="87"/>
      <c r="X380" s="91"/>
      <c r="Y380" s="84"/>
      <c r="Z380" s="97"/>
    </row>
    <row r="381" spans="1:26" s="98" customFormat="1" x14ac:dyDescent="0.35">
      <c r="A381" s="86">
        <v>378</v>
      </c>
      <c r="B381" s="85"/>
      <c r="C381" s="87"/>
      <c r="D381" s="85"/>
      <c r="E381" s="84"/>
      <c r="F381" s="85"/>
      <c r="G381" s="87"/>
      <c r="H381" s="87"/>
      <c r="I381" s="87"/>
      <c r="J381" s="101"/>
      <c r="K381" s="87"/>
      <c r="L381" s="91"/>
      <c r="M381" s="91"/>
      <c r="N381" s="88">
        <f>Goods_Receipt[[#This Row],[ Invoice. /
 Received Qty ]]-Goods_Receipt[[#This Row],[ Accepted Qty ]]</f>
        <v>0</v>
      </c>
      <c r="O381" s="87"/>
      <c r="P381" s="93"/>
      <c r="Q381" s="87"/>
      <c r="R381" s="87"/>
      <c r="S381" s="87"/>
      <c r="T381" s="85"/>
      <c r="U381" s="89"/>
      <c r="V381" s="90"/>
      <c r="W381" s="87"/>
      <c r="X381" s="91"/>
      <c r="Y381" s="84"/>
      <c r="Z381" s="97"/>
    </row>
    <row r="382" spans="1:26" s="98" customFormat="1" x14ac:dyDescent="0.35">
      <c r="A382" s="86">
        <v>379</v>
      </c>
      <c r="B382" s="85"/>
      <c r="C382" s="87"/>
      <c r="D382" s="85"/>
      <c r="E382" s="84"/>
      <c r="F382" s="85"/>
      <c r="G382" s="87"/>
      <c r="H382" s="87"/>
      <c r="I382" s="87"/>
      <c r="J382" s="101"/>
      <c r="K382" s="87"/>
      <c r="L382" s="91"/>
      <c r="M382" s="91"/>
      <c r="N382" s="88">
        <f>Goods_Receipt[[#This Row],[ Invoice. /
 Received Qty ]]-Goods_Receipt[[#This Row],[ Accepted Qty ]]</f>
        <v>0</v>
      </c>
      <c r="O382" s="87"/>
      <c r="P382" s="87"/>
      <c r="Q382" s="87"/>
      <c r="R382" s="87"/>
      <c r="S382" s="87"/>
      <c r="T382" s="85"/>
      <c r="U382" s="89"/>
      <c r="V382" s="90"/>
      <c r="W382" s="87"/>
      <c r="X382" s="91"/>
      <c r="Y382" s="84"/>
      <c r="Z382" s="97"/>
    </row>
    <row r="383" spans="1:26" s="98" customFormat="1" x14ac:dyDescent="0.35">
      <c r="A383" s="86">
        <v>380</v>
      </c>
      <c r="B383" s="85"/>
      <c r="C383" s="87"/>
      <c r="D383" s="85"/>
      <c r="E383" s="84"/>
      <c r="F383" s="85"/>
      <c r="G383" s="87"/>
      <c r="H383" s="87"/>
      <c r="I383" s="87"/>
      <c r="J383" s="101"/>
      <c r="K383" s="87"/>
      <c r="L383" s="91"/>
      <c r="M383" s="91"/>
      <c r="N383" s="88">
        <f>Goods_Receipt[[#This Row],[ Invoice. /
 Received Qty ]]-Goods_Receipt[[#This Row],[ Accepted Qty ]]</f>
        <v>0</v>
      </c>
      <c r="O383" s="87"/>
      <c r="P383" s="87"/>
      <c r="Q383" s="87"/>
      <c r="R383" s="87"/>
      <c r="S383" s="87"/>
      <c r="T383" s="85"/>
      <c r="U383" s="89"/>
      <c r="V383" s="90"/>
      <c r="W383" s="87"/>
      <c r="X383" s="91"/>
      <c r="Y383" s="84"/>
      <c r="Z383" s="97"/>
    </row>
    <row r="384" spans="1:26" s="98" customFormat="1" x14ac:dyDescent="0.35">
      <c r="A384" s="86">
        <v>381</v>
      </c>
      <c r="B384" s="85"/>
      <c r="C384" s="87"/>
      <c r="D384" s="85"/>
      <c r="E384" s="84"/>
      <c r="F384" s="85"/>
      <c r="G384" s="87"/>
      <c r="H384" s="87"/>
      <c r="I384" s="87"/>
      <c r="J384" s="101"/>
      <c r="K384" s="87"/>
      <c r="L384" s="91"/>
      <c r="M384" s="91"/>
      <c r="N384" s="88">
        <f>Goods_Receipt[[#This Row],[ Invoice. /
 Received Qty ]]-Goods_Receipt[[#This Row],[ Accepted Qty ]]</f>
        <v>0</v>
      </c>
      <c r="O384" s="87"/>
      <c r="P384" s="87"/>
      <c r="Q384" s="87"/>
      <c r="R384" s="87"/>
      <c r="S384" s="87"/>
      <c r="T384" s="85"/>
      <c r="U384" s="89"/>
      <c r="V384" s="90"/>
      <c r="W384" s="87"/>
      <c r="X384" s="91"/>
      <c r="Y384" s="84"/>
      <c r="Z384" s="97"/>
    </row>
    <row r="385" spans="1:26" s="98" customFormat="1" x14ac:dyDescent="0.35">
      <c r="A385" s="86">
        <v>382</v>
      </c>
      <c r="B385" s="85"/>
      <c r="C385" s="87"/>
      <c r="D385" s="85"/>
      <c r="E385" s="84"/>
      <c r="F385" s="85"/>
      <c r="G385" s="87"/>
      <c r="H385" s="87"/>
      <c r="I385" s="87"/>
      <c r="J385" s="101"/>
      <c r="K385" s="87"/>
      <c r="L385" s="91"/>
      <c r="M385" s="91"/>
      <c r="N385" s="88">
        <f>Goods_Receipt[[#This Row],[ Invoice. /
 Received Qty ]]-Goods_Receipt[[#This Row],[ Accepted Qty ]]</f>
        <v>0</v>
      </c>
      <c r="O385" s="87"/>
      <c r="P385" s="87"/>
      <c r="Q385" s="87"/>
      <c r="R385" s="87"/>
      <c r="S385" s="87"/>
      <c r="T385" s="85"/>
      <c r="U385" s="89"/>
      <c r="V385" s="90"/>
      <c r="W385" s="87"/>
      <c r="X385" s="91"/>
      <c r="Y385" s="84"/>
      <c r="Z385" s="97"/>
    </row>
    <row r="386" spans="1:26" s="98" customFormat="1" x14ac:dyDescent="0.35">
      <c r="A386" s="86">
        <v>383</v>
      </c>
      <c r="B386" s="85"/>
      <c r="C386" s="87"/>
      <c r="D386" s="85"/>
      <c r="E386" s="84"/>
      <c r="F386" s="85"/>
      <c r="G386" s="87"/>
      <c r="H386" s="87"/>
      <c r="I386" s="87"/>
      <c r="J386" s="101"/>
      <c r="K386" s="87"/>
      <c r="L386" s="88"/>
      <c r="M386" s="88"/>
      <c r="N386" s="88">
        <f>Goods_Receipt[[#This Row],[ Invoice. /
 Received Qty ]]-Goods_Receipt[[#This Row],[ Accepted Qty ]]</f>
        <v>0</v>
      </c>
      <c r="O386" s="87"/>
      <c r="P386" s="87"/>
      <c r="Q386" s="87"/>
      <c r="R386" s="87"/>
      <c r="S386" s="87"/>
      <c r="T386" s="85"/>
      <c r="U386" s="89"/>
      <c r="V386" s="90"/>
      <c r="W386" s="87"/>
      <c r="X386" s="91"/>
      <c r="Y386" s="84"/>
      <c r="Z386" s="97"/>
    </row>
    <row r="387" spans="1:26" s="98" customFormat="1" x14ac:dyDescent="0.35">
      <c r="A387" s="86">
        <v>384</v>
      </c>
      <c r="B387" s="85"/>
      <c r="C387" s="87"/>
      <c r="D387" s="85"/>
      <c r="E387" s="84"/>
      <c r="F387" s="85"/>
      <c r="G387" s="87"/>
      <c r="H387" s="87"/>
      <c r="I387" s="87"/>
      <c r="J387" s="101"/>
      <c r="K387" s="87"/>
      <c r="L387" s="88"/>
      <c r="M387" s="88"/>
      <c r="N387" s="88">
        <f>Goods_Receipt[[#This Row],[ Invoice. /
 Received Qty ]]-Goods_Receipt[[#This Row],[ Accepted Qty ]]</f>
        <v>0</v>
      </c>
      <c r="O387" s="87"/>
      <c r="P387" s="87"/>
      <c r="Q387" s="87"/>
      <c r="R387" s="87"/>
      <c r="S387" s="87"/>
      <c r="T387" s="85"/>
      <c r="U387" s="89"/>
      <c r="V387" s="90"/>
      <c r="W387" s="87"/>
      <c r="X387" s="91"/>
      <c r="Y387" s="84"/>
      <c r="Z387" s="97"/>
    </row>
    <row r="388" spans="1:26" s="98" customFormat="1" x14ac:dyDescent="0.35">
      <c r="A388" s="86">
        <v>385</v>
      </c>
      <c r="B388" s="85"/>
      <c r="C388" s="87"/>
      <c r="D388" s="85"/>
      <c r="E388" s="84"/>
      <c r="F388" s="85"/>
      <c r="G388" s="87"/>
      <c r="H388" s="87"/>
      <c r="I388" s="87"/>
      <c r="J388" s="101"/>
      <c r="K388" s="87"/>
      <c r="L388" s="91"/>
      <c r="M388" s="91"/>
      <c r="N388" s="88">
        <f>Goods_Receipt[[#This Row],[ Invoice. /
 Received Qty ]]-Goods_Receipt[[#This Row],[ Accepted Qty ]]</f>
        <v>0</v>
      </c>
      <c r="O388" s="87"/>
      <c r="P388" s="93"/>
      <c r="Q388" s="87"/>
      <c r="R388" s="87"/>
      <c r="S388" s="87"/>
      <c r="T388" s="85"/>
      <c r="U388" s="89"/>
      <c r="V388" s="90"/>
      <c r="W388" s="87"/>
      <c r="X388" s="91"/>
      <c r="Y388" s="84"/>
      <c r="Z388" s="97"/>
    </row>
    <row r="389" spans="1:26" s="98" customFormat="1" x14ac:dyDescent="0.35">
      <c r="A389" s="86">
        <v>386</v>
      </c>
      <c r="B389" s="85"/>
      <c r="C389" s="87"/>
      <c r="D389" s="85"/>
      <c r="E389" s="84"/>
      <c r="F389" s="85"/>
      <c r="G389" s="87"/>
      <c r="H389" s="87"/>
      <c r="I389" s="87"/>
      <c r="J389" s="101"/>
      <c r="K389" s="87"/>
      <c r="L389" s="91"/>
      <c r="M389" s="91"/>
      <c r="N389" s="88">
        <f>Goods_Receipt[[#This Row],[ Invoice. /
 Received Qty ]]-Goods_Receipt[[#This Row],[ Accepted Qty ]]</f>
        <v>0</v>
      </c>
      <c r="O389" s="87"/>
      <c r="P389" s="93"/>
      <c r="Q389" s="87"/>
      <c r="R389" s="87"/>
      <c r="S389" s="87"/>
      <c r="T389" s="85"/>
      <c r="U389" s="89"/>
      <c r="V389" s="90"/>
      <c r="W389" s="87"/>
      <c r="X389" s="91"/>
      <c r="Y389" s="84"/>
      <c r="Z389" s="97"/>
    </row>
    <row r="390" spans="1:26" s="98" customFormat="1" x14ac:dyDescent="0.35">
      <c r="A390" s="86">
        <v>387</v>
      </c>
      <c r="B390" s="85"/>
      <c r="C390" s="87"/>
      <c r="D390" s="85"/>
      <c r="E390" s="84"/>
      <c r="F390" s="85"/>
      <c r="G390" s="87"/>
      <c r="H390" s="87"/>
      <c r="I390" s="87"/>
      <c r="J390" s="101"/>
      <c r="K390" s="87"/>
      <c r="L390" s="91"/>
      <c r="M390" s="91"/>
      <c r="N390" s="88">
        <f>Goods_Receipt[[#This Row],[ Invoice. /
 Received Qty ]]-Goods_Receipt[[#This Row],[ Accepted Qty ]]</f>
        <v>0</v>
      </c>
      <c r="O390" s="87"/>
      <c r="P390" s="93"/>
      <c r="Q390" s="87"/>
      <c r="R390" s="87"/>
      <c r="S390" s="87"/>
      <c r="T390" s="85"/>
      <c r="U390" s="89"/>
      <c r="V390" s="90"/>
      <c r="W390" s="87"/>
      <c r="X390" s="91"/>
      <c r="Y390" s="84"/>
      <c r="Z390" s="97"/>
    </row>
    <row r="391" spans="1:26" s="98" customFormat="1" x14ac:dyDescent="0.35">
      <c r="A391" s="86">
        <v>388</v>
      </c>
      <c r="B391" s="85"/>
      <c r="C391" s="87"/>
      <c r="D391" s="85"/>
      <c r="E391" s="84"/>
      <c r="F391" s="85"/>
      <c r="G391" s="87"/>
      <c r="H391" s="87"/>
      <c r="I391" s="87"/>
      <c r="J391" s="101"/>
      <c r="K391" s="87"/>
      <c r="L391" s="91"/>
      <c r="M391" s="91"/>
      <c r="N391" s="88">
        <f>Goods_Receipt[[#This Row],[ Invoice. /
 Received Qty ]]-Goods_Receipt[[#This Row],[ Accepted Qty ]]</f>
        <v>0</v>
      </c>
      <c r="O391" s="87"/>
      <c r="P391" s="93"/>
      <c r="Q391" s="87"/>
      <c r="R391" s="87"/>
      <c r="S391" s="87"/>
      <c r="T391" s="85"/>
      <c r="U391" s="89"/>
      <c r="V391" s="90"/>
      <c r="W391" s="87"/>
      <c r="X391" s="91"/>
      <c r="Y391" s="84"/>
      <c r="Z391" s="97"/>
    </row>
    <row r="392" spans="1:26" s="98" customFormat="1" x14ac:dyDescent="0.35">
      <c r="A392" s="86">
        <v>389</v>
      </c>
      <c r="B392" s="85"/>
      <c r="C392" s="87"/>
      <c r="D392" s="85"/>
      <c r="E392" s="84"/>
      <c r="F392" s="85"/>
      <c r="G392" s="87"/>
      <c r="H392" s="87"/>
      <c r="I392" s="87"/>
      <c r="J392" s="101"/>
      <c r="K392" s="87"/>
      <c r="L392" s="91"/>
      <c r="M392" s="91"/>
      <c r="N392" s="88">
        <f>Goods_Receipt[[#This Row],[ Invoice. /
 Received Qty ]]-Goods_Receipt[[#This Row],[ Accepted Qty ]]</f>
        <v>0</v>
      </c>
      <c r="O392" s="87"/>
      <c r="P392" s="93"/>
      <c r="Q392" s="87"/>
      <c r="R392" s="87"/>
      <c r="S392" s="87"/>
      <c r="T392" s="85"/>
      <c r="U392" s="89"/>
      <c r="V392" s="90"/>
      <c r="W392" s="87"/>
      <c r="X392" s="91"/>
      <c r="Y392" s="84"/>
      <c r="Z392" s="97"/>
    </row>
    <row r="393" spans="1:26" s="98" customFormat="1" x14ac:dyDescent="0.35">
      <c r="A393" s="86">
        <v>390</v>
      </c>
      <c r="B393" s="85"/>
      <c r="C393" s="87"/>
      <c r="D393" s="85"/>
      <c r="E393" s="84"/>
      <c r="F393" s="85"/>
      <c r="G393" s="87"/>
      <c r="H393" s="87"/>
      <c r="I393" s="87"/>
      <c r="J393" s="101"/>
      <c r="K393" s="87"/>
      <c r="L393" s="91"/>
      <c r="M393" s="91"/>
      <c r="N393" s="88">
        <f>Goods_Receipt[[#This Row],[ Invoice. /
 Received Qty ]]-Goods_Receipt[[#This Row],[ Accepted Qty ]]</f>
        <v>0</v>
      </c>
      <c r="O393" s="87"/>
      <c r="P393" s="93"/>
      <c r="Q393" s="87"/>
      <c r="R393" s="87"/>
      <c r="S393" s="87"/>
      <c r="T393" s="85"/>
      <c r="U393" s="89"/>
      <c r="V393" s="90"/>
      <c r="W393" s="87"/>
      <c r="X393" s="91"/>
      <c r="Y393" s="84"/>
      <c r="Z393" s="97"/>
    </row>
    <row r="394" spans="1:26" s="98" customFormat="1" x14ac:dyDescent="0.35">
      <c r="A394" s="86">
        <v>391</v>
      </c>
      <c r="B394" s="85"/>
      <c r="C394" s="87"/>
      <c r="D394" s="85"/>
      <c r="E394" s="84"/>
      <c r="F394" s="85"/>
      <c r="G394" s="87"/>
      <c r="H394" s="87"/>
      <c r="I394" s="87"/>
      <c r="J394" s="101"/>
      <c r="K394" s="87"/>
      <c r="L394" s="91"/>
      <c r="M394" s="91"/>
      <c r="N394" s="88">
        <f>Goods_Receipt[[#This Row],[ Invoice. /
 Received Qty ]]-Goods_Receipt[[#This Row],[ Accepted Qty ]]</f>
        <v>0</v>
      </c>
      <c r="O394" s="87"/>
      <c r="P394" s="93"/>
      <c r="Q394" s="87"/>
      <c r="R394" s="87"/>
      <c r="S394" s="87"/>
      <c r="T394" s="85"/>
      <c r="U394" s="89"/>
      <c r="V394" s="90"/>
      <c r="W394" s="87"/>
      <c r="X394" s="91"/>
      <c r="Y394" s="84"/>
      <c r="Z394" s="97"/>
    </row>
    <row r="395" spans="1:26" s="98" customFormat="1" x14ac:dyDescent="0.35">
      <c r="A395" s="86">
        <v>392</v>
      </c>
      <c r="B395" s="85"/>
      <c r="C395" s="87"/>
      <c r="D395" s="85"/>
      <c r="E395" s="84"/>
      <c r="F395" s="85"/>
      <c r="G395" s="87"/>
      <c r="H395" s="87"/>
      <c r="I395" s="87"/>
      <c r="J395" s="101"/>
      <c r="K395" s="87"/>
      <c r="L395" s="91"/>
      <c r="M395" s="91"/>
      <c r="N395" s="88">
        <f>Goods_Receipt[[#This Row],[ Invoice. /
 Received Qty ]]-Goods_Receipt[[#This Row],[ Accepted Qty ]]</f>
        <v>0</v>
      </c>
      <c r="O395" s="87"/>
      <c r="P395" s="93"/>
      <c r="Q395" s="87"/>
      <c r="R395" s="87"/>
      <c r="S395" s="87"/>
      <c r="T395" s="85"/>
      <c r="U395" s="89"/>
      <c r="V395" s="90"/>
      <c r="W395" s="87"/>
      <c r="X395" s="91"/>
      <c r="Y395" s="84"/>
      <c r="Z395" s="97"/>
    </row>
    <row r="396" spans="1:26" s="98" customFormat="1" x14ac:dyDescent="0.35">
      <c r="A396" s="86">
        <v>393</v>
      </c>
      <c r="B396" s="85"/>
      <c r="C396" s="87"/>
      <c r="D396" s="85"/>
      <c r="E396" s="84"/>
      <c r="F396" s="85"/>
      <c r="G396" s="87"/>
      <c r="H396" s="87"/>
      <c r="I396" s="87"/>
      <c r="J396" s="101"/>
      <c r="K396" s="87"/>
      <c r="L396" s="91"/>
      <c r="M396" s="91"/>
      <c r="N396" s="88">
        <f>Goods_Receipt[[#This Row],[ Invoice. /
 Received Qty ]]-Goods_Receipt[[#This Row],[ Accepted Qty ]]</f>
        <v>0</v>
      </c>
      <c r="O396" s="87"/>
      <c r="P396" s="93"/>
      <c r="Q396" s="87"/>
      <c r="R396" s="87"/>
      <c r="S396" s="87"/>
      <c r="T396" s="85"/>
      <c r="U396" s="89"/>
      <c r="V396" s="90"/>
      <c r="W396" s="87"/>
      <c r="X396" s="91"/>
      <c r="Y396" s="84"/>
      <c r="Z396" s="97"/>
    </row>
    <row r="397" spans="1:26" s="98" customFormat="1" x14ac:dyDescent="0.35">
      <c r="A397" s="86">
        <v>394</v>
      </c>
      <c r="B397" s="85"/>
      <c r="C397" s="87"/>
      <c r="D397" s="85"/>
      <c r="E397" s="84"/>
      <c r="F397" s="85"/>
      <c r="G397" s="87"/>
      <c r="H397" s="87"/>
      <c r="I397" s="87"/>
      <c r="J397" s="101"/>
      <c r="K397" s="87"/>
      <c r="L397" s="91"/>
      <c r="M397" s="91"/>
      <c r="N397" s="88">
        <f>Goods_Receipt[[#This Row],[ Invoice. /
 Received Qty ]]-Goods_Receipt[[#This Row],[ Accepted Qty ]]</f>
        <v>0</v>
      </c>
      <c r="O397" s="87"/>
      <c r="P397" s="93"/>
      <c r="Q397" s="87"/>
      <c r="R397" s="87"/>
      <c r="S397" s="87"/>
      <c r="T397" s="85"/>
      <c r="U397" s="89"/>
      <c r="V397" s="90"/>
      <c r="W397" s="87"/>
      <c r="X397" s="91"/>
      <c r="Y397" s="84"/>
      <c r="Z397" s="97"/>
    </row>
    <row r="398" spans="1:26" s="98" customFormat="1" x14ac:dyDescent="0.35">
      <c r="A398" s="86">
        <v>395</v>
      </c>
      <c r="B398" s="85"/>
      <c r="C398" s="87"/>
      <c r="D398" s="85"/>
      <c r="E398" s="84"/>
      <c r="F398" s="85"/>
      <c r="G398" s="87"/>
      <c r="H398" s="87"/>
      <c r="I398" s="87"/>
      <c r="J398" s="101"/>
      <c r="K398" s="87"/>
      <c r="L398" s="91"/>
      <c r="M398" s="91"/>
      <c r="N398" s="88">
        <f>Goods_Receipt[[#This Row],[ Invoice. /
 Received Qty ]]-Goods_Receipt[[#This Row],[ Accepted Qty ]]</f>
        <v>0</v>
      </c>
      <c r="O398" s="87"/>
      <c r="P398" s="93"/>
      <c r="Q398" s="87"/>
      <c r="R398" s="87"/>
      <c r="S398" s="87"/>
      <c r="T398" s="85"/>
      <c r="U398" s="89"/>
      <c r="V398" s="90"/>
      <c r="W398" s="87"/>
      <c r="X398" s="91"/>
      <c r="Y398" s="84"/>
      <c r="Z398" s="97"/>
    </row>
    <row r="399" spans="1:26" s="98" customFormat="1" x14ac:dyDescent="0.35">
      <c r="A399" s="86">
        <v>396</v>
      </c>
      <c r="B399" s="85"/>
      <c r="C399" s="87"/>
      <c r="D399" s="85"/>
      <c r="E399" s="84"/>
      <c r="F399" s="85"/>
      <c r="G399" s="87"/>
      <c r="H399" s="87"/>
      <c r="I399" s="87"/>
      <c r="J399" s="101"/>
      <c r="K399" s="87"/>
      <c r="L399" s="91"/>
      <c r="M399" s="91"/>
      <c r="N399" s="88">
        <f>Goods_Receipt[[#This Row],[ Invoice. /
 Received Qty ]]-Goods_Receipt[[#This Row],[ Accepted Qty ]]</f>
        <v>0</v>
      </c>
      <c r="O399" s="87"/>
      <c r="P399" s="93"/>
      <c r="Q399" s="87"/>
      <c r="R399" s="87"/>
      <c r="S399" s="87"/>
      <c r="T399" s="85"/>
      <c r="U399" s="89"/>
      <c r="V399" s="90"/>
      <c r="W399" s="87"/>
      <c r="X399" s="91"/>
      <c r="Y399" s="84"/>
      <c r="Z399" s="97"/>
    </row>
    <row r="400" spans="1:26" s="98" customFormat="1" x14ac:dyDescent="0.35">
      <c r="A400" s="86">
        <v>397</v>
      </c>
      <c r="B400" s="85"/>
      <c r="C400" s="87"/>
      <c r="D400" s="85"/>
      <c r="E400" s="84"/>
      <c r="F400" s="85"/>
      <c r="G400" s="87"/>
      <c r="H400" s="87"/>
      <c r="I400" s="87"/>
      <c r="J400" s="101"/>
      <c r="K400" s="87"/>
      <c r="L400" s="91"/>
      <c r="M400" s="91"/>
      <c r="N400" s="88">
        <f>Goods_Receipt[[#This Row],[ Invoice. /
 Received Qty ]]-Goods_Receipt[[#This Row],[ Accepted Qty ]]</f>
        <v>0</v>
      </c>
      <c r="O400" s="87"/>
      <c r="P400" s="87"/>
      <c r="Q400" s="87"/>
      <c r="R400" s="87"/>
      <c r="S400" s="87"/>
      <c r="T400" s="85"/>
      <c r="U400" s="89"/>
      <c r="V400" s="90"/>
      <c r="W400" s="87"/>
      <c r="X400" s="91"/>
      <c r="Y400" s="84"/>
      <c r="Z400" s="97"/>
    </row>
    <row r="401" spans="1:26" s="98" customFormat="1" x14ac:dyDescent="0.35">
      <c r="A401" s="86">
        <v>398</v>
      </c>
      <c r="B401" s="85"/>
      <c r="C401" s="87"/>
      <c r="D401" s="85"/>
      <c r="E401" s="84"/>
      <c r="F401" s="85"/>
      <c r="G401" s="87"/>
      <c r="H401" s="87"/>
      <c r="I401" s="87"/>
      <c r="J401" s="101"/>
      <c r="K401" s="87"/>
      <c r="L401" s="91"/>
      <c r="M401" s="91"/>
      <c r="N401" s="88">
        <f>Goods_Receipt[[#This Row],[ Invoice. /
 Received Qty ]]-Goods_Receipt[[#This Row],[ Accepted Qty ]]</f>
        <v>0</v>
      </c>
      <c r="O401" s="87"/>
      <c r="P401" s="87"/>
      <c r="Q401" s="87"/>
      <c r="R401" s="87"/>
      <c r="S401" s="87"/>
      <c r="T401" s="85"/>
      <c r="U401" s="89"/>
      <c r="V401" s="90"/>
      <c r="W401" s="87"/>
      <c r="X401" s="91"/>
      <c r="Y401" s="84"/>
      <c r="Z401" s="97"/>
    </row>
    <row r="402" spans="1:26" s="98" customFormat="1" x14ac:dyDescent="0.35">
      <c r="A402" s="86">
        <v>399</v>
      </c>
      <c r="B402" s="85"/>
      <c r="C402" s="87"/>
      <c r="D402" s="85"/>
      <c r="E402" s="84"/>
      <c r="F402" s="85"/>
      <c r="G402" s="87"/>
      <c r="H402" s="87"/>
      <c r="I402" s="87"/>
      <c r="J402" s="101"/>
      <c r="K402" s="87"/>
      <c r="L402" s="91"/>
      <c r="M402" s="91"/>
      <c r="N402" s="88">
        <f>Goods_Receipt[[#This Row],[ Invoice. /
 Received Qty ]]-Goods_Receipt[[#This Row],[ Accepted Qty ]]</f>
        <v>0</v>
      </c>
      <c r="O402" s="87"/>
      <c r="P402" s="87"/>
      <c r="Q402" s="87"/>
      <c r="R402" s="87"/>
      <c r="S402" s="87"/>
      <c r="T402" s="85"/>
      <c r="U402" s="89"/>
      <c r="V402" s="90"/>
      <c r="W402" s="87"/>
      <c r="X402" s="91"/>
      <c r="Y402" s="84"/>
      <c r="Z402" s="97"/>
    </row>
    <row r="403" spans="1:26" s="98" customFormat="1" x14ac:dyDescent="0.35">
      <c r="A403" s="86">
        <v>400</v>
      </c>
      <c r="B403" s="85"/>
      <c r="C403" s="87"/>
      <c r="D403" s="85"/>
      <c r="E403" s="84"/>
      <c r="F403" s="85"/>
      <c r="G403" s="87"/>
      <c r="H403" s="87"/>
      <c r="I403" s="87"/>
      <c r="J403" s="101"/>
      <c r="K403" s="87"/>
      <c r="L403" s="91"/>
      <c r="M403" s="91"/>
      <c r="N403" s="88">
        <f>Goods_Receipt[[#This Row],[ Invoice. /
 Received Qty ]]-Goods_Receipt[[#This Row],[ Accepted Qty ]]</f>
        <v>0</v>
      </c>
      <c r="O403" s="87"/>
      <c r="P403" s="87"/>
      <c r="Q403" s="87"/>
      <c r="R403" s="87"/>
      <c r="S403" s="87"/>
      <c r="T403" s="85"/>
      <c r="U403" s="89"/>
      <c r="V403" s="90"/>
      <c r="W403" s="87"/>
      <c r="X403" s="91"/>
      <c r="Y403" s="84"/>
      <c r="Z403" s="97"/>
    </row>
    <row r="404" spans="1:26" s="98" customFormat="1" x14ac:dyDescent="0.35">
      <c r="A404" s="86">
        <v>401</v>
      </c>
      <c r="B404" s="85"/>
      <c r="C404" s="87"/>
      <c r="D404" s="85"/>
      <c r="E404" s="84"/>
      <c r="F404" s="85"/>
      <c r="G404" s="87"/>
      <c r="H404" s="87"/>
      <c r="I404" s="87"/>
      <c r="J404" s="101"/>
      <c r="K404" s="87"/>
      <c r="L404" s="91"/>
      <c r="M404" s="91"/>
      <c r="N404" s="88">
        <f>Goods_Receipt[[#This Row],[ Invoice. /
 Received Qty ]]-Goods_Receipt[[#This Row],[ Accepted Qty ]]</f>
        <v>0</v>
      </c>
      <c r="O404" s="87"/>
      <c r="P404" s="87"/>
      <c r="Q404" s="87"/>
      <c r="R404" s="87"/>
      <c r="S404" s="87"/>
      <c r="T404" s="85"/>
      <c r="U404" s="89"/>
      <c r="V404" s="90"/>
      <c r="W404" s="87"/>
      <c r="X404" s="91"/>
      <c r="Y404" s="84"/>
      <c r="Z404" s="97"/>
    </row>
    <row r="405" spans="1:26" s="98" customFormat="1" x14ac:dyDescent="0.35">
      <c r="A405" s="86">
        <v>402</v>
      </c>
      <c r="B405" s="85"/>
      <c r="C405" s="87"/>
      <c r="D405" s="85"/>
      <c r="E405" s="84"/>
      <c r="F405" s="85"/>
      <c r="G405" s="87"/>
      <c r="H405" s="87"/>
      <c r="I405" s="87"/>
      <c r="J405" s="101"/>
      <c r="K405" s="87"/>
      <c r="L405" s="91"/>
      <c r="M405" s="91"/>
      <c r="N405" s="88">
        <f>Goods_Receipt[[#This Row],[ Invoice. /
 Received Qty ]]-Goods_Receipt[[#This Row],[ Accepted Qty ]]</f>
        <v>0</v>
      </c>
      <c r="O405" s="87"/>
      <c r="P405" s="87"/>
      <c r="Q405" s="87"/>
      <c r="R405" s="87"/>
      <c r="S405" s="87"/>
      <c r="T405" s="85"/>
      <c r="U405" s="89"/>
      <c r="V405" s="90"/>
      <c r="W405" s="87"/>
      <c r="X405" s="91"/>
      <c r="Y405" s="84"/>
      <c r="Z405" s="97"/>
    </row>
    <row r="406" spans="1:26" s="98" customFormat="1" x14ac:dyDescent="0.35">
      <c r="A406" s="86">
        <v>403</v>
      </c>
      <c r="B406" s="85"/>
      <c r="C406" s="87"/>
      <c r="D406" s="85"/>
      <c r="E406" s="84"/>
      <c r="F406" s="85"/>
      <c r="G406" s="87"/>
      <c r="H406" s="87"/>
      <c r="I406" s="87"/>
      <c r="J406" s="101"/>
      <c r="K406" s="87"/>
      <c r="L406" s="91"/>
      <c r="M406" s="91"/>
      <c r="N406" s="88">
        <f>Goods_Receipt[[#This Row],[ Invoice. /
 Received Qty ]]-Goods_Receipt[[#This Row],[ Accepted Qty ]]</f>
        <v>0</v>
      </c>
      <c r="O406" s="87"/>
      <c r="P406" s="87"/>
      <c r="Q406" s="87"/>
      <c r="R406" s="87"/>
      <c r="S406" s="87"/>
      <c r="T406" s="85"/>
      <c r="U406" s="89"/>
      <c r="V406" s="90"/>
      <c r="W406" s="87"/>
      <c r="X406" s="91"/>
      <c r="Y406" s="84"/>
      <c r="Z406" s="97"/>
    </row>
    <row r="407" spans="1:26" s="98" customFormat="1" x14ac:dyDescent="0.35">
      <c r="A407" s="86">
        <v>404</v>
      </c>
      <c r="B407" s="85"/>
      <c r="C407" s="87"/>
      <c r="D407" s="85"/>
      <c r="E407" s="84"/>
      <c r="F407" s="85"/>
      <c r="G407" s="87"/>
      <c r="H407" s="87"/>
      <c r="I407" s="87"/>
      <c r="J407" s="101"/>
      <c r="K407" s="87"/>
      <c r="L407" s="91"/>
      <c r="M407" s="91"/>
      <c r="N407" s="88">
        <f>Goods_Receipt[[#This Row],[ Invoice. /
 Received Qty ]]-Goods_Receipt[[#This Row],[ Accepted Qty ]]</f>
        <v>0</v>
      </c>
      <c r="O407" s="87"/>
      <c r="P407" s="87"/>
      <c r="Q407" s="87"/>
      <c r="R407" s="87"/>
      <c r="S407" s="87"/>
      <c r="T407" s="85"/>
      <c r="U407" s="89"/>
      <c r="V407" s="90"/>
      <c r="W407" s="87"/>
      <c r="X407" s="91"/>
      <c r="Y407" s="84"/>
      <c r="Z407" s="97"/>
    </row>
    <row r="408" spans="1:26" s="98" customFormat="1" x14ac:dyDescent="0.35">
      <c r="A408" s="86">
        <v>405</v>
      </c>
      <c r="B408" s="85"/>
      <c r="C408" s="87"/>
      <c r="D408" s="85"/>
      <c r="E408" s="84"/>
      <c r="F408" s="85"/>
      <c r="G408" s="87"/>
      <c r="H408" s="87"/>
      <c r="I408" s="87"/>
      <c r="J408" s="101"/>
      <c r="K408" s="87"/>
      <c r="L408" s="91"/>
      <c r="M408" s="91"/>
      <c r="N408" s="88">
        <f>Goods_Receipt[[#This Row],[ Invoice. /
 Received Qty ]]-Goods_Receipt[[#This Row],[ Accepted Qty ]]</f>
        <v>0</v>
      </c>
      <c r="O408" s="87"/>
      <c r="P408" s="87"/>
      <c r="Q408" s="87"/>
      <c r="R408" s="87"/>
      <c r="S408" s="87"/>
      <c r="T408" s="85"/>
      <c r="U408" s="89"/>
      <c r="V408" s="90"/>
      <c r="W408" s="87"/>
      <c r="X408" s="91"/>
      <c r="Y408" s="84"/>
      <c r="Z408" s="97"/>
    </row>
    <row r="409" spans="1:26" s="98" customFormat="1" x14ac:dyDescent="0.35">
      <c r="A409" s="86">
        <v>406</v>
      </c>
      <c r="B409" s="85"/>
      <c r="C409" s="87"/>
      <c r="D409" s="85"/>
      <c r="E409" s="84"/>
      <c r="F409" s="85"/>
      <c r="G409" s="87"/>
      <c r="H409" s="87"/>
      <c r="I409" s="87"/>
      <c r="J409" s="101"/>
      <c r="K409" s="87"/>
      <c r="L409" s="91"/>
      <c r="M409" s="91"/>
      <c r="N409" s="88">
        <f>Goods_Receipt[[#This Row],[ Invoice. /
 Received Qty ]]-Goods_Receipt[[#This Row],[ Accepted Qty ]]</f>
        <v>0</v>
      </c>
      <c r="O409" s="87"/>
      <c r="P409" s="87"/>
      <c r="Q409" s="87"/>
      <c r="R409" s="87"/>
      <c r="S409" s="87"/>
      <c r="T409" s="85"/>
      <c r="U409" s="89"/>
      <c r="V409" s="90"/>
      <c r="W409" s="87"/>
      <c r="X409" s="91"/>
      <c r="Y409" s="84"/>
      <c r="Z409" s="97"/>
    </row>
    <row r="410" spans="1:26" s="98" customFormat="1" x14ac:dyDescent="0.35">
      <c r="A410" s="86">
        <v>407</v>
      </c>
      <c r="B410" s="85"/>
      <c r="C410" s="87"/>
      <c r="D410" s="85"/>
      <c r="E410" s="84"/>
      <c r="F410" s="85"/>
      <c r="G410" s="87"/>
      <c r="H410" s="87"/>
      <c r="I410" s="87"/>
      <c r="J410" s="101"/>
      <c r="K410" s="87"/>
      <c r="L410" s="91"/>
      <c r="M410" s="91"/>
      <c r="N410" s="88">
        <f>Goods_Receipt[[#This Row],[ Invoice. /
 Received Qty ]]-Goods_Receipt[[#This Row],[ Accepted Qty ]]</f>
        <v>0</v>
      </c>
      <c r="O410" s="87"/>
      <c r="P410" s="87"/>
      <c r="Q410" s="87"/>
      <c r="R410" s="87"/>
      <c r="S410" s="87"/>
      <c r="T410" s="85"/>
      <c r="U410" s="89"/>
      <c r="V410" s="90"/>
      <c r="W410" s="87"/>
      <c r="X410" s="91"/>
      <c r="Y410" s="84"/>
      <c r="Z410" s="97"/>
    </row>
    <row r="411" spans="1:26" s="98" customFormat="1" x14ac:dyDescent="0.35">
      <c r="A411" s="86">
        <v>408</v>
      </c>
      <c r="B411" s="85"/>
      <c r="C411" s="87"/>
      <c r="D411" s="85"/>
      <c r="E411" s="84"/>
      <c r="F411" s="85"/>
      <c r="G411" s="87"/>
      <c r="H411" s="87"/>
      <c r="I411" s="87"/>
      <c r="J411" s="101"/>
      <c r="K411" s="87"/>
      <c r="L411" s="91"/>
      <c r="M411" s="91"/>
      <c r="N411" s="88">
        <f>Goods_Receipt[[#This Row],[ Invoice. /
 Received Qty ]]-Goods_Receipt[[#This Row],[ Accepted Qty ]]</f>
        <v>0</v>
      </c>
      <c r="O411" s="87"/>
      <c r="P411" s="87"/>
      <c r="Q411" s="87"/>
      <c r="R411" s="87"/>
      <c r="S411" s="87"/>
      <c r="T411" s="85"/>
      <c r="U411" s="89"/>
      <c r="V411" s="90"/>
      <c r="W411" s="87"/>
      <c r="X411" s="91"/>
      <c r="Y411" s="84"/>
      <c r="Z411" s="97"/>
    </row>
    <row r="412" spans="1:26" s="98" customFormat="1" x14ac:dyDescent="0.35">
      <c r="A412" s="86">
        <v>409</v>
      </c>
      <c r="B412" s="85"/>
      <c r="C412" s="87"/>
      <c r="D412" s="85"/>
      <c r="E412" s="84"/>
      <c r="F412" s="85"/>
      <c r="G412" s="87"/>
      <c r="H412" s="87"/>
      <c r="I412" s="87"/>
      <c r="J412" s="101"/>
      <c r="K412" s="87"/>
      <c r="L412" s="91"/>
      <c r="M412" s="91"/>
      <c r="N412" s="88">
        <f>Goods_Receipt[[#This Row],[ Invoice. /
 Received Qty ]]-Goods_Receipt[[#This Row],[ Accepted Qty ]]</f>
        <v>0</v>
      </c>
      <c r="O412" s="87"/>
      <c r="P412" s="87"/>
      <c r="Q412" s="87"/>
      <c r="R412" s="87"/>
      <c r="S412" s="87"/>
      <c r="T412" s="85"/>
      <c r="U412" s="89"/>
      <c r="V412" s="90"/>
      <c r="W412" s="87"/>
      <c r="X412" s="91"/>
      <c r="Y412" s="84"/>
      <c r="Z412" s="97"/>
    </row>
    <row r="413" spans="1:26" s="98" customFormat="1" x14ac:dyDescent="0.35">
      <c r="A413" s="86">
        <v>410</v>
      </c>
      <c r="B413" s="85"/>
      <c r="C413" s="87"/>
      <c r="D413" s="85"/>
      <c r="E413" s="84"/>
      <c r="F413" s="85"/>
      <c r="G413" s="87"/>
      <c r="H413" s="87"/>
      <c r="I413" s="87"/>
      <c r="J413" s="101"/>
      <c r="K413" s="87"/>
      <c r="L413" s="91"/>
      <c r="M413" s="91"/>
      <c r="N413" s="88">
        <f>Goods_Receipt[[#This Row],[ Invoice. /
 Received Qty ]]-Goods_Receipt[[#This Row],[ Accepted Qty ]]</f>
        <v>0</v>
      </c>
      <c r="O413" s="87"/>
      <c r="P413" s="87"/>
      <c r="Q413" s="87"/>
      <c r="R413" s="87"/>
      <c r="S413" s="87"/>
      <c r="T413" s="85"/>
      <c r="U413" s="89"/>
      <c r="V413" s="90"/>
      <c r="W413" s="87"/>
      <c r="X413" s="91"/>
      <c r="Y413" s="84"/>
      <c r="Z413" s="97"/>
    </row>
    <row r="414" spans="1:26" s="98" customFormat="1" x14ac:dyDescent="0.35">
      <c r="A414" s="86">
        <v>411</v>
      </c>
      <c r="B414" s="85"/>
      <c r="C414" s="87"/>
      <c r="D414" s="85"/>
      <c r="E414" s="84"/>
      <c r="F414" s="85"/>
      <c r="G414" s="87"/>
      <c r="H414" s="87"/>
      <c r="I414" s="87"/>
      <c r="J414" s="101"/>
      <c r="K414" s="87"/>
      <c r="L414" s="91"/>
      <c r="M414" s="91"/>
      <c r="N414" s="88">
        <f>Goods_Receipt[[#This Row],[ Invoice. /
 Received Qty ]]-Goods_Receipt[[#This Row],[ Accepted Qty ]]</f>
        <v>0</v>
      </c>
      <c r="O414" s="87"/>
      <c r="P414" s="87"/>
      <c r="Q414" s="87"/>
      <c r="R414" s="87"/>
      <c r="S414" s="87"/>
      <c r="T414" s="85"/>
      <c r="U414" s="89"/>
      <c r="V414" s="90"/>
      <c r="W414" s="87"/>
      <c r="X414" s="91"/>
      <c r="Y414" s="84"/>
      <c r="Z414" s="97"/>
    </row>
    <row r="415" spans="1:26" s="98" customFormat="1" x14ac:dyDescent="0.35">
      <c r="A415" s="86">
        <v>412</v>
      </c>
      <c r="B415" s="85"/>
      <c r="C415" s="87"/>
      <c r="D415" s="85"/>
      <c r="E415" s="84"/>
      <c r="F415" s="85"/>
      <c r="G415" s="87"/>
      <c r="H415" s="87"/>
      <c r="I415" s="87"/>
      <c r="J415" s="101"/>
      <c r="K415" s="87"/>
      <c r="L415" s="91"/>
      <c r="M415" s="91"/>
      <c r="N415" s="88">
        <f>Goods_Receipt[[#This Row],[ Invoice. /
 Received Qty ]]-Goods_Receipt[[#This Row],[ Accepted Qty ]]</f>
        <v>0</v>
      </c>
      <c r="O415" s="87"/>
      <c r="P415" s="87"/>
      <c r="Q415" s="87"/>
      <c r="R415" s="87"/>
      <c r="S415" s="87"/>
      <c r="T415" s="85"/>
      <c r="U415" s="89"/>
      <c r="V415" s="90"/>
      <c r="W415" s="87"/>
      <c r="X415" s="91"/>
      <c r="Y415" s="84"/>
      <c r="Z415" s="97"/>
    </row>
    <row r="416" spans="1:26" s="98" customFormat="1" x14ac:dyDescent="0.35">
      <c r="A416" s="86">
        <v>413</v>
      </c>
      <c r="B416" s="85"/>
      <c r="C416" s="87"/>
      <c r="D416" s="85"/>
      <c r="E416" s="84"/>
      <c r="F416" s="85"/>
      <c r="G416" s="87"/>
      <c r="H416" s="87"/>
      <c r="I416" s="87"/>
      <c r="J416" s="101"/>
      <c r="K416" s="87"/>
      <c r="L416" s="91"/>
      <c r="M416" s="91"/>
      <c r="N416" s="88">
        <f>Goods_Receipt[[#This Row],[ Invoice. /
 Received Qty ]]-Goods_Receipt[[#This Row],[ Accepted Qty ]]</f>
        <v>0</v>
      </c>
      <c r="O416" s="87"/>
      <c r="P416" s="87"/>
      <c r="Q416" s="87"/>
      <c r="R416" s="87"/>
      <c r="S416" s="87"/>
      <c r="T416" s="85"/>
      <c r="U416" s="89"/>
      <c r="V416" s="90"/>
      <c r="W416" s="87"/>
      <c r="X416" s="91"/>
      <c r="Y416" s="84"/>
      <c r="Z416" s="97"/>
    </row>
    <row r="417" spans="1:26" s="98" customFormat="1" x14ac:dyDescent="0.35">
      <c r="A417" s="86">
        <v>414</v>
      </c>
      <c r="B417" s="85"/>
      <c r="C417" s="87"/>
      <c r="D417" s="85"/>
      <c r="E417" s="84"/>
      <c r="F417" s="85"/>
      <c r="G417" s="87"/>
      <c r="H417" s="87"/>
      <c r="I417" s="87"/>
      <c r="J417" s="101"/>
      <c r="K417" s="87"/>
      <c r="L417" s="91"/>
      <c r="M417" s="91"/>
      <c r="N417" s="88">
        <f>Goods_Receipt[[#This Row],[ Invoice. /
 Received Qty ]]-Goods_Receipt[[#This Row],[ Accepted Qty ]]</f>
        <v>0</v>
      </c>
      <c r="O417" s="87"/>
      <c r="P417" s="87"/>
      <c r="Q417" s="87"/>
      <c r="R417" s="87"/>
      <c r="S417" s="87"/>
      <c r="T417" s="85"/>
      <c r="U417" s="89"/>
      <c r="V417" s="90"/>
      <c r="W417" s="87"/>
      <c r="X417" s="91"/>
      <c r="Y417" s="84"/>
      <c r="Z417" s="97"/>
    </row>
    <row r="418" spans="1:26" s="98" customFormat="1" x14ac:dyDescent="0.35">
      <c r="A418" s="86">
        <v>415</v>
      </c>
      <c r="B418" s="85"/>
      <c r="C418" s="87"/>
      <c r="D418" s="85"/>
      <c r="E418" s="84"/>
      <c r="F418" s="85"/>
      <c r="G418" s="87"/>
      <c r="H418" s="87"/>
      <c r="I418" s="87"/>
      <c r="J418" s="101"/>
      <c r="K418" s="87"/>
      <c r="L418" s="91"/>
      <c r="M418" s="91"/>
      <c r="N418" s="88">
        <f>Goods_Receipt[[#This Row],[ Invoice. /
 Received Qty ]]-Goods_Receipt[[#This Row],[ Accepted Qty ]]</f>
        <v>0</v>
      </c>
      <c r="O418" s="87"/>
      <c r="P418" s="87"/>
      <c r="Q418" s="87"/>
      <c r="R418" s="87"/>
      <c r="S418" s="87"/>
      <c r="T418" s="85"/>
      <c r="U418" s="89"/>
      <c r="V418" s="90"/>
      <c r="W418" s="87"/>
      <c r="X418" s="91"/>
      <c r="Y418" s="84"/>
      <c r="Z418" s="97"/>
    </row>
    <row r="419" spans="1:26" s="98" customFormat="1" x14ac:dyDescent="0.35">
      <c r="A419" s="86">
        <v>416</v>
      </c>
      <c r="B419" s="85"/>
      <c r="C419" s="87"/>
      <c r="D419" s="85"/>
      <c r="E419" s="84"/>
      <c r="F419" s="85"/>
      <c r="G419" s="87"/>
      <c r="H419" s="87"/>
      <c r="I419" s="87"/>
      <c r="J419" s="101"/>
      <c r="K419" s="87"/>
      <c r="L419" s="91"/>
      <c r="M419" s="91"/>
      <c r="N419" s="88">
        <f>Goods_Receipt[[#This Row],[ Invoice. /
 Received Qty ]]-Goods_Receipt[[#This Row],[ Accepted Qty ]]</f>
        <v>0</v>
      </c>
      <c r="O419" s="87"/>
      <c r="P419" s="87"/>
      <c r="Q419" s="87"/>
      <c r="R419" s="87"/>
      <c r="S419" s="87"/>
      <c r="T419" s="85"/>
      <c r="U419" s="89"/>
      <c r="V419" s="90"/>
      <c r="W419" s="87"/>
      <c r="X419" s="91"/>
      <c r="Y419" s="84"/>
      <c r="Z419" s="97"/>
    </row>
    <row r="420" spans="1:26" s="98" customFormat="1" x14ac:dyDescent="0.35">
      <c r="A420" s="86">
        <v>417</v>
      </c>
      <c r="B420" s="85"/>
      <c r="C420" s="87"/>
      <c r="D420" s="85"/>
      <c r="E420" s="84"/>
      <c r="F420" s="85"/>
      <c r="G420" s="87"/>
      <c r="H420" s="87"/>
      <c r="I420" s="87"/>
      <c r="J420" s="101"/>
      <c r="K420" s="87"/>
      <c r="L420" s="91"/>
      <c r="M420" s="91"/>
      <c r="N420" s="88">
        <f>Goods_Receipt[[#This Row],[ Invoice. /
 Received Qty ]]-Goods_Receipt[[#This Row],[ Accepted Qty ]]</f>
        <v>0</v>
      </c>
      <c r="O420" s="87"/>
      <c r="P420" s="87"/>
      <c r="Q420" s="87"/>
      <c r="R420" s="87"/>
      <c r="S420" s="87"/>
      <c r="T420" s="85"/>
      <c r="U420" s="89"/>
      <c r="V420" s="90"/>
      <c r="W420" s="87"/>
      <c r="X420" s="91"/>
      <c r="Y420" s="84"/>
      <c r="Z420" s="97"/>
    </row>
    <row r="421" spans="1:26" s="98" customFormat="1" x14ac:dyDescent="0.35">
      <c r="A421" s="86">
        <v>418</v>
      </c>
      <c r="B421" s="85"/>
      <c r="C421" s="87"/>
      <c r="D421" s="85"/>
      <c r="E421" s="84"/>
      <c r="F421" s="85"/>
      <c r="G421" s="87"/>
      <c r="H421" s="87"/>
      <c r="I421" s="87"/>
      <c r="J421" s="101"/>
      <c r="K421" s="87"/>
      <c r="L421" s="91"/>
      <c r="M421" s="91"/>
      <c r="N421" s="88">
        <f>Goods_Receipt[[#This Row],[ Invoice. /
 Received Qty ]]-Goods_Receipt[[#This Row],[ Accepted Qty ]]</f>
        <v>0</v>
      </c>
      <c r="O421" s="87"/>
      <c r="P421" s="87"/>
      <c r="Q421" s="87"/>
      <c r="R421" s="87"/>
      <c r="S421" s="87"/>
      <c r="T421" s="85"/>
      <c r="U421" s="89"/>
      <c r="V421" s="90"/>
      <c r="W421" s="87"/>
      <c r="X421" s="91"/>
      <c r="Y421" s="84"/>
      <c r="Z421" s="97"/>
    </row>
    <row r="422" spans="1:26" s="98" customFormat="1" x14ac:dyDescent="0.35">
      <c r="A422" s="86">
        <v>419</v>
      </c>
      <c r="B422" s="85"/>
      <c r="C422" s="87"/>
      <c r="D422" s="85"/>
      <c r="E422" s="84"/>
      <c r="F422" s="85"/>
      <c r="G422" s="87"/>
      <c r="H422" s="87"/>
      <c r="I422" s="87"/>
      <c r="J422" s="101"/>
      <c r="K422" s="87"/>
      <c r="L422" s="91"/>
      <c r="M422" s="91"/>
      <c r="N422" s="88">
        <f>Goods_Receipt[[#This Row],[ Invoice. /
 Received Qty ]]-Goods_Receipt[[#This Row],[ Accepted Qty ]]</f>
        <v>0</v>
      </c>
      <c r="O422" s="87"/>
      <c r="P422" s="87"/>
      <c r="Q422" s="87"/>
      <c r="R422" s="87"/>
      <c r="S422" s="87"/>
      <c r="T422" s="85"/>
      <c r="U422" s="89"/>
      <c r="V422" s="90"/>
      <c r="W422" s="87"/>
      <c r="X422" s="91"/>
      <c r="Y422" s="84"/>
      <c r="Z422" s="97"/>
    </row>
    <row r="423" spans="1:26" s="98" customFormat="1" x14ac:dyDescent="0.35">
      <c r="A423" s="86">
        <v>420</v>
      </c>
      <c r="B423" s="85"/>
      <c r="C423" s="87"/>
      <c r="D423" s="85"/>
      <c r="E423" s="84"/>
      <c r="F423" s="85"/>
      <c r="G423" s="87"/>
      <c r="H423" s="87"/>
      <c r="I423" s="87"/>
      <c r="J423" s="101"/>
      <c r="K423" s="87"/>
      <c r="L423" s="91"/>
      <c r="M423" s="91"/>
      <c r="N423" s="88">
        <f>Goods_Receipt[[#This Row],[ Invoice. /
 Received Qty ]]-Goods_Receipt[[#This Row],[ Accepted Qty ]]</f>
        <v>0</v>
      </c>
      <c r="O423" s="87"/>
      <c r="P423" s="87"/>
      <c r="Q423" s="87"/>
      <c r="R423" s="87"/>
      <c r="S423" s="87"/>
      <c r="T423" s="85"/>
      <c r="U423" s="89"/>
      <c r="V423" s="90"/>
      <c r="W423" s="87"/>
      <c r="X423" s="91"/>
      <c r="Y423" s="84"/>
      <c r="Z423" s="97"/>
    </row>
    <row r="424" spans="1:26" s="98" customFormat="1" x14ac:dyDescent="0.35">
      <c r="A424" s="86">
        <v>421</v>
      </c>
      <c r="B424" s="85"/>
      <c r="C424" s="87"/>
      <c r="D424" s="85"/>
      <c r="E424" s="84"/>
      <c r="F424" s="85"/>
      <c r="G424" s="87"/>
      <c r="H424" s="87"/>
      <c r="I424" s="87"/>
      <c r="J424" s="101"/>
      <c r="K424" s="87"/>
      <c r="L424" s="91"/>
      <c r="M424" s="91"/>
      <c r="N424" s="88">
        <f>Goods_Receipt[[#This Row],[ Invoice. /
 Received Qty ]]-Goods_Receipt[[#This Row],[ Accepted Qty ]]</f>
        <v>0</v>
      </c>
      <c r="O424" s="87"/>
      <c r="P424" s="87"/>
      <c r="Q424" s="87"/>
      <c r="R424" s="87"/>
      <c r="S424" s="87"/>
      <c r="T424" s="85"/>
      <c r="U424" s="89"/>
      <c r="V424" s="90"/>
      <c r="W424" s="87"/>
      <c r="X424" s="91"/>
      <c r="Y424" s="84"/>
      <c r="Z424" s="97"/>
    </row>
    <row r="425" spans="1:26" s="98" customFormat="1" x14ac:dyDescent="0.35">
      <c r="A425" s="86">
        <v>422</v>
      </c>
      <c r="B425" s="85"/>
      <c r="C425" s="87"/>
      <c r="D425" s="85"/>
      <c r="E425" s="84"/>
      <c r="F425" s="85"/>
      <c r="G425" s="87"/>
      <c r="H425" s="87"/>
      <c r="I425" s="87"/>
      <c r="J425" s="101"/>
      <c r="K425" s="87"/>
      <c r="L425" s="91"/>
      <c r="M425" s="91"/>
      <c r="N425" s="88">
        <f>Goods_Receipt[[#This Row],[ Invoice. /
 Received Qty ]]-Goods_Receipt[[#This Row],[ Accepted Qty ]]</f>
        <v>0</v>
      </c>
      <c r="O425" s="87"/>
      <c r="P425" s="87"/>
      <c r="Q425" s="87"/>
      <c r="R425" s="87"/>
      <c r="S425" s="87"/>
      <c r="T425" s="85"/>
      <c r="U425" s="89"/>
      <c r="V425" s="90"/>
      <c r="W425" s="87"/>
      <c r="X425" s="91"/>
      <c r="Y425" s="84"/>
      <c r="Z425" s="97"/>
    </row>
    <row r="426" spans="1:26" s="98" customFormat="1" x14ac:dyDescent="0.35">
      <c r="A426" s="86">
        <v>423</v>
      </c>
      <c r="B426" s="85"/>
      <c r="C426" s="87"/>
      <c r="D426" s="85"/>
      <c r="E426" s="84"/>
      <c r="F426" s="85"/>
      <c r="G426" s="87"/>
      <c r="H426" s="87"/>
      <c r="I426" s="87"/>
      <c r="J426" s="101"/>
      <c r="K426" s="87"/>
      <c r="L426" s="91"/>
      <c r="M426" s="91"/>
      <c r="N426" s="88">
        <f>Goods_Receipt[[#This Row],[ Invoice. /
 Received Qty ]]-Goods_Receipt[[#This Row],[ Accepted Qty ]]</f>
        <v>0</v>
      </c>
      <c r="O426" s="87"/>
      <c r="P426" s="87"/>
      <c r="Q426" s="87"/>
      <c r="R426" s="87"/>
      <c r="S426" s="87"/>
      <c r="T426" s="85"/>
      <c r="U426" s="89"/>
      <c r="V426" s="90"/>
      <c r="W426" s="87"/>
      <c r="X426" s="91"/>
      <c r="Y426" s="84"/>
      <c r="Z426" s="97"/>
    </row>
    <row r="427" spans="1:26" s="98" customFormat="1" x14ac:dyDescent="0.35">
      <c r="A427" s="86">
        <v>424</v>
      </c>
      <c r="B427" s="85"/>
      <c r="C427" s="87"/>
      <c r="D427" s="85"/>
      <c r="E427" s="84"/>
      <c r="F427" s="85"/>
      <c r="G427" s="87"/>
      <c r="H427" s="87"/>
      <c r="I427" s="87"/>
      <c r="J427" s="101"/>
      <c r="K427" s="87"/>
      <c r="L427" s="91"/>
      <c r="M427" s="91"/>
      <c r="N427" s="88">
        <f>Goods_Receipt[[#This Row],[ Invoice. /
 Received Qty ]]-Goods_Receipt[[#This Row],[ Accepted Qty ]]</f>
        <v>0</v>
      </c>
      <c r="O427" s="87"/>
      <c r="P427" s="87"/>
      <c r="Q427" s="87"/>
      <c r="R427" s="87"/>
      <c r="S427" s="87"/>
      <c r="T427" s="85"/>
      <c r="U427" s="89"/>
      <c r="V427" s="90"/>
      <c r="W427" s="87"/>
      <c r="X427" s="91"/>
      <c r="Y427" s="84"/>
      <c r="Z427" s="97"/>
    </row>
    <row r="428" spans="1:26" s="98" customFormat="1" x14ac:dyDescent="0.35">
      <c r="A428" s="86">
        <v>425</v>
      </c>
      <c r="B428" s="85"/>
      <c r="C428" s="87"/>
      <c r="D428" s="85"/>
      <c r="E428" s="84"/>
      <c r="F428" s="85"/>
      <c r="G428" s="87"/>
      <c r="H428" s="87"/>
      <c r="I428" s="87"/>
      <c r="J428" s="101"/>
      <c r="K428" s="87"/>
      <c r="L428" s="91"/>
      <c r="M428" s="91"/>
      <c r="N428" s="88">
        <f>Goods_Receipt[[#This Row],[ Invoice. /
 Received Qty ]]-Goods_Receipt[[#This Row],[ Accepted Qty ]]</f>
        <v>0</v>
      </c>
      <c r="O428" s="87"/>
      <c r="P428" s="87"/>
      <c r="Q428" s="87"/>
      <c r="R428" s="87"/>
      <c r="S428" s="87"/>
      <c r="T428" s="85"/>
      <c r="U428" s="89"/>
      <c r="V428" s="90"/>
      <c r="W428" s="87"/>
      <c r="X428" s="91"/>
      <c r="Y428" s="84"/>
      <c r="Z428" s="97"/>
    </row>
    <row r="429" spans="1:26" s="98" customFormat="1" x14ac:dyDescent="0.35">
      <c r="A429" s="86">
        <v>426</v>
      </c>
      <c r="B429" s="85"/>
      <c r="C429" s="87"/>
      <c r="D429" s="85"/>
      <c r="E429" s="84"/>
      <c r="F429" s="85"/>
      <c r="G429" s="87"/>
      <c r="H429" s="87"/>
      <c r="I429" s="87"/>
      <c r="J429" s="101"/>
      <c r="K429" s="87"/>
      <c r="L429" s="91"/>
      <c r="M429" s="91"/>
      <c r="N429" s="88">
        <f>Goods_Receipt[[#This Row],[ Invoice. /
 Received Qty ]]-Goods_Receipt[[#This Row],[ Accepted Qty ]]</f>
        <v>0</v>
      </c>
      <c r="O429" s="87"/>
      <c r="P429" s="87"/>
      <c r="Q429" s="87"/>
      <c r="R429" s="87"/>
      <c r="S429" s="87"/>
      <c r="T429" s="85"/>
      <c r="U429" s="89"/>
      <c r="V429" s="90"/>
      <c r="W429" s="87"/>
      <c r="X429" s="91"/>
      <c r="Y429" s="84"/>
      <c r="Z429" s="97"/>
    </row>
    <row r="430" spans="1:26" s="98" customFormat="1" x14ac:dyDescent="0.35">
      <c r="A430" s="86">
        <v>427</v>
      </c>
      <c r="B430" s="85"/>
      <c r="C430" s="87"/>
      <c r="D430" s="85"/>
      <c r="E430" s="84"/>
      <c r="F430" s="85"/>
      <c r="G430" s="87"/>
      <c r="H430" s="87"/>
      <c r="I430" s="87"/>
      <c r="J430" s="101"/>
      <c r="K430" s="87"/>
      <c r="L430" s="91"/>
      <c r="M430" s="91"/>
      <c r="N430" s="88">
        <f>Goods_Receipt[[#This Row],[ Invoice. /
 Received Qty ]]-Goods_Receipt[[#This Row],[ Accepted Qty ]]</f>
        <v>0</v>
      </c>
      <c r="O430" s="87"/>
      <c r="P430" s="87"/>
      <c r="Q430" s="87"/>
      <c r="R430" s="87"/>
      <c r="S430" s="87"/>
      <c r="T430" s="85"/>
      <c r="U430" s="89"/>
      <c r="V430" s="90"/>
      <c r="W430" s="87"/>
      <c r="X430" s="91"/>
      <c r="Y430" s="84"/>
      <c r="Z430" s="97"/>
    </row>
    <row r="431" spans="1:26" s="98" customFormat="1" x14ac:dyDescent="0.35">
      <c r="A431" s="86">
        <v>428</v>
      </c>
      <c r="B431" s="85"/>
      <c r="C431" s="87"/>
      <c r="D431" s="85"/>
      <c r="E431" s="84"/>
      <c r="F431" s="85"/>
      <c r="G431" s="87"/>
      <c r="H431" s="87"/>
      <c r="I431" s="87"/>
      <c r="J431" s="101"/>
      <c r="K431" s="87"/>
      <c r="L431" s="91"/>
      <c r="M431" s="91"/>
      <c r="N431" s="88">
        <f>Goods_Receipt[[#This Row],[ Invoice. /
 Received Qty ]]-Goods_Receipt[[#This Row],[ Accepted Qty ]]</f>
        <v>0</v>
      </c>
      <c r="O431" s="87"/>
      <c r="P431" s="87"/>
      <c r="Q431" s="87"/>
      <c r="R431" s="87"/>
      <c r="S431" s="87"/>
      <c r="T431" s="85"/>
      <c r="U431" s="89"/>
      <c r="V431" s="90"/>
      <c r="W431" s="87"/>
      <c r="X431" s="91"/>
      <c r="Y431" s="84"/>
      <c r="Z431" s="97"/>
    </row>
    <row r="432" spans="1:26" s="98" customFormat="1" x14ac:dyDescent="0.35">
      <c r="A432" s="86">
        <v>429</v>
      </c>
      <c r="B432" s="85"/>
      <c r="C432" s="87"/>
      <c r="D432" s="85"/>
      <c r="E432" s="84"/>
      <c r="F432" s="85"/>
      <c r="G432" s="87"/>
      <c r="H432" s="87"/>
      <c r="I432" s="87"/>
      <c r="J432" s="101"/>
      <c r="K432" s="87"/>
      <c r="L432" s="91"/>
      <c r="M432" s="91"/>
      <c r="N432" s="88">
        <f>Goods_Receipt[[#This Row],[ Invoice. /
 Received Qty ]]-Goods_Receipt[[#This Row],[ Accepted Qty ]]</f>
        <v>0</v>
      </c>
      <c r="O432" s="87"/>
      <c r="P432" s="87"/>
      <c r="Q432" s="87"/>
      <c r="R432" s="87"/>
      <c r="S432" s="87"/>
      <c r="T432" s="85"/>
      <c r="U432" s="89"/>
      <c r="V432" s="90"/>
      <c r="W432" s="87"/>
      <c r="X432" s="91"/>
      <c r="Y432" s="84"/>
      <c r="Z432" s="97"/>
    </row>
    <row r="433" spans="1:26" s="98" customFormat="1" x14ac:dyDescent="0.35">
      <c r="A433" s="86">
        <v>430</v>
      </c>
      <c r="B433" s="85"/>
      <c r="C433" s="87"/>
      <c r="D433" s="85"/>
      <c r="E433" s="84"/>
      <c r="F433" s="85"/>
      <c r="G433" s="87"/>
      <c r="H433" s="87"/>
      <c r="I433" s="87"/>
      <c r="J433" s="101"/>
      <c r="K433" s="87"/>
      <c r="L433" s="91"/>
      <c r="M433" s="91"/>
      <c r="N433" s="88">
        <f>Goods_Receipt[[#This Row],[ Invoice. /
 Received Qty ]]-Goods_Receipt[[#This Row],[ Accepted Qty ]]</f>
        <v>0</v>
      </c>
      <c r="O433" s="87"/>
      <c r="P433" s="87"/>
      <c r="Q433" s="87"/>
      <c r="R433" s="87"/>
      <c r="S433" s="87"/>
      <c r="T433" s="85"/>
      <c r="U433" s="89"/>
      <c r="V433" s="90"/>
      <c r="W433" s="87"/>
      <c r="X433" s="91"/>
      <c r="Y433" s="84"/>
      <c r="Z433" s="97"/>
    </row>
    <row r="434" spans="1:26" s="98" customFormat="1" x14ac:dyDescent="0.35">
      <c r="A434" s="86">
        <v>431</v>
      </c>
      <c r="B434" s="85"/>
      <c r="C434" s="87"/>
      <c r="D434" s="85"/>
      <c r="E434" s="84"/>
      <c r="F434" s="85"/>
      <c r="G434" s="87"/>
      <c r="H434" s="87"/>
      <c r="I434" s="87"/>
      <c r="J434" s="101"/>
      <c r="K434" s="87"/>
      <c r="L434" s="91"/>
      <c r="M434" s="91"/>
      <c r="N434" s="88">
        <f>Goods_Receipt[[#This Row],[ Invoice. /
 Received Qty ]]-Goods_Receipt[[#This Row],[ Accepted Qty ]]</f>
        <v>0</v>
      </c>
      <c r="O434" s="87"/>
      <c r="P434" s="87"/>
      <c r="Q434" s="87"/>
      <c r="R434" s="87"/>
      <c r="S434" s="87"/>
      <c r="T434" s="85"/>
      <c r="U434" s="89"/>
      <c r="V434" s="90"/>
      <c r="W434" s="87"/>
      <c r="X434" s="91"/>
      <c r="Y434" s="84"/>
      <c r="Z434" s="97"/>
    </row>
    <row r="435" spans="1:26" s="98" customFormat="1" x14ac:dyDescent="0.35">
      <c r="A435" s="86">
        <v>432</v>
      </c>
      <c r="B435" s="85"/>
      <c r="C435" s="87"/>
      <c r="D435" s="85"/>
      <c r="E435" s="84"/>
      <c r="F435" s="85"/>
      <c r="G435" s="87"/>
      <c r="H435" s="87"/>
      <c r="I435" s="87"/>
      <c r="J435" s="101"/>
      <c r="K435" s="87"/>
      <c r="L435" s="91"/>
      <c r="M435" s="91"/>
      <c r="N435" s="88">
        <f>Goods_Receipt[[#This Row],[ Invoice. /
 Received Qty ]]-Goods_Receipt[[#This Row],[ Accepted Qty ]]</f>
        <v>0</v>
      </c>
      <c r="O435" s="87"/>
      <c r="P435" s="87"/>
      <c r="Q435" s="87"/>
      <c r="R435" s="87"/>
      <c r="S435" s="87"/>
      <c r="T435" s="85"/>
      <c r="U435" s="89"/>
      <c r="V435" s="90"/>
      <c r="W435" s="87"/>
      <c r="X435" s="91"/>
      <c r="Y435" s="84"/>
      <c r="Z435" s="97"/>
    </row>
    <row r="436" spans="1:26" s="98" customFormat="1" x14ac:dyDescent="0.35">
      <c r="A436" s="86">
        <v>433</v>
      </c>
      <c r="B436" s="85"/>
      <c r="C436" s="87"/>
      <c r="D436" s="85"/>
      <c r="E436" s="84"/>
      <c r="F436" s="85"/>
      <c r="G436" s="87"/>
      <c r="H436" s="87"/>
      <c r="I436" s="87"/>
      <c r="J436" s="101"/>
      <c r="K436" s="87"/>
      <c r="L436" s="91"/>
      <c r="M436" s="91"/>
      <c r="N436" s="88">
        <f>Goods_Receipt[[#This Row],[ Invoice. /
 Received Qty ]]-Goods_Receipt[[#This Row],[ Accepted Qty ]]</f>
        <v>0</v>
      </c>
      <c r="O436" s="87"/>
      <c r="P436" s="87"/>
      <c r="Q436" s="87"/>
      <c r="R436" s="87"/>
      <c r="S436" s="87"/>
      <c r="T436" s="85"/>
      <c r="U436" s="89"/>
      <c r="V436" s="90"/>
      <c r="W436" s="87"/>
      <c r="X436" s="91"/>
      <c r="Y436" s="84"/>
      <c r="Z436" s="97"/>
    </row>
    <row r="437" spans="1:26" s="98" customFormat="1" x14ac:dyDescent="0.35">
      <c r="A437" s="86">
        <v>434</v>
      </c>
      <c r="B437" s="85"/>
      <c r="C437" s="87"/>
      <c r="D437" s="85"/>
      <c r="E437" s="84"/>
      <c r="F437" s="85"/>
      <c r="G437" s="87"/>
      <c r="H437" s="87"/>
      <c r="I437" s="87"/>
      <c r="J437" s="101"/>
      <c r="K437" s="87"/>
      <c r="L437" s="91"/>
      <c r="M437" s="91"/>
      <c r="N437" s="88">
        <f>Goods_Receipt[[#This Row],[ Invoice. /
 Received Qty ]]-Goods_Receipt[[#This Row],[ Accepted Qty ]]</f>
        <v>0</v>
      </c>
      <c r="O437" s="87"/>
      <c r="P437" s="87"/>
      <c r="Q437" s="87"/>
      <c r="R437" s="87"/>
      <c r="S437" s="87"/>
      <c r="T437" s="85"/>
      <c r="U437" s="89"/>
      <c r="V437" s="90"/>
      <c r="W437" s="87"/>
      <c r="X437" s="91"/>
      <c r="Y437" s="84"/>
      <c r="Z437" s="97"/>
    </row>
    <row r="438" spans="1:26" s="98" customFormat="1" x14ac:dyDescent="0.35">
      <c r="A438" s="86">
        <v>435</v>
      </c>
      <c r="B438" s="85"/>
      <c r="C438" s="87"/>
      <c r="D438" s="85"/>
      <c r="E438" s="84"/>
      <c r="F438" s="85"/>
      <c r="G438" s="87"/>
      <c r="H438" s="87"/>
      <c r="I438" s="87"/>
      <c r="J438" s="101"/>
      <c r="K438" s="87"/>
      <c r="L438" s="91"/>
      <c r="M438" s="91"/>
      <c r="N438" s="88">
        <f>Goods_Receipt[[#This Row],[ Invoice. /
 Received Qty ]]-Goods_Receipt[[#This Row],[ Accepted Qty ]]</f>
        <v>0</v>
      </c>
      <c r="O438" s="87"/>
      <c r="P438" s="87"/>
      <c r="Q438" s="87"/>
      <c r="R438" s="87"/>
      <c r="S438" s="87"/>
      <c r="T438" s="85"/>
      <c r="U438" s="89"/>
      <c r="V438" s="90"/>
      <c r="W438" s="87"/>
      <c r="X438" s="91"/>
      <c r="Y438" s="84"/>
      <c r="Z438" s="97"/>
    </row>
    <row r="439" spans="1:26" s="98" customFormat="1" x14ac:dyDescent="0.35">
      <c r="A439" s="86">
        <v>436</v>
      </c>
      <c r="B439" s="85"/>
      <c r="C439" s="87"/>
      <c r="D439" s="85"/>
      <c r="E439" s="84"/>
      <c r="F439" s="85"/>
      <c r="G439" s="87"/>
      <c r="H439" s="87"/>
      <c r="I439" s="87"/>
      <c r="J439" s="101"/>
      <c r="K439" s="87"/>
      <c r="L439" s="91"/>
      <c r="M439" s="91"/>
      <c r="N439" s="88">
        <f>Goods_Receipt[[#This Row],[ Invoice. /
 Received Qty ]]-Goods_Receipt[[#This Row],[ Accepted Qty ]]</f>
        <v>0</v>
      </c>
      <c r="O439" s="87"/>
      <c r="P439" s="87"/>
      <c r="Q439" s="87"/>
      <c r="R439" s="87"/>
      <c r="S439" s="87"/>
      <c r="T439" s="85"/>
      <c r="U439" s="89"/>
      <c r="V439" s="90"/>
      <c r="W439" s="87"/>
      <c r="X439" s="91"/>
      <c r="Y439" s="84"/>
      <c r="Z439" s="97"/>
    </row>
    <row r="440" spans="1:26" s="98" customFormat="1" x14ac:dyDescent="0.35">
      <c r="A440" s="86">
        <v>437</v>
      </c>
      <c r="B440" s="85"/>
      <c r="C440" s="87"/>
      <c r="D440" s="85"/>
      <c r="E440" s="84"/>
      <c r="F440" s="85"/>
      <c r="G440" s="87"/>
      <c r="H440" s="87"/>
      <c r="I440" s="87"/>
      <c r="J440" s="101"/>
      <c r="K440" s="87"/>
      <c r="L440" s="91"/>
      <c r="M440" s="91"/>
      <c r="N440" s="88">
        <f>Goods_Receipt[[#This Row],[ Invoice. /
 Received Qty ]]-Goods_Receipt[[#This Row],[ Accepted Qty ]]</f>
        <v>0</v>
      </c>
      <c r="O440" s="87"/>
      <c r="P440" s="87"/>
      <c r="Q440" s="87"/>
      <c r="R440" s="87"/>
      <c r="S440" s="87"/>
      <c r="T440" s="85"/>
      <c r="U440" s="89"/>
      <c r="V440" s="90"/>
      <c r="W440" s="87"/>
      <c r="X440" s="91"/>
      <c r="Y440" s="84"/>
      <c r="Z440" s="97"/>
    </row>
    <row r="441" spans="1:26" s="98" customFormat="1" x14ac:dyDescent="0.35">
      <c r="A441" s="86">
        <v>438</v>
      </c>
      <c r="B441" s="85"/>
      <c r="C441" s="87"/>
      <c r="D441" s="85"/>
      <c r="E441" s="84"/>
      <c r="F441" s="85"/>
      <c r="G441" s="87"/>
      <c r="H441" s="87"/>
      <c r="I441" s="87"/>
      <c r="J441" s="101"/>
      <c r="K441" s="87"/>
      <c r="L441" s="91"/>
      <c r="M441" s="91"/>
      <c r="N441" s="88">
        <f>Goods_Receipt[[#This Row],[ Invoice. /
 Received Qty ]]-Goods_Receipt[[#This Row],[ Accepted Qty ]]</f>
        <v>0</v>
      </c>
      <c r="O441" s="87"/>
      <c r="P441" s="87"/>
      <c r="Q441" s="87"/>
      <c r="R441" s="87"/>
      <c r="S441" s="87"/>
      <c r="T441" s="85"/>
      <c r="U441" s="89"/>
      <c r="V441" s="90"/>
      <c r="W441" s="87"/>
      <c r="X441" s="91"/>
      <c r="Y441" s="84"/>
      <c r="Z441" s="97"/>
    </row>
    <row r="442" spans="1:26" s="98" customFormat="1" x14ac:dyDescent="0.35">
      <c r="A442" s="86">
        <v>439</v>
      </c>
      <c r="B442" s="85"/>
      <c r="C442" s="87"/>
      <c r="D442" s="85"/>
      <c r="E442" s="84"/>
      <c r="F442" s="85"/>
      <c r="G442" s="87"/>
      <c r="H442" s="87"/>
      <c r="I442" s="87"/>
      <c r="J442" s="101"/>
      <c r="K442" s="87"/>
      <c r="L442" s="91"/>
      <c r="M442" s="91"/>
      <c r="N442" s="88">
        <f>Goods_Receipt[[#This Row],[ Invoice. /
 Received Qty ]]-Goods_Receipt[[#This Row],[ Accepted Qty ]]</f>
        <v>0</v>
      </c>
      <c r="O442" s="87"/>
      <c r="P442" s="87"/>
      <c r="Q442" s="87"/>
      <c r="R442" s="87"/>
      <c r="S442" s="87"/>
      <c r="T442" s="85"/>
      <c r="U442" s="89"/>
      <c r="V442" s="90"/>
      <c r="W442" s="87"/>
      <c r="X442" s="91"/>
      <c r="Y442" s="84"/>
      <c r="Z442" s="97"/>
    </row>
    <row r="443" spans="1:26" s="98" customFormat="1" x14ac:dyDescent="0.35">
      <c r="A443" s="86">
        <v>440</v>
      </c>
      <c r="B443" s="85"/>
      <c r="C443" s="87"/>
      <c r="D443" s="85"/>
      <c r="E443" s="84"/>
      <c r="F443" s="85"/>
      <c r="G443" s="87"/>
      <c r="H443" s="87"/>
      <c r="I443" s="87"/>
      <c r="J443" s="101"/>
      <c r="K443" s="87"/>
      <c r="L443" s="91"/>
      <c r="M443" s="91"/>
      <c r="N443" s="88">
        <f>Goods_Receipt[[#This Row],[ Invoice. /
 Received Qty ]]-Goods_Receipt[[#This Row],[ Accepted Qty ]]</f>
        <v>0</v>
      </c>
      <c r="O443" s="87"/>
      <c r="P443" s="87"/>
      <c r="Q443" s="87"/>
      <c r="R443" s="87"/>
      <c r="S443" s="87"/>
      <c r="T443" s="85"/>
      <c r="U443" s="89"/>
      <c r="V443" s="90"/>
      <c r="W443" s="87"/>
      <c r="X443" s="91"/>
      <c r="Y443" s="84"/>
      <c r="Z443" s="97"/>
    </row>
    <row r="444" spans="1:26" s="98" customFormat="1" x14ac:dyDescent="0.35">
      <c r="A444" s="86">
        <v>441</v>
      </c>
      <c r="B444" s="85"/>
      <c r="C444" s="87"/>
      <c r="D444" s="85"/>
      <c r="E444" s="84"/>
      <c r="F444" s="85"/>
      <c r="G444" s="87"/>
      <c r="H444" s="87"/>
      <c r="I444" s="87"/>
      <c r="J444" s="101"/>
      <c r="K444" s="87"/>
      <c r="L444" s="91"/>
      <c r="M444" s="91"/>
      <c r="N444" s="88">
        <f>Goods_Receipt[[#This Row],[ Invoice. /
 Received Qty ]]-Goods_Receipt[[#This Row],[ Accepted Qty ]]</f>
        <v>0</v>
      </c>
      <c r="O444" s="87"/>
      <c r="P444" s="87"/>
      <c r="Q444" s="87"/>
      <c r="R444" s="87"/>
      <c r="S444" s="87"/>
      <c r="T444" s="85"/>
      <c r="U444" s="89"/>
      <c r="V444" s="90"/>
      <c r="W444" s="87"/>
      <c r="X444" s="91"/>
      <c r="Y444" s="84"/>
      <c r="Z444" s="97"/>
    </row>
    <row r="445" spans="1:26" s="98" customFormat="1" x14ac:dyDescent="0.35">
      <c r="A445" s="86">
        <v>442</v>
      </c>
      <c r="B445" s="85"/>
      <c r="C445" s="87"/>
      <c r="D445" s="85"/>
      <c r="E445" s="84"/>
      <c r="F445" s="85"/>
      <c r="G445" s="87"/>
      <c r="H445" s="87"/>
      <c r="I445" s="87"/>
      <c r="J445" s="101"/>
      <c r="K445" s="87"/>
      <c r="L445" s="91"/>
      <c r="M445" s="91"/>
      <c r="N445" s="88">
        <f>Goods_Receipt[[#This Row],[ Invoice. /
 Received Qty ]]-Goods_Receipt[[#This Row],[ Accepted Qty ]]</f>
        <v>0</v>
      </c>
      <c r="O445" s="87"/>
      <c r="P445" s="87"/>
      <c r="Q445" s="87"/>
      <c r="R445" s="87"/>
      <c r="S445" s="87"/>
      <c r="T445" s="85"/>
      <c r="U445" s="89"/>
      <c r="V445" s="90"/>
      <c r="W445" s="87"/>
      <c r="X445" s="91"/>
      <c r="Y445" s="84"/>
      <c r="Z445" s="97"/>
    </row>
    <row r="446" spans="1:26" s="98" customFormat="1" x14ac:dyDescent="0.35">
      <c r="A446" s="86">
        <v>443</v>
      </c>
      <c r="B446" s="85"/>
      <c r="C446" s="87"/>
      <c r="D446" s="85"/>
      <c r="E446" s="84"/>
      <c r="F446" s="85"/>
      <c r="G446" s="87"/>
      <c r="H446" s="87"/>
      <c r="I446" s="87"/>
      <c r="J446" s="101"/>
      <c r="K446" s="87"/>
      <c r="L446" s="91"/>
      <c r="M446" s="91"/>
      <c r="N446" s="88">
        <f>Goods_Receipt[[#This Row],[ Invoice. /
 Received Qty ]]-Goods_Receipt[[#This Row],[ Accepted Qty ]]</f>
        <v>0</v>
      </c>
      <c r="O446" s="87"/>
      <c r="P446" s="87"/>
      <c r="Q446" s="87"/>
      <c r="R446" s="87"/>
      <c r="S446" s="87"/>
      <c r="T446" s="85"/>
      <c r="U446" s="89"/>
      <c r="V446" s="90"/>
      <c r="W446" s="87"/>
      <c r="X446" s="91"/>
      <c r="Y446" s="84"/>
      <c r="Z446" s="97"/>
    </row>
    <row r="447" spans="1:26" s="98" customFormat="1" x14ac:dyDescent="0.35">
      <c r="A447" s="86">
        <v>444</v>
      </c>
      <c r="B447" s="85"/>
      <c r="C447" s="87"/>
      <c r="D447" s="85"/>
      <c r="E447" s="84"/>
      <c r="F447" s="85"/>
      <c r="G447" s="87"/>
      <c r="H447" s="87"/>
      <c r="I447" s="87"/>
      <c r="J447" s="101"/>
      <c r="K447" s="87"/>
      <c r="L447" s="91"/>
      <c r="M447" s="91"/>
      <c r="N447" s="88">
        <f>Goods_Receipt[[#This Row],[ Invoice. /
 Received Qty ]]-Goods_Receipt[[#This Row],[ Accepted Qty ]]</f>
        <v>0</v>
      </c>
      <c r="O447" s="87"/>
      <c r="P447" s="87"/>
      <c r="Q447" s="87"/>
      <c r="R447" s="87"/>
      <c r="S447" s="87"/>
      <c r="T447" s="85"/>
      <c r="U447" s="89"/>
      <c r="V447" s="90"/>
      <c r="W447" s="87"/>
      <c r="X447" s="91"/>
      <c r="Y447" s="84"/>
      <c r="Z447" s="97"/>
    </row>
    <row r="448" spans="1:26" s="98" customFormat="1" x14ac:dyDescent="0.35">
      <c r="A448" s="86">
        <v>445</v>
      </c>
      <c r="B448" s="85"/>
      <c r="C448" s="87"/>
      <c r="D448" s="85"/>
      <c r="E448" s="84"/>
      <c r="F448" s="85"/>
      <c r="G448" s="87"/>
      <c r="H448" s="87"/>
      <c r="I448" s="87"/>
      <c r="J448" s="101"/>
      <c r="K448" s="87"/>
      <c r="L448" s="91"/>
      <c r="M448" s="91"/>
      <c r="N448" s="88">
        <f>Goods_Receipt[[#This Row],[ Invoice. /
 Received Qty ]]-Goods_Receipt[[#This Row],[ Accepted Qty ]]</f>
        <v>0</v>
      </c>
      <c r="O448" s="87"/>
      <c r="P448" s="87"/>
      <c r="Q448" s="87"/>
      <c r="R448" s="87"/>
      <c r="S448" s="87"/>
      <c r="T448" s="85"/>
      <c r="U448" s="89"/>
      <c r="V448" s="90"/>
      <c r="W448" s="87"/>
      <c r="X448" s="91"/>
      <c r="Y448" s="84"/>
      <c r="Z448" s="97"/>
    </row>
    <row r="449" spans="1:26" s="98" customFormat="1" x14ac:dyDescent="0.35">
      <c r="A449" s="86">
        <v>446</v>
      </c>
      <c r="B449" s="85"/>
      <c r="C449" s="87"/>
      <c r="D449" s="85"/>
      <c r="E449" s="84"/>
      <c r="F449" s="85"/>
      <c r="G449" s="87"/>
      <c r="H449" s="87"/>
      <c r="I449" s="87"/>
      <c r="J449" s="101"/>
      <c r="K449" s="87"/>
      <c r="L449" s="91"/>
      <c r="M449" s="91"/>
      <c r="N449" s="88">
        <f>Goods_Receipt[[#This Row],[ Invoice. /
 Received Qty ]]-Goods_Receipt[[#This Row],[ Accepted Qty ]]</f>
        <v>0</v>
      </c>
      <c r="O449" s="87"/>
      <c r="P449" s="87"/>
      <c r="Q449" s="87"/>
      <c r="R449" s="87"/>
      <c r="S449" s="87"/>
      <c r="T449" s="85"/>
      <c r="U449" s="89"/>
      <c r="V449" s="90"/>
      <c r="W449" s="87"/>
      <c r="X449" s="91"/>
      <c r="Y449" s="84"/>
      <c r="Z449" s="97"/>
    </row>
    <row r="450" spans="1:26" s="98" customFormat="1" x14ac:dyDescent="0.35">
      <c r="A450" s="86">
        <v>447</v>
      </c>
      <c r="B450" s="85"/>
      <c r="C450" s="87"/>
      <c r="D450" s="85"/>
      <c r="E450" s="84"/>
      <c r="F450" s="85"/>
      <c r="G450" s="87"/>
      <c r="H450" s="87"/>
      <c r="I450" s="87"/>
      <c r="J450" s="101"/>
      <c r="K450" s="87"/>
      <c r="L450" s="91"/>
      <c r="M450" s="91"/>
      <c r="N450" s="88">
        <f>Goods_Receipt[[#This Row],[ Invoice. /
 Received Qty ]]-Goods_Receipt[[#This Row],[ Accepted Qty ]]</f>
        <v>0</v>
      </c>
      <c r="O450" s="87"/>
      <c r="P450" s="87"/>
      <c r="Q450" s="87"/>
      <c r="R450" s="87"/>
      <c r="S450" s="87"/>
      <c r="T450" s="85"/>
      <c r="U450" s="89"/>
      <c r="V450" s="90"/>
      <c r="W450" s="87"/>
      <c r="X450" s="91"/>
      <c r="Y450" s="84"/>
      <c r="Z450" s="97"/>
    </row>
    <row r="451" spans="1:26" s="98" customFormat="1" x14ac:dyDescent="0.35">
      <c r="A451" s="86">
        <v>448</v>
      </c>
      <c r="B451" s="85"/>
      <c r="C451" s="87"/>
      <c r="D451" s="85"/>
      <c r="E451" s="84"/>
      <c r="F451" s="85"/>
      <c r="G451" s="87"/>
      <c r="H451" s="87"/>
      <c r="I451" s="87"/>
      <c r="J451" s="101"/>
      <c r="K451" s="87"/>
      <c r="L451" s="91"/>
      <c r="M451" s="91"/>
      <c r="N451" s="88">
        <f>Goods_Receipt[[#This Row],[ Invoice. /
 Received Qty ]]-Goods_Receipt[[#This Row],[ Accepted Qty ]]</f>
        <v>0</v>
      </c>
      <c r="O451" s="87"/>
      <c r="P451" s="87"/>
      <c r="Q451" s="87"/>
      <c r="R451" s="87"/>
      <c r="S451" s="87"/>
      <c r="T451" s="85"/>
      <c r="U451" s="89"/>
      <c r="V451" s="90"/>
      <c r="W451" s="87"/>
      <c r="X451" s="91"/>
      <c r="Y451" s="84"/>
      <c r="Z451" s="97"/>
    </row>
    <row r="452" spans="1:26" s="98" customFormat="1" x14ac:dyDescent="0.35">
      <c r="A452" s="86">
        <v>449</v>
      </c>
      <c r="B452" s="85"/>
      <c r="C452" s="87"/>
      <c r="D452" s="85"/>
      <c r="E452" s="84"/>
      <c r="F452" s="85"/>
      <c r="G452" s="87"/>
      <c r="H452" s="87"/>
      <c r="I452" s="87"/>
      <c r="J452" s="101"/>
      <c r="K452" s="87"/>
      <c r="L452" s="91"/>
      <c r="M452" s="91"/>
      <c r="N452" s="88">
        <f>Goods_Receipt[[#This Row],[ Invoice. /
 Received Qty ]]-Goods_Receipt[[#This Row],[ Accepted Qty ]]</f>
        <v>0</v>
      </c>
      <c r="O452" s="87"/>
      <c r="P452" s="87"/>
      <c r="Q452" s="87"/>
      <c r="R452" s="87"/>
      <c r="S452" s="87"/>
      <c r="T452" s="85"/>
      <c r="U452" s="89"/>
      <c r="V452" s="90"/>
      <c r="W452" s="87"/>
      <c r="X452" s="91"/>
      <c r="Y452" s="84"/>
      <c r="Z452" s="97"/>
    </row>
    <row r="453" spans="1:26" s="98" customFormat="1" x14ac:dyDescent="0.35">
      <c r="A453" s="86">
        <v>450</v>
      </c>
      <c r="B453" s="85"/>
      <c r="C453" s="87"/>
      <c r="D453" s="85"/>
      <c r="E453" s="84"/>
      <c r="F453" s="85"/>
      <c r="G453" s="87"/>
      <c r="H453" s="87"/>
      <c r="I453" s="87"/>
      <c r="J453" s="101"/>
      <c r="K453" s="87"/>
      <c r="L453" s="91"/>
      <c r="M453" s="91"/>
      <c r="N453" s="88">
        <f>Goods_Receipt[[#This Row],[ Invoice. /
 Received Qty ]]-Goods_Receipt[[#This Row],[ Accepted Qty ]]</f>
        <v>0</v>
      </c>
      <c r="O453" s="87"/>
      <c r="P453" s="87"/>
      <c r="Q453" s="87"/>
      <c r="R453" s="87"/>
      <c r="S453" s="87"/>
      <c r="T453" s="85"/>
      <c r="U453" s="89"/>
      <c r="V453" s="90"/>
      <c r="W453" s="87"/>
      <c r="X453" s="91"/>
      <c r="Y453" s="84"/>
      <c r="Z453" s="97"/>
    </row>
    <row r="454" spans="1:26" s="98" customFormat="1" x14ac:dyDescent="0.35">
      <c r="A454" s="86">
        <v>451</v>
      </c>
      <c r="B454" s="85"/>
      <c r="C454" s="87"/>
      <c r="D454" s="85"/>
      <c r="E454" s="84"/>
      <c r="F454" s="85"/>
      <c r="G454" s="87"/>
      <c r="H454" s="87"/>
      <c r="I454" s="87"/>
      <c r="J454" s="101"/>
      <c r="K454" s="87"/>
      <c r="L454" s="91"/>
      <c r="M454" s="91"/>
      <c r="N454" s="88">
        <f>Goods_Receipt[[#This Row],[ Invoice. /
 Received Qty ]]-Goods_Receipt[[#This Row],[ Accepted Qty ]]</f>
        <v>0</v>
      </c>
      <c r="O454" s="87"/>
      <c r="P454" s="87"/>
      <c r="Q454" s="87"/>
      <c r="R454" s="87"/>
      <c r="S454" s="87"/>
      <c r="T454" s="85"/>
      <c r="U454" s="89"/>
      <c r="V454" s="90"/>
      <c r="W454" s="87"/>
      <c r="X454" s="91"/>
      <c r="Y454" s="84"/>
      <c r="Z454" s="97"/>
    </row>
    <row r="455" spans="1:26" s="98" customFormat="1" x14ac:dyDescent="0.35">
      <c r="A455" s="86">
        <v>452</v>
      </c>
      <c r="B455" s="85"/>
      <c r="C455" s="87"/>
      <c r="D455" s="85"/>
      <c r="E455" s="84"/>
      <c r="F455" s="85"/>
      <c r="G455" s="87"/>
      <c r="H455" s="87"/>
      <c r="I455" s="87"/>
      <c r="J455" s="101"/>
      <c r="K455" s="87"/>
      <c r="L455" s="91"/>
      <c r="M455" s="91"/>
      <c r="N455" s="88">
        <f>Goods_Receipt[[#This Row],[ Invoice. /
 Received Qty ]]-Goods_Receipt[[#This Row],[ Accepted Qty ]]</f>
        <v>0</v>
      </c>
      <c r="O455" s="87"/>
      <c r="P455" s="87"/>
      <c r="Q455" s="87"/>
      <c r="R455" s="87"/>
      <c r="S455" s="87"/>
      <c r="T455" s="85"/>
      <c r="U455" s="89"/>
      <c r="V455" s="90"/>
      <c r="W455" s="87"/>
      <c r="X455" s="91"/>
      <c r="Y455" s="84"/>
      <c r="Z455" s="97"/>
    </row>
    <row r="456" spans="1:26" s="98" customFormat="1" x14ac:dyDescent="0.35">
      <c r="A456" s="86">
        <v>453</v>
      </c>
      <c r="B456" s="85"/>
      <c r="C456" s="87"/>
      <c r="D456" s="85"/>
      <c r="E456" s="84"/>
      <c r="F456" s="85"/>
      <c r="G456" s="87"/>
      <c r="H456" s="87"/>
      <c r="I456" s="87"/>
      <c r="J456" s="101"/>
      <c r="K456" s="87"/>
      <c r="L456" s="91"/>
      <c r="M456" s="91"/>
      <c r="N456" s="88">
        <f>Goods_Receipt[[#This Row],[ Invoice. /
 Received Qty ]]-Goods_Receipt[[#This Row],[ Accepted Qty ]]</f>
        <v>0</v>
      </c>
      <c r="O456" s="87"/>
      <c r="P456" s="87"/>
      <c r="Q456" s="87"/>
      <c r="R456" s="87"/>
      <c r="S456" s="87"/>
      <c r="T456" s="85"/>
      <c r="U456" s="89"/>
      <c r="V456" s="90"/>
      <c r="W456" s="87"/>
      <c r="X456" s="91"/>
      <c r="Y456" s="84"/>
      <c r="Z456" s="97"/>
    </row>
    <row r="457" spans="1:26" s="98" customFormat="1" x14ac:dyDescent="0.35">
      <c r="A457" s="86">
        <v>454</v>
      </c>
      <c r="B457" s="85"/>
      <c r="C457" s="87"/>
      <c r="D457" s="85"/>
      <c r="E457" s="84"/>
      <c r="F457" s="85"/>
      <c r="G457" s="87"/>
      <c r="H457" s="87"/>
      <c r="I457" s="87"/>
      <c r="J457" s="101"/>
      <c r="K457" s="87"/>
      <c r="L457" s="91"/>
      <c r="M457" s="91"/>
      <c r="N457" s="88">
        <f>Goods_Receipt[[#This Row],[ Invoice. /
 Received Qty ]]-Goods_Receipt[[#This Row],[ Accepted Qty ]]</f>
        <v>0</v>
      </c>
      <c r="O457" s="87"/>
      <c r="P457" s="87"/>
      <c r="Q457" s="87"/>
      <c r="R457" s="87"/>
      <c r="S457" s="87"/>
      <c r="T457" s="85"/>
      <c r="U457" s="89"/>
      <c r="V457" s="90"/>
      <c r="W457" s="87"/>
      <c r="X457" s="91"/>
      <c r="Y457" s="84"/>
      <c r="Z457" s="97"/>
    </row>
    <row r="458" spans="1:26" s="98" customFormat="1" x14ac:dyDescent="0.35">
      <c r="A458" s="86">
        <v>455</v>
      </c>
      <c r="B458" s="85"/>
      <c r="C458" s="87"/>
      <c r="D458" s="85"/>
      <c r="E458" s="84"/>
      <c r="F458" s="85"/>
      <c r="G458" s="87"/>
      <c r="H458" s="87"/>
      <c r="I458" s="87"/>
      <c r="J458" s="101"/>
      <c r="K458" s="87"/>
      <c r="L458" s="91"/>
      <c r="M458" s="91"/>
      <c r="N458" s="88">
        <f>Goods_Receipt[[#This Row],[ Invoice. /
 Received Qty ]]-Goods_Receipt[[#This Row],[ Accepted Qty ]]</f>
        <v>0</v>
      </c>
      <c r="O458" s="87"/>
      <c r="P458" s="87"/>
      <c r="Q458" s="87"/>
      <c r="R458" s="87"/>
      <c r="S458" s="87"/>
      <c r="T458" s="85"/>
      <c r="U458" s="89"/>
      <c r="V458" s="90"/>
      <c r="W458" s="87"/>
      <c r="X458" s="91"/>
      <c r="Y458" s="84"/>
      <c r="Z458" s="97"/>
    </row>
    <row r="459" spans="1:26" s="98" customFormat="1" x14ac:dyDescent="0.35">
      <c r="A459" s="86">
        <v>456</v>
      </c>
      <c r="B459" s="85"/>
      <c r="C459" s="87"/>
      <c r="D459" s="85"/>
      <c r="E459" s="84"/>
      <c r="F459" s="85"/>
      <c r="G459" s="87"/>
      <c r="H459" s="87"/>
      <c r="I459" s="87"/>
      <c r="J459" s="101"/>
      <c r="K459" s="87"/>
      <c r="L459" s="91"/>
      <c r="M459" s="91"/>
      <c r="N459" s="88">
        <f>Goods_Receipt[[#This Row],[ Invoice. /
 Received Qty ]]-Goods_Receipt[[#This Row],[ Accepted Qty ]]</f>
        <v>0</v>
      </c>
      <c r="O459" s="87"/>
      <c r="P459" s="87"/>
      <c r="Q459" s="87"/>
      <c r="R459" s="87"/>
      <c r="S459" s="87"/>
      <c r="T459" s="85"/>
      <c r="U459" s="89"/>
      <c r="V459" s="90"/>
      <c r="W459" s="87"/>
      <c r="X459" s="91"/>
      <c r="Y459" s="84"/>
      <c r="Z459" s="97"/>
    </row>
    <row r="460" spans="1:26" s="98" customFormat="1" x14ac:dyDescent="0.35">
      <c r="A460" s="86">
        <v>457</v>
      </c>
      <c r="B460" s="85"/>
      <c r="C460" s="87"/>
      <c r="D460" s="85"/>
      <c r="E460" s="84"/>
      <c r="F460" s="85"/>
      <c r="G460" s="87"/>
      <c r="H460" s="87"/>
      <c r="I460" s="87"/>
      <c r="J460" s="101"/>
      <c r="K460" s="87"/>
      <c r="L460" s="91"/>
      <c r="M460" s="91"/>
      <c r="N460" s="88">
        <f>Goods_Receipt[[#This Row],[ Invoice. /
 Received Qty ]]-Goods_Receipt[[#This Row],[ Accepted Qty ]]</f>
        <v>0</v>
      </c>
      <c r="O460" s="87"/>
      <c r="P460" s="87"/>
      <c r="Q460" s="87"/>
      <c r="R460" s="87"/>
      <c r="S460" s="87"/>
      <c r="T460" s="85"/>
      <c r="U460" s="89"/>
      <c r="V460" s="90"/>
      <c r="W460" s="87"/>
      <c r="X460" s="91"/>
      <c r="Y460" s="84"/>
      <c r="Z460" s="97"/>
    </row>
    <row r="461" spans="1:26" s="98" customFormat="1" x14ac:dyDescent="0.35">
      <c r="A461" s="86">
        <v>458</v>
      </c>
      <c r="B461" s="85"/>
      <c r="C461" s="87"/>
      <c r="D461" s="85"/>
      <c r="E461" s="84"/>
      <c r="F461" s="85"/>
      <c r="G461" s="87"/>
      <c r="H461" s="87"/>
      <c r="I461" s="87"/>
      <c r="J461" s="101"/>
      <c r="K461" s="87"/>
      <c r="L461" s="91"/>
      <c r="M461" s="91"/>
      <c r="N461" s="88">
        <f>Goods_Receipt[[#This Row],[ Invoice. /
 Received Qty ]]-Goods_Receipt[[#This Row],[ Accepted Qty ]]</f>
        <v>0</v>
      </c>
      <c r="O461" s="87"/>
      <c r="P461" s="87"/>
      <c r="Q461" s="87"/>
      <c r="R461" s="87"/>
      <c r="S461" s="87"/>
      <c r="T461" s="85"/>
      <c r="U461" s="89"/>
      <c r="V461" s="90"/>
      <c r="W461" s="87"/>
      <c r="X461" s="91"/>
      <c r="Y461" s="84"/>
      <c r="Z461" s="97"/>
    </row>
    <row r="462" spans="1:26" s="98" customFormat="1" x14ac:dyDescent="0.35">
      <c r="A462" s="86">
        <v>459</v>
      </c>
      <c r="B462" s="85"/>
      <c r="C462" s="87"/>
      <c r="D462" s="85"/>
      <c r="E462" s="84"/>
      <c r="F462" s="85"/>
      <c r="G462" s="87"/>
      <c r="H462" s="87"/>
      <c r="I462" s="87"/>
      <c r="J462" s="101"/>
      <c r="K462" s="87"/>
      <c r="L462" s="91"/>
      <c r="M462" s="91"/>
      <c r="N462" s="88">
        <f>Goods_Receipt[[#This Row],[ Invoice. /
 Received Qty ]]-Goods_Receipt[[#This Row],[ Accepted Qty ]]</f>
        <v>0</v>
      </c>
      <c r="O462" s="87"/>
      <c r="P462" s="87"/>
      <c r="Q462" s="87"/>
      <c r="R462" s="87"/>
      <c r="S462" s="87"/>
      <c r="T462" s="85"/>
      <c r="U462" s="89"/>
      <c r="V462" s="90"/>
      <c r="W462" s="87"/>
      <c r="X462" s="91"/>
      <c r="Y462" s="84"/>
      <c r="Z462" s="97"/>
    </row>
    <row r="463" spans="1:26" s="98" customFormat="1" x14ac:dyDescent="0.35">
      <c r="A463" s="86">
        <v>460</v>
      </c>
      <c r="B463" s="85"/>
      <c r="C463" s="87"/>
      <c r="D463" s="85"/>
      <c r="E463" s="84"/>
      <c r="F463" s="85"/>
      <c r="G463" s="87"/>
      <c r="H463" s="87"/>
      <c r="I463" s="87"/>
      <c r="J463" s="101"/>
      <c r="K463" s="87"/>
      <c r="L463" s="91"/>
      <c r="M463" s="91"/>
      <c r="N463" s="88">
        <f>Goods_Receipt[[#This Row],[ Invoice. /
 Received Qty ]]-Goods_Receipt[[#This Row],[ Accepted Qty ]]</f>
        <v>0</v>
      </c>
      <c r="O463" s="87"/>
      <c r="P463" s="87"/>
      <c r="Q463" s="87"/>
      <c r="R463" s="87"/>
      <c r="S463" s="87"/>
      <c r="T463" s="85"/>
      <c r="U463" s="89"/>
      <c r="V463" s="90"/>
      <c r="W463" s="87"/>
      <c r="X463" s="91"/>
      <c r="Y463" s="84"/>
      <c r="Z463" s="97"/>
    </row>
    <row r="464" spans="1:26" s="98" customFormat="1" x14ac:dyDescent="0.35">
      <c r="A464" s="86">
        <v>461</v>
      </c>
      <c r="B464" s="85"/>
      <c r="C464" s="87"/>
      <c r="D464" s="85"/>
      <c r="E464" s="84"/>
      <c r="F464" s="85"/>
      <c r="G464" s="87"/>
      <c r="H464" s="87"/>
      <c r="I464" s="87"/>
      <c r="J464" s="101"/>
      <c r="K464" s="87"/>
      <c r="L464" s="91"/>
      <c r="M464" s="91"/>
      <c r="N464" s="88">
        <f>Goods_Receipt[[#This Row],[ Invoice. /
 Received Qty ]]-Goods_Receipt[[#This Row],[ Accepted Qty ]]</f>
        <v>0</v>
      </c>
      <c r="O464" s="87"/>
      <c r="P464" s="87"/>
      <c r="Q464" s="87"/>
      <c r="R464" s="87"/>
      <c r="S464" s="87"/>
      <c r="T464" s="85"/>
      <c r="U464" s="89"/>
      <c r="V464" s="90"/>
      <c r="W464" s="87"/>
      <c r="X464" s="91"/>
      <c r="Y464" s="84"/>
      <c r="Z464" s="97"/>
    </row>
    <row r="465" spans="1:26" s="98" customFormat="1" x14ac:dyDescent="0.35">
      <c r="A465" s="86">
        <v>462</v>
      </c>
      <c r="B465" s="85"/>
      <c r="C465" s="87"/>
      <c r="D465" s="85"/>
      <c r="E465" s="84"/>
      <c r="F465" s="85"/>
      <c r="G465" s="87"/>
      <c r="H465" s="87"/>
      <c r="I465" s="87"/>
      <c r="J465" s="101"/>
      <c r="K465" s="87"/>
      <c r="L465" s="91"/>
      <c r="M465" s="91"/>
      <c r="N465" s="88">
        <f>Goods_Receipt[[#This Row],[ Invoice. /
 Received Qty ]]-Goods_Receipt[[#This Row],[ Accepted Qty ]]</f>
        <v>0</v>
      </c>
      <c r="O465" s="87"/>
      <c r="P465" s="87"/>
      <c r="Q465" s="87"/>
      <c r="R465" s="87"/>
      <c r="S465" s="87"/>
      <c r="T465" s="85"/>
      <c r="U465" s="89"/>
      <c r="V465" s="90"/>
      <c r="W465" s="87"/>
      <c r="X465" s="91"/>
      <c r="Y465" s="84"/>
      <c r="Z465" s="97"/>
    </row>
    <row r="466" spans="1:26" s="98" customFormat="1" x14ac:dyDescent="0.35">
      <c r="A466" s="86">
        <v>463</v>
      </c>
      <c r="B466" s="85"/>
      <c r="C466" s="87"/>
      <c r="D466" s="85"/>
      <c r="E466" s="84"/>
      <c r="F466" s="85"/>
      <c r="G466" s="87"/>
      <c r="H466" s="87"/>
      <c r="I466" s="87"/>
      <c r="J466" s="101"/>
      <c r="K466" s="87"/>
      <c r="L466" s="91"/>
      <c r="M466" s="91"/>
      <c r="N466" s="88">
        <f>Goods_Receipt[[#This Row],[ Invoice. /
 Received Qty ]]-Goods_Receipt[[#This Row],[ Accepted Qty ]]</f>
        <v>0</v>
      </c>
      <c r="O466" s="87"/>
      <c r="P466" s="87"/>
      <c r="Q466" s="87"/>
      <c r="R466" s="87"/>
      <c r="S466" s="87"/>
      <c r="T466" s="85"/>
      <c r="U466" s="89"/>
      <c r="V466" s="90"/>
      <c r="W466" s="87"/>
      <c r="X466" s="91"/>
      <c r="Y466" s="84"/>
      <c r="Z466" s="97"/>
    </row>
    <row r="467" spans="1:26" s="98" customFormat="1" x14ac:dyDescent="0.35">
      <c r="A467" s="86">
        <v>464</v>
      </c>
      <c r="B467" s="85"/>
      <c r="C467" s="87"/>
      <c r="D467" s="85"/>
      <c r="E467" s="84"/>
      <c r="F467" s="85"/>
      <c r="G467" s="87"/>
      <c r="H467" s="87"/>
      <c r="I467" s="87"/>
      <c r="J467" s="101"/>
      <c r="K467" s="87"/>
      <c r="L467" s="91"/>
      <c r="M467" s="91"/>
      <c r="N467" s="88">
        <f>Goods_Receipt[[#This Row],[ Invoice. /
 Received Qty ]]-Goods_Receipt[[#This Row],[ Accepted Qty ]]</f>
        <v>0</v>
      </c>
      <c r="O467" s="87"/>
      <c r="P467" s="87"/>
      <c r="Q467" s="87"/>
      <c r="R467" s="87"/>
      <c r="S467" s="87"/>
      <c r="T467" s="85"/>
      <c r="U467" s="89"/>
      <c r="V467" s="90"/>
      <c r="W467" s="87"/>
      <c r="X467" s="91"/>
      <c r="Y467" s="84"/>
      <c r="Z467" s="97"/>
    </row>
    <row r="468" spans="1:26" s="98" customFormat="1" x14ac:dyDescent="0.35">
      <c r="A468" s="86">
        <v>465</v>
      </c>
      <c r="B468" s="85"/>
      <c r="C468" s="87"/>
      <c r="D468" s="85"/>
      <c r="E468" s="84"/>
      <c r="F468" s="85"/>
      <c r="G468" s="87"/>
      <c r="H468" s="87"/>
      <c r="I468" s="87"/>
      <c r="J468" s="101"/>
      <c r="K468" s="87"/>
      <c r="L468" s="91"/>
      <c r="M468" s="91"/>
      <c r="N468" s="88">
        <f>Goods_Receipt[[#This Row],[ Invoice. /
 Received Qty ]]-Goods_Receipt[[#This Row],[ Accepted Qty ]]</f>
        <v>0</v>
      </c>
      <c r="O468" s="87"/>
      <c r="P468" s="87"/>
      <c r="Q468" s="87"/>
      <c r="R468" s="87"/>
      <c r="S468" s="87"/>
      <c r="T468" s="85"/>
      <c r="U468" s="89"/>
      <c r="V468" s="90"/>
      <c r="W468" s="87"/>
      <c r="X468" s="91"/>
      <c r="Y468" s="84"/>
      <c r="Z468" s="97"/>
    </row>
    <row r="469" spans="1:26" s="98" customFormat="1" x14ac:dyDescent="0.35">
      <c r="A469" s="86">
        <v>466</v>
      </c>
      <c r="B469" s="85"/>
      <c r="C469" s="87"/>
      <c r="D469" s="85"/>
      <c r="E469" s="84"/>
      <c r="F469" s="85"/>
      <c r="G469" s="87"/>
      <c r="H469" s="87"/>
      <c r="I469" s="87"/>
      <c r="J469" s="101"/>
      <c r="K469" s="87"/>
      <c r="L469" s="91"/>
      <c r="M469" s="91"/>
      <c r="N469" s="88">
        <f>Goods_Receipt[[#This Row],[ Invoice. /
 Received Qty ]]-Goods_Receipt[[#This Row],[ Accepted Qty ]]</f>
        <v>0</v>
      </c>
      <c r="O469" s="87"/>
      <c r="P469" s="87"/>
      <c r="Q469" s="87"/>
      <c r="R469" s="87"/>
      <c r="S469" s="87"/>
      <c r="T469" s="85"/>
      <c r="U469" s="89"/>
      <c r="V469" s="90"/>
      <c r="W469" s="87"/>
      <c r="X469" s="91"/>
      <c r="Y469" s="84"/>
      <c r="Z469" s="97"/>
    </row>
    <row r="470" spans="1:26" s="98" customFormat="1" x14ac:dyDescent="0.35">
      <c r="A470" s="86">
        <v>467</v>
      </c>
      <c r="B470" s="85"/>
      <c r="C470" s="87"/>
      <c r="D470" s="85"/>
      <c r="E470" s="84"/>
      <c r="F470" s="85"/>
      <c r="G470" s="87"/>
      <c r="H470" s="87"/>
      <c r="I470" s="87"/>
      <c r="J470" s="101"/>
      <c r="K470" s="87"/>
      <c r="L470" s="91"/>
      <c r="M470" s="91"/>
      <c r="N470" s="88">
        <f>Goods_Receipt[[#This Row],[ Invoice. /
 Received Qty ]]-Goods_Receipt[[#This Row],[ Accepted Qty ]]</f>
        <v>0</v>
      </c>
      <c r="O470" s="87"/>
      <c r="P470" s="87"/>
      <c r="Q470" s="87"/>
      <c r="R470" s="87"/>
      <c r="S470" s="87"/>
      <c r="T470" s="85"/>
      <c r="U470" s="89"/>
      <c r="V470" s="90"/>
      <c r="W470" s="87"/>
      <c r="X470" s="91"/>
      <c r="Y470" s="84"/>
      <c r="Z470" s="97"/>
    </row>
    <row r="471" spans="1:26" s="98" customFormat="1" x14ac:dyDescent="0.35">
      <c r="A471" s="86">
        <v>468</v>
      </c>
      <c r="B471" s="85"/>
      <c r="C471" s="87"/>
      <c r="D471" s="85"/>
      <c r="E471" s="84"/>
      <c r="F471" s="85"/>
      <c r="G471" s="87"/>
      <c r="H471" s="87"/>
      <c r="I471" s="87"/>
      <c r="J471" s="101"/>
      <c r="K471" s="87"/>
      <c r="L471" s="91"/>
      <c r="M471" s="91"/>
      <c r="N471" s="88">
        <f>Goods_Receipt[[#This Row],[ Invoice. /
 Received Qty ]]-Goods_Receipt[[#This Row],[ Accepted Qty ]]</f>
        <v>0</v>
      </c>
      <c r="O471" s="87"/>
      <c r="P471" s="87"/>
      <c r="Q471" s="87"/>
      <c r="R471" s="87"/>
      <c r="S471" s="87"/>
      <c r="T471" s="85"/>
      <c r="U471" s="89"/>
      <c r="V471" s="90"/>
      <c r="W471" s="87"/>
      <c r="X471" s="91"/>
      <c r="Y471" s="84"/>
      <c r="Z471" s="97"/>
    </row>
    <row r="472" spans="1:26" s="98" customFormat="1" x14ac:dyDescent="0.35">
      <c r="A472" s="86">
        <v>469</v>
      </c>
      <c r="B472" s="85"/>
      <c r="C472" s="87"/>
      <c r="D472" s="85"/>
      <c r="E472" s="84"/>
      <c r="F472" s="85"/>
      <c r="G472" s="87"/>
      <c r="H472" s="87"/>
      <c r="I472" s="87"/>
      <c r="J472" s="101"/>
      <c r="K472" s="87"/>
      <c r="L472" s="91"/>
      <c r="M472" s="91"/>
      <c r="N472" s="88">
        <f>Goods_Receipt[[#This Row],[ Invoice. /
 Received Qty ]]-Goods_Receipt[[#This Row],[ Accepted Qty ]]</f>
        <v>0</v>
      </c>
      <c r="O472" s="87"/>
      <c r="P472" s="87"/>
      <c r="Q472" s="87"/>
      <c r="R472" s="87"/>
      <c r="S472" s="87"/>
      <c r="T472" s="85"/>
      <c r="U472" s="89"/>
      <c r="V472" s="90"/>
      <c r="W472" s="87"/>
      <c r="X472" s="91"/>
      <c r="Y472" s="84"/>
      <c r="Z472" s="97"/>
    </row>
    <row r="473" spans="1:26" s="98" customFormat="1" x14ac:dyDescent="0.35">
      <c r="A473" s="86">
        <v>470</v>
      </c>
      <c r="B473" s="85"/>
      <c r="C473" s="87"/>
      <c r="D473" s="85"/>
      <c r="E473" s="84"/>
      <c r="F473" s="85"/>
      <c r="G473" s="87"/>
      <c r="H473" s="87"/>
      <c r="I473" s="87"/>
      <c r="J473" s="101"/>
      <c r="K473" s="87"/>
      <c r="L473" s="91"/>
      <c r="M473" s="91"/>
      <c r="N473" s="88">
        <f>Goods_Receipt[[#This Row],[ Invoice. /
 Received Qty ]]-Goods_Receipt[[#This Row],[ Accepted Qty ]]</f>
        <v>0</v>
      </c>
      <c r="O473" s="87"/>
      <c r="P473" s="87"/>
      <c r="Q473" s="87"/>
      <c r="R473" s="87"/>
      <c r="S473" s="87"/>
      <c r="T473" s="85"/>
      <c r="U473" s="89"/>
      <c r="V473" s="90"/>
      <c r="W473" s="87"/>
      <c r="X473" s="91"/>
      <c r="Y473" s="84"/>
      <c r="Z473" s="97"/>
    </row>
    <row r="474" spans="1:26" s="98" customFormat="1" x14ac:dyDescent="0.35">
      <c r="A474" s="86">
        <v>471</v>
      </c>
      <c r="B474" s="85"/>
      <c r="C474" s="87"/>
      <c r="D474" s="85"/>
      <c r="E474" s="84"/>
      <c r="F474" s="85"/>
      <c r="G474" s="87"/>
      <c r="H474" s="87"/>
      <c r="I474" s="87"/>
      <c r="J474" s="101"/>
      <c r="K474" s="87"/>
      <c r="L474" s="91"/>
      <c r="M474" s="91"/>
      <c r="N474" s="88">
        <f>Goods_Receipt[[#This Row],[ Invoice. /
 Received Qty ]]-Goods_Receipt[[#This Row],[ Accepted Qty ]]</f>
        <v>0</v>
      </c>
      <c r="O474" s="87"/>
      <c r="P474" s="87"/>
      <c r="Q474" s="87"/>
      <c r="R474" s="87"/>
      <c r="S474" s="87"/>
      <c r="T474" s="85"/>
      <c r="U474" s="89"/>
      <c r="V474" s="90"/>
      <c r="W474" s="87"/>
      <c r="X474" s="91"/>
      <c r="Y474" s="84"/>
      <c r="Z474" s="97"/>
    </row>
    <row r="475" spans="1:26" s="98" customFormat="1" x14ac:dyDescent="0.35">
      <c r="A475" s="86">
        <v>472</v>
      </c>
      <c r="B475" s="85"/>
      <c r="C475" s="87"/>
      <c r="D475" s="85"/>
      <c r="E475" s="84"/>
      <c r="F475" s="85"/>
      <c r="G475" s="87"/>
      <c r="H475" s="87"/>
      <c r="I475" s="87"/>
      <c r="J475" s="101"/>
      <c r="K475" s="87"/>
      <c r="L475" s="91"/>
      <c r="M475" s="91"/>
      <c r="N475" s="88">
        <f>Goods_Receipt[[#This Row],[ Invoice. /
 Received Qty ]]-Goods_Receipt[[#This Row],[ Accepted Qty ]]</f>
        <v>0</v>
      </c>
      <c r="O475" s="87"/>
      <c r="P475" s="87"/>
      <c r="Q475" s="87"/>
      <c r="R475" s="87"/>
      <c r="S475" s="87"/>
      <c r="T475" s="85"/>
      <c r="U475" s="89"/>
      <c r="V475" s="90"/>
      <c r="W475" s="87"/>
      <c r="X475" s="91"/>
      <c r="Y475" s="84"/>
      <c r="Z475" s="97"/>
    </row>
    <row r="476" spans="1:26" s="98" customFormat="1" x14ac:dyDescent="0.35">
      <c r="A476" s="86">
        <v>473</v>
      </c>
      <c r="B476" s="85"/>
      <c r="C476" s="87"/>
      <c r="D476" s="85"/>
      <c r="E476" s="84"/>
      <c r="F476" s="85"/>
      <c r="G476" s="87"/>
      <c r="H476" s="87"/>
      <c r="I476" s="87"/>
      <c r="J476" s="101"/>
      <c r="K476" s="87"/>
      <c r="L476" s="91"/>
      <c r="M476" s="91"/>
      <c r="N476" s="88">
        <f>Goods_Receipt[[#This Row],[ Invoice. /
 Received Qty ]]-Goods_Receipt[[#This Row],[ Accepted Qty ]]</f>
        <v>0</v>
      </c>
      <c r="O476" s="87"/>
      <c r="P476" s="87"/>
      <c r="Q476" s="87"/>
      <c r="R476" s="87"/>
      <c r="S476" s="87"/>
      <c r="T476" s="85"/>
      <c r="U476" s="89"/>
      <c r="V476" s="90"/>
      <c r="W476" s="87"/>
      <c r="X476" s="91"/>
      <c r="Y476" s="84"/>
      <c r="Z476" s="97"/>
    </row>
    <row r="477" spans="1:26" s="98" customFormat="1" x14ac:dyDescent="0.35">
      <c r="A477" s="86">
        <v>474</v>
      </c>
      <c r="B477" s="85"/>
      <c r="C477" s="87"/>
      <c r="D477" s="85"/>
      <c r="E477" s="84"/>
      <c r="F477" s="85"/>
      <c r="G477" s="87"/>
      <c r="H477" s="87"/>
      <c r="I477" s="87"/>
      <c r="J477" s="101"/>
      <c r="K477" s="87"/>
      <c r="L477" s="91"/>
      <c r="M477" s="91"/>
      <c r="N477" s="88">
        <f>Goods_Receipt[[#This Row],[ Invoice. /
 Received Qty ]]-Goods_Receipt[[#This Row],[ Accepted Qty ]]</f>
        <v>0</v>
      </c>
      <c r="O477" s="87"/>
      <c r="P477" s="87"/>
      <c r="Q477" s="87"/>
      <c r="R477" s="87"/>
      <c r="S477" s="87"/>
      <c r="T477" s="85"/>
      <c r="U477" s="89"/>
      <c r="V477" s="90"/>
      <c r="W477" s="87"/>
      <c r="X477" s="91"/>
      <c r="Y477" s="84"/>
      <c r="Z477" s="97"/>
    </row>
    <row r="478" spans="1:26" s="98" customFormat="1" x14ac:dyDescent="0.35">
      <c r="A478" s="86">
        <v>475</v>
      </c>
      <c r="B478" s="85"/>
      <c r="C478" s="87"/>
      <c r="D478" s="85"/>
      <c r="E478" s="84"/>
      <c r="F478" s="85"/>
      <c r="G478" s="87"/>
      <c r="H478" s="87"/>
      <c r="I478" s="87"/>
      <c r="J478" s="101"/>
      <c r="K478" s="87"/>
      <c r="L478" s="91"/>
      <c r="M478" s="91"/>
      <c r="N478" s="88">
        <f>Goods_Receipt[[#This Row],[ Invoice. /
 Received Qty ]]-Goods_Receipt[[#This Row],[ Accepted Qty ]]</f>
        <v>0</v>
      </c>
      <c r="O478" s="87"/>
      <c r="P478" s="87"/>
      <c r="Q478" s="87"/>
      <c r="R478" s="87"/>
      <c r="S478" s="87"/>
      <c r="T478" s="85"/>
      <c r="U478" s="89"/>
      <c r="V478" s="90"/>
      <c r="W478" s="87"/>
      <c r="X478" s="91"/>
      <c r="Y478" s="84"/>
      <c r="Z478" s="97"/>
    </row>
    <row r="479" spans="1:26" s="98" customFormat="1" x14ac:dyDescent="0.35">
      <c r="A479" s="86">
        <v>476</v>
      </c>
      <c r="B479" s="85"/>
      <c r="C479" s="87"/>
      <c r="D479" s="85"/>
      <c r="E479" s="84"/>
      <c r="F479" s="85"/>
      <c r="G479" s="87"/>
      <c r="H479" s="87"/>
      <c r="I479" s="87"/>
      <c r="J479" s="101"/>
      <c r="K479" s="87"/>
      <c r="L479" s="91"/>
      <c r="M479" s="91"/>
      <c r="N479" s="88">
        <f>Goods_Receipt[[#This Row],[ Invoice. /
 Received Qty ]]-Goods_Receipt[[#This Row],[ Accepted Qty ]]</f>
        <v>0</v>
      </c>
      <c r="O479" s="87"/>
      <c r="P479" s="87"/>
      <c r="Q479" s="87"/>
      <c r="R479" s="87"/>
      <c r="S479" s="87"/>
      <c r="T479" s="85"/>
      <c r="U479" s="89"/>
      <c r="V479" s="90"/>
      <c r="W479" s="87"/>
      <c r="X479" s="91"/>
      <c r="Y479" s="84"/>
      <c r="Z479" s="97"/>
    </row>
    <row r="480" spans="1:26" s="98" customFormat="1" x14ac:dyDescent="0.35">
      <c r="A480" s="86">
        <v>477</v>
      </c>
      <c r="B480" s="85"/>
      <c r="C480" s="87"/>
      <c r="D480" s="85"/>
      <c r="E480" s="84"/>
      <c r="F480" s="85"/>
      <c r="G480" s="87"/>
      <c r="H480" s="87"/>
      <c r="I480" s="87"/>
      <c r="J480" s="101"/>
      <c r="K480" s="87"/>
      <c r="L480" s="91"/>
      <c r="M480" s="91"/>
      <c r="N480" s="88">
        <f>Goods_Receipt[[#This Row],[ Invoice. /
 Received Qty ]]-Goods_Receipt[[#This Row],[ Accepted Qty ]]</f>
        <v>0</v>
      </c>
      <c r="O480" s="87"/>
      <c r="P480" s="87"/>
      <c r="Q480" s="87"/>
      <c r="R480" s="87"/>
      <c r="S480" s="87"/>
      <c r="T480" s="85"/>
      <c r="U480" s="89"/>
      <c r="V480" s="90"/>
      <c r="W480" s="87"/>
      <c r="X480" s="91"/>
      <c r="Y480" s="84"/>
      <c r="Z480" s="97"/>
    </row>
    <row r="481" spans="1:26" s="98" customFormat="1" x14ac:dyDescent="0.35">
      <c r="A481" s="86">
        <v>478</v>
      </c>
      <c r="B481" s="85"/>
      <c r="C481" s="87"/>
      <c r="D481" s="85"/>
      <c r="E481" s="84"/>
      <c r="F481" s="85"/>
      <c r="G481" s="87"/>
      <c r="H481" s="87"/>
      <c r="I481" s="87"/>
      <c r="J481" s="101"/>
      <c r="K481" s="87"/>
      <c r="L481" s="91"/>
      <c r="M481" s="91"/>
      <c r="N481" s="88">
        <f>Goods_Receipt[[#This Row],[ Invoice. /
 Received Qty ]]-Goods_Receipt[[#This Row],[ Accepted Qty ]]</f>
        <v>0</v>
      </c>
      <c r="O481" s="87"/>
      <c r="P481" s="87"/>
      <c r="Q481" s="87"/>
      <c r="R481" s="87"/>
      <c r="S481" s="87"/>
      <c r="T481" s="85"/>
      <c r="U481" s="89"/>
      <c r="V481" s="90"/>
      <c r="W481" s="87"/>
      <c r="X481" s="91"/>
      <c r="Y481" s="84"/>
      <c r="Z481" s="97"/>
    </row>
    <row r="482" spans="1:26" s="98" customFormat="1" x14ac:dyDescent="0.35">
      <c r="A482" s="86">
        <v>479</v>
      </c>
      <c r="B482" s="85"/>
      <c r="C482" s="87"/>
      <c r="D482" s="85"/>
      <c r="E482" s="84"/>
      <c r="F482" s="85"/>
      <c r="G482" s="87"/>
      <c r="H482" s="87"/>
      <c r="I482" s="87"/>
      <c r="J482" s="101"/>
      <c r="K482" s="87"/>
      <c r="L482" s="91"/>
      <c r="M482" s="91"/>
      <c r="N482" s="88">
        <f>Goods_Receipt[[#This Row],[ Invoice. /
 Received Qty ]]-Goods_Receipt[[#This Row],[ Accepted Qty ]]</f>
        <v>0</v>
      </c>
      <c r="O482" s="87"/>
      <c r="P482" s="87"/>
      <c r="Q482" s="87"/>
      <c r="R482" s="87"/>
      <c r="S482" s="87"/>
      <c r="T482" s="85"/>
      <c r="U482" s="89"/>
      <c r="V482" s="90"/>
      <c r="W482" s="87"/>
      <c r="X482" s="91"/>
      <c r="Y482" s="84"/>
      <c r="Z482" s="97"/>
    </row>
    <row r="483" spans="1:26" s="98" customFormat="1" x14ac:dyDescent="0.35">
      <c r="A483" s="86">
        <v>480</v>
      </c>
      <c r="B483" s="85"/>
      <c r="C483" s="87"/>
      <c r="D483" s="85"/>
      <c r="E483" s="84"/>
      <c r="F483" s="85"/>
      <c r="G483" s="87"/>
      <c r="H483" s="87"/>
      <c r="I483" s="87"/>
      <c r="J483" s="101"/>
      <c r="K483" s="87"/>
      <c r="L483" s="91"/>
      <c r="M483" s="91"/>
      <c r="N483" s="88">
        <f>Goods_Receipt[[#This Row],[ Invoice. /
 Received Qty ]]-Goods_Receipt[[#This Row],[ Accepted Qty ]]</f>
        <v>0</v>
      </c>
      <c r="O483" s="87"/>
      <c r="P483" s="87"/>
      <c r="Q483" s="87"/>
      <c r="R483" s="87"/>
      <c r="S483" s="87"/>
      <c r="T483" s="85"/>
      <c r="U483" s="89"/>
      <c r="V483" s="90"/>
      <c r="W483" s="87"/>
      <c r="X483" s="91"/>
      <c r="Y483" s="84"/>
      <c r="Z483" s="97"/>
    </row>
    <row r="484" spans="1:26" s="98" customFormat="1" x14ac:dyDescent="0.35">
      <c r="A484" s="86">
        <v>481</v>
      </c>
      <c r="B484" s="85"/>
      <c r="C484" s="87"/>
      <c r="D484" s="85"/>
      <c r="E484" s="84"/>
      <c r="F484" s="85"/>
      <c r="G484" s="87"/>
      <c r="H484" s="87"/>
      <c r="I484" s="87"/>
      <c r="J484" s="101"/>
      <c r="K484" s="87"/>
      <c r="L484" s="91"/>
      <c r="M484" s="91"/>
      <c r="N484" s="88">
        <f>Goods_Receipt[[#This Row],[ Invoice. /
 Received Qty ]]-Goods_Receipt[[#This Row],[ Accepted Qty ]]</f>
        <v>0</v>
      </c>
      <c r="O484" s="87"/>
      <c r="P484" s="87"/>
      <c r="Q484" s="87"/>
      <c r="R484" s="87"/>
      <c r="S484" s="87"/>
      <c r="T484" s="85"/>
      <c r="U484" s="89"/>
      <c r="V484" s="90"/>
      <c r="W484" s="87"/>
      <c r="X484" s="91"/>
      <c r="Y484" s="84"/>
      <c r="Z484" s="97"/>
    </row>
    <row r="485" spans="1:26" s="98" customFormat="1" x14ac:dyDescent="0.35">
      <c r="A485" s="86">
        <v>482</v>
      </c>
      <c r="B485" s="85"/>
      <c r="C485" s="87"/>
      <c r="D485" s="85"/>
      <c r="E485" s="84"/>
      <c r="F485" s="85"/>
      <c r="G485" s="87"/>
      <c r="H485" s="87"/>
      <c r="I485" s="87"/>
      <c r="J485" s="101"/>
      <c r="K485" s="87"/>
      <c r="L485" s="91"/>
      <c r="M485" s="91"/>
      <c r="N485" s="88">
        <f>Goods_Receipt[[#This Row],[ Invoice. /
 Received Qty ]]-Goods_Receipt[[#This Row],[ Accepted Qty ]]</f>
        <v>0</v>
      </c>
      <c r="O485" s="87"/>
      <c r="P485" s="87"/>
      <c r="Q485" s="87"/>
      <c r="R485" s="87"/>
      <c r="S485" s="87"/>
      <c r="T485" s="85"/>
      <c r="U485" s="89"/>
      <c r="V485" s="90"/>
      <c r="W485" s="87"/>
      <c r="X485" s="91"/>
      <c r="Y485" s="84"/>
      <c r="Z485" s="97"/>
    </row>
    <row r="486" spans="1:26" s="98" customFormat="1" x14ac:dyDescent="0.35">
      <c r="A486" s="86">
        <v>483</v>
      </c>
      <c r="B486" s="85"/>
      <c r="C486" s="87"/>
      <c r="D486" s="85"/>
      <c r="E486" s="84"/>
      <c r="F486" s="85"/>
      <c r="G486" s="87"/>
      <c r="H486" s="87"/>
      <c r="I486" s="87"/>
      <c r="J486" s="101"/>
      <c r="K486" s="87"/>
      <c r="L486" s="91"/>
      <c r="M486" s="91"/>
      <c r="N486" s="88">
        <f>Goods_Receipt[[#This Row],[ Invoice. /
 Received Qty ]]-Goods_Receipt[[#This Row],[ Accepted Qty ]]</f>
        <v>0</v>
      </c>
      <c r="O486" s="87"/>
      <c r="P486" s="87"/>
      <c r="Q486" s="87"/>
      <c r="R486" s="87"/>
      <c r="S486" s="87"/>
      <c r="T486" s="85"/>
      <c r="U486" s="89"/>
      <c r="V486" s="90"/>
      <c r="W486" s="87"/>
      <c r="X486" s="91"/>
      <c r="Y486" s="84"/>
      <c r="Z486" s="97"/>
    </row>
    <row r="487" spans="1:26" s="98" customFormat="1" x14ac:dyDescent="0.35">
      <c r="A487" s="86">
        <v>484</v>
      </c>
      <c r="B487" s="85"/>
      <c r="C487" s="87"/>
      <c r="D487" s="85"/>
      <c r="E487" s="84"/>
      <c r="F487" s="85"/>
      <c r="G487" s="87"/>
      <c r="H487" s="87"/>
      <c r="I487" s="87"/>
      <c r="J487" s="101"/>
      <c r="K487" s="87"/>
      <c r="L487" s="91"/>
      <c r="M487" s="91"/>
      <c r="N487" s="88">
        <f>Goods_Receipt[[#This Row],[ Invoice. /
 Received Qty ]]-Goods_Receipt[[#This Row],[ Accepted Qty ]]</f>
        <v>0</v>
      </c>
      <c r="O487" s="87"/>
      <c r="P487" s="87"/>
      <c r="Q487" s="87"/>
      <c r="R487" s="87"/>
      <c r="S487" s="87"/>
      <c r="T487" s="85"/>
      <c r="U487" s="89"/>
      <c r="V487" s="90"/>
      <c r="W487" s="87"/>
      <c r="X487" s="91"/>
      <c r="Y487" s="84"/>
      <c r="Z487" s="97"/>
    </row>
    <row r="488" spans="1:26" s="98" customFormat="1" x14ac:dyDescent="0.35">
      <c r="A488" s="86">
        <v>485</v>
      </c>
      <c r="B488" s="85"/>
      <c r="C488" s="87"/>
      <c r="D488" s="85"/>
      <c r="E488" s="84"/>
      <c r="F488" s="85"/>
      <c r="G488" s="87"/>
      <c r="H488" s="87"/>
      <c r="I488" s="87"/>
      <c r="J488" s="101"/>
      <c r="K488" s="87"/>
      <c r="L488" s="91"/>
      <c r="M488" s="91"/>
      <c r="N488" s="88">
        <f>Goods_Receipt[[#This Row],[ Invoice. /
 Received Qty ]]-Goods_Receipt[[#This Row],[ Accepted Qty ]]</f>
        <v>0</v>
      </c>
      <c r="O488" s="87"/>
      <c r="P488" s="87"/>
      <c r="Q488" s="87"/>
      <c r="R488" s="87"/>
      <c r="S488" s="87"/>
      <c r="T488" s="85"/>
      <c r="U488" s="89"/>
      <c r="V488" s="90"/>
      <c r="W488" s="87"/>
      <c r="X488" s="91"/>
      <c r="Y488" s="84"/>
      <c r="Z488" s="97"/>
    </row>
    <row r="489" spans="1:26" s="98" customFormat="1" x14ac:dyDescent="0.35">
      <c r="A489" s="86">
        <v>486</v>
      </c>
      <c r="B489" s="85"/>
      <c r="C489" s="87"/>
      <c r="D489" s="85"/>
      <c r="E489" s="84"/>
      <c r="F489" s="85"/>
      <c r="G489" s="87"/>
      <c r="H489" s="87"/>
      <c r="I489" s="87"/>
      <c r="J489" s="101"/>
      <c r="K489" s="87"/>
      <c r="L489" s="91"/>
      <c r="M489" s="91"/>
      <c r="N489" s="88">
        <f>Goods_Receipt[[#This Row],[ Invoice. /
 Received Qty ]]-Goods_Receipt[[#This Row],[ Accepted Qty ]]</f>
        <v>0</v>
      </c>
      <c r="O489" s="87"/>
      <c r="P489" s="87"/>
      <c r="Q489" s="87"/>
      <c r="R489" s="87"/>
      <c r="S489" s="87"/>
      <c r="T489" s="85"/>
      <c r="U489" s="89"/>
      <c r="V489" s="90"/>
      <c r="W489" s="87"/>
      <c r="X489" s="91"/>
      <c r="Y489" s="84"/>
      <c r="Z489" s="97"/>
    </row>
    <row r="490" spans="1:26" s="98" customFormat="1" x14ac:dyDescent="0.35">
      <c r="A490" s="86">
        <v>487</v>
      </c>
      <c r="B490" s="85"/>
      <c r="C490" s="87"/>
      <c r="D490" s="85"/>
      <c r="E490" s="84"/>
      <c r="F490" s="85"/>
      <c r="G490" s="87"/>
      <c r="H490" s="87"/>
      <c r="I490" s="87"/>
      <c r="J490" s="101"/>
      <c r="K490" s="87"/>
      <c r="L490" s="91"/>
      <c r="M490" s="91"/>
      <c r="N490" s="88">
        <f>Goods_Receipt[[#This Row],[ Invoice. /
 Received Qty ]]-Goods_Receipt[[#This Row],[ Accepted Qty ]]</f>
        <v>0</v>
      </c>
      <c r="O490" s="87"/>
      <c r="P490" s="87"/>
      <c r="Q490" s="87"/>
      <c r="R490" s="87"/>
      <c r="S490" s="87"/>
      <c r="T490" s="85"/>
      <c r="U490" s="89"/>
      <c r="V490" s="90"/>
      <c r="W490" s="87"/>
      <c r="X490" s="91"/>
      <c r="Y490" s="84"/>
      <c r="Z490" s="97"/>
    </row>
    <row r="491" spans="1:26" s="98" customFormat="1" x14ac:dyDescent="0.35">
      <c r="A491" s="86">
        <v>488</v>
      </c>
      <c r="B491" s="85"/>
      <c r="C491" s="87"/>
      <c r="D491" s="85"/>
      <c r="E491" s="84"/>
      <c r="F491" s="85"/>
      <c r="G491" s="87"/>
      <c r="H491" s="87"/>
      <c r="I491" s="87"/>
      <c r="J491" s="101"/>
      <c r="K491" s="87"/>
      <c r="L491" s="91"/>
      <c r="M491" s="91"/>
      <c r="N491" s="88">
        <f>Goods_Receipt[[#This Row],[ Invoice. /
 Received Qty ]]-Goods_Receipt[[#This Row],[ Accepted Qty ]]</f>
        <v>0</v>
      </c>
      <c r="O491" s="87"/>
      <c r="P491" s="87"/>
      <c r="Q491" s="87"/>
      <c r="R491" s="87"/>
      <c r="S491" s="87"/>
      <c r="T491" s="85"/>
      <c r="U491" s="89"/>
      <c r="V491" s="90"/>
      <c r="W491" s="87"/>
      <c r="X491" s="91"/>
      <c r="Y491" s="84"/>
      <c r="Z491" s="97"/>
    </row>
    <row r="492" spans="1:26" s="98" customFormat="1" x14ac:dyDescent="0.35">
      <c r="A492" s="86">
        <v>489</v>
      </c>
      <c r="B492" s="85"/>
      <c r="C492" s="87"/>
      <c r="D492" s="85"/>
      <c r="E492" s="84"/>
      <c r="F492" s="85"/>
      <c r="G492" s="87"/>
      <c r="H492" s="87"/>
      <c r="I492" s="87"/>
      <c r="J492" s="101"/>
      <c r="K492" s="87"/>
      <c r="L492" s="91"/>
      <c r="M492" s="91"/>
      <c r="N492" s="88">
        <f>Goods_Receipt[[#This Row],[ Invoice. /
 Received Qty ]]-Goods_Receipt[[#This Row],[ Accepted Qty ]]</f>
        <v>0</v>
      </c>
      <c r="O492" s="87"/>
      <c r="P492" s="87"/>
      <c r="Q492" s="87"/>
      <c r="R492" s="87"/>
      <c r="S492" s="87"/>
      <c r="T492" s="85"/>
      <c r="U492" s="89"/>
      <c r="V492" s="90"/>
      <c r="W492" s="87"/>
      <c r="X492" s="91"/>
      <c r="Y492" s="84"/>
      <c r="Z492" s="97"/>
    </row>
    <row r="493" spans="1:26" s="98" customFormat="1" x14ac:dyDescent="0.35">
      <c r="A493" s="86">
        <v>490</v>
      </c>
      <c r="B493" s="85"/>
      <c r="C493" s="87"/>
      <c r="D493" s="85"/>
      <c r="E493" s="84"/>
      <c r="F493" s="85"/>
      <c r="G493" s="87"/>
      <c r="H493" s="87"/>
      <c r="I493" s="87"/>
      <c r="J493" s="101"/>
      <c r="K493" s="87"/>
      <c r="L493" s="91"/>
      <c r="M493" s="91"/>
      <c r="N493" s="88">
        <f>Goods_Receipt[[#This Row],[ Invoice. /
 Received Qty ]]-Goods_Receipt[[#This Row],[ Accepted Qty ]]</f>
        <v>0</v>
      </c>
      <c r="O493" s="87"/>
      <c r="P493" s="87"/>
      <c r="Q493" s="87"/>
      <c r="R493" s="87"/>
      <c r="S493" s="87"/>
      <c r="T493" s="85"/>
      <c r="U493" s="89"/>
      <c r="V493" s="90"/>
      <c r="W493" s="87"/>
      <c r="X493" s="91"/>
      <c r="Y493" s="84"/>
      <c r="Z493" s="97"/>
    </row>
    <row r="494" spans="1:26" s="98" customFormat="1" x14ac:dyDescent="0.35">
      <c r="A494" s="86">
        <v>491</v>
      </c>
      <c r="B494" s="85"/>
      <c r="C494" s="87"/>
      <c r="D494" s="85"/>
      <c r="E494" s="84"/>
      <c r="F494" s="85"/>
      <c r="G494" s="87"/>
      <c r="H494" s="87"/>
      <c r="I494" s="87"/>
      <c r="J494" s="101"/>
      <c r="K494" s="87"/>
      <c r="L494" s="91"/>
      <c r="M494" s="91"/>
      <c r="N494" s="88">
        <f>Goods_Receipt[[#This Row],[ Invoice. /
 Received Qty ]]-Goods_Receipt[[#This Row],[ Accepted Qty ]]</f>
        <v>0</v>
      </c>
      <c r="O494" s="87"/>
      <c r="P494" s="87"/>
      <c r="Q494" s="87"/>
      <c r="R494" s="87"/>
      <c r="S494" s="87"/>
      <c r="T494" s="85"/>
      <c r="U494" s="89"/>
      <c r="V494" s="90"/>
      <c r="W494" s="87"/>
      <c r="X494" s="91"/>
      <c r="Y494" s="84"/>
      <c r="Z494" s="97"/>
    </row>
    <row r="495" spans="1:26" s="98" customFormat="1" x14ac:dyDescent="0.35">
      <c r="A495" s="86">
        <v>492</v>
      </c>
      <c r="B495" s="85"/>
      <c r="C495" s="87"/>
      <c r="D495" s="85"/>
      <c r="E495" s="84"/>
      <c r="F495" s="85"/>
      <c r="G495" s="87"/>
      <c r="H495" s="87"/>
      <c r="I495" s="87"/>
      <c r="J495" s="101"/>
      <c r="K495" s="87"/>
      <c r="L495" s="91"/>
      <c r="M495" s="91"/>
      <c r="N495" s="88">
        <f>Goods_Receipt[[#This Row],[ Invoice. /
 Received Qty ]]-Goods_Receipt[[#This Row],[ Accepted Qty ]]</f>
        <v>0</v>
      </c>
      <c r="O495" s="87"/>
      <c r="P495" s="87"/>
      <c r="Q495" s="87"/>
      <c r="R495" s="87"/>
      <c r="S495" s="87"/>
      <c r="T495" s="85"/>
      <c r="U495" s="89"/>
      <c r="V495" s="90"/>
      <c r="W495" s="87"/>
      <c r="X495" s="91"/>
      <c r="Y495" s="84"/>
      <c r="Z495" s="97"/>
    </row>
    <row r="496" spans="1:26" s="98" customFormat="1" x14ac:dyDescent="0.35">
      <c r="A496" s="86">
        <v>493</v>
      </c>
      <c r="B496" s="85"/>
      <c r="C496" s="87"/>
      <c r="D496" s="85"/>
      <c r="E496" s="84"/>
      <c r="F496" s="85"/>
      <c r="G496" s="87"/>
      <c r="H496" s="87"/>
      <c r="I496" s="87"/>
      <c r="J496" s="101"/>
      <c r="K496" s="87"/>
      <c r="L496" s="91"/>
      <c r="M496" s="91"/>
      <c r="N496" s="88">
        <f>Goods_Receipt[[#This Row],[ Invoice. /
 Received Qty ]]-Goods_Receipt[[#This Row],[ Accepted Qty ]]</f>
        <v>0</v>
      </c>
      <c r="O496" s="87"/>
      <c r="P496" s="87"/>
      <c r="Q496" s="87"/>
      <c r="R496" s="87"/>
      <c r="S496" s="87"/>
      <c r="T496" s="85"/>
      <c r="U496" s="89"/>
      <c r="V496" s="90"/>
      <c r="W496" s="87"/>
      <c r="X496" s="91"/>
      <c r="Y496" s="84"/>
      <c r="Z496" s="97"/>
    </row>
    <row r="497" spans="1:26" s="98" customFormat="1" x14ac:dyDescent="0.35">
      <c r="A497" s="86">
        <v>494</v>
      </c>
      <c r="B497" s="85"/>
      <c r="C497" s="87"/>
      <c r="D497" s="85"/>
      <c r="E497" s="84"/>
      <c r="F497" s="85"/>
      <c r="G497" s="87"/>
      <c r="H497" s="87"/>
      <c r="I497" s="87"/>
      <c r="J497" s="101"/>
      <c r="K497" s="87"/>
      <c r="L497" s="91"/>
      <c r="M497" s="91"/>
      <c r="N497" s="88">
        <f>Goods_Receipt[[#This Row],[ Invoice. /
 Received Qty ]]-Goods_Receipt[[#This Row],[ Accepted Qty ]]</f>
        <v>0</v>
      </c>
      <c r="O497" s="87"/>
      <c r="P497" s="87"/>
      <c r="Q497" s="87"/>
      <c r="R497" s="87"/>
      <c r="S497" s="87"/>
      <c r="T497" s="85"/>
      <c r="U497" s="89"/>
      <c r="V497" s="90"/>
      <c r="W497" s="87"/>
      <c r="X497" s="91"/>
      <c r="Y497" s="84"/>
      <c r="Z497" s="97"/>
    </row>
    <row r="498" spans="1:26" s="98" customFormat="1" x14ac:dyDescent="0.35">
      <c r="A498" s="86">
        <v>495</v>
      </c>
      <c r="B498" s="85"/>
      <c r="C498" s="87"/>
      <c r="D498" s="85"/>
      <c r="E498" s="84"/>
      <c r="F498" s="85"/>
      <c r="G498" s="87"/>
      <c r="H498" s="87"/>
      <c r="I498" s="87"/>
      <c r="J498" s="101"/>
      <c r="K498" s="87"/>
      <c r="L498" s="91"/>
      <c r="M498" s="91"/>
      <c r="N498" s="88">
        <f>Goods_Receipt[[#This Row],[ Invoice. /
 Received Qty ]]-Goods_Receipt[[#This Row],[ Accepted Qty ]]</f>
        <v>0</v>
      </c>
      <c r="O498" s="87"/>
      <c r="P498" s="87"/>
      <c r="Q498" s="87"/>
      <c r="R498" s="87"/>
      <c r="S498" s="87"/>
      <c r="T498" s="85"/>
      <c r="U498" s="89"/>
      <c r="V498" s="90"/>
      <c r="W498" s="87"/>
      <c r="X498" s="91"/>
      <c r="Y498" s="84"/>
      <c r="Z498" s="97"/>
    </row>
    <row r="499" spans="1:26" s="98" customFormat="1" x14ac:dyDescent="0.35">
      <c r="A499" s="86">
        <v>496</v>
      </c>
      <c r="B499" s="85"/>
      <c r="C499" s="87"/>
      <c r="D499" s="85"/>
      <c r="E499" s="84"/>
      <c r="F499" s="85"/>
      <c r="G499" s="87"/>
      <c r="H499" s="87"/>
      <c r="I499" s="87"/>
      <c r="J499" s="101"/>
      <c r="K499" s="87"/>
      <c r="L499" s="91"/>
      <c r="M499" s="91"/>
      <c r="N499" s="88">
        <f>Goods_Receipt[[#This Row],[ Invoice. /
 Received Qty ]]-Goods_Receipt[[#This Row],[ Accepted Qty ]]</f>
        <v>0</v>
      </c>
      <c r="O499" s="87"/>
      <c r="P499" s="87"/>
      <c r="Q499" s="87"/>
      <c r="R499" s="87"/>
      <c r="S499" s="87"/>
      <c r="T499" s="85"/>
      <c r="U499" s="89"/>
      <c r="V499" s="90"/>
      <c r="W499" s="87"/>
      <c r="X499" s="91"/>
      <c r="Y499" s="84"/>
      <c r="Z499" s="97"/>
    </row>
    <row r="500" spans="1:26" s="98" customFormat="1" x14ac:dyDescent="0.35">
      <c r="A500" s="86">
        <v>497</v>
      </c>
      <c r="B500" s="85"/>
      <c r="C500" s="87"/>
      <c r="D500" s="85"/>
      <c r="E500" s="84"/>
      <c r="F500" s="85"/>
      <c r="G500" s="87"/>
      <c r="H500" s="87"/>
      <c r="I500" s="87"/>
      <c r="J500" s="101"/>
      <c r="K500" s="87"/>
      <c r="L500" s="91"/>
      <c r="M500" s="91"/>
      <c r="N500" s="88">
        <f>Goods_Receipt[[#This Row],[ Invoice. /
 Received Qty ]]-Goods_Receipt[[#This Row],[ Accepted Qty ]]</f>
        <v>0</v>
      </c>
      <c r="O500" s="87"/>
      <c r="P500" s="87"/>
      <c r="Q500" s="87"/>
      <c r="R500" s="87"/>
      <c r="S500" s="87"/>
      <c r="T500" s="85"/>
      <c r="U500" s="89"/>
      <c r="V500" s="90"/>
      <c r="W500" s="87"/>
      <c r="X500" s="91"/>
      <c r="Y500" s="84"/>
      <c r="Z500" s="97"/>
    </row>
    <row r="501" spans="1:26" s="98" customFormat="1" x14ac:dyDescent="0.35">
      <c r="A501" s="86">
        <v>498</v>
      </c>
      <c r="B501" s="85"/>
      <c r="C501" s="87"/>
      <c r="D501" s="85"/>
      <c r="E501" s="84"/>
      <c r="F501" s="85"/>
      <c r="G501" s="87"/>
      <c r="H501" s="87"/>
      <c r="I501" s="87"/>
      <c r="J501" s="101"/>
      <c r="K501" s="87"/>
      <c r="L501" s="91"/>
      <c r="M501" s="91"/>
      <c r="N501" s="88">
        <f>Goods_Receipt[[#This Row],[ Invoice. /
 Received Qty ]]-Goods_Receipt[[#This Row],[ Accepted Qty ]]</f>
        <v>0</v>
      </c>
      <c r="O501" s="87"/>
      <c r="P501" s="87"/>
      <c r="Q501" s="87"/>
      <c r="R501" s="87"/>
      <c r="S501" s="87"/>
      <c r="T501" s="85"/>
      <c r="U501" s="89"/>
      <c r="V501" s="90"/>
      <c r="W501" s="87"/>
      <c r="X501" s="91"/>
      <c r="Y501" s="84"/>
      <c r="Z501" s="97"/>
    </row>
    <row r="502" spans="1:26" s="98" customFormat="1" x14ac:dyDescent="0.35">
      <c r="A502" s="86">
        <v>499</v>
      </c>
      <c r="B502" s="85"/>
      <c r="C502" s="87"/>
      <c r="D502" s="85"/>
      <c r="E502" s="84"/>
      <c r="F502" s="85"/>
      <c r="G502" s="87"/>
      <c r="H502" s="87"/>
      <c r="I502" s="87"/>
      <c r="J502" s="101"/>
      <c r="K502" s="87"/>
      <c r="L502" s="91"/>
      <c r="M502" s="91"/>
      <c r="N502" s="88">
        <f>Goods_Receipt[[#This Row],[ Invoice. /
 Received Qty ]]-Goods_Receipt[[#This Row],[ Accepted Qty ]]</f>
        <v>0</v>
      </c>
      <c r="O502" s="87"/>
      <c r="P502" s="87"/>
      <c r="Q502" s="87"/>
      <c r="R502" s="87"/>
      <c r="S502" s="87"/>
      <c r="T502" s="85"/>
      <c r="U502" s="89"/>
      <c r="V502" s="90"/>
      <c r="W502" s="87"/>
      <c r="X502" s="91"/>
      <c r="Y502" s="84"/>
      <c r="Z502" s="97"/>
    </row>
    <row r="503" spans="1:26" s="98" customFormat="1" x14ac:dyDescent="0.35">
      <c r="A503" s="86">
        <v>500</v>
      </c>
      <c r="B503" s="85"/>
      <c r="C503" s="87"/>
      <c r="D503" s="85"/>
      <c r="E503" s="84"/>
      <c r="F503" s="85"/>
      <c r="G503" s="87"/>
      <c r="H503" s="87"/>
      <c r="I503" s="87"/>
      <c r="J503" s="101"/>
      <c r="K503" s="87"/>
      <c r="L503" s="91"/>
      <c r="M503" s="91"/>
      <c r="N503" s="88">
        <f>Goods_Receipt[[#This Row],[ Invoice. /
 Received Qty ]]-Goods_Receipt[[#This Row],[ Accepted Qty ]]</f>
        <v>0</v>
      </c>
      <c r="O503" s="87"/>
      <c r="P503" s="87"/>
      <c r="Q503" s="87"/>
      <c r="R503" s="87"/>
      <c r="S503" s="87"/>
      <c r="T503" s="85"/>
      <c r="U503" s="89"/>
      <c r="V503" s="90"/>
      <c r="W503" s="87"/>
      <c r="X503" s="91"/>
      <c r="Y503" s="84"/>
      <c r="Z503" s="97"/>
    </row>
    <row r="504" spans="1:26" s="98" customFormat="1" x14ac:dyDescent="0.35">
      <c r="A504" s="86">
        <v>501</v>
      </c>
      <c r="B504" s="85"/>
      <c r="C504" s="87"/>
      <c r="D504" s="85"/>
      <c r="E504" s="84"/>
      <c r="F504" s="85"/>
      <c r="G504" s="87"/>
      <c r="H504" s="87"/>
      <c r="I504" s="87"/>
      <c r="J504" s="101"/>
      <c r="K504" s="87"/>
      <c r="L504" s="91"/>
      <c r="M504" s="91"/>
      <c r="N504" s="88">
        <f>Goods_Receipt[[#This Row],[ Invoice. /
 Received Qty ]]-Goods_Receipt[[#This Row],[ Accepted Qty ]]</f>
        <v>0</v>
      </c>
      <c r="O504" s="87"/>
      <c r="P504" s="87"/>
      <c r="Q504" s="87"/>
      <c r="R504" s="87"/>
      <c r="S504" s="87"/>
      <c r="T504" s="85"/>
      <c r="U504" s="89"/>
      <c r="V504" s="90"/>
      <c r="W504" s="87"/>
      <c r="X504" s="91"/>
      <c r="Y504" s="84"/>
      <c r="Z504" s="97"/>
    </row>
    <row r="505" spans="1:26" s="98" customFormat="1" x14ac:dyDescent="0.35">
      <c r="A505" s="86">
        <v>502</v>
      </c>
      <c r="B505" s="85"/>
      <c r="C505" s="87"/>
      <c r="D505" s="85"/>
      <c r="E505" s="84"/>
      <c r="F505" s="85"/>
      <c r="G505" s="87"/>
      <c r="H505" s="87"/>
      <c r="I505" s="87"/>
      <c r="J505" s="101"/>
      <c r="K505" s="87"/>
      <c r="L505" s="91"/>
      <c r="M505" s="91"/>
      <c r="N505" s="88">
        <f>Goods_Receipt[[#This Row],[ Invoice. /
 Received Qty ]]-Goods_Receipt[[#This Row],[ Accepted Qty ]]</f>
        <v>0</v>
      </c>
      <c r="O505" s="87"/>
      <c r="P505" s="87"/>
      <c r="Q505" s="87"/>
      <c r="R505" s="87"/>
      <c r="S505" s="87"/>
      <c r="T505" s="85"/>
      <c r="U505" s="89"/>
      <c r="V505" s="90"/>
      <c r="W505" s="87"/>
      <c r="X505" s="91"/>
      <c r="Y505" s="84"/>
      <c r="Z505" s="97"/>
    </row>
    <row r="506" spans="1:26" s="98" customFormat="1" x14ac:dyDescent="0.35">
      <c r="A506" s="86">
        <v>503</v>
      </c>
      <c r="B506" s="85"/>
      <c r="C506" s="87"/>
      <c r="D506" s="85"/>
      <c r="E506" s="84"/>
      <c r="F506" s="85"/>
      <c r="G506" s="87"/>
      <c r="H506" s="87"/>
      <c r="I506" s="87"/>
      <c r="J506" s="101"/>
      <c r="K506" s="87"/>
      <c r="L506" s="91"/>
      <c r="M506" s="91"/>
      <c r="N506" s="88">
        <f>Goods_Receipt[[#This Row],[ Invoice. /
 Received Qty ]]-Goods_Receipt[[#This Row],[ Accepted Qty ]]</f>
        <v>0</v>
      </c>
      <c r="O506" s="87"/>
      <c r="P506" s="87"/>
      <c r="Q506" s="87"/>
      <c r="R506" s="87"/>
      <c r="S506" s="87"/>
      <c r="T506" s="85"/>
      <c r="U506" s="89"/>
      <c r="V506" s="90"/>
      <c r="W506" s="87"/>
      <c r="X506" s="91"/>
      <c r="Y506" s="84"/>
      <c r="Z506" s="97"/>
    </row>
    <row r="507" spans="1:26" s="98" customFormat="1" x14ac:dyDescent="0.35">
      <c r="A507" s="86">
        <v>504</v>
      </c>
      <c r="B507" s="85"/>
      <c r="C507" s="87"/>
      <c r="D507" s="85"/>
      <c r="E507" s="84"/>
      <c r="F507" s="85"/>
      <c r="G507" s="87"/>
      <c r="H507" s="87"/>
      <c r="I507" s="87"/>
      <c r="J507" s="101"/>
      <c r="K507" s="87"/>
      <c r="L507" s="91"/>
      <c r="M507" s="91"/>
      <c r="N507" s="88">
        <f>Goods_Receipt[[#This Row],[ Invoice. /
 Received Qty ]]-Goods_Receipt[[#This Row],[ Accepted Qty ]]</f>
        <v>0</v>
      </c>
      <c r="O507" s="87"/>
      <c r="P507" s="87"/>
      <c r="Q507" s="87"/>
      <c r="R507" s="87"/>
      <c r="S507" s="87"/>
      <c r="T507" s="85"/>
      <c r="U507" s="89"/>
      <c r="V507" s="90"/>
      <c r="W507" s="87"/>
      <c r="X507" s="91"/>
      <c r="Y507" s="84"/>
      <c r="Z507" s="97"/>
    </row>
    <row r="508" spans="1:26" s="98" customFormat="1" x14ac:dyDescent="0.35">
      <c r="A508" s="86">
        <v>505</v>
      </c>
      <c r="B508" s="85"/>
      <c r="C508" s="87"/>
      <c r="D508" s="85"/>
      <c r="E508" s="84"/>
      <c r="F508" s="85"/>
      <c r="G508" s="87"/>
      <c r="H508" s="87"/>
      <c r="I508" s="87"/>
      <c r="J508" s="101"/>
      <c r="K508" s="87"/>
      <c r="L508" s="91"/>
      <c r="M508" s="91"/>
      <c r="N508" s="88">
        <f>Goods_Receipt[[#This Row],[ Invoice. /
 Received Qty ]]-Goods_Receipt[[#This Row],[ Accepted Qty ]]</f>
        <v>0</v>
      </c>
      <c r="O508" s="87"/>
      <c r="P508" s="87"/>
      <c r="Q508" s="87"/>
      <c r="R508" s="87"/>
      <c r="S508" s="87"/>
      <c r="T508" s="85"/>
      <c r="U508" s="89"/>
      <c r="V508" s="90"/>
      <c r="W508" s="87"/>
      <c r="X508" s="91"/>
      <c r="Y508" s="84"/>
      <c r="Z508" s="97"/>
    </row>
    <row r="509" spans="1:26" s="98" customFormat="1" x14ac:dyDescent="0.35">
      <c r="A509" s="86">
        <v>506</v>
      </c>
      <c r="B509" s="85"/>
      <c r="C509" s="87"/>
      <c r="D509" s="85"/>
      <c r="E509" s="84"/>
      <c r="F509" s="85"/>
      <c r="G509" s="87"/>
      <c r="H509" s="87"/>
      <c r="I509" s="87"/>
      <c r="J509" s="101"/>
      <c r="K509" s="87"/>
      <c r="L509" s="91"/>
      <c r="M509" s="91"/>
      <c r="N509" s="88">
        <f>Goods_Receipt[[#This Row],[ Invoice. /
 Received Qty ]]-Goods_Receipt[[#This Row],[ Accepted Qty ]]</f>
        <v>0</v>
      </c>
      <c r="O509" s="87"/>
      <c r="P509" s="87"/>
      <c r="Q509" s="87"/>
      <c r="R509" s="87"/>
      <c r="S509" s="87"/>
      <c r="T509" s="85"/>
      <c r="U509" s="89"/>
      <c r="V509" s="90"/>
      <c r="W509" s="87"/>
      <c r="X509" s="91"/>
      <c r="Y509" s="84"/>
      <c r="Z509" s="97"/>
    </row>
    <row r="510" spans="1:26" s="98" customFormat="1" x14ac:dyDescent="0.35">
      <c r="A510" s="86">
        <v>507</v>
      </c>
      <c r="B510" s="85"/>
      <c r="C510" s="87"/>
      <c r="D510" s="85"/>
      <c r="E510" s="84"/>
      <c r="F510" s="85"/>
      <c r="G510" s="87"/>
      <c r="H510" s="87"/>
      <c r="I510" s="87"/>
      <c r="J510" s="101"/>
      <c r="K510" s="87"/>
      <c r="L510" s="91"/>
      <c r="M510" s="91"/>
      <c r="N510" s="88">
        <f>Goods_Receipt[[#This Row],[ Invoice. /
 Received Qty ]]-Goods_Receipt[[#This Row],[ Accepted Qty ]]</f>
        <v>0</v>
      </c>
      <c r="O510" s="87"/>
      <c r="P510" s="87"/>
      <c r="Q510" s="87"/>
      <c r="R510" s="87"/>
      <c r="S510" s="87"/>
      <c r="T510" s="85"/>
      <c r="U510" s="89"/>
      <c r="V510" s="90"/>
      <c r="W510" s="87"/>
      <c r="X510" s="91"/>
      <c r="Y510" s="84"/>
      <c r="Z510" s="97"/>
    </row>
    <row r="511" spans="1:26" s="98" customFormat="1" x14ac:dyDescent="0.35">
      <c r="A511" s="86">
        <v>508</v>
      </c>
      <c r="B511" s="85"/>
      <c r="C511" s="87"/>
      <c r="D511" s="85"/>
      <c r="E511" s="84"/>
      <c r="F511" s="85"/>
      <c r="G511" s="87"/>
      <c r="H511" s="87"/>
      <c r="I511" s="87"/>
      <c r="J511" s="101"/>
      <c r="K511" s="87"/>
      <c r="L511" s="91"/>
      <c r="M511" s="91"/>
      <c r="N511" s="88">
        <f>Goods_Receipt[[#This Row],[ Invoice. /
 Received Qty ]]-Goods_Receipt[[#This Row],[ Accepted Qty ]]</f>
        <v>0</v>
      </c>
      <c r="O511" s="87"/>
      <c r="P511" s="87"/>
      <c r="Q511" s="87"/>
      <c r="R511" s="87"/>
      <c r="S511" s="87"/>
      <c r="T511" s="85"/>
      <c r="U511" s="89"/>
      <c r="V511" s="90"/>
      <c r="W511" s="87"/>
      <c r="X511" s="91"/>
      <c r="Y511" s="84"/>
      <c r="Z511" s="97"/>
    </row>
    <row r="512" spans="1:26" s="98" customFormat="1" x14ac:dyDescent="0.35">
      <c r="A512" s="86">
        <v>509</v>
      </c>
      <c r="B512" s="85"/>
      <c r="C512" s="87"/>
      <c r="D512" s="85"/>
      <c r="E512" s="84"/>
      <c r="F512" s="85"/>
      <c r="G512" s="87"/>
      <c r="H512" s="87"/>
      <c r="I512" s="87"/>
      <c r="J512" s="101"/>
      <c r="K512" s="87"/>
      <c r="L512" s="91"/>
      <c r="M512" s="91"/>
      <c r="N512" s="88">
        <f>Goods_Receipt[[#This Row],[ Invoice. /
 Received Qty ]]-Goods_Receipt[[#This Row],[ Accepted Qty ]]</f>
        <v>0</v>
      </c>
      <c r="O512" s="87"/>
      <c r="P512" s="87"/>
      <c r="Q512" s="87"/>
      <c r="R512" s="87"/>
      <c r="S512" s="87"/>
      <c r="T512" s="85"/>
      <c r="U512" s="89"/>
      <c r="V512" s="90"/>
      <c r="W512" s="87"/>
      <c r="X512" s="91"/>
      <c r="Y512" s="84"/>
      <c r="Z512" s="97"/>
    </row>
    <row r="513" spans="1:26" s="98" customFormat="1" x14ac:dyDescent="0.35">
      <c r="A513" s="86">
        <v>510</v>
      </c>
      <c r="B513" s="85"/>
      <c r="C513" s="87"/>
      <c r="D513" s="85"/>
      <c r="E513" s="84"/>
      <c r="F513" s="85"/>
      <c r="G513" s="87"/>
      <c r="H513" s="87"/>
      <c r="I513" s="87"/>
      <c r="J513" s="101"/>
      <c r="K513" s="87"/>
      <c r="L513" s="91"/>
      <c r="M513" s="91"/>
      <c r="N513" s="88">
        <f>Goods_Receipt[[#This Row],[ Invoice. /
 Received Qty ]]-Goods_Receipt[[#This Row],[ Accepted Qty ]]</f>
        <v>0</v>
      </c>
      <c r="O513" s="87"/>
      <c r="P513" s="87"/>
      <c r="Q513" s="87"/>
      <c r="R513" s="87"/>
      <c r="S513" s="87"/>
      <c r="T513" s="85"/>
      <c r="U513" s="89"/>
      <c r="V513" s="90"/>
      <c r="W513" s="87"/>
      <c r="X513" s="91"/>
      <c r="Y513" s="84"/>
      <c r="Z513" s="97"/>
    </row>
    <row r="514" spans="1:26" s="98" customFormat="1" x14ac:dyDescent="0.35">
      <c r="A514" s="86">
        <v>511</v>
      </c>
      <c r="B514" s="85"/>
      <c r="C514" s="87"/>
      <c r="D514" s="85"/>
      <c r="E514" s="84"/>
      <c r="F514" s="85"/>
      <c r="G514" s="87"/>
      <c r="H514" s="87"/>
      <c r="I514" s="87"/>
      <c r="J514" s="101"/>
      <c r="K514" s="87"/>
      <c r="L514" s="91"/>
      <c r="M514" s="91"/>
      <c r="N514" s="88">
        <f>Goods_Receipt[[#This Row],[ Invoice. /
 Received Qty ]]-Goods_Receipt[[#This Row],[ Accepted Qty ]]</f>
        <v>0</v>
      </c>
      <c r="O514" s="87"/>
      <c r="P514" s="87"/>
      <c r="Q514" s="87"/>
      <c r="R514" s="87"/>
      <c r="S514" s="87"/>
      <c r="T514" s="85"/>
      <c r="U514" s="89"/>
      <c r="V514" s="90"/>
      <c r="W514" s="87"/>
      <c r="X514" s="91"/>
      <c r="Y514" s="84"/>
      <c r="Z514" s="97"/>
    </row>
    <row r="515" spans="1:26" s="98" customFormat="1" x14ac:dyDescent="0.35">
      <c r="A515" s="86">
        <v>512</v>
      </c>
      <c r="B515" s="85"/>
      <c r="C515" s="87"/>
      <c r="D515" s="85"/>
      <c r="E515" s="84"/>
      <c r="F515" s="85"/>
      <c r="G515" s="87"/>
      <c r="H515" s="87"/>
      <c r="I515" s="87"/>
      <c r="J515" s="101"/>
      <c r="K515" s="87"/>
      <c r="L515" s="91"/>
      <c r="M515" s="91"/>
      <c r="N515" s="88">
        <f>Goods_Receipt[[#This Row],[ Invoice. /
 Received Qty ]]-Goods_Receipt[[#This Row],[ Accepted Qty ]]</f>
        <v>0</v>
      </c>
      <c r="O515" s="87"/>
      <c r="P515" s="87"/>
      <c r="Q515" s="87"/>
      <c r="R515" s="87"/>
      <c r="S515" s="87"/>
      <c r="T515" s="85"/>
      <c r="U515" s="89"/>
      <c r="V515" s="90"/>
      <c r="W515" s="87"/>
      <c r="X515" s="91"/>
      <c r="Y515" s="84"/>
      <c r="Z515" s="97"/>
    </row>
    <row r="516" spans="1:26" s="98" customFormat="1" x14ac:dyDescent="0.35">
      <c r="A516" s="86">
        <v>513</v>
      </c>
      <c r="B516" s="85"/>
      <c r="C516" s="87"/>
      <c r="D516" s="85"/>
      <c r="E516" s="84"/>
      <c r="F516" s="85"/>
      <c r="G516" s="87"/>
      <c r="H516" s="87"/>
      <c r="I516" s="87"/>
      <c r="J516" s="101"/>
      <c r="K516" s="87"/>
      <c r="L516" s="91"/>
      <c r="M516" s="91"/>
      <c r="N516" s="88">
        <f>Goods_Receipt[[#This Row],[ Invoice. /
 Received Qty ]]-Goods_Receipt[[#This Row],[ Accepted Qty ]]</f>
        <v>0</v>
      </c>
      <c r="O516" s="87"/>
      <c r="P516" s="87"/>
      <c r="Q516" s="87"/>
      <c r="R516" s="87"/>
      <c r="S516" s="87"/>
      <c r="T516" s="85"/>
      <c r="U516" s="89"/>
      <c r="V516" s="90"/>
      <c r="W516" s="87"/>
      <c r="X516" s="91"/>
      <c r="Y516" s="84"/>
      <c r="Z516" s="97"/>
    </row>
    <row r="517" spans="1:26" s="98" customFormat="1" x14ac:dyDescent="0.35">
      <c r="A517" s="86">
        <v>514</v>
      </c>
      <c r="B517" s="85"/>
      <c r="C517" s="87"/>
      <c r="D517" s="85"/>
      <c r="E517" s="84"/>
      <c r="F517" s="85"/>
      <c r="G517" s="87"/>
      <c r="H517" s="87"/>
      <c r="I517" s="87"/>
      <c r="J517" s="101"/>
      <c r="K517" s="87"/>
      <c r="L517" s="91"/>
      <c r="M517" s="91"/>
      <c r="N517" s="88">
        <f>Goods_Receipt[[#This Row],[ Invoice. /
 Received Qty ]]-Goods_Receipt[[#This Row],[ Accepted Qty ]]</f>
        <v>0</v>
      </c>
      <c r="O517" s="87"/>
      <c r="P517" s="87"/>
      <c r="Q517" s="87"/>
      <c r="R517" s="87"/>
      <c r="S517" s="87"/>
      <c r="T517" s="85"/>
      <c r="U517" s="89"/>
      <c r="V517" s="90"/>
      <c r="W517" s="87"/>
      <c r="X517" s="91"/>
      <c r="Y517" s="84"/>
      <c r="Z517" s="97"/>
    </row>
    <row r="518" spans="1:26" s="98" customFormat="1" x14ac:dyDescent="0.35">
      <c r="A518" s="86">
        <v>515</v>
      </c>
      <c r="B518" s="85"/>
      <c r="C518" s="87"/>
      <c r="D518" s="85"/>
      <c r="E518" s="84"/>
      <c r="F518" s="85"/>
      <c r="G518" s="87"/>
      <c r="H518" s="87"/>
      <c r="I518" s="87"/>
      <c r="J518" s="101"/>
      <c r="K518" s="87"/>
      <c r="L518" s="91"/>
      <c r="M518" s="91"/>
      <c r="N518" s="88">
        <f>Goods_Receipt[[#This Row],[ Invoice. /
 Received Qty ]]-Goods_Receipt[[#This Row],[ Accepted Qty ]]</f>
        <v>0</v>
      </c>
      <c r="O518" s="87"/>
      <c r="P518" s="87"/>
      <c r="Q518" s="87"/>
      <c r="R518" s="87"/>
      <c r="S518" s="87"/>
      <c r="T518" s="85"/>
      <c r="U518" s="89"/>
      <c r="V518" s="90"/>
      <c r="W518" s="87"/>
      <c r="X518" s="91"/>
      <c r="Y518" s="84"/>
      <c r="Z518" s="97"/>
    </row>
    <row r="519" spans="1:26" s="98" customFormat="1" x14ac:dyDescent="0.35">
      <c r="A519" s="86">
        <v>516</v>
      </c>
      <c r="B519" s="85"/>
      <c r="C519" s="87"/>
      <c r="D519" s="85"/>
      <c r="E519" s="84"/>
      <c r="F519" s="85"/>
      <c r="G519" s="87"/>
      <c r="H519" s="87"/>
      <c r="I519" s="87"/>
      <c r="J519" s="101"/>
      <c r="K519" s="87"/>
      <c r="L519" s="91"/>
      <c r="M519" s="91"/>
      <c r="N519" s="88">
        <f>Goods_Receipt[[#This Row],[ Invoice. /
 Received Qty ]]-Goods_Receipt[[#This Row],[ Accepted Qty ]]</f>
        <v>0</v>
      </c>
      <c r="O519" s="87"/>
      <c r="P519" s="87"/>
      <c r="Q519" s="87"/>
      <c r="R519" s="87"/>
      <c r="S519" s="87"/>
      <c r="T519" s="85"/>
      <c r="U519" s="89"/>
      <c r="V519" s="90"/>
      <c r="W519" s="87"/>
      <c r="X519" s="91"/>
      <c r="Y519" s="84"/>
      <c r="Z519" s="97"/>
    </row>
    <row r="520" spans="1:26" s="98" customFormat="1" x14ac:dyDescent="0.35">
      <c r="A520" s="86">
        <v>517</v>
      </c>
      <c r="B520" s="85"/>
      <c r="C520" s="87"/>
      <c r="D520" s="85"/>
      <c r="E520" s="84"/>
      <c r="F520" s="85"/>
      <c r="G520" s="87"/>
      <c r="H520" s="87"/>
      <c r="I520" s="87"/>
      <c r="J520" s="101"/>
      <c r="K520" s="87"/>
      <c r="L520" s="91"/>
      <c r="M520" s="91"/>
      <c r="N520" s="88">
        <f>Goods_Receipt[[#This Row],[ Invoice. /
 Received Qty ]]-Goods_Receipt[[#This Row],[ Accepted Qty ]]</f>
        <v>0</v>
      </c>
      <c r="O520" s="87"/>
      <c r="P520" s="87"/>
      <c r="Q520" s="87"/>
      <c r="R520" s="87"/>
      <c r="S520" s="87"/>
      <c r="T520" s="85"/>
      <c r="U520" s="89"/>
      <c r="V520" s="90"/>
      <c r="W520" s="87"/>
      <c r="X520" s="91"/>
      <c r="Y520" s="84"/>
      <c r="Z520" s="97"/>
    </row>
    <row r="521" spans="1:26" s="98" customFormat="1" x14ac:dyDescent="0.35">
      <c r="A521" s="86">
        <v>518</v>
      </c>
      <c r="B521" s="85"/>
      <c r="C521" s="87"/>
      <c r="D521" s="85"/>
      <c r="E521" s="84"/>
      <c r="F521" s="85"/>
      <c r="G521" s="87"/>
      <c r="H521" s="87"/>
      <c r="I521" s="87"/>
      <c r="J521" s="101"/>
      <c r="K521" s="87"/>
      <c r="L521" s="91"/>
      <c r="M521" s="91"/>
      <c r="N521" s="88">
        <f>Goods_Receipt[[#This Row],[ Invoice. /
 Received Qty ]]-Goods_Receipt[[#This Row],[ Accepted Qty ]]</f>
        <v>0</v>
      </c>
      <c r="O521" s="87"/>
      <c r="P521" s="87"/>
      <c r="Q521" s="87"/>
      <c r="R521" s="87"/>
      <c r="S521" s="87"/>
      <c r="T521" s="85"/>
      <c r="U521" s="89"/>
      <c r="V521" s="90"/>
      <c r="W521" s="87"/>
      <c r="X521" s="91"/>
      <c r="Y521" s="84"/>
      <c r="Z521" s="97"/>
    </row>
    <row r="522" spans="1:26" s="98" customFormat="1" x14ac:dyDescent="0.35">
      <c r="A522" s="86">
        <v>519</v>
      </c>
      <c r="B522" s="85"/>
      <c r="C522" s="87"/>
      <c r="D522" s="85"/>
      <c r="E522" s="84"/>
      <c r="F522" s="85"/>
      <c r="G522" s="87"/>
      <c r="H522" s="87"/>
      <c r="I522" s="87"/>
      <c r="J522" s="101"/>
      <c r="K522" s="87"/>
      <c r="L522" s="91"/>
      <c r="M522" s="91"/>
      <c r="N522" s="88">
        <f>Goods_Receipt[[#This Row],[ Invoice. /
 Received Qty ]]-Goods_Receipt[[#This Row],[ Accepted Qty ]]</f>
        <v>0</v>
      </c>
      <c r="O522" s="87"/>
      <c r="P522" s="87"/>
      <c r="Q522" s="87"/>
      <c r="R522" s="87"/>
      <c r="S522" s="87"/>
      <c r="T522" s="85"/>
      <c r="U522" s="89"/>
      <c r="V522" s="90"/>
      <c r="W522" s="87"/>
      <c r="X522" s="91"/>
      <c r="Y522" s="84"/>
      <c r="Z522" s="97"/>
    </row>
    <row r="523" spans="1:26" s="98" customFormat="1" x14ac:dyDescent="0.35">
      <c r="A523" s="86">
        <v>520</v>
      </c>
      <c r="B523" s="85"/>
      <c r="C523" s="87"/>
      <c r="D523" s="85"/>
      <c r="E523" s="84"/>
      <c r="F523" s="85"/>
      <c r="G523" s="87"/>
      <c r="H523" s="87"/>
      <c r="I523" s="87"/>
      <c r="J523" s="101"/>
      <c r="K523" s="87"/>
      <c r="L523" s="91"/>
      <c r="M523" s="91"/>
      <c r="N523" s="88">
        <f>Goods_Receipt[[#This Row],[ Invoice. /
 Received Qty ]]-Goods_Receipt[[#This Row],[ Accepted Qty ]]</f>
        <v>0</v>
      </c>
      <c r="O523" s="87"/>
      <c r="P523" s="87"/>
      <c r="Q523" s="87"/>
      <c r="R523" s="87"/>
      <c r="S523" s="87"/>
      <c r="T523" s="85"/>
      <c r="U523" s="89"/>
      <c r="V523" s="90"/>
      <c r="W523" s="87"/>
      <c r="X523" s="91"/>
      <c r="Y523" s="84"/>
      <c r="Z523" s="97"/>
    </row>
    <row r="524" spans="1:26" s="98" customFormat="1" x14ac:dyDescent="0.35">
      <c r="A524" s="86">
        <v>521</v>
      </c>
      <c r="B524" s="85"/>
      <c r="C524" s="87"/>
      <c r="D524" s="85"/>
      <c r="E524" s="84"/>
      <c r="F524" s="85"/>
      <c r="G524" s="87"/>
      <c r="H524" s="87"/>
      <c r="I524" s="87"/>
      <c r="J524" s="101"/>
      <c r="K524" s="87"/>
      <c r="L524" s="91"/>
      <c r="M524" s="91"/>
      <c r="N524" s="88">
        <f>Goods_Receipt[[#This Row],[ Invoice. /
 Received Qty ]]-Goods_Receipt[[#This Row],[ Accepted Qty ]]</f>
        <v>0</v>
      </c>
      <c r="O524" s="87"/>
      <c r="P524" s="87"/>
      <c r="Q524" s="87"/>
      <c r="R524" s="87"/>
      <c r="S524" s="87"/>
      <c r="T524" s="85"/>
      <c r="U524" s="89"/>
      <c r="V524" s="90"/>
      <c r="W524" s="87"/>
      <c r="X524" s="91"/>
      <c r="Y524" s="84"/>
      <c r="Z524" s="97"/>
    </row>
    <row r="525" spans="1:26" s="98" customFormat="1" x14ac:dyDescent="0.35">
      <c r="A525" s="86">
        <v>522</v>
      </c>
      <c r="B525" s="85"/>
      <c r="C525" s="87"/>
      <c r="D525" s="85"/>
      <c r="E525" s="84"/>
      <c r="F525" s="85"/>
      <c r="G525" s="87"/>
      <c r="H525" s="87"/>
      <c r="I525" s="87"/>
      <c r="J525" s="101"/>
      <c r="K525" s="87"/>
      <c r="L525" s="91"/>
      <c r="M525" s="91"/>
      <c r="N525" s="88">
        <f>Goods_Receipt[[#This Row],[ Invoice. /
 Received Qty ]]-Goods_Receipt[[#This Row],[ Accepted Qty ]]</f>
        <v>0</v>
      </c>
      <c r="O525" s="87"/>
      <c r="P525" s="87"/>
      <c r="Q525" s="87"/>
      <c r="R525" s="87"/>
      <c r="S525" s="87"/>
      <c r="T525" s="85"/>
      <c r="U525" s="89"/>
      <c r="V525" s="90"/>
      <c r="W525" s="87"/>
      <c r="X525" s="91"/>
      <c r="Y525" s="84"/>
      <c r="Z525" s="97"/>
    </row>
    <row r="526" spans="1:26" s="98" customFormat="1" x14ac:dyDescent="0.35">
      <c r="A526" s="86">
        <v>523</v>
      </c>
      <c r="B526" s="85"/>
      <c r="C526" s="87"/>
      <c r="D526" s="85"/>
      <c r="E526" s="84"/>
      <c r="F526" s="85"/>
      <c r="G526" s="87"/>
      <c r="H526" s="87"/>
      <c r="I526" s="87"/>
      <c r="J526" s="101"/>
      <c r="K526" s="87"/>
      <c r="L526" s="91"/>
      <c r="M526" s="91"/>
      <c r="N526" s="88">
        <f>Goods_Receipt[[#This Row],[ Invoice. /
 Received Qty ]]-Goods_Receipt[[#This Row],[ Accepted Qty ]]</f>
        <v>0</v>
      </c>
      <c r="O526" s="87"/>
      <c r="P526" s="87"/>
      <c r="Q526" s="87"/>
      <c r="R526" s="87"/>
      <c r="S526" s="87"/>
      <c r="T526" s="85"/>
      <c r="U526" s="89"/>
      <c r="V526" s="90"/>
      <c r="W526" s="87"/>
      <c r="X526" s="91"/>
      <c r="Y526" s="84"/>
      <c r="Z526" s="97"/>
    </row>
    <row r="527" spans="1:26" s="98" customFormat="1" x14ac:dyDescent="0.35">
      <c r="A527" s="86">
        <v>524</v>
      </c>
      <c r="B527" s="85"/>
      <c r="C527" s="87"/>
      <c r="D527" s="85"/>
      <c r="E527" s="84"/>
      <c r="F527" s="85"/>
      <c r="G527" s="87"/>
      <c r="H527" s="87"/>
      <c r="I527" s="87"/>
      <c r="J527" s="101"/>
      <c r="K527" s="87"/>
      <c r="L527" s="91"/>
      <c r="M527" s="91"/>
      <c r="N527" s="88">
        <f>Goods_Receipt[[#This Row],[ Invoice. /
 Received Qty ]]-Goods_Receipt[[#This Row],[ Accepted Qty ]]</f>
        <v>0</v>
      </c>
      <c r="O527" s="87"/>
      <c r="P527" s="87"/>
      <c r="Q527" s="87"/>
      <c r="R527" s="87"/>
      <c r="S527" s="87"/>
      <c r="T527" s="85"/>
      <c r="U527" s="89"/>
      <c r="V527" s="90"/>
      <c r="W527" s="87"/>
      <c r="X527" s="91"/>
      <c r="Y527" s="84"/>
      <c r="Z527" s="97"/>
    </row>
    <row r="528" spans="1:26" s="98" customFormat="1" x14ac:dyDescent="0.35">
      <c r="A528" s="86">
        <v>525</v>
      </c>
      <c r="B528" s="85"/>
      <c r="C528" s="87"/>
      <c r="D528" s="85"/>
      <c r="E528" s="84"/>
      <c r="F528" s="85"/>
      <c r="G528" s="87"/>
      <c r="H528" s="87"/>
      <c r="I528" s="87"/>
      <c r="J528" s="101"/>
      <c r="K528" s="87"/>
      <c r="L528" s="91"/>
      <c r="M528" s="91"/>
      <c r="N528" s="88">
        <f>Goods_Receipt[[#This Row],[ Invoice. /
 Received Qty ]]-Goods_Receipt[[#This Row],[ Accepted Qty ]]</f>
        <v>0</v>
      </c>
      <c r="O528" s="87"/>
      <c r="P528" s="87"/>
      <c r="Q528" s="87"/>
      <c r="R528" s="87"/>
      <c r="S528" s="87"/>
      <c r="T528" s="85"/>
      <c r="U528" s="89"/>
      <c r="V528" s="90"/>
      <c r="W528" s="87"/>
      <c r="X528" s="91"/>
      <c r="Y528" s="84"/>
      <c r="Z528" s="97"/>
    </row>
    <row r="529" spans="1:26" s="98" customFormat="1" x14ac:dyDescent="0.35">
      <c r="A529" s="86">
        <v>526</v>
      </c>
      <c r="B529" s="85"/>
      <c r="C529" s="87"/>
      <c r="D529" s="85"/>
      <c r="E529" s="84"/>
      <c r="F529" s="85"/>
      <c r="G529" s="87"/>
      <c r="H529" s="87"/>
      <c r="I529" s="87"/>
      <c r="J529" s="101"/>
      <c r="K529" s="87"/>
      <c r="L529" s="91"/>
      <c r="M529" s="91"/>
      <c r="N529" s="88">
        <f>Goods_Receipt[[#This Row],[ Invoice. /
 Received Qty ]]-Goods_Receipt[[#This Row],[ Accepted Qty ]]</f>
        <v>0</v>
      </c>
      <c r="O529" s="87"/>
      <c r="P529" s="87"/>
      <c r="Q529" s="87"/>
      <c r="R529" s="87"/>
      <c r="S529" s="87"/>
      <c r="T529" s="85"/>
      <c r="U529" s="89"/>
      <c r="V529" s="90"/>
      <c r="W529" s="87"/>
      <c r="X529" s="91"/>
      <c r="Y529" s="84"/>
      <c r="Z529" s="97"/>
    </row>
    <row r="530" spans="1:26" s="98" customFormat="1" x14ac:dyDescent="0.35">
      <c r="A530" s="86">
        <v>527</v>
      </c>
      <c r="B530" s="85"/>
      <c r="C530" s="87"/>
      <c r="D530" s="85"/>
      <c r="E530" s="84"/>
      <c r="F530" s="85"/>
      <c r="G530" s="87"/>
      <c r="H530" s="87"/>
      <c r="I530" s="87"/>
      <c r="J530" s="101"/>
      <c r="K530" s="87"/>
      <c r="L530" s="91"/>
      <c r="M530" s="91"/>
      <c r="N530" s="88">
        <f>Goods_Receipt[[#This Row],[ Invoice. /
 Received Qty ]]-Goods_Receipt[[#This Row],[ Accepted Qty ]]</f>
        <v>0</v>
      </c>
      <c r="O530" s="87"/>
      <c r="P530" s="87"/>
      <c r="Q530" s="87"/>
      <c r="R530" s="87"/>
      <c r="S530" s="87"/>
      <c r="T530" s="85"/>
      <c r="U530" s="89"/>
      <c r="V530" s="90"/>
      <c r="W530" s="87"/>
      <c r="X530" s="91"/>
      <c r="Y530" s="84"/>
      <c r="Z530" s="97"/>
    </row>
    <row r="531" spans="1:26" s="98" customFormat="1" x14ac:dyDescent="0.35">
      <c r="A531" s="86">
        <v>528</v>
      </c>
      <c r="B531" s="85"/>
      <c r="C531" s="87"/>
      <c r="D531" s="85"/>
      <c r="E531" s="84"/>
      <c r="F531" s="85"/>
      <c r="G531" s="87"/>
      <c r="H531" s="87"/>
      <c r="I531" s="87"/>
      <c r="J531" s="101"/>
      <c r="K531" s="87"/>
      <c r="L531" s="91"/>
      <c r="M531" s="91"/>
      <c r="N531" s="88">
        <f>Goods_Receipt[[#This Row],[ Invoice. /
 Received Qty ]]-Goods_Receipt[[#This Row],[ Accepted Qty ]]</f>
        <v>0</v>
      </c>
      <c r="O531" s="87"/>
      <c r="P531" s="87"/>
      <c r="Q531" s="87"/>
      <c r="R531" s="87"/>
      <c r="S531" s="87"/>
      <c r="T531" s="85"/>
      <c r="U531" s="89"/>
      <c r="V531" s="90"/>
      <c r="W531" s="87"/>
      <c r="X531" s="91"/>
      <c r="Y531" s="84"/>
      <c r="Z531" s="97"/>
    </row>
    <row r="532" spans="1:26" s="98" customFormat="1" x14ac:dyDescent="0.35">
      <c r="A532" s="86">
        <v>529</v>
      </c>
      <c r="B532" s="85"/>
      <c r="C532" s="87"/>
      <c r="D532" s="85"/>
      <c r="E532" s="84"/>
      <c r="F532" s="85"/>
      <c r="G532" s="87"/>
      <c r="H532" s="87"/>
      <c r="I532" s="87"/>
      <c r="J532" s="101"/>
      <c r="K532" s="87"/>
      <c r="L532" s="91"/>
      <c r="M532" s="91"/>
      <c r="N532" s="88">
        <f>Goods_Receipt[[#This Row],[ Invoice. /
 Received Qty ]]-Goods_Receipt[[#This Row],[ Accepted Qty ]]</f>
        <v>0</v>
      </c>
      <c r="O532" s="87"/>
      <c r="P532" s="87"/>
      <c r="Q532" s="87"/>
      <c r="R532" s="87"/>
      <c r="S532" s="87"/>
      <c r="T532" s="85"/>
      <c r="U532" s="89"/>
      <c r="V532" s="90"/>
      <c r="W532" s="87"/>
      <c r="X532" s="91"/>
      <c r="Y532" s="84"/>
      <c r="Z532" s="97"/>
    </row>
    <row r="533" spans="1:26" s="98" customFormat="1" x14ac:dyDescent="0.35">
      <c r="A533" s="86">
        <v>530</v>
      </c>
      <c r="B533" s="85"/>
      <c r="C533" s="87"/>
      <c r="D533" s="85"/>
      <c r="E533" s="84"/>
      <c r="F533" s="85"/>
      <c r="G533" s="87"/>
      <c r="H533" s="87"/>
      <c r="I533" s="87"/>
      <c r="J533" s="101"/>
      <c r="K533" s="87"/>
      <c r="L533" s="91"/>
      <c r="M533" s="91"/>
      <c r="N533" s="88">
        <f>Goods_Receipt[[#This Row],[ Invoice. /
 Received Qty ]]-Goods_Receipt[[#This Row],[ Accepted Qty ]]</f>
        <v>0</v>
      </c>
      <c r="O533" s="87"/>
      <c r="P533" s="87"/>
      <c r="Q533" s="87"/>
      <c r="R533" s="87"/>
      <c r="S533" s="87"/>
      <c r="T533" s="85"/>
      <c r="U533" s="89"/>
      <c r="V533" s="90"/>
      <c r="W533" s="87"/>
      <c r="X533" s="91"/>
      <c r="Y533" s="84"/>
      <c r="Z533" s="97"/>
    </row>
    <row r="534" spans="1:26" s="98" customFormat="1" x14ac:dyDescent="0.35">
      <c r="A534" s="86">
        <v>531</v>
      </c>
      <c r="B534" s="85"/>
      <c r="C534" s="87"/>
      <c r="D534" s="85"/>
      <c r="E534" s="84"/>
      <c r="F534" s="85"/>
      <c r="G534" s="87"/>
      <c r="H534" s="87"/>
      <c r="I534" s="87"/>
      <c r="J534" s="101"/>
      <c r="K534" s="87"/>
      <c r="L534" s="91"/>
      <c r="M534" s="91"/>
      <c r="N534" s="88">
        <f>Goods_Receipt[[#This Row],[ Invoice. /
 Received Qty ]]-Goods_Receipt[[#This Row],[ Accepted Qty ]]</f>
        <v>0</v>
      </c>
      <c r="O534" s="87"/>
      <c r="P534" s="87"/>
      <c r="Q534" s="87"/>
      <c r="R534" s="87"/>
      <c r="S534" s="87"/>
      <c r="T534" s="85"/>
      <c r="U534" s="89"/>
      <c r="V534" s="90"/>
      <c r="W534" s="87"/>
      <c r="X534" s="91"/>
      <c r="Y534" s="84"/>
      <c r="Z534" s="97"/>
    </row>
    <row r="535" spans="1:26" s="98" customFormat="1" x14ac:dyDescent="0.35">
      <c r="A535" s="86">
        <v>532</v>
      </c>
      <c r="B535" s="85"/>
      <c r="C535" s="87"/>
      <c r="D535" s="85"/>
      <c r="E535" s="84"/>
      <c r="F535" s="85"/>
      <c r="G535" s="87"/>
      <c r="H535" s="87"/>
      <c r="I535" s="87"/>
      <c r="J535" s="101"/>
      <c r="K535" s="87"/>
      <c r="L535" s="91"/>
      <c r="M535" s="91"/>
      <c r="N535" s="88">
        <f>Goods_Receipt[[#This Row],[ Invoice. /
 Received Qty ]]-Goods_Receipt[[#This Row],[ Accepted Qty ]]</f>
        <v>0</v>
      </c>
      <c r="O535" s="87"/>
      <c r="P535" s="87"/>
      <c r="Q535" s="87"/>
      <c r="R535" s="87"/>
      <c r="S535" s="87"/>
      <c r="T535" s="85"/>
      <c r="U535" s="89"/>
      <c r="V535" s="90"/>
      <c r="W535" s="87"/>
      <c r="X535" s="91"/>
      <c r="Y535" s="84"/>
      <c r="Z535" s="97"/>
    </row>
    <row r="536" spans="1:26" s="98" customFormat="1" x14ac:dyDescent="0.35">
      <c r="A536" s="86">
        <v>533</v>
      </c>
      <c r="B536" s="85"/>
      <c r="C536" s="87"/>
      <c r="D536" s="85"/>
      <c r="E536" s="84"/>
      <c r="F536" s="85"/>
      <c r="G536" s="87"/>
      <c r="H536" s="87"/>
      <c r="I536" s="87"/>
      <c r="J536" s="101"/>
      <c r="K536" s="87"/>
      <c r="L536" s="91"/>
      <c r="M536" s="91"/>
      <c r="N536" s="88">
        <f>Goods_Receipt[[#This Row],[ Invoice. /
 Received Qty ]]-Goods_Receipt[[#This Row],[ Accepted Qty ]]</f>
        <v>0</v>
      </c>
      <c r="O536" s="87"/>
      <c r="P536" s="87"/>
      <c r="Q536" s="87"/>
      <c r="R536" s="87"/>
      <c r="S536" s="87"/>
      <c r="T536" s="85"/>
      <c r="U536" s="89"/>
      <c r="V536" s="90"/>
      <c r="W536" s="87"/>
      <c r="X536" s="91"/>
      <c r="Y536" s="84"/>
      <c r="Z536" s="97"/>
    </row>
    <row r="537" spans="1:26" s="98" customFormat="1" x14ac:dyDescent="0.35">
      <c r="A537" s="86">
        <v>534</v>
      </c>
      <c r="B537" s="85"/>
      <c r="C537" s="87"/>
      <c r="D537" s="85"/>
      <c r="E537" s="84"/>
      <c r="F537" s="85"/>
      <c r="G537" s="87"/>
      <c r="H537" s="87"/>
      <c r="I537" s="87"/>
      <c r="J537" s="101"/>
      <c r="K537" s="87"/>
      <c r="L537" s="91"/>
      <c r="M537" s="91"/>
      <c r="N537" s="88">
        <f>Goods_Receipt[[#This Row],[ Invoice. /
 Received Qty ]]-Goods_Receipt[[#This Row],[ Accepted Qty ]]</f>
        <v>0</v>
      </c>
      <c r="O537" s="87"/>
      <c r="P537" s="87"/>
      <c r="Q537" s="87"/>
      <c r="R537" s="87"/>
      <c r="S537" s="87"/>
      <c r="T537" s="85"/>
      <c r="U537" s="89"/>
      <c r="V537" s="90"/>
      <c r="W537" s="87"/>
      <c r="X537" s="91"/>
      <c r="Y537" s="84"/>
      <c r="Z537" s="97"/>
    </row>
    <row r="538" spans="1:26" s="98" customFormat="1" x14ac:dyDescent="0.35">
      <c r="A538" s="86">
        <v>535</v>
      </c>
      <c r="B538" s="85"/>
      <c r="C538" s="87"/>
      <c r="D538" s="85"/>
      <c r="E538" s="84"/>
      <c r="F538" s="85"/>
      <c r="G538" s="87"/>
      <c r="H538" s="87"/>
      <c r="I538" s="87"/>
      <c r="J538" s="101"/>
      <c r="K538" s="87"/>
      <c r="L538" s="91"/>
      <c r="M538" s="91"/>
      <c r="N538" s="88">
        <f>Goods_Receipt[[#This Row],[ Invoice. /
 Received Qty ]]-Goods_Receipt[[#This Row],[ Accepted Qty ]]</f>
        <v>0</v>
      </c>
      <c r="O538" s="87"/>
      <c r="P538" s="87"/>
      <c r="Q538" s="87"/>
      <c r="R538" s="87"/>
      <c r="S538" s="87"/>
      <c r="T538" s="85"/>
      <c r="U538" s="89"/>
      <c r="V538" s="90"/>
      <c r="W538" s="87"/>
      <c r="X538" s="91"/>
      <c r="Y538" s="84"/>
      <c r="Z538" s="97"/>
    </row>
    <row r="539" spans="1:26" s="98" customFormat="1" x14ac:dyDescent="0.35">
      <c r="A539" s="86">
        <v>536</v>
      </c>
      <c r="B539" s="85"/>
      <c r="C539" s="87"/>
      <c r="D539" s="85"/>
      <c r="E539" s="84"/>
      <c r="F539" s="85"/>
      <c r="G539" s="87"/>
      <c r="H539" s="87"/>
      <c r="I539" s="87"/>
      <c r="J539" s="101"/>
      <c r="K539" s="87"/>
      <c r="L539" s="91"/>
      <c r="M539" s="91"/>
      <c r="N539" s="88">
        <f>Goods_Receipt[[#This Row],[ Invoice. /
 Received Qty ]]-Goods_Receipt[[#This Row],[ Accepted Qty ]]</f>
        <v>0</v>
      </c>
      <c r="O539" s="87"/>
      <c r="P539" s="87"/>
      <c r="Q539" s="87"/>
      <c r="R539" s="87"/>
      <c r="S539" s="87"/>
      <c r="T539" s="85"/>
      <c r="U539" s="89"/>
      <c r="V539" s="90"/>
      <c r="W539" s="87"/>
      <c r="X539" s="91"/>
      <c r="Y539" s="84"/>
      <c r="Z539" s="97"/>
    </row>
    <row r="540" spans="1:26" s="98" customFormat="1" x14ac:dyDescent="0.35">
      <c r="A540" s="86">
        <v>537</v>
      </c>
      <c r="B540" s="85"/>
      <c r="C540" s="87"/>
      <c r="D540" s="85"/>
      <c r="E540" s="84"/>
      <c r="F540" s="85"/>
      <c r="G540" s="87"/>
      <c r="H540" s="87"/>
      <c r="I540" s="87"/>
      <c r="J540" s="101"/>
      <c r="K540" s="87"/>
      <c r="L540" s="91"/>
      <c r="M540" s="91"/>
      <c r="N540" s="88">
        <f>Goods_Receipt[[#This Row],[ Invoice. /
 Received Qty ]]-Goods_Receipt[[#This Row],[ Accepted Qty ]]</f>
        <v>0</v>
      </c>
      <c r="O540" s="87"/>
      <c r="P540" s="87"/>
      <c r="Q540" s="87"/>
      <c r="R540" s="87"/>
      <c r="S540" s="87"/>
      <c r="T540" s="85"/>
      <c r="U540" s="89"/>
      <c r="V540" s="90"/>
      <c r="W540" s="87"/>
      <c r="X540" s="91"/>
      <c r="Y540" s="84"/>
      <c r="Z540" s="97"/>
    </row>
    <row r="541" spans="1:26" s="98" customFormat="1" x14ac:dyDescent="0.35">
      <c r="A541" s="86">
        <v>538</v>
      </c>
      <c r="B541" s="85"/>
      <c r="C541" s="87"/>
      <c r="D541" s="85"/>
      <c r="E541" s="84"/>
      <c r="F541" s="85"/>
      <c r="G541" s="87"/>
      <c r="H541" s="87"/>
      <c r="I541" s="87"/>
      <c r="J541" s="101"/>
      <c r="K541" s="87"/>
      <c r="L541" s="91"/>
      <c r="M541" s="91"/>
      <c r="N541" s="88">
        <f>Goods_Receipt[[#This Row],[ Invoice. /
 Received Qty ]]-Goods_Receipt[[#This Row],[ Accepted Qty ]]</f>
        <v>0</v>
      </c>
      <c r="O541" s="87"/>
      <c r="P541" s="87"/>
      <c r="Q541" s="87"/>
      <c r="R541" s="87"/>
      <c r="S541" s="87"/>
      <c r="T541" s="85"/>
      <c r="U541" s="89"/>
      <c r="V541" s="90"/>
      <c r="W541" s="87"/>
      <c r="X541" s="91"/>
      <c r="Y541" s="84"/>
      <c r="Z541" s="97"/>
    </row>
    <row r="542" spans="1:26" s="98" customFormat="1" x14ac:dyDescent="0.35">
      <c r="A542" s="86">
        <v>539</v>
      </c>
      <c r="B542" s="85"/>
      <c r="C542" s="87"/>
      <c r="D542" s="85"/>
      <c r="E542" s="84"/>
      <c r="F542" s="85"/>
      <c r="G542" s="87"/>
      <c r="H542" s="87"/>
      <c r="I542" s="87"/>
      <c r="J542" s="101"/>
      <c r="K542" s="87"/>
      <c r="L542" s="91"/>
      <c r="M542" s="91"/>
      <c r="N542" s="88">
        <f>Goods_Receipt[[#This Row],[ Invoice. /
 Received Qty ]]-Goods_Receipt[[#This Row],[ Accepted Qty ]]</f>
        <v>0</v>
      </c>
      <c r="O542" s="87"/>
      <c r="P542" s="87"/>
      <c r="Q542" s="87"/>
      <c r="R542" s="87"/>
      <c r="S542" s="87"/>
      <c r="T542" s="85"/>
      <c r="U542" s="89"/>
      <c r="V542" s="90"/>
      <c r="W542" s="87"/>
      <c r="X542" s="91"/>
      <c r="Y542" s="84"/>
      <c r="Z542" s="97"/>
    </row>
    <row r="543" spans="1:26" s="98" customFormat="1" x14ac:dyDescent="0.35">
      <c r="A543" s="86">
        <v>540</v>
      </c>
      <c r="B543" s="85"/>
      <c r="C543" s="87"/>
      <c r="D543" s="85"/>
      <c r="E543" s="84"/>
      <c r="F543" s="85"/>
      <c r="G543" s="87"/>
      <c r="H543" s="87"/>
      <c r="I543" s="87"/>
      <c r="J543" s="101"/>
      <c r="K543" s="87"/>
      <c r="L543" s="91"/>
      <c r="M543" s="91"/>
      <c r="N543" s="88">
        <f>Goods_Receipt[[#This Row],[ Invoice. /
 Received Qty ]]-Goods_Receipt[[#This Row],[ Accepted Qty ]]</f>
        <v>0</v>
      </c>
      <c r="O543" s="87"/>
      <c r="P543" s="87"/>
      <c r="Q543" s="87"/>
      <c r="R543" s="87"/>
      <c r="S543" s="87"/>
      <c r="T543" s="85"/>
      <c r="U543" s="89"/>
      <c r="V543" s="90"/>
      <c r="W543" s="87"/>
      <c r="X543" s="91"/>
      <c r="Y543" s="84"/>
      <c r="Z543" s="97"/>
    </row>
    <row r="544" spans="1:26" s="98" customFormat="1" x14ac:dyDescent="0.35">
      <c r="A544" s="86">
        <v>541</v>
      </c>
      <c r="B544" s="85"/>
      <c r="C544" s="87"/>
      <c r="D544" s="85"/>
      <c r="E544" s="84"/>
      <c r="F544" s="85"/>
      <c r="G544" s="87"/>
      <c r="H544" s="87"/>
      <c r="I544" s="87"/>
      <c r="J544" s="101"/>
      <c r="K544" s="87"/>
      <c r="L544" s="91"/>
      <c r="M544" s="91"/>
      <c r="N544" s="88">
        <f>Goods_Receipt[[#This Row],[ Invoice. /
 Received Qty ]]-Goods_Receipt[[#This Row],[ Accepted Qty ]]</f>
        <v>0</v>
      </c>
      <c r="O544" s="87"/>
      <c r="P544" s="87"/>
      <c r="Q544" s="87"/>
      <c r="R544" s="87"/>
      <c r="S544" s="87"/>
      <c r="T544" s="85"/>
      <c r="U544" s="89"/>
      <c r="V544" s="90"/>
      <c r="W544" s="87"/>
      <c r="X544" s="91"/>
      <c r="Y544" s="84"/>
      <c r="Z544" s="97"/>
    </row>
    <row r="545" spans="1:26" s="98" customFormat="1" x14ac:dyDescent="0.35">
      <c r="A545" s="86">
        <v>542</v>
      </c>
      <c r="B545" s="85"/>
      <c r="C545" s="87"/>
      <c r="D545" s="85"/>
      <c r="E545" s="84"/>
      <c r="F545" s="85"/>
      <c r="G545" s="87"/>
      <c r="H545" s="87"/>
      <c r="I545" s="87"/>
      <c r="J545" s="101"/>
      <c r="K545" s="87"/>
      <c r="L545" s="91"/>
      <c r="M545" s="91"/>
      <c r="N545" s="88">
        <f>Goods_Receipt[[#This Row],[ Invoice. /
 Received Qty ]]-Goods_Receipt[[#This Row],[ Accepted Qty ]]</f>
        <v>0</v>
      </c>
      <c r="O545" s="87"/>
      <c r="P545" s="87"/>
      <c r="Q545" s="87"/>
      <c r="R545" s="87"/>
      <c r="S545" s="87"/>
      <c r="T545" s="85"/>
      <c r="U545" s="89"/>
      <c r="V545" s="90"/>
      <c r="W545" s="87"/>
      <c r="X545" s="91"/>
      <c r="Y545" s="84"/>
      <c r="Z545" s="97"/>
    </row>
    <row r="546" spans="1:26" s="98" customFormat="1" x14ac:dyDescent="0.35">
      <c r="A546" s="86">
        <v>543</v>
      </c>
      <c r="B546" s="85"/>
      <c r="C546" s="87"/>
      <c r="D546" s="85"/>
      <c r="E546" s="84"/>
      <c r="F546" s="85"/>
      <c r="G546" s="87"/>
      <c r="H546" s="87"/>
      <c r="I546" s="87"/>
      <c r="J546" s="101"/>
      <c r="K546" s="87"/>
      <c r="L546" s="91"/>
      <c r="M546" s="91"/>
      <c r="N546" s="88">
        <f>Goods_Receipt[[#This Row],[ Invoice. /
 Received Qty ]]-Goods_Receipt[[#This Row],[ Accepted Qty ]]</f>
        <v>0</v>
      </c>
      <c r="O546" s="87"/>
      <c r="P546" s="87"/>
      <c r="Q546" s="87"/>
      <c r="R546" s="87"/>
      <c r="S546" s="87"/>
      <c r="T546" s="85"/>
      <c r="U546" s="89"/>
      <c r="V546" s="90"/>
      <c r="W546" s="87"/>
      <c r="X546" s="91"/>
      <c r="Y546" s="84"/>
      <c r="Z546" s="97"/>
    </row>
    <row r="547" spans="1:26" s="98" customFormat="1" x14ac:dyDescent="0.35">
      <c r="A547" s="86">
        <v>544</v>
      </c>
      <c r="B547" s="85"/>
      <c r="C547" s="87"/>
      <c r="D547" s="85"/>
      <c r="E547" s="84"/>
      <c r="F547" s="85"/>
      <c r="G547" s="87"/>
      <c r="H547" s="87"/>
      <c r="I547" s="87"/>
      <c r="J547" s="101"/>
      <c r="K547" s="87"/>
      <c r="L547" s="91"/>
      <c r="M547" s="91"/>
      <c r="N547" s="88">
        <f>Goods_Receipt[[#This Row],[ Invoice. /
 Received Qty ]]-Goods_Receipt[[#This Row],[ Accepted Qty ]]</f>
        <v>0</v>
      </c>
      <c r="O547" s="87"/>
      <c r="P547" s="87"/>
      <c r="Q547" s="87"/>
      <c r="R547" s="87"/>
      <c r="S547" s="87"/>
      <c r="T547" s="85"/>
      <c r="U547" s="89"/>
      <c r="V547" s="90"/>
      <c r="W547" s="87"/>
      <c r="X547" s="91"/>
      <c r="Y547" s="84"/>
      <c r="Z547" s="97"/>
    </row>
    <row r="548" spans="1:26" s="98" customFormat="1" x14ac:dyDescent="0.35">
      <c r="A548" s="86">
        <v>545</v>
      </c>
      <c r="B548" s="85"/>
      <c r="C548" s="87"/>
      <c r="D548" s="85"/>
      <c r="E548" s="84"/>
      <c r="F548" s="85"/>
      <c r="G548" s="87"/>
      <c r="H548" s="87"/>
      <c r="I548" s="87"/>
      <c r="J548" s="101"/>
      <c r="K548" s="87"/>
      <c r="L548" s="91"/>
      <c r="M548" s="91"/>
      <c r="N548" s="88">
        <f>Goods_Receipt[[#This Row],[ Invoice. /
 Received Qty ]]-Goods_Receipt[[#This Row],[ Accepted Qty ]]</f>
        <v>0</v>
      </c>
      <c r="O548" s="87"/>
      <c r="P548" s="87"/>
      <c r="Q548" s="87"/>
      <c r="R548" s="87"/>
      <c r="S548" s="87"/>
      <c r="T548" s="85"/>
      <c r="U548" s="89"/>
      <c r="V548" s="90"/>
      <c r="W548" s="87"/>
      <c r="X548" s="91"/>
      <c r="Y548" s="84"/>
      <c r="Z548" s="97"/>
    </row>
    <row r="549" spans="1:26" s="98" customFormat="1" x14ac:dyDescent="0.35">
      <c r="A549" s="86">
        <v>546</v>
      </c>
      <c r="B549" s="85"/>
      <c r="C549" s="87"/>
      <c r="D549" s="85"/>
      <c r="E549" s="84"/>
      <c r="F549" s="85"/>
      <c r="G549" s="87"/>
      <c r="H549" s="87"/>
      <c r="I549" s="87"/>
      <c r="J549" s="101"/>
      <c r="K549" s="87"/>
      <c r="L549" s="91"/>
      <c r="M549" s="91"/>
      <c r="N549" s="88">
        <f>Goods_Receipt[[#This Row],[ Invoice. /
 Received Qty ]]-Goods_Receipt[[#This Row],[ Accepted Qty ]]</f>
        <v>0</v>
      </c>
      <c r="O549" s="87"/>
      <c r="P549" s="87"/>
      <c r="Q549" s="87"/>
      <c r="R549" s="87"/>
      <c r="S549" s="87"/>
      <c r="T549" s="85"/>
      <c r="U549" s="89"/>
      <c r="V549" s="90"/>
      <c r="W549" s="87"/>
      <c r="X549" s="91"/>
      <c r="Y549" s="84"/>
      <c r="Z549" s="97"/>
    </row>
    <row r="550" spans="1:26" s="98" customFormat="1" x14ac:dyDescent="0.35">
      <c r="A550" s="86">
        <v>547</v>
      </c>
      <c r="B550" s="85"/>
      <c r="C550" s="87"/>
      <c r="D550" s="85"/>
      <c r="E550" s="84"/>
      <c r="F550" s="85"/>
      <c r="G550" s="87"/>
      <c r="H550" s="87"/>
      <c r="I550" s="87"/>
      <c r="J550" s="101"/>
      <c r="K550" s="87"/>
      <c r="L550" s="91"/>
      <c r="M550" s="91"/>
      <c r="N550" s="88">
        <f>Goods_Receipt[[#This Row],[ Invoice. /
 Received Qty ]]-Goods_Receipt[[#This Row],[ Accepted Qty ]]</f>
        <v>0</v>
      </c>
      <c r="O550" s="87"/>
      <c r="P550" s="87"/>
      <c r="Q550" s="87"/>
      <c r="R550" s="87"/>
      <c r="S550" s="87"/>
      <c r="T550" s="85"/>
      <c r="U550" s="89"/>
      <c r="V550" s="90"/>
      <c r="W550" s="87"/>
      <c r="X550" s="91"/>
      <c r="Y550" s="84"/>
      <c r="Z550" s="97"/>
    </row>
    <row r="551" spans="1:26" s="98" customFormat="1" x14ac:dyDescent="0.35">
      <c r="A551" s="86">
        <v>548</v>
      </c>
      <c r="B551" s="85"/>
      <c r="C551" s="87"/>
      <c r="D551" s="85"/>
      <c r="E551" s="84"/>
      <c r="F551" s="85"/>
      <c r="G551" s="87"/>
      <c r="H551" s="87"/>
      <c r="I551" s="87"/>
      <c r="J551" s="101"/>
      <c r="K551" s="87"/>
      <c r="L551" s="91"/>
      <c r="M551" s="91"/>
      <c r="N551" s="88">
        <f>Goods_Receipt[[#This Row],[ Invoice. /
 Received Qty ]]-Goods_Receipt[[#This Row],[ Accepted Qty ]]</f>
        <v>0</v>
      </c>
      <c r="O551" s="87"/>
      <c r="P551" s="87"/>
      <c r="Q551" s="87"/>
      <c r="R551" s="87"/>
      <c r="S551" s="87"/>
      <c r="T551" s="85"/>
      <c r="U551" s="89"/>
      <c r="V551" s="90"/>
      <c r="W551" s="87"/>
      <c r="X551" s="91"/>
      <c r="Y551" s="84"/>
      <c r="Z551" s="97"/>
    </row>
    <row r="552" spans="1:26" s="98" customFormat="1" x14ac:dyDescent="0.35">
      <c r="A552" s="86">
        <v>549</v>
      </c>
      <c r="B552" s="85"/>
      <c r="C552" s="87"/>
      <c r="D552" s="85"/>
      <c r="E552" s="84"/>
      <c r="F552" s="85"/>
      <c r="G552" s="87"/>
      <c r="H552" s="87"/>
      <c r="I552" s="87"/>
      <c r="J552" s="101"/>
      <c r="K552" s="87"/>
      <c r="L552" s="91"/>
      <c r="M552" s="91"/>
      <c r="N552" s="88">
        <f>Goods_Receipt[[#This Row],[ Invoice. /
 Received Qty ]]-Goods_Receipt[[#This Row],[ Accepted Qty ]]</f>
        <v>0</v>
      </c>
      <c r="O552" s="87"/>
      <c r="P552" s="87"/>
      <c r="Q552" s="87"/>
      <c r="R552" s="87"/>
      <c r="S552" s="87"/>
      <c r="T552" s="85"/>
      <c r="U552" s="89"/>
      <c r="V552" s="90"/>
      <c r="W552" s="87"/>
      <c r="X552" s="91"/>
      <c r="Y552" s="84"/>
      <c r="Z552" s="97"/>
    </row>
    <row r="553" spans="1:26" s="98" customFormat="1" x14ac:dyDescent="0.35">
      <c r="A553" s="86">
        <v>550</v>
      </c>
      <c r="B553" s="85"/>
      <c r="C553" s="87"/>
      <c r="D553" s="85"/>
      <c r="E553" s="84"/>
      <c r="F553" s="85"/>
      <c r="G553" s="87"/>
      <c r="H553" s="87"/>
      <c r="I553" s="87"/>
      <c r="J553" s="101"/>
      <c r="K553" s="87"/>
      <c r="L553" s="91"/>
      <c r="M553" s="91"/>
      <c r="N553" s="88">
        <f>Goods_Receipt[[#This Row],[ Invoice. /
 Received Qty ]]-Goods_Receipt[[#This Row],[ Accepted Qty ]]</f>
        <v>0</v>
      </c>
      <c r="O553" s="87"/>
      <c r="P553" s="87"/>
      <c r="Q553" s="87"/>
      <c r="R553" s="87"/>
      <c r="S553" s="87"/>
      <c r="T553" s="85"/>
      <c r="U553" s="89"/>
      <c r="V553" s="90"/>
      <c r="W553" s="87"/>
      <c r="X553" s="91"/>
      <c r="Y553" s="84"/>
      <c r="Z553" s="97"/>
    </row>
    <row r="554" spans="1:26" s="98" customFormat="1" x14ac:dyDescent="0.35">
      <c r="A554" s="86">
        <v>551</v>
      </c>
      <c r="B554" s="85"/>
      <c r="C554" s="87"/>
      <c r="D554" s="85"/>
      <c r="E554" s="84"/>
      <c r="F554" s="85"/>
      <c r="G554" s="87"/>
      <c r="H554" s="87"/>
      <c r="I554" s="87"/>
      <c r="J554" s="101"/>
      <c r="K554" s="87"/>
      <c r="L554" s="91"/>
      <c r="M554" s="91"/>
      <c r="N554" s="88">
        <f>Goods_Receipt[[#This Row],[ Invoice. /
 Received Qty ]]-Goods_Receipt[[#This Row],[ Accepted Qty ]]</f>
        <v>0</v>
      </c>
      <c r="O554" s="87"/>
      <c r="P554" s="87"/>
      <c r="Q554" s="87"/>
      <c r="R554" s="87"/>
      <c r="S554" s="87"/>
      <c r="T554" s="85"/>
      <c r="U554" s="89"/>
      <c r="V554" s="90"/>
      <c r="W554" s="87"/>
      <c r="X554" s="91"/>
      <c r="Y554" s="84"/>
      <c r="Z554" s="97"/>
    </row>
    <row r="555" spans="1:26" s="98" customFormat="1" x14ac:dyDescent="0.35">
      <c r="A555" s="86">
        <v>552</v>
      </c>
      <c r="B555" s="85"/>
      <c r="C555" s="87"/>
      <c r="D555" s="85"/>
      <c r="E555" s="84"/>
      <c r="F555" s="85"/>
      <c r="G555" s="87"/>
      <c r="H555" s="87"/>
      <c r="I555" s="87"/>
      <c r="J555" s="101"/>
      <c r="K555" s="87"/>
      <c r="L555" s="91"/>
      <c r="M555" s="91"/>
      <c r="N555" s="88">
        <f>Goods_Receipt[[#This Row],[ Invoice. /
 Received Qty ]]-Goods_Receipt[[#This Row],[ Accepted Qty ]]</f>
        <v>0</v>
      </c>
      <c r="O555" s="87"/>
      <c r="P555" s="87"/>
      <c r="Q555" s="87"/>
      <c r="R555" s="87"/>
      <c r="S555" s="87"/>
      <c r="T555" s="85"/>
      <c r="U555" s="89"/>
      <c r="V555" s="90"/>
      <c r="W555" s="87"/>
      <c r="X555" s="91"/>
      <c r="Y555" s="84"/>
      <c r="Z555" s="97"/>
    </row>
    <row r="556" spans="1:26" s="98" customFormat="1" x14ac:dyDescent="0.35">
      <c r="A556" s="86">
        <v>553</v>
      </c>
      <c r="B556" s="85"/>
      <c r="C556" s="87"/>
      <c r="D556" s="85"/>
      <c r="E556" s="84"/>
      <c r="F556" s="85"/>
      <c r="G556" s="87"/>
      <c r="H556" s="87"/>
      <c r="I556" s="87"/>
      <c r="J556" s="101"/>
      <c r="K556" s="87"/>
      <c r="L556" s="91"/>
      <c r="M556" s="91"/>
      <c r="N556" s="88">
        <f>Goods_Receipt[[#This Row],[ Invoice. /
 Received Qty ]]-Goods_Receipt[[#This Row],[ Accepted Qty ]]</f>
        <v>0</v>
      </c>
      <c r="O556" s="87"/>
      <c r="P556" s="87"/>
      <c r="Q556" s="87"/>
      <c r="R556" s="87"/>
      <c r="S556" s="87"/>
      <c r="T556" s="85"/>
      <c r="U556" s="89"/>
      <c r="V556" s="90"/>
      <c r="W556" s="87"/>
      <c r="X556" s="91"/>
      <c r="Y556" s="84"/>
      <c r="Z556" s="97"/>
    </row>
    <row r="557" spans="1:26" s="98" customFormat="1" x14ac:dyDescent="0.35">
      <c r="A557" s="86">
        <v>554</v>
      </c>
      <c r="B557" s="85"/>
      <c r="C557" s="87"/>
      <c r="D557" s="85"/>
      <c r="E557" s="84"/>
      <c r="F557" s="85"/>
      <c r="G557" s="87"/>
      <c r="H557" s="87"/>
      <c r="I557" s="87"/>
      <c r="J557" s="101"/>
      <c r="K557" s="87"/>
      <c r="L557" s="91"/>
      <c r="M557" s="91"/>
      <c r="N557" s="88">
        <f>Goods_Receipt[[#This Row],[ Invoice. /
 Received Qty ]]-Goods_Receipt[[#This Row],[ Accepted Qty ]]</f>
        <v>0</v>
      </c>
      <c r="O557" s="87"/>
      <c r="P557" s="87"/>
      <c r="Q557" s="87"/>
      <c r="R557" s="87"/>
      <c r="S557" s="87"/>
      <c r="T557" s="85"/>
      <c r="U557" s="89"/>
      <c r="V557" s="90"/>
      <c r="W557" s="87"/>
      <c r="X557" s="91"/>
      <c r="Y557" s="84"/>
      <c r="Z557" s="97"/>
    </row>
    <row r="558" spans="1:26" s="98" customFormat="1" x14ac:dyDescent="0.35">
      <c r="A558" s="86">
        <v>555</v>
      </c>
      <c r="B558" s="85"/>
      <c r="C558" s="87"/>
      <c r="D558" s="85"/>
      <c r="E558" s="84"/>
      <c r="F558" s="85"/>
      <c r="G558" s="87"/>
      <c r="H558" s="87"/>
      <c r="I558" s="87"/>
      <c r="J558" s="101"/>
      <c r="K558" s="87"/>
      <c r="L558" s="91"/>
      <c r="M558" s="91"/>
      <c r="N558" s="88">
        <f>Goods_Receipt[[#This Row],[ Invoice. /
 Received Qty ]]-Goods_Receipt[[#This Row],[ Accepted Qty ]]</f>
        <v>0</v>
      </c>
      <c r="O558" s="87"/>
      <c r="P558" s="87"/>
      <c r="Q558" s="87"/>
      <c r="R558" s="87"/>
      <c r="S558" s="87"/>
      <c r="T558" s="85"/>
      <c r="U558" s="89"/>
      <c r="V558" s="90"/>
      <c r="W558" s="87"/>
      <c r="X558" s="91"/>
      <c r="Y558" s="84"/>
      <c r="Z558" s="97"/>
    </row>
    <row r="559" spans="1:26" s="98" customFormat="1" x14ac:dyDescent="0.35">
      <c r="A559" s="86">
        <v>556</v>
      </c>
      <c r="B559" s="85"/>
      <c r="C559" s="87"/>
      <c r="D559" s="85"/>
      <c r="E559" s="84"/>
      <c r="F559" s="85"/>
      <c r="G559" s="87"/>
      <c r="H559" s="87"/>
      <c r="I559" s="87"/>
      <c r="J559" s="101"/>
      <c r="K559" s="87"/>
      <c r="L559" s="91"/>
      <c r="M559" s="91"/>
      <c r="N559" s="88">
        <f>Goods_Receipt[[#This Row],[ Invoice. /
 Received Qty ]]-Goods_Receipt[[#This Row],[ Accepted Qty ]]</f>
        <v>0</v>
      </c>
      <c r="O559" s="87"/>
      <c r="P559" s="87"/>
      <c r="Q559" s="87"/>
      <c r="R559" s="87"/>
      <c r="S559" s="87"/>
      <c r="T559" s="85"/>
      <c r="U559" s="89"/>
      <c r="V559" s="90"/>
      <c r="W559" s="87"/>
      <c r="X559" s="91"/>
      <c r="Y559" s="84"/>
      <c r="Z559" s="97"/>
    </row>
    <row r="560" spans="1:26" s="98" customFormat="1" x14ac:dyDescent="0.35">
      <c r="A560" s="86">
        <v>557</v>
      </c>
      <c r="B560" s="85"/>
      <c r="C560" s="87"/>
      <c r="D560" s="85"/>
      <c r="E560" s="84"/>
      <c r="F560" s="85"/>
      <c r="G560" s="87"/>
      <c r="H560" s="87"/>
      <c r="I560" s="87"/>
      <c r="J560" s="101"/>
      <c r="K560" s="87"/>
      <c r="L560" s="91"/>
      <c r="M560" s="91"/>
      <c r="N560" s="88">
        <f>Goods_Receipt[[#This Row],[ Invoice. /
 Received Qty ]]-Goods_Receipt[[#This Row],[ Accepted Qty ]]</f>
        <v>0</v>
      </c>
      <c r="O560" s="87"/>
      <c r="P560" s="87"/>
      <c r="Q560" s="87"/>
      <c r="R560" s="87"/>
      <c r="S560" s="87"/>
      <c r="T560" s="85"/>
      <c r="U560" s="89"/>
      <c r="V560" s="90"/>
      <c r="W560" s="87"/>
      <c r="X560" s="91"/>
      <c r="Y560" s="84"/>
      <c r="Z560" s="97"/>
    </row>
    <row r="561" spans="1:26" s="98" customFormat="1" x14ac:dyDescent="0.35">
      <c r="A561" s="86">
        <v>558</v>
      </c>
      <c r="B561" s="85"/>
      <c r="C561" s="87"/>
      <c r="D561" s="85"/>
      <c r="E561" s="84"/>
      <c r="F561" s="85"/>
      <c r="G561" s="87"/>
      <c r="H561" s="87"/>
      <c r="I561" s="87"/>
      <c r="J561" s="101"/>
      <c r="K561" s="87"/>
      <c r="L561" s="91"/>
      <c r="M561" s="91"/>
      <c r="N561" s="88">
        <f>Goods_Receipt[[#This Row],[ Invoice. /
 Received Qty ]]-Goods_Receipt[[#This Row],[ Accepted Qty ]]</f>
        <v>0</v>
      </c>
      <c r="O561" s="87"/>
      <c r="P561" s="87"/>
      <c r="Q561" s="87"/>
      <c r="R561" s="87"/>
      <c r="S561" s="87"/>
      <c r="T561" s="85"/>
      <c r="U561" s="89"/>
      <c r="V561" s="90"/>
      <c r="W561" s="87"/>
      <c r="X561" s="91"/>
      <c r="Y561" s="84"/>
      <c r="Z561" s="97"/>
    </row>
    <row r="562" spans="1:26" s="98" customFormat="1" x14ac:dyDescent="0.35">
      <c r="A562" s="86">
        <v>559</v>
      </c>
      <c r="B562" s="85"/>
      <c r="C562" s="87"/>
      <c r="D562" s="85"/>
      <c r="E562" s="84"/>
      <c r="F562" s="85"/>
      <c r="G562" s="87"/>
      <c r="H562" s="87"/>
      <c r="I562" s="87"/>
      <c r="J562" s="101"/>
      <c r="K562" s="87"/>
      <c r="L562" s="91"/>
      <c r="M562" s="91"/>
      <c r="N562" s="88">
        <f>Goods_Receipt[[#This Row],[ Invoice. /
 Received Qty ]]-Goods_Receipt[[#This Row],[ Accepted Qty ]]</f>
        <v>0</v>
      </c>
      <c r="O562" s="87"/>
      <c r="P562" s="87"/>
      <c r="Q562" s="87"/>
      <c r="R562" s="87"/>
      <c r="S562" s="87"/>
      <c r="T562" s="85"/>
      <c r="U562" s="89"/>
      <c r="V562" s="90"/>
      <c r="W562" s="87"/>
      <c r="X562" s="91"/>
      <c r="Y562" s="84"/>
      <c r="Z562" s="97"/>
    </row>
    <row r="563" spans="1:26" s="98" customFormat="1" x14ac:dyDescent="0.35">
      <c r="A563" s="86">
        <v>560</v>
      </c>
      <c r="B563" s="85"/>
      <c r="C563" s="87"/>
      <c r="D563" s="85"/>
      <c r="E563" s="84"/>
      <c r="F563" s="85"/>
      <c r="G563" s="87"/>
      <c r="H563" s="87"/>
      <c r="I563" s="87"/>
      <c r="J563" s="101"/>
      <c r="K563" s="87"/>
      <c r="L563" s="91"/>
      <c r="M563" s="91"/>
      <c r="N563" s="88">
        <f>Goods_Receipt[[#This Row],[ Invoice. /
 Received Qty ]]-Goods_Receipt[[#This Row],[ Accepted Qty ]]</f>
        <v>0</v>
      </c>
      <c r="O563" s="87"/>
      <c r="P563" s="87"/>
      <c r="Q563" s="87"/>
      <c r="R563" s="87"/>
      <c r="S563" s="87"/>
      <c r="T563" s="85"/>
      <c r="U563" s="89"/>
      <c r="V563" s="90"/>
      <c r="W563" s="87"/>
      <c r="X563" s="91"/>
      <c r="Y563" s="84"/>
      <c r="Z563" s="97"/>
    </row>
    <row r="564" spans="1:26" s="98" customFormat="1" x14ac:dyDescent="0.35">
      <c r="A564" s="86">
        <v>561</v>
      </c>
      <c r="B564" s="85"/>
      <c r="C564" s="87"/>
      <c r="D564" s="85"/>
      <c r="E564" s="84"/>
      <c r="F564" s="85"/>
      <c r="G564" s="87"/>
      <c r="H564" s="87"/>
      <c r="I564" s="87"/>
      <c r="J564" s="101"/>
      <c r="K564" s="87"/>
      <c r="L564" s="91"/>
      <c r="M564" s="91"/>
      <c r="N564" s="88">
        <f>Goods_Receipt[[#This Row],[ Invoice. /
 Received Qty ]]-Goods_Receipt[[#This Row],[ Accepted Qty ]]</f>
        <v>0</v>
      </c>
      <c r="O564" s="87"/>
      <c r="P564" s="87"/>
      <c r="Q564" s="87"/>
      <c r="R564" s="87"/>
      <c r="S564" s="87"/>
      <c r="T564" s="85"/>
      <c r="U564" s="89"/>
      <c r="V564" s="90"/>
      <c r="W564" s="87"/>
      <c r="X564" s="91"/>
      <c r="Y564" s="84"/>
      <c r="Z564" s="97"/>
    </row>
    <row r="565" spans="1:26" s="98" customFormat="1" x14ac:dyDescent="0.35">
      <c r="A565" s="86">
        <v>562</v>
      </c>
      <c r="B565" s="85"/>
      <c r="C565" s="87"/>
      <c r="D565" s="85"/>
      <c r="E565" s="84"/>
      <c r="F565" s="85"/>
      <c r="G565" s="87"/>
      <c r="H565" s="87"/>
      <c r="I565" s="87"/>
      <c r="J565" s="101"/>
      <c r="K565" s="87"/>
      <c r="L565" s="91"/>
      <c r="M565" s="91"/>
      <c r="N565" s="88">
        <f>Goods_Receipt[[#This Row],[ Invoice. /
 Received Qty ]]-Goods_Receipt[[#This Row],[ Accepted Qty ]]</f>
        <v>0</v>
      </c>
      <c r="O565" s="87"/>
      <c r="P565" s="87"/>
      <c r="Q565" s="87"/>
      <c r="R565" s="87"/>
      <c r="S565" s="87"/>
      <c r="T565" s="85"/>
      <c r="U565" s="89"/>
      <c r="V565" s="90"/>
      <c r="W565" s="87"/>
      <c r="X565" s="91"/>
      <c r="Y565" s="84"/>
      <c r="Z565" s="97"/>
    </row>
    <row r="566" spans="1:26" s="98" customFormat="1" x14ac:dyDescent="0.35">
      <c r="A566" s="86">
        <v>563</v>
      </c>
      <c r="B566" s="85"/>
      <c r="C566" s="87"/>
      <c r="D566" s="85"/>
      <c r="E566" s="84"/>
      <c r="F566" s="85"/>
      <c r="G566" s="87"/>
      <c r="H566" s="87"/>
      <c r="I566" s="87"/>
      <c r="J566" s="101"/>
      <c r="K566" s="87"/>
      <c r="L566" s="91"/>
      <c r="M566" s="91"/>
      <c r="N566" s="88">
        <f>Goods_Receipt[[#This Row],[ Invoice. /
 Received Qty ]]-Goods_Receipt[[#This Row],[ Accepted Qty ]]</f>
        <v>0</v>
      </c>
      <c r="O566" s="87"/>
      <c r="P566" s="87"/>
      <c r="Q566" s="87"/>
      <c r="R566" s="87"/>
      <c r="S566" s="87"/>
      <c r="T566" s="85"/>
      <c r="U566" s="89"/>
      <c r="V566" s="90"/>
      <c r="W566" s="87"/>
      <c r="X566" s="91"/>
      <c r="Y566" s="84"/>
      <c r="Z566" s="97"/>
    </row>
    <row r="567" spans="1:26" s="98" customFormat="1" x14ac:dyDescent="0.35">
      <c r="A567" s="86">
        <v>564</v>
      </c>
      <c r="B567" s="85"/>
      <c r="C567" s="87"/>
      <c r="D567" s="85"/>
      <c r="E567" s="84"/>
      <c r="F567" s="85"/>
      <c r="G567" s="87"/>
      <c r="H567" s="87"/>
      <c r="I567" s="87"/>
      <c r="J567" s="101"/>
      <c r="K567" s="87"/>
      <c r="L567" s="91"/>
      <c r="M567" s="91"/>
      <c r="N567" s="88">
        <f>Goods_Receipt[[#This Row],[ Invoice. /
 Received Qty ]]-Goods_Receipt[[#This Row],[ Accepted Qty ]]</f>
        <v>0</v>
      </c>
      <c r="O567" s="87"/>
      <c r="P567" s="87"/>
      <c r="Q567" s="87"/>
      <c r="R567" s="87"/>
      <c r="S567" s="87"/>
      <c r="T567" s="85"/>
      <c r="U567" s="89"/>
      <c r="V567" s="90"/>
      <c r="W567" s="87"/>
      <c r="X567" s="91"/>
      <c r="Y567" s="84"/>
      <c r="Z567" s="97"/>
    </row>
    <row r="568" spans="1:26" s="98" customFormat="1" x14ac:dyDescent="0.35">
      <c r="A568" s="86">
        <v>565</v>
      </c>
      <c r="B568" s="85"/>
      <c r="C568" s="87"/>
      <c r="D568" s="85"/>
      <c r="E568" s="84"/>
      <c r="F568" s="85"/>
      <c r="G568" s="87"/>
      <c r="H568" s="87"/>
      <c r="I568" s="87"/>
      <c r="J568" s="101"/>
      <c r="K568" s="87"/>
      <c r="L568" s="91"/>
      <c r="M568" s="91"/>
      <c r="N568" s="88">
        <f>Goods_Receipt[[#This Row],[ Invoice. /
 Received Qty ]]-Goods_Receipt[[#This Row],[ Accepted Qty ]]</f>
        <v>0</v>
      </c>
      <c r="O568" s="87"/>
      <c r="P568" s="87"/>
      <c r="Q568" s="87"/>
      <c r="R568" s="87"/>
      <c r="S568" s="87"/>
      <c r="T568" s="85"/>
      <c r="U568" s="89"/>
      <c r="V568" s="90"/>
      <c r="W568" s="87"/>
      <c r="X568" s="91"/>
      <c r="Y568" s="84"/>
      <c r="Z568" s="97"/>
    </row>
    <row r="569" spans="1:26" s="98" customFormat="1" x14ac:dyDescent="0.35">
      <c r="A569" s="86">
        <v>566</v>
      </c>
      <c r="B569" s="85"/>
      <c r="C569" s="87"/>
      <c r="D569" s="85"/>
      <c r="E569" s="84"/>
      <c r="F569" s="85"/>
      <c r="G569" s="87"/>
      <c r="H569" s="87"/>
      <c r="I569" s="87"/>
      <c r="J569" s="101"/>
      <c r="K569" s="87"/>
      <c r="L569" s="91"/>
      <c r="M569" s="91"/>
      <c r="N569" s="88">
        <f>Goods_Receipt[[#This Row],[ Invoice. /
 Received Qty ]]-Goods_Receipt[[#This Row],[ Accepted Qty ]]</f>
        <v>0</v>
      </c>
      <c r="O569" s="87"/>
      <c r="P569" s="87"/>
      <c r="Q569" s="87"/>
      <c r="R569" s="87"/>
      <c r="S569" s="87"/>
      <c r="T569" s="85"/>
      <c r="U569" s="89"/>
      <c r="V569" s="90"/>
      <c r="W569" s="87"/>
      <c r="X569" s="91"/>
      <c r="Y569" s="84"/>
      <c r="Z569" s="97"/>
    </row>
    <row r="570" spans="1:26" s="98" customFormat="1" x14ac:dyDescent="0.35">
      <c r="A570" s="86">
        <v>567</v>
      </c>
      <c r="B570" s="85"/>
      <c r="C570" s="87"/>
      <c r="D570" s="85"/>
      <c r="E570" s="84"/>
      <c r="F570" s="85"/>
      <c r="G570" s="87"/>
      <c r="H570" s="87"/>
      <c r="I570" s="87"/>
      <c r="J570" s="101"/>
      <c r="K570" s="87"/>
      <c r="L570" s="91"/>
      <c r="M570" s="91"/>
      <c r="N570" s="88">
        <f>Goods_Receipt[[#This Row],[ Invoice. /
 Received Qty ]]-Goods_Receipt[[#This Row],[ Accepted Qty ]]</f>
        <v>0</v>
      </c>
      <c r="O570" s="87"/>
      <c r="P570" s="87"/>
      <c r="Q570" s="87"/>
      <c r="R570" s="87"/>
      <c r="S570" s="87"/>
      <c r="T570" s="85"/>
      <c r="U570" s="89"/>
      <c r="V570" s="90"/>
      <c r="W570" s="87"/>
      <c r="X570" s="91"/>
      <c r="Y570" s="84"/>
      <c r="Z570" s="97"/>
    </row>
    <row r="571" spans="1:26" s="98" customFormat="1" x14ac:dyDescent="0.35">
      <c r="A571" s="86">
        <v>568</v>
      </c>
      <c r="B571" s="85"/>
      <c r="C571" s="87"/>
      <c r="D571" s="85"/>
      <c r="E571" s="84"/>
      <c r="F571" s="85"/>
      <c r="G571" s="87"/>
      <c r="H571" s="87"/>
      <c r="I571" s="87"/>
      <c r="J571" s="101"/>
      <c r="K571" s="87"/>
      <c r="L571" s="91"/>
      <c r="M571" s="91"/>
      <c r="N571" s="88">
        <f>Goods_Receipt[[#This Row],[ Invoice. /
 Received Qty ]]-Goods_Receipt[[#This Row],[ Accepted Qty ]]</f>
        <v>0</v>
      </c>
      <c r="O571" s="87"/>
      <c r="P571" s="87"/>
      <c r="Q571" s="87"/>
      <c r="R571" s="87"/>
      <c r="S571" s="87"/>
      <c r="T571" s="85"/>
      <c r="U571" s="89"/>
      <c r="V571" s="90"/>
      <c r="W571" s="87"/>
      <c r="X571" s="91"/>
      <c r="Y571" s="84"/>
      <c r="Z571" s="97"/>
    </row>
    <row r="572" spans="1:26" s="98" customFormat="1" x14ac:dyDescent="0.35">
      <c r="A572" s="86">
        <v>569</v>
      </c>
      <c r="B572" s="85"/>
      <c r="C572" s="87"/>
      <c r="D572" s="85"/>
      <c r="E572" s="84"/>
      <c r="F572" s="85"/>
      <c r="G572" s="87"/>
      <c r="H572" s="87"/>
      <c r="I572" s="87"/>
      <c r="J572" s="101"/>
      <c r="K572" s="87"/>
      <c r="L572" s="91"/>
      <c r="M572" s="91"/>
      <c r="N572" s="88">
        <f>Goods_Receipt[[#This Row],[ Invoice. /
 Received Qty ]]-Goods_Receipt[[#This Row],[ Accepted Qty ]]</f>
        <v>0</v>
      </c>
      <c r="O572" s="87"/>
      <c r="P572" s="87"/>
      <c r="Q572" s="87"/>
      <c r="R572" s="87"/>
      <c r="S572" s="87"/>
      <c r="T572" s="85"/>
      <c r="U572" s="89"/>
      <c r="V572" s="90"/>
      <c r="W572" s="87"/>
      <c r="X572" s="91"/>
      <c r="Y572" s="84"/>
      <c r="Z572" s="97"/>
    </row>
    <row r="573" spans="1:26" s="98" customFormat="1" x14ac:dyDescent="0.35">
      <c r="A573" s="86">
        <v>570</v>
      </c>
      <c r="B573" s="85"/>
      <c r="C573" s="87"/>
      <c r="D573" s="85"/>
      <c r="E573" s="84"/>
      <c r="F573" s="85"/>
      <c r="G573" s="87"/>
      <c r="H573" s="87"/>
      <c r="I573" s="87"/>
      <c r="J573" s="101"/>
      <c r="K573" s="87"/>
      <c r="L573" s="91"/>
      <c r="M573" s="91"/>
      <c r="N573" s="88">
        <f>Goods_Receipt[[#This Row],[ Invoice. /
 Received Qty ]]-Goods_Receipt[[#This Row],[ Accepted Qty ]]</f>
        <v>0</v>
      </c>
      <c r="O573" s="87"/>
      <c r="P573" s="87"/>
      <c r="Q573" s="87"/>
      <c r="R573" s="87"/>
      <c r="S573" s="87"/>
      <c r="T573" s="85"/>
      <c r="U573" s="89"/>
      <c r="V573" s="90"/>
      <c r="W573" s="87"/>
      <c r="X573" s="91"/>
      <c r="Y573" s="84"/>
      <c r="Z573" s="97"/>
    </row>
    <row r="574" spans="1:26" s="98" customFormat="1" x14ac:dyDescent="0.35">
      <c r="A574" s="86">
        <v>571</v>
      </c>
      <c r="B574" s="85"/>
      <c r="C574" s="87"/>
      <c r="D574" s="85"/>
      <c r="E574" s="84"/>
      <c r="F574" s="85"/>
      <c r="G574" s="87"/>
      <c r="H574" s="87"/>
      <c r="I574" s="87"/>
      <c r="J574" s="101"/>
      <c r="K574" s="87"/>
      <c r="L574" s="91"/>
      <c r="M574" s="91"/>
      <c r="N574" s="88">
        <f>Goods_Receipt[[#This Row],[ Invoice. /
 Received Qty ]]-Goods_Receipt[[#This Row],[ Accepted Qty ]]</f>
        <v>0</v>
      </c>
      <c r="O574" s="87"/>
      <c r="P574" s="87"/>
      <c r="Q574" s="87"/>
      <c r="R574" s="87"/>
      <c r="S574" s="87"/>
      <c r="T574" s="85"/>
      <c r="U574" s="89"/>
      <c r="V574" s="90"/>
      <c r="W574" s="87"/>
      <c r="X574" s="91"/>
      <c r="Y574" s="84"/>
      <c r="Z574" s="97"/>
    </row>
    <row r="575" spans="1:26" s="98" customFormat="1" x14ac:dyDescent="0.35">
      <c r="A575" s="86">
        <v>572</v>
      </c>
      <c r="B575" s="85"/>
      <c r="C575" s="87"/>
      <c r="D575" s="85"/>
      <c r="E575" s="84"/>
      <c r="F575" s="85"/>
      <c r="G575" s="87"/>
      <c r="H575" s="87"/>
      <c r="I575" s="87"/>
      <c r="J575" s="101"/>
      <c r="K575" s="87"/>
      <c r="L575" s="91"/>
      <c r="M575" s="91"/>
      <c r="N575" s="88">
        <f>Goods_Receipt[[#This Row],[ Invoice. /
 Received Qty ]]-Goods_Receipt[[#This Row],[ Accepted Qty ]]</f>
        <v>0</v>
      </c>
      <c r="O575" s="87"/>
      <c r="P575" s="87"/>
      <c r="Q575" s="87"/>
      <c r="R575" s="87"/>
      <c r="S575" s="87"/>
      <c r="T575" s="85"/>
      <c r="U575" s="89"/>
      <c r="V575" s="90"/>
      <c r="W575" s="87"/>
      <c r="X575" s="91"/>
      <c r="Y575" s="84"/>
      <c r="Z575" s="97"/>
    </row>
    <row r="576" spans="1:26" s="98" customFormat="1" x14ac:dyDescent="0.35">
      <c r="A576" s="86">
        <v>573</v>
      </c>
      <c r="B576" s="85"/>
      <c r="C576" s="87"/>
      <c r="D576" s="85"/>
      <c r="E576" s="84"/>
      <c r="F576" s="85"/>
      <c r="G576" s="87"/>
      <c r="H576" s="87"/>
      <c r="I576" s="87"/>
      <c r="J576" s="101"/>
      <c r="K576" s="87"/>
      <c r="L576" s="91"/>
      <c r="M576" s="91"/>
      <c r="N576" s="88">
        <f>Goods_Receipt[[#This Row],[ Invoice. /
 Received Qty ]]-Goods_Receipt[[#This Row],[ Accepted Qty ]]</f>
        <v>0</v>
      </c>
      <c r="O576" s="87"/>
      <c r="P576" s="87"/>
      <c r="Q576" s="87"/>
      <c r="R576" s="87"/>
      <c r="S576" s="87"/>
      <c r="T576" s="85"/>
      <c r="U576" s="89"/>
      <c r="V576" s="90"/>
      <c r="W576" s="87"/>
      <c r="X576" s="91"/>
      <c r="Y576" s="84"/>
      <c r="Z576" s="97"/>
    </row>
    <row r="577" spans="1:26" s="98" customFormat="1" x14ac:dyDescent="0.35">
      <c r="A577" s="86">
        <v>574</v>
      </c>
      <c r="B577" s="85"/>
      <c r="C577" s="87"/>
      <c r="D577" s="85"/>
      <c r="E577" s="84"/>
      <c r="F577" s="85"/>
      <c r="G577" s="87"/>
      <c r="H577" s="87"/>
      <c r="I577" s="87"/>
      <c r="J577" s="101"/>
      <c r="K577" s="87"/>
      <c r="L577" s="91"/>
      <c r="M577" s="91"/>
      <c r="N577" s="88">
        <f>Goods_Receipt[[#This Row],[ Invoice. /
 Received Qty ]]-Goods_Receipt[[#This Row],[ Accepted Qty ]]</f>
        <v>0</v>
      </c>
      <c r="O577" s="87"/>
      <c r="P577" s="87"/>
      <c r="Q577" s="87"/>
      <c r="R577" s="87"/>
      <c r="S577" s="87"/>
      <c r="T577" s="85"/>
      <c r="U577" s="89"/>
      <c r="V577" s="90"/>
      <c r="W577" s="87"/>
      <c r="X577" s="91"/>
      <c r="Y577" s="84"/>
      <c r="Z577" s="97"/>
    </row>
    <row r="578" spans="1:26" s="98" customFormat="1" x14ac:dyDescent="0.35">
      <c r="A578" s="86">
        <v>575</v>
      </c>
      <c r="B578" s="85"/>
      <c r="C578" s="87"/>
      <c r="D578" s="85"/>
      <c r="E578" s="84"/>
      <c r="F578" s="85"/>
      <c r="G578" s="87"/>
      <c r="H578" s="87"/>
      <c r="I578" s="87"/>
      <c r="J578" s="101"/>
      <c r="K578" s="87"/>
      <c r="L578" s="91"/>
      <c r="M578" s="91"/>
      <c r="N578" s="88">
        <f>Goods_Receipt[[#This Row],[ Invoice. /
 Received Qty ]]-Goods_Receipt[[#This Row],[ Accepted Qty ]]</f>
        <v>0</v>
      </c>
      <c r="O578" s="87"/>
      <c r="P578" s="87"/>
      <c r="Q578" s="87"/>
      <c r="R578" s="87"/>
      <c r="S578" s="87"/>
      <c r="T578" s="85"/>
      <c r="U578" s="89"/>
      <c r="V578" s="90"/>
      <c r="W578" s="87"/>
      <c r="X578" s="91"/>
      <c r="Y578" s="84"/>
      <c r="Z578" s="97"/>
    </row>
    <row r="579" spans="1:26" s="98" customFormat="1" x14ac:dyDescent="0.35">
      <c r="A579" s="86">
        <v>576</v>
      </c>
      <c r="B579" s="85"/>
      <c r="C579" s="87"/>
      <c r="D579" s="85"/>
      <c r="E579" s="84"/>
      <c r="F579" s="85"/>
      <c r="G579" s="87"/>
      <c r="H579" s="87"/>
      <c r="I579" s="87"/>
      <c r="J579" s="101"/>
      <c r="K579" s="87"/>
      <c r="L579" s="91"/>
      <c r="M579" s="91"/>
      <c r="N579" s="88">
        <f>Goods_Receipt[[#This Row],[ Invoice. /
 Received Qty ]]-Goods_Receipt[[#This Row],[ Accepted Qty ]]</f>
        <v>0</v>
      </c>
      <c r="O579" s="87"/>
      <c r="P579" s="87"/>
      <c r="Q579" s="87"/>
      <c r="R579" s="87"/>
      <c r="S579" s="87"/>
      <c r="T579" s="85"/>
      <c r="U579" s="89"/>
      <c r="V579" s="90"/>
      <c r="W579" s="87"/>
      <c r="X579" s="91"/>
      <c r="Y579" s="84"/>
      <c r="Z579" s="97"/>
    </row>
    <row r="580" spans="1:26" s="98" customFormat="1" x14ac:dyDescent="0.35">
      <c r="A580" s="86">
        <v>577</v>
      </c>
      <c r="B580" s="85"/>
      <c r="C580" s="87"/>
      <c r="D580" s="85"/>
      <c r="E580" s="84"/>
      <c r="F580" s="85"/>
      <c r="G580" s="87"/>
      <c r="H580" s="87"/>
      <c r="I580" s="87"/>
      <c r="J580" s="101"/>
      <c r="K580" s="87"/>
      <c r="L580" s="91"/>
      <c r="M580" s="91"/>
      <c r="N580" s="88">
        <f>Goods_Receipt[[#This Row],[ Invoice. /
 Received Qty ]]-Goods_Receipt[[#This Row],[ Accepted Qty ]]</f>
        <v>0</v>
      </c>
      <c r="O580" s="87"/>
      <c r="P580" s="87"/>
      <c r="Q580" s="87"/>
      <c r="R580" s="87"/>
      <c r="S580" s="87"/>
      <c r="T580" s="85"/>
      <c r="U580" s="89"/>
      <c r="V580" s="90"/>
      <c r="W580" s="87"/>
      <c r="X580" s="91"/>
      <c r="Y580" s="84"/>
      <c r="Z580" s="97"/>
    </row>
    <row r="581" spans="1:26" s="98" customFormat="1" x14ac:dyDescent="0.35">
      <c r="A581" s="86">
        <v>578</v>
      </c>
      <c r="B581" s="85"/>
      <c r="C581" s="87"/>
      <c r="D581" s="85"/>
      <c r="E581" s="84"/>
      <c r="F581" s="85"/>
      <c r="G581" s="87"/>
      <c r="H581" s="87"/>
      <c r="I581" s="87"/>
      <c r="J581" s="101"/>
      <c r="K581" s="87"/>
      <c r="L581" s="91"/>
      <c r="M581" s="91"/>
      <c r="N581" s="88">
        <f>Goods_Receipt[[#This Row],[ Invoice. /
 Received Qty ]]-Goods_Receipt[[#This Row],[ Accepted Qty ]]</f>
        <v>0</v>
      </c>
      <c r="O581" s="87"/>
      <c r="P581" s="87"/>
      <c r="Q581" s="87"/>
      <c r="R581" s="87"/>
      <c r="S581" s="87"/>
      <c r="T581" s="85"/>
      <c r="U581" s="89"/>
      <c r="V581" s="90"/>
      <c r="W581" s="87"/>
      <c r="X581" s="91"/>
      <c r="Y581" s="84"/>
      <c r="Z581" s="97"/>
    </row>
    <row r="582" spans="1:26" s="98" customFormat="1" x14ac:dyDescent="0.35">
      <c r="A582" s="86">
        <v>579</v>
      </c>
      <c r="B582" s="85"/>
      <c r="C582" s="87"/>
      <c r="D582" s="85"/>
      <c r="E582" s="84"/>
      <c r="F582" s="85"/>
      <c r="G582" s="87"/>
      <c r="H582" s="87"/>
      <c r="I582" s="87"/>
      <c r="J582" s="101"/>
      <c r="K582" s="87"/>
      <c r="L582" s="91"/>
      <c r="M582" s="91"/>
      <c r="N582" s="88">
        <f>Goods_Receipt[[#This Row],[ Invoice. /
 Received Qty ]]-Goods_Receipt[[#This Row],[ Accepted Qty ]]</f>
        <v>0</v>
      </c>
      <c r="O582" s="87"/>
      <c r="P582" s="87"/>
      <c r="Q582" s="87"/>
      <c r="R582" s="87"/>
      <c r="S582" s="87"/>
      <c r="T582" s="85"/>
      <c r="U582" s="89"/>
      <c r="V582" s="90"/>
      <c r="W582" s="87"/>
      <c r="X582" s="91"/>
      <c r="Y582" s="84"/>
      <c r="Z582" s="97"/>
    </row>
    <row r="583" spans="1:26" s="98" customFormat="1" x14ac:dyDescent="0.35">
      <c r="A583" s="86">
        <v>580</v>
      </c>
      <c r="B583" s="85"/>
      <c r="C583" s="87"/>
      <c r="D583" s="85"/>
      <c r="E583" s="84"/>
      <c r="F583" s="85"/>
      <c r="G583" s="87"/>
      <c r="H583" s="87"/>
      <c r="I583" s="87"/>
      <c r="J583" s="101"/>
      <c r="K583" s="87"/>
      <c r="L583" s="91"/>
      <c r="M583" s="91"/>
      <c r="N583" s="88">
        <f>Goods_Receipt[[#This Row],[ Invoice. /
 Received Qty ]]-Goods_Receipt[[#This Row],[ Accepted Qty ]]</f>
        <v>0</v>
      </c>
      <c r="O583" s="87"/>
      <c r="P583" s="87"/>
      <c r="Q583" s="87"/>
      <c r="R583" s="87"/>
      <c r="S583" s="87"/>
      <c r="T583" s="85"/>
      <c r="U583" s="89"/>
      <c r="V583" s="90"/>
      <c r="W583" s="87"/>
      <c r="X583" s="91"/>
      <c r="Y583" s="84"/>
      <c r="Z583" s="97"/>
    </row>
    <row r="584" spans="1:26" s="98" customFormat="1" x14ac:dyDescent="0.35">
      <c r="A584" s="86">
        <v>581</v>
      </c>
      <c r="B584" s="85"/>
      <c r="C584" s="87"/>
      <c r="D584" s="85"/>
      <c r="E584" s="84"/>
      <c r="F584" s="85"/>
      <c r="G584" s="87"/>
      <c r="H584" s="87"/>
      <c r="I584" s="87"/>
      <c r="J584" s="101"/>
      <c r="K584" s="87"/>
      <c r="L584" s="91"/>
      <c r="M584" s="91"/>
      <c r="N584" s="88">
        <f>Goods_Receipt[[#This Row],[ Invoice. /
 Received Qty ]]-Goods_Receipt[[#This Row],[ Accepted Qty ]]</f>
        <v>0</v>
      </c>
      <c r="O584" s="87"/>
      <c r="P584" s="87"/>
      <c r="Q584" s="87"/>
      <c r="R584" s="87"/>
      <c r="S584" s="87"/>
      <c r="T584" s="85"/>
      <c r="U584" s="89"/>
      <c r="V584" s="90"/>
      <c r="W584" s="87"/>
      <c r="X584" s="91"/>
      <c r="Y584" s="84"/>
      <c r="Z584" s="97"/>
    </row>
    <row r="585" spans="1:26" s="98" customFormat="1" x14ac:dyDescent="0.35">
      <c r="A585" s="86">
        <v>582</v>
      </c>
      <c r="B585" s="85"/>
      <c r="C585" s="87"/>
      <c r="D585" s="85"/>
      <c r="E585" s="84"/>
      <c r="F585" s="85"/>
      <c r="G585" s="87"/>
      <c r="H585" s="87"/>
      <c r="I585" s="87"/>
      <c r="J585" s="101"/>
      <c r="K585" s="87"/>
      <c r="L585" s="91"/>
      <c r="M585" s="91"/>
      <c r="N585" s="88">
        <f>Goods_Receipt[[#This Row],[ Invoice. /
 Received Qty ]]-Goods_Receipt[[#This Row],[ Accepted Qty ]]</f>
        <v>0</v>
      </c>
      <c r="O585" s="87"/>
      <c r="P585" s="87"/>
      <c r="Q585" s="87"/>
      <c r="R585" s="87"/>
      <c r="S585" s="87"/>
      <c r="T585" s="85"/>
      <c r="U585" s="89"/>
      <c r="V585" s="90"/>
      <c r="W585" s="87"/>
      <c r="X585" s="91"/>
      <c r="Y585" s="84"/>
      <c r="Z585" s="97"/>
    </row>
    <row r="586" spans="1:26" s="98" customFormat="1" x14ac:dyDescent="0.35">
      <c r="A586" s="86">
        <v>583</v>
      </c>
      <c r="B586" s="85"/>
      <c r="C586" s="87"/>
      <c r="D586" s="85"/>
      <c r="E586" s="84"/>
      <c r="F586" s="85"/>
      <c r="G586" s="87"/>
      <c r="H586" s="87"/>
      <c r="I586" s="87"/>
      <c r="J586" s="101"/>
      <c r="K586" s="87"/>
      <c r="L586" s="91"/>
      <c r="M586" s="91"/>
      <c r="N586" s="88">
        <f>Goods_Receipt[[#This Row],[ Invoice. /
 Received Qty ]]-Goods_Receipt[[#This Row],[ Accepted Qty ]]</f>
        <v>0</v>
      </c>
      <c r="O586" s="87"/>
      <c r="P586" s="87"/>
      <c r="Q586" s="87"/>
      <c r="R586" s="87"/>
      <c r="S586" s="87"/>
      <c r="T586" s="85"/>
      <c r="U586" s="89"/>
      <c r="V586" s="90"/>
      <c r="W586" s="87"/>
      <c r="X586" s="91"/>
      <c r="Y586" s="84"/>
      <c r="Z586" s="97"/>
    </row>
    <row r="587" spans="1:26" s="98" customFormat="1" x14ac:dyDescent="0.35">
      <c r="A587" s="86">
        <v>584</v>
      </c>
      <c r="B587" s="85"/>
      <c r="C587" s="87"/>
      <c r="D587" s="85"/>
      <c r="E587" s="84"/>
      <c r="F587" s="85"/>
      <c r="G587" s="87"/>
      <c r="H587" s="87"/>
      <c r="I587" s="87"/>
      <c r="J587" s="101"/>
      <c r="K587" s="87"/>
      <c r="L587" s="91"/>
      <c r="M587" s="91"/>
      <c r="N587" s="88">
        <f>Goods_Receipt[[#This Row],[ Invoice. /
 Received Qty ]]-Goods_Receipt[[#This Row],[ Accepted Qty ]]</f>
        <v>0</v>
      </c>
      <c r="O587" s="87"/>
      <c r="P587" s="87"/>
      <c r="Q587" s="87"/>
      <c r="R587" s="87"/>
      <c r="S587" s="87"/>
      <c r="T587" s="85"/>
      <c r="U587" s="89"/>
      <c r="V587" s="90"/>
      <c r="W587" s="87"/>
      <c r="X587" s="91"/>
      <c r="Y587" s="84"/>
      <c r="Z587" s="97"/>
    </row>
    <row r="588" spans="1:26" s="98" customFormat="1" x14ac:dyDescent="0.35">
      <c r="A588" s="86">
        <v>585</v>
      </c>
      <c r="B588" s="85"/>
      <c r="C588" s="87"/>
      <c r="D588" s="85"/>
      <c r="E588" s="84"/>
      <c r="F588" s="85"/>
      <c r="G588" s="87"/>
      <c r="H588" s="87"/>
      <c r="I588" s="87"/>
      <c r="J588" s="101"/>
      <c r="K588" s="87"/>
      <c r="L588" s="91"/>
      <c r="M588" s="91"/>
      <c r="N588" s="88">
        <f>Goods_Receipt[[#This Row],[ Invoice. /
 Received Qty ]]-Goods_Receipt[[#This Row],[ Accepted Qty ]]</f>
        <v>0</v>
      </c>
      <c r="O588" s="87"/>
      <c r="P588" s="87"/>
      <c r="Q588" s="87"/>
      <c r="R588" s="87"/>
      <c r="S588" s="87"/>
      <c r="T588" s="85"/>
      <c r="U588" s="89"/>
      <c r="V588" s="90"/>
      <c r="W588" s="87"/>
      <c r="X588" s="91"/>
      <c r="Y588" s="84"/>
      <c r="Z588" s="97"/>
    </row>
    <row r="589" spans="1:26" s="98" customFormat="1" x14ac:dyDescent="0.35">
      <c r="A589" s="86">
        <v>586</v>
      </c>
      <c r="B589" s="85"/>
      <c r="C589" s="87"/>
      <c r="D589" s="85"/>
      <c r="E589" s="84"/>
      <c r="F589" s="85"/>
      <c r="G589" s="87"/>
      <c r="H589" s="87"/>
      <c r="I589" s="87"/>
      <c r="J589" s="101"/>
      <c r="K589" s="87"/>
      <c r="L589" s="91"/>
      <c r="M589" s="91"/>
      <c r="N589" s="88">
        <f>Goods_Receipt[[#This Row],[ Invoice. /
 Received Qty ]]-Goods_Receipt[[#This Row],[ Accepted Qty ]]</f>
        <v>0</v>
      </c>
      <c r="O589" s="87"/>
      <c r="P589" s="87"/>
      <c r="Q589" s="87"/>
      <c r="R589" s="87"/>
      <c r="S589" s="87"/>
      <c r="T589" s="85"/>
      <c r="U589" s="89"/>
      <c r="V589" s="90"/>
      <c r="W589" s="87"/>
      <c r="X589" s="91"/>
      <c r="Y589" s="84"/>
      <c r="Z589" s="97"/>
    </row>
    <row r="590" spans="1:26" s="98" customFormat="1" x14ac:dyDescent="0.35">
      <c r="A590" s="86">
        <v>587</v>
      </c>
      <c r="B590" s="85"/>
      <c r="C590" s="87"/>
      <c r="D590" s="85"/>
      <c r="E590" s="84"/>
      <c r="F590" s="85"/>
      <c r="G590" s="87"/>
      <c r="H590" s="87"/>
      <c r="I590" s="87"/>
      <c r="J590" s="101"/>
      <c r="K590" s="87"/>
      <c r="L590" s="91"/>
      <c r="M590" s="91"/>
      <c r="N590" s="88">
        <f>Goods_Receipt[[#This Row],[ Invoice. /
 Received Qty ]]-Goods_Receipt[[#This Row],[ Accepted Qty ]]</f>
        <v>0</v>
      </c>
      <c r="O590" s="87"/>
      <c r="P590" s="87"/>
      <c r="Q590" s="87"/>
      <c r="R590" s="87"/>
      <c r="S590" s="87"/>
      <c r="T590" s="85"/>
      <c r="U590" s="89"/>
      <c r="V590" s="90"/>
      <c r="W590" s="87"/>
      <c r="X590" s="91"/>
      <c r="Y590" s="84"/>
      <c r="Z590" s="97"/>
    </row>
    <row r="591" spans="1:26" s="98" customFormat="1" x14ac:dyDescent="0.35">
      <c r="A591" s="86">
        <v>588</v>
      </c>
      <c r="B591" s="85"/>
      <c r="C591" s="87"/>
      <c r="D591" s="85"/>
      <c r="E591" s="84"/>
      <c r="F591" s="85"/>
      <c r="G591" s="87"/>
      <c r="H591" s="87"/>
      <c r="I591" s="87"/>
      <c r="J591" s="101"/>
      <c r="K591" s="87"/>
      <c r="L591" s="91"/>
      <c r="M591" s="91"/>
      <c r="N591" s="88">
        <f>Goods_Receipt[[#This Row],[ Invoice. /
 Received Qty ]]-Goods_Receipt[[#This Row],[ Accepted Qty ]]</f>
        <v>0</v>
      </c>
      <c r="O591" s="87"/>
      <c r="P591" s="87"/>
      <c r="Q591" s="87"/>
      <c r="R591" s="87"/>
      <c r="S591" s="87"/>
      <c r="T591" s="85"/>
      <c r="U591" s="89"/>
      <c r="V591" s="90"/>
      <c r="W591" s="87"/>
      <c r="X591" s="91"/>
      <c r="Y591" s="84"/>
      <c r="Z591" s="97"/>
    </row>
    <row r="592" spans="1:26" s="98" customFormat="1" x14ac:dyDescent="0.35">
      <c r="A592" s="86">
        <v>589</v>
      </c>
      <c r="B592" s="85"/>
      <c r="C592" s="87"/>
      <c r="D592" s="85"/>
      <c r="E592" s="84"/>
      <c r="F592" s="85"/>
      <c r="G592" s="87"/>
      <c r="H592" s="87"/>
      <c r="I592" s="87"/>
      <c r="J592" s="101"/>
      <c r="K592" s="87"/>
      <c r="L592" s="91"/>
      <c r="M592" s="91"/>
      <c r="N592" s="88">
        <f>Goods_Receipt[[#This Row],[ Invoice. /
 Received Qty ]]-Goods_Receipt[[#This Row],[ Accepted Qty ]]</f>
        <v>0</v>
      </c>
      <c r="O592" s="87"/>
      <c r="P592" s="87"/>
      <c r="Q592" s="87"/>
      <c r="R592" s="87"/>
      <c r="S592" s="87"/>
      <c r="T592" s="85"/>
      <c r="U592" s="89"/>
      <c r="V592" s="90"/>
      <c r="W592" s="87"/>
      <c r="X592" s="91"/>
      <c r="Y592" s="84"/>
      <c r="Z592" s="97"/>
    </row>
    <row r="593" spans="1:26" s="98" customFormat="1" x14ac:dyDescent="0.35">
      <c r="A593" s="86">
        <v>590</v>
      </c>
      <c r="B593" s="85"/>
      <c r="C593" s="87"/>
      <c r="D593" s="85"/>
      <c r="E593" s="84"/>
      <c r="F593" s="85"/>
      <c r="G593" s="87"/>
      <c r="H593" s="87"/>
      <c r="I593" s="87"/>
      <c r="J593" s="101"/>
      <c r="K593" s="87"/>
      <c r="L593" s="91"/>
      <c r="M593" s="91"/>
      <c r="N593" s="88">
        <f>Goods_Receipt[[#This Row],[ Invoice. /
 Received Qty ]]-Goods_Receipt[[#This Row],[ Accepted Qty ]]</f>
        <v>0</v>
      </c>
      <c r="O593" s="87"/>
      <c r="P593" s="87"/>
      <c r="Q593" s="87"/>
      <c r="R593" s="87"/>
      <c r="S593" s="87"/>
      <c r="T593" s="85"/>
      <c r="U593" s="89"/>
      <c r="V593" s="90"/>
      <c r="W593" s="87"/>
      <c r="X593" s="91"/>
      <c r="Y593" s="84"/>
      <c r="Z593" s="97"/>
    </row>
    <row r="594" spans="1:26" s="98" customFormat="1" x14ac:dyDescent="0.35">
      <c r="A594" s="86">
        <v>591</v>
      </c>
      <c r="B594" s="85"/>
      <c r="C594" s="87"/>
      <c r="D594" s="85"/>
      <c r="E594" s="84"/>
      <c r="F594" s="85"/>
      <c r="G594" s="87"/>
      <c r="H594" s="87"/>
      <c r="I594" s="87"/>
      <c r="J594" s="101"/>
      <c r="K594" s="87"/>
      <c r="L594" s="91"/>
      <c r="M594" s="91"/>
      <c r="N594" s="88">
        <f>Goods_Receipt[[#This Row],[ Invoice. /
 Received Qty ]]-Goods_Receipt[[#This Row],[ Accepted Qty ]]</f>
        <v>0</v>
      </c>
      <c r="O594" s="87"/>
      <c r="P594" s="87"/>
      <c r="Q594" s="87"/>
      <c r="R594" s="87"/>
      <c r="S594" s="87"/>
      <c r="T594" s="85"/>
      <c r="U594" s="89"/>
      <c r="V594" s="90"/>
      <c r="W594" s="87"/>
      <c r="X594" s="91"/>
      <c r="Y594" s="84"/>
      <c r="Z594" s="97"/>
    </row>
    <row r="595" spans="1:26" s="98" customFormat="1" x14ac:dyDescent="0.35">
      <c r="A595" s="86">
        <v>592</v>
      </c>
      <c r="B595" s="85"/>
      <c r="C595" s="87"/>
      <c r="D595" s="85"/>
      <c r="E595" s="84"/>
      <c r="F595" s="85"/>
      <c r="G595" s="87"/>
      <c r="H595" s="87"/>
      <c r="I595" s="87"/>
      <c r="J595" s="101"/>
      <c r="K595" s="87"/>
      <c r="L595" s="91"/>
      <c r="M595" s="91"/>
      <c r="N595" s="88">
        <f>Goods_Receipt[[#This Row],[ Invoice. /
 Received Qty ]]-Goods_Receipt[[#This Row],[ Accepted Qty ]]</f>
        <v>0</v>
      </c>
      <c r="O595" s="87"/>
      <c r="P595" s="87"/>
      <c r="Q595" s="87"/>
      <c r="R595" s="87"/>
      <c r="S595" s="87"/>
      <c r="T595" s="85"/>
      <c r="U595" s="89"/>
      <c r="V595" s="90"/>
      <c r="W595" s="87"/>
      <c r="X595" s="91"/>
      <c r="Y595" s="84"/>
      <c r="Z595" s="97"/>
    </row>
    <row r="596" spans="1:26" s="98" customFormat="1" x14ac:dyDescent="0.35">
      <c r="A596" s="86">
        <v>593</v>
      </c>
      <c r="B596" s="85"/>
      <c r="C596" s="87"/>
      <c r="D596" s="85"/>
      <c r="E596" s="84"/>
      <c r="F596" s="85"/>
      <c r="G596" s="87"/>
      <c r="H596" s="87"/>
      <c r="I596" s="87"/>
      <c r="J596" s="101"/>
      <c r="K596" s="87"/>
      <c r="L596" s="91"/>
      <c r="M596" s="91"/>
      <c r="N596" s="88">
        <f>Goods_Receipt[[#This Row],[ Invoice. /
 Received Qty ]]-Goods_Receipt[[#This Row],[ Accepted Qty ]]</f>
        <v>0</v>
      </c>
      <c r="O596" s="87"/>
      <c r="P596" s="87"/>
      <c r="Q596" s="87"/>
      <c r="R596" s="87"/>
      <c r="S596" s="87"/>
      <c r="T596" s="85"/>
      <c r="U596" s="89"/>
      <c r="V596" s="90"/>
      <c r="W596" s="87"/>
      <c r="X596" s="91"/>
      <c r="Y596" s="84"/>
      <c r="Z596" s="97"/>
    </row>
    <row r="597" spans="1:26" s="98" customFormat="1" x14ac:dyDescent="0.35">
      <c r="A597" s="86">
        <v>594</v>
      </c>
      <c r="B597" s="85"/>
      <c r="C597" s="87"/>
      <c r="D597" s="85"/>
      <c r="E597" s="84"/>
      <c r="F597" s="85"/>
      <c r="G597" s="87"/>
      <c r="H597" s="87"/>
      <c r="I597" s="87"/>
      <c r="J597" s="101"/>
      <c r="K597" s="87"/>
      <c r="L597" s="91"/>
      <c r="M597" s="91"/>
      <c r="N597" s="88">
        <f>Goods_Receipt[[#This Row],[ Invoice. /
 Received Qty ]]-Goods_Receipt[[#This Row],[ Accepted Qty ]]</f>
        <v>0</v>
      </c>
      <c r="O597" s="87"/>
      <c r="P597" s="87"/>
      <c r="Q597" s="87"/>
      <c r="R597" s="87"/>
      <c r="S597" s="87"/>
      <c r="T597" s="85"/>
      <c r="U597" s="89"/>
      <c r="V597" s="90"/>
      <c r="W597" s="87"/>
      <c r="X597" s="91"/>
      <c r="Y597" s="84"/>
      <c r="Z597" s="97"/>
    </row>
    <row r="598" spans="1:26" s="98" customFormat="1" x14ac:dyDescent="0.35">
      <c r="A598" s="86">
        <v>595</v>
      </c>
      <c r="B598" s="85"/>
      <c r="C598" s="87"/>
      <c r="D598" s="85"/>
      <c r="E598" s="84"/>
      <c r="F598" s="85"/>
      <c r="G598" s="87"/>
      <c r="H598" s="87"/>
      <c r="I598" s="87"/>
      <c r="J598" s="101"/>
      <c r="K598" s="87"/>
      <c r="L598" s="91"/>
      <c r="M598" s="91"/>
      <c r="N598" s="88">
        <f>Goods_Receipt[[#This Row],[ Invoice. /
 Received Qty ]]-Goods_Receipt[[#This Row],[ Accepted Qty ]]</f>
        <v>0</v>
      </c>
      <c r="O598" s="87"/>
      <c r="P598" s="87"/>
      <c r="Q598" s="87"/>
      <c r="R598" s="87"/>
      <c r="S598" s="87"/>
      <c r="T598" s="85"/>
      <c r="U598" s="89"/>
      <c r="V598" s="90"/>
      <c r="W598" s="87"/>
      <c r="X598" s="91"/>
      <c r="Y598" s="84"/>
      <c r="Z598" s="97"/>
    </row>
    <row r="599" spans="1:26" s="98" customFormat="1" x14ac:dyDescent="0.35">
      <c r="A599" s="86">
        <v>596</v>
      </c>
      <c r="B599" s="85"/>
      <c r="C599" s="87"/>
      <c r="D599" s="85"/>
      <c r="E599" s="84"/>
      <c r="F599" s="85"/>
      <c r="G599" s="87"/>
      <c r="H599" s="87"/>
      <c r="I599" s="87"/>
      <c r="J599" s="101"/>
      <c r="K599" s="87"/>
      <c r="L599" s="91"/>
      <c r="M599" s="91"/>
      <c r="N599" s="88">
        <f>Goods_Receipt[[#This Row],[ Invoice. /
 Received Qty ]]-Goods_Receipt[[#This Row],[ Accepted Qty ]]</f>
        <v>0</v>
      </c>
      <c r="O599" s="87"/>
      <c r="P599" s="87"/>
      <c r="Q599" s="87"/>
      <c r="R599" s="87"/>
      <c r="S599" s="87"/>
      <c r="T599" s="85"/>
      <c r="U599" s="89"/>
      <c r="V599" s="90"/>
      <c r="W599" s="87"/>
      <c r="X599" s="91"/>
      <c r="Y599" s="84"/>
      <c r="Z599" s="97"/>
    </row>
    <row r="600" spans="1:26" s="98" customFormat="1" x14ac:dyDescent="0.35">
      <c r="A600" s="86">
        <v>597</v>
      </c>
      <c r="B600" s="85"/>
      <c r="C600" s="87"/>
      <c r="D600" s="85"/>
      <c r="E600" s="84"/>
      <c r="F600" s="85"/>
      <c r="G600" s="87"/>
      <c r="H600" s="87"/>
      <c r="I600" s="87"/>
      <c r="J600" s="101"/>
      <c r="K600" s="87"/>
      <c r="L600" s="91"/>
      <c r="M600" s="91"/>
      <c r="N600" s="88">
        <f>Goods_Receipt[[#This Row],[ Invoice. /
 Received Qty ]]-Goods_Receipt[[#This Row],[ Accepted Qty ]]</f>
        <v>0</v>
      </c>
      <c r="O600" s="87"/>
      <c r="P600" s="87"/>
      <c r="Q600" s="87"/>
      <c r="R600" s="87"/>
      <c r="S600" s="87"/>
      <c r="T600" s="85"/>
      <c r="U600" s="89"/>
      <c r="V600" s="90"/>
      <c r="W600" s="87"/>
      <c r="X600" s="91"/>
      <c r="Y600" s="84"/>
      <c r="Z600" s="97"/>
    </row>
    <row r="601" spans="1:26" s="98" customFormat="1" x14ac:dyDescent="0.35">
      <c r="A601" s="86">
        <v>598</v>
      </c>
      <c r="B601" s="85"/>
      <c r="C601" s="87"/>
      <c r="D601" s="85"/>
      <c r="E601" s="84"/>
      <c r="F601" s="85"/>
      <c r="G601" s="87"/>
      <c r="H601" s="87"/>
      <c r="I601" s="87"/>
      <c r="J601" s="101"/>
      <c r="K601" s="87"/>
      <c r="L601" s="91"/>
      <c r="M601" s="91"/>
      <c r="N601" s="88">
        <f>Goods_Receipt[[#This Row],[ Invoice. /
 Received Qty ]]-Goods_Receipt[[#This Row],[ Accepted Qty ]]</f>
        <v>0</v>
      </c>
      <c r="O601" s="87"/>
      <c r="P601" s="87"/>
      <c r="Q601" s="87"/>
      <c r="R601" s="87"/>
      <c r="S601" s="87"/>
      <c r="T601" s="85"/>
      <c r="U601" s="89"/>
      <c r="V601" s="90"/>
      <c r="W601" s="87"/>
      <c r="X601" s="91"/>
      <c r="Y601" s="84"/>
      <c r="Z601" s="97"/>
    </row>
    <row r="602" spans="1:26" s="98" customFormat="1" x14ac:dyDescent="0.35">
      <c r="A602" s="86">
        <v>599</v>
      </c>
      <c r="B602" s="85"/>
      <c r="C602" s="87"/>
      <c r="D602" s="85"/>
      <c r="E602" s="84"/>
      <c r="F602" s="85"/>
      <c r="G602" s="87"/>
      <c r="H602" s="87"/>
      <c r="I602" s="87"/>
      <c r="J602" s="101"/>
      <c r="K602" s="87"/>
      <c r="L602" s="91"/>
      <c r="M602" s="91"/>
      <c r="N602" s="88">
        <f>Goods_Receipt[[#This Row],[ Invoice. /
 Received Qty ]]-Goods_Receipt[[#This Row],[ Accepted Qty ]]</f>
        <v>0</v>
      </c>
      <c r="O602" s="87"/>
      <c r="P602" s="87"/>
      <c r="Q602" s="87"/>
      <c r="R602" s="87"/>
      <c r="S602" s="87"/>
      <c r="T602" s="85"/>
      <c r="U602" s="89"/>
      <c r="V602" s="90"/>
      <c r="W602" s="87"/>
      <c r="X602" s="91"/>
      <c r="Y602" s="84"/>
      <c r="Z602" s="97"/>
    </row>
    <row r="603" spans="1:26" s="98" customFormat="1" x14ac:dyDescent="0.35">
      <c r="A603" s="86">
        <v>600</v>
      </c>
      <c r="B603" s="85"/>
      <c r="C603" s="87"/>
      <c r="D603" s="85"/>
      <c r="E603" s="84"/>
      <c r="F603" s="85"/>
      <c r="G603" s="87"/>
      <c r="H603" s="87"/>
      <c r="I603" s="87"/>
      <c r="J603" s="101"/>
      <c r="K603" s="87"/>
      <c r="L603" s="91"/>
      <c r="M603" s="91"/>
      <c r="N603" s="88">
        <f>Goods_Receipt[[#This Row],[ Invoice. /
 Received Qty ]]-Goods_Receipt[[#This Row],[ Accepted Qty ]]</f>
        <v>0</v>
      </c>
      <c r="O603" s="87"/>
      <c r="P603" s="87"/>
      <c r="Q603" s="87"/>
      <c r="R603" s="87"/>
      <c r="S603" s="87"/>
      <c r="T603" s="85"/>
      <c r="U603" s="89"/>
      <c r="V603" s="90"/>
      <c r="W603" s="87"/>
      <c r="X603" s="91"/>
      <c r="Y603" s="84"/>
      <c r="Z603" s="97"/>
    </row>
    <row r="604" spans="1:26" s="98" customFormat="1" x14ac:dyDescent="0.35">
      <c r="A604" s="86">
        <v>601</v>
      </c>
      <c r="B604" s="85"/>
      <c r="C604" s="87"/>
      <c r="D604" s="85"/>
      <c r="E604" s="84"/>
      <c r="F604" s="85"/>
      <c r="G604" s="87"/>
      <c r="H604" s="87"/>
      <c r="I604" s="87"/>
      <c r="J604" s="101"/>
      <c r="K604" s="87"/>
      <c r="L604" s="91"/>
      <c r="M604" s="91"/>
      <c r="N604" s="88">
        <f>Goods_Receipt[[#This Row],[ Invoice. /
 Received Qty ]]-Goods_Receipt[[#This Row],[ Accepted Qty ]]</f>
        <v>0</v>
      </c>
      <c r="O604" s="87"/>
      <c r="P604" s="87"/>
      <c r="Q604" s="87"/>
      <c r="R604" s="87"/>
      <c r="S604" s="87"/>
      <c r="T604" s="85"/>
      <c r="U604" s="89"/>
      <c r="V604" s="90"/>
      <c r="W604" s="87"/>
      <c r="X604" s="91"/>
      <c r="Y604" s="84"/>
      <c r="Z604" s="97"/>
    </row>
    <row r="605" spans="1:26" s="98" customFormat="1" x14ac:dyDescent="0.35">
      <c r="A605" s="86">
        <v>602</v>
      </c>
      <c r="B605" s="85"/>
      <c r="C605" s="87"/>
      <c r="D605" s="85"/>
      <c r="E605" s="84"/>
      <c r="F605" s="85"/>
      <c r="G605" s="87"/>
      <c r="H605" s="87"/>
      <c r="I605" s="87"/>
      <c r="J605" s="101"/>
      <c r="K605" s="87"/>
      <c r="L605" s="91"/>
      <c r="M605" s="91"/>
      <c r="N605" s="88">
        <f>Goods_Receipt[[#This Row],[ Invoice. /
 Received Qty ]]-Goods_Receipt[[#This Row],[ Accepted Qty ]]</f>
        <v>0</v>
      </c>
      <c r="O605" s="87"/>
      <c r="P605" s="87"/>
      <c r="Q605" s="87"/>
      <c r="R605" s="87"/>
      <c r="S605" s="87"/>
      <c r="T605" s="85"/>
      <c r="U605" s="89"/>
      <c r="V605" s="90"/>
      <c r="W605" s="87"/>
      <c r="X605" s="91"/>
      <c r="Y605" s="84"/>
      <c r="Z605" s="97"/>
    </row>
    <row r="606" spans="1:26" s="98" customFormat="1" x14ac:dyDescent="0.35">
      <c r="A606" s="86">
        <v>603</v>
      </c>
      <c r="B606" s="85"/>
      <c r="C606" s="87"/>
      <c r="D606" s="85"/>
      <c r="E606" s="84"/>
      <c r="F606" s="85"/>
      <c r="G606" s="87"/>
      <c r="H606" s="87"/>
      <c r="I606" s="87"/>
      <c r="J606" s="101"/>
      <c r="K606" s="87"/>
      <c r="L606" s="91"/>
      <c r="M606" s="91"/>
      <c r="N606" s="88">
        <f>Goods_Receipt[[#This Row],[ Invoice. /
 Received Qty ]]-Goods_Receipt[[#This Row],[ Accepted Qty ]]</f>
        <v>0</v>
      </c>
      <c r="O606" s="87"/>
      <c r="P606" s="87"/>
      <c r="Q606" s="87"/>
      <c r="R606" s="87"/>
      <c r="S606" s="87"/>
      <c r="T606" s="85"/>
      <c r="U606" s="89"/>
      <c r="V606" s="90"/>
      <c r="W606" s="87"/>
      <c r="X606" s="91"/>
      <c r="Y606" s="84"/>
      <c r="Z606" s="97"/>
    </row>
    <row r="607" spans="1:26" s="98" customFormat="1" x14ac:dyDescent="0.35">
      <c r="A607" s="86">
        <v>604</v>
      </c>
      <c r="B607" s="85"/>
      <c r="C607" s="87"/>
      <c r="D607" s="85"/>
      <c r="E607" s="84"/>
      <c r="F607" s="85"/>
      <c r="G607" s="87"/>
      <c r="H607" s="87"/>
      <c r="I607" s="87"/>
      <c r="J607" s="101"/>
      <c r="K607" s="87"/>
      <c r="L607" s="91"/>
      <c r="M607" s="91"/>
      <c r="N607" s="88">
        <f>Goods_Receipt[[#This Row],[ Invoice. /
 Received Qty ]]-Goods_Receipt[[#This Row],[ Accepted Qty ]]</f>
        <v>0</v>
      </c>
      <c r="O607" s="87"/>
      <c r="P607" s="87"/>
      <c r="Q607" s="87"/>
      <c r="R607" s="87"/>
      <c r="S607" s="87"/>
      <c r="T607" s="85"/>
      <c r="U607" s="89"/>
      <c r="V607" s="90"/>
      <c r="W607" s="87"/>
      <c r="X607" s="91"/>
      <c r="Y607" s="84"/>
      <c r="Z607" s="97"/>
    </row>
    <row r="608" spans="1:26" s="98" customFormat="1" x14ac:dyDescent="0.35">
      <c r="A608" s="86">
        <v>605</v>
      </c>
      <c r="B608" s="85"/>
      <c r="C608" s="87"/>
      <c r="D608" s="85"/>
      <c r="E608" s="84"/>
      <c r="F608" s="85"/>
      <c r="G608" s="87"/>
      <c r="H608" s="87"/>
      <c r="I608" s="87"/>
      <c r="J608" s="101"/>
      <c r="K608" s="87"/>
      <c r="L608" s="91"/>
      <c r="M608" s="91"/>
      <c r="N608" s="88">
        <f>Goods_Receipt[[#This Row],[ Invoice. /
 Received Qty ]]-Goods_Receipt[[#This Row],[ Accepted Qty ]]</f>
        <v>0</v>
      </c>
      <c r="O608" s="87"/>
      <c r="P608" s="87"/>
      <c r="Q608" s="87"/>
      <c r="R608" s="87"/>
      <c r="S608" s="87"/>
      <c r="T608" s="85"/>
      <c r="U608" s="89"/>
      <c r="V608" s="90"/>
      <c r="W608" s="87"/>
      <c r="X608" s="91"/>
      <c r="Y608" s="84"/>
      <c r="Z608" s="97"/>
    </row>
    <row r="609" spans="1:26" s="98" customFormat="1" x14ac:dyDescent="0.35">
      <c r="A609" s="86">
        <v>606</v>
      </c>
      <c r="B609" s="85"/>
      <c r="C609" s="87"/>
      <c r="D609" s="85"/>
      <c r="E609" s="84"/>
      <c r="F609" s="85"/>
      <c r="G609" s="87"/>
      <c r="H609" s="87"/>
      <c r="I609" s="87"/>
      <c r="J609" s="101"/>
      <c r="K609" s="87"/>
      <c r="L609" s="91"/>
      <c r="M609" s="91"/>
      <c r="N609" s="88">
        <f>Goods_Receipt[[#This Row],[ Invoice. /
 Received Qty ]]-Goods_Receipt[[#This Row],[ Accepted Qty ]]</f>
        <v>0</v>
      </c>
      <c r="O609" s="87"/>
      <c r="P609" s="87"/>
      <c r="Q609" s="87"/>
      <c r="R609" s="87"/>
      <c r="S609" s="87"/>
      <c r="T609" s="85"/>
      <c r="U609" s="89"/>
      <c r="V609" s="90"/>
      <c r="W609" s="87"/>
      <c r="X609" s="91"/>
      <c r="Y609" s="84"/>
      <c r="Z609" s="97"/>
    </row>
    <row r="610" spans="1:26" s="98" customFormat="1" x14ac:dyDescent="0.35">
      <c r="A610" s="86">
        <v>607</v>
      </c>
      <c r="B610" s="85"/>
      <c r="C610" s="87"/>
      <c r="D610" s="85"/>
      <c r="E610" s="84"/>
      <c r="F610" s="85"/>
      <c r="G610" s="87"/>
      <c r="H610" s="87"/>
      <c r="I610" s="87"/>
      <c r="J610" s="101"/>
      <c r="K610" s="87"/>
      <c r="L610" s="91"/>
      <c r="M610" s="91"/>
      <c r="N610" s="88">
        <f>Goods_Receipt[[#This Row],[ Invoice. /
 Received Qty ]]-Goods_Receipt[[#This Row],[ Accepted Qty ]]</f>
        <v>0</v>
      </c>
      <c r="O610" s="87"/>
      <c r="P610" s="87"/>
      <c r="Q610" s="87"/>
      <c r="R610" s="87"/>
      <c r="S610" s="87"/>
      <c r="T610" s="85"/>
      <c r="U610" s="89"/>
      <c r="V610" s="90"/>
      <c r="W610" s="87"/>
      <c r="X610" s="91"/>
      <c r="Y610" s="84"/>
      <c r="Z610" s="97"/>
    </row>
    <row r="611" spans="1:26" s="98" customFormat="1" x14ac:dyDescent="0.35">
      <c r="A611" s="86">
        <v>608</v>
      </c>
      <c r="B611" s="85"/>
      <c r="C611" s="87"/>
      <c r="D611" s="85"/>
      <c r="E611" s="84"/>
      <c r="F611" s="85"/>
      <c r="G611" s="87"/>
      <c r="H611" s="87"/>
      <c r="I611" s="87"/>
      <c r="J611" s="101"/>
      <c r="K611" s="87"/>
      <c r="L611" s="91"/>
      <c r="M611" s="91"/>
      <c r="N611" s="88">
        <f>Goods_Receipt[[#This Row],[ Invoice. /
 Received Qty ]]-Goods_Receipt[[#This Row],[ Accepted Qty ]]</f>
        <v>0</v>
      </c>
      <c r="O611" s="87"/>
      <c r="P611" s="87"/>
      <c r="Q611" s="87"/>
      <c r="R611" s="87"/>
      <c r="S611" s="87"/>
      <c r="T611" s="85"/>
      <c r="U611" s="89"/>
      <c r="V611" s="90"/>
      <c r="W611" s="87"/>
      <c r="X611" s="91"/>
      <c r="Y611" s="84"/>
      <c r="Z611" s="97"/>
    </row>
    <row r="612" spans="1:26" s="98" customFormat="1" x14ac:dyDescent="0.35">
      <c r="A612" s="86">
        <v>609</v>
      </c>
      <c r="B612" s="85"/>
      <c r="C612" s="87"/>
      <c r="D612" s="85"/>
      <c r="E612" s="84"/>
      <c r="F612" s="85"/>
      <c r="G612" s="87"/>
      <c r="H612" s="87"/>
      <c r="I612" s="87"/>
      <c r="J612" s="101"/>
      <c r="K612" s="87"/>
      <c r="L612" s="91"/>
      <c r="M612" s="91"/>
      <c r="N612" s="88">
        <f>Goods_Receipt[[#This Row],[ Invoice. /
 Received Qty ]]-Goods_Receipt[[#This Row],[ Accepted Qty ]]</f>
        <v>0</v>
      </c>
      <c r="O612" s="87"/>
      <c r="P612" s="87"/>
      <c r="Q612" s="87"/>
      <c r="R612" s="87"/>
      <c r="S612" s="87"/>
      <c r="T612" s="85"/>
      <c r="U612" s="89"/>
      <c r="V612" s="90"/>
      <c r="W612" s="87"/>
      <c r="X612" s="91"/>
      <c r="Y612" s="84"/>
      <c r="Z612" s="97"/>
    </row>
    <row r="613" spans="1:26" s="98" customFormat="1" x14ac:dyDescent="0.35">
      <c r="A613" s="86">
        <v>610</v>
      </c>
      <c r="B613" s="85"/>
      <c r="C613" s="87"/>
      <c r="D613" s="85"/>
      <c r="E613" s="84"/>
      <c r="F613" s="85"/>
      <c r="G613" s="87"/>
      <c r="H613" s="87"/>
      <c r="I613" s="87"/>
      <c r="J613" s="101"/>
      <c r="K613" s="87"/>
      <c r="L613" s="91"/>
      <c r="M613" s="91"/>
      <c r="N613" s="88">
        <f>Goods_Receipt[[#This Row],[ Invoice. /
 Received Qty ]]-Goods_Receipt[[#This Row],[ Accepted Qty ]]</f>
        <v>0</v>
      </c>
      <c r="O613" s="87"/>
      <c r="P613" s="87"/>
      <c r="Q613" s="87"/>
      <c r="R613" s="87"/>
      <c r="S613" s="87"/>
      <c r="T613" s="85"/>
      <c r="U613" s="89"/>
      <c r="V613" s="90"/>
      <c r="W613" s="87"/>
      <c r="X613" s="91"/>
      <c r="Y613" s="84"/>
      <c r="Z613" s="97"/>
    </row>
    <row r="614" spans="1:26" s="98" customFormat="1" x14ac:dyDescent="0.35">
      <c r="A614" s="86">
        <v>611</v>
      </c>
      <c r="B614" s="85"/>
      <c r="C614" s="87"/>
      <c r="D614" s="85"/>
      <c r="E614" s="84"/>
      <c r="F614" s="85"/>
      <c r="G614" s="87"/>
      <c r="H614" s="87"/>
      <c r="I614" s="87"/>
      <c r="J614" s="101"/>
      <c r="K614" s="87"/>
      <c r="L614" s="91"/>
      <c r="M614" s="91"/>
      <c r="N614" s="88">
        <f>Goods_Receipt[[#This Row],[ Invoice. /
 Received Qty ]]-Goods_Receipt[[#This Row],[ Accepted Qty ]]</f>
        <v>0</v>
      </c>
      <c r="O614" s="87"/>
      <c r="P614" s="87"/>
      <c r="Q614" s="87"/>
      <c r="R614" s="87"/>
      <c r="S614" s="87"/>
      <c r="T614" s="85"/>
      <c r="U614" s="89"/>
      <c r="V614" s="90"/>
      <c r="W614" s="87"/>
      <c r="X614" s="91"/>
      <c r="Y614" s="84"/>
      <c r="Z614" s="97"/>
    </row>
    <row r="615" spans="1:26" s="98" customFormat="1" x14ac:dyDescent="0.35">
      <c r="A615" s="86">
        <v>612</v>
      </c>
      <c r="B615" s="85"/>
      <c r="C615" s="87"/>
      <c r="D615" s="85"/>
      <c r="E615" s="84"/>
      <c r="F615" s="85"/>
      <c r="G615" s="87"/>
      <c r="H615" s="87"/>
      <c r="I615" s="87"/>
      <c r="J615" s="101"/>
      <c r="K615" s="87"/>
      <c r="L615" s="91"/>
      <c r="M615" s="91"/>
      <c r="N615" s="88">
        <f>Goods_Receipt[[#This Row],[ Invoice. /
 Received Qty ]]-Goods_Receipt[[#This Row],[ Accepted Qty ]]</f>
        <v>0</v>
      </c>
      <c r="O615" s="87"/>
      <c r="P615" s="87"/>
      <c r="Q615" s="87"/>
      <c r="R615" s="87"/>
      <c r="S615" s="87"/>
      <c r="T615" s="85"/>
      <c r="U615" s="89"/>
      <c r="V615" s="90"/>
      <c r="W615" s="87"/>
      <c r="X615" s="91"/>
      <c r="Y615" s="84"/>
      <c r="Z615" s="97"/>
    </row>
    <row r="616" spans="1:26" s="98" customFormat="1" x14ac:dyDescent="0.35">
      <c r="A616" s="86">
        <v>613</v>
      </c>
      <c r="B616" s="85"/>
      <c r="C616" s="87"/>
      <c r="D616" s="85"/>
      <c r="E616" s="84"/>
      <c r="F616" s="85"/>
      <c r="G616" s="87"/>
      <c r="H616" s="87"/>
      <c r="I616" s="87"/>
      <c r="J616" s="101"/>
      <c r="K616" s="87"/>
      <c r="L616" s="91"/>
      <c r="M616" s="91"/>
      <c r="N616" s="88">
        <f>Goods_Receipt[[#This Row],[ Invoice. /
 Received Qty ]]-Goods_Receipt[[#This Row],[ Accepted Qty ]]</f>
        <v>0</v>
      </c>
      <c r="O616" s="87"/>
      <c r="P616" s="87"/>
      <c r="Q616" s="87"/>
      <c r="R616" s="87"/>
      <c r="S616" s="87"/>
      <c r="T616" s="85"/>
      <c r="U616" s="89"/>
      <c r="V616" s="90"/>
      <c r="W616" s="87"/>
      <c r="X616" s="91"/>
      <c r="Y616" s="84"/>
      <c r="Z616" s="97"/>
    </row>
    <row r="617" spans="1:26" s="98" customFormat="1" x14ac:dyDescent="0.35">
      <c r="A617" s="86">
        <v>614</v>
      </c>
      <c r="B617" s="85"/>
      <c r="C617" s="87"/>
      <c r="D617" s="85"/>
      <c r="E617" s="84"/>
      <c r="F617" s="85"/>
      <c r="G617" s="87"/>
      <c r="H617" s="87"/>
      <c r="I617" s="87"/>
      <c r="J617" s="101"/>
      <c r="K617" s="87"/>
      <c r="L617" s="91"/>
      <c r="M617" s="91"/>
      <c r="N617" s="88">
        <f>Goods_Receipt[[#This Row],[ Invoice. /
 Received Qty ]]-Goods_Receipt[[#This Row],[ Accepted Qty ]]</f>
        <v>0</v>
      </c>
      <c r="O617" s="87"/>
      <c r="P617" s="87"/>
      <c r="Q617" s="87"/>
      <c r="R617" s="87"/>
      <c r="S617" s="87"/>
      <c r="T617" s="85"/>
      <c r="U617" s="89"/>
      <c r="V617" s="90"/>
      <c r="W617" s="87"/>
      <c r="X617" s="91"/>
      <c r="Y617" s="84"/>
      <c r="Z617" s="97"/>
    </row>
    <row r="618" spans="1:26" s="98" customFormat="1" x14ac:dyDescent="0.35">
      <c r="A618" s="86">
        <v>615</v>
      </c>
      <c r="B618" s="85"/>
      <c r="C618" s="87"/>
      <c r="D618" s="85"/>
      <c r="E618" s="84"/>
      <c r="F618" s="85"/>
      <c r="G618" s="87"/>
      <c r="H618" s="87"/>
      <c r="I618" s="87"/>
      <c r="J618" s="101"/>
      <c r="K618" s="87"/>
      <c r="L618" s="91"/>
      <c r="M618" s="91"/>
      <c r="N618" s="88">
        <f>Goods_Receipt[[#This Row],[ Invoice. /
 Received Qty ]]-Goods_Receipt[[#This Row],[ Accepted Qty ]]</f>
        <v>0</v>
      </c>
      <c r="O618" s="87"/>
      <c r="P618" s="87"/>
      <c r="Q618" s="87"/>
      <c r="R618" s="87"/>
      <c r="S618" s="87"/>
      <c r="T618" s="85"/>
      <c r="U618" s="89"/>
      <c r="V618" s="90"/>
      <c r="W618" s="87"/>
      <c r="X618" s="91"/>
      <c r="Y618" s="84"/>
      <c r="Z618" s="97"/>
    </row>
    <row r="619" spans="1:26" s="98" customFormat="1" x14ac:dyDescent="0.35">
      <c r="A619" s="86">
        <v>616</v>
      </c>
      <c r="B619" s="85"/>
      <c r="C619" s="87"/>
      <c r="D619" s="85"/>
      <c r="E619" s="84"/>
      <c r="F619" s="85"/>
      <c r="G619" s="87"/>
      <c r="H619" s="87"/>
      <c r="I619" s="87"/>
      <c r="J619" s="101"/>
      <c r="K619" s="87"/>
      <c r="L619" s="91"/>
      <c r="M619" s="91"/>
      <c r="N619" s="88">
        <f>Goods_Receipt[[#This Row],[ Invoice. /
 Received Qty ]]-Goods_Receipt[[#This Row],[ Accepted Qty ]]</f>
        <v>0</v>
      </c>
      <c r="O619" s="87"/>
      <c r="P619" s="87"/>
      <c r="Q619" s="87"/>
      <c r="R619" s="87"/>
      <c r="S619" s="87"/>
      <c r="T619" s="85"/>
      <c r="U619" s="89"/>
      <c r="V619" s="90"/>
      <c r="W619" s="87"/>
      <c r="X619" s="91"/>
      <c r="Y619" s="84"/>
      <c r="Z619" s="97"/>
    </row>
    <row r="620" spans="1:26" s="98" customFormat="1" x14ac:dyDescent="0.35">
      <c r="A620" s="86">
        <v>617</v>
      </c>
      <c r="B620" s="85"/>
      <c r="C620" s="87"/>
      <c r="D620" s="85"/>
      <c r="E620" s="84"/>
      <c r="F620" s="85"/>
      <c r="G620" s="87"/>
      <c r="H620" s="87"/>
      <c r="I620" s="87"/>
      <c r="J620" s="101"/>
      <c r="K620" s="87"/>
      <c r="L620" s="91"/>
      <c r="M620" s="91"/>
      <c r="N620" s="88">
        <f>Goods_Receipt[[#This Row],[ Invoice. /
 Received Qty ]]-Goods_Receipt[[#This Row],[ Accepted Qty ]]</f>
        <v>0</v>
      </c>
      <c r="O620" s="87"/>
      <c r="P620" s="87"/>
      <c r="Q620" s="87"/>
      <c r="R620" s="87"/>
      <c r="S620" s="87"/>
      <c r="T620" s="85"/>
      <c r="U620" s="89"/>
      <c r="V620" s="90"/>
      <c r="W620" s="87"/>
      <c r="X620" s="91"/>
      <c r="Y620" s="84"/>
      <c r="Z620" s="97"/>
    </row>
    <row r="621" spans="1:26" s="98" customFormat="1" x14ac:dyDescent="0.35">
      <c r="A621" s="86">
        <v>618</v>
      </c>
      <c r="B621" s="85"/>
      <c r="C621" s="87"/>
      <c r="D621" s="85"/>
      <c r="E621" s="84"/>
      <c r="F621" s="85"/>
      <c r="G621" s="87"/>
      <c r="H621" s="87"/>
      <c r="I621" s="87"/>
      <c r="J621" s="101"/>
      <c r="K621" s="87"/>
      <c r="L621" s="91"/>
      <c r="M621" s="91"/>
      <c r="N621" s="88">
        <f>Goods_Receipt[[#This Row],[ Invoice. /
 Received Qty ]]-Goods_Receipt[[#This Row],[ Accepted Qty ]]</f>
        <v>0</v>
      </c>
      <c r="O621" s="87"/>
      <c r="P621" s="87"/>
      <c r="Q621" s="87"/>
      <c r="R621" s="87"/>
      <c r="S621" s="87"/>
      <c r="T621" s="85"/>
      <c r="U621" s="89"/>
      <c r="V621" s="90"/>
      <c r="W621" s="87"/>
      <c r="X621" s="91"/>
      <c r="Y621" s="84"/>
      <c r="Z621" s="97"/>
    </row>
    <row r="622" spans="1:26" s="98" customFormat="1" x14ac:dyDescent="0.35">
      <c r="A622" s="86">
        <v>619</v>
      </c>
      <c r="B622" s="85"/>
      <c r="C622" s="87"/>
      <c r="D622" s="85"/>
      <c r="E622" s="84"/>
      <c r="F622" s="85"/>
      <c r="G622" s="87"/>
      <c r="H622" s="87"/>
      <c r="I622" s="87"/>
      <c r="J622" s="101"/>
      <c r="K622" s="87"/>
      <c r="L622" s="91"/>
      <c r="M622" s="91"/>
      <c r="N622" s="88">
        <f>Goods_Receipt[[#This Row],[ Invoice. /
 Received Qty ]]-Goods_Receipt[[#This Row],[ Accepted Qty ]]</f>
        <v>0</v>
      </c>
      <c r="O622" s="87"/>
      <c r="P622" s="87"/>
      <c r="Q622" s="87"/>
      <c r="R622" s="87"/>
      <c r="S622" s="87"/>
      <c r="T622" s="85"/>
      <c r="U622" s="89"/>
      <c r="V622" s="90"/>
      <c r="W622" s="87"/>
      <c r="X622" s="91"/>
      <c r="Y622" s="84"/>
      <c r="Z622" s="97"/>
    </row>
    <row r="623" spans="1:26" s="98" customFormat="1" x14ac:dyDescent="0.35">
      <c r="A623" s="86">
        <v>620</v>
      </c>
      <c r="B623" s="85"/>
      <c r="C623" s="87"/>
      <c r="D623" s="85"/>
      <c r="E623" s="84"/>
      <c r="F623" s="85"/>
      <c r="G623" s="87"/>
      <c r="H623" s="87"/>
      <c r="I623" s="87"/>
      <c r="J623" s="101"/>
      <c r="K623" s="87"/>
      <c r="L623" s="91"/>
      <c r="M623" s="91"/>
      <c r="N623" s="88">
        <f>Goods_Receipt[[#This Row],[ Invoice. /
 Received Qty ]]-Goods_Receipt[[#This Row],[ Accepted Qty ]]</f>
        <v>0</v>
      </c>
      <c r="O623" s="87"/>
      <c r="P623" s="87"/>
      <c r="Q623" s="87"/>
      <c r="R623" s="87"/>
      <c r="S623" s="87"/>
      <c r="T623" s="85"/>
      <c r="U623" s="89"/>
      <c r="V623" s="90"/>
      <c r="W623" s="87"/>
      <c r="X623" s="91"/>
      <c r="Y623" s="84"/>
      <c r="Z623" s="97"/>
    </row>
    <row r="624" spans="1:26" s="98" customFormat="1" x14ac:dyDescent="0.35">
      <c r="A624" s="86">
        <v>621</v>
      </c>
      <c r="B624" s="85"/>
      <c r="C624" s="87"/>
      <c r="D624" s="85"/>
      <c r="E624" s="84"/>
      <c r="F624" s="85"/>
      <c r="G624" s="87"/>
      <c r="H624" s="87"/>
      <c r="I624" s="87"/>
      <c r="J624" s="101"/>
      <c r="K624" s="87"/>
      <c r="L624" s="91"/>
      <c r="M624" s="91"/>
      <c r="N624" s="88">
        <f>Goods_Receipt[[#This Row],[ Invoice. /
 Received Qty ]]-Goods_Receipt[[#This Row],[ Accepted Qty ]]</f>
        <v>0</v>
      </c>
      <c r="O624" s="87"/>
      <c r="P624" s="87"/>
      <c r="Q624" s="87"/>
      <c r="R624" s="87"/>
      <c r="S624" s="87"/>
      <c r="T624" s="85"/>
      <c r="U624" s="89"/>
      <c r="V624" s="90"/>
      <c r="W624" s="87"/>
      <c r="X624" s="91"/>
      <c r="Y624" s="84"/>
      <c r="Z624" s="97"/>
    </row>
    <row r="625" spans="1:26" s="98" customFormat="1" x14ac:dyDescent="0.35">
      <c r="A625" s="86">
        <v>622</v>
      </c>
      <c r="B625" s="85"/>
      <c r="C625" s="87"/>
      <c r="D625" s="85"/>
      <c r="E625" s="84"/>
      <c r="F625" s="85"/>
      <c r="G625" s="87"/>
      <c r="H625" s="87"/>
      <c r="I625" s="87"/>
      <c r="J625" s="101"/>
      <c r="K625" s="87"/>
      <c r="L625" s="91"/>
      <c r="M625" s="91"/>
      <c r="N625" s="88">
        <f>Goods_Receipt[[#This Row],[ Invoice. /
 Received Qty ]]-Goods_Receipt[[#This Row],[ Accepted Qty ]]</f>
        <v>0</v>
      </c>
      <c r="O625" s="87"/>
      <c r="P625" s="87"/>
      <c r="Q625" s="87"/>
      <c r="R625" s="87"/>
      <c r="S625" s="87"/>
      <c r="T625" s="85"/>
      <c r="U625" s="89"/>
      <c r="V625" s="90"/>
      <c r="W625" s="87"/>
      <c r="X625" s="91"/>
      <c r="Y625" s="84"/>
      <c r="Z625" s="97"/>
    </row>
    <row r="626" spans="1:26" s="98" customFormat="1" x14ac:dyDescent="0.35">
      <c r="A626" s="86">
        <v>623</v>
      </c>
      <c r="B626" s="85"/>
      <c r="C626" s="87"/>
      <c r="D626" s="85"/>
      <c r="E626" s="84"/>
      <c r="F626" s="85"/>
      <c r="G626" s="87"/>
      <c r="H626" s="87"/>
      <c r="I626" s="87"/>
      <c r="J626" s="101"/>
      <c r="K626" s="87"/>
      <c r="L626" s="91"/>
      <c r="M626" s="91"/>
      <c r="N626" s="88">
        <f>Goods_Receipt[[#This Row],[ Invoice. /
 Received Qty ]]-Goods_Receipt[[#This Row],[ Accepted Qty ]]</f>
        <v>0</v>
      </c>
      <c r="O626" s="87"/>
      <c r="P626" s="87"/>
      <c r="Q626" s="87"/>
      <c r="R626" s="87"/>
      <c r="S626" s="87"/>
      <c r="T626" s="85"/>
      <c r="U626" s="89"/>
      <c r="V626" s="90"/>
      <c r="W626" s="87"/>
      <c r="X626" s="91"/>
      <c r="Y626" s="84"/>
      <c r="Z626" s="97"/>
    </row>
    <row r="627" spans="1:26" s="98" customFormat="1" x14ac:dyDescent="0.35">
      <c r="A627" s="86">
        <v>624</v>
      </c>
      <c r="B627" s="85"/>
      <c r="C627" s="87"/>
      <c r="D627" s="85"/>
      <c r="E627" s="84"/>
      <c r="F627" s="85"/>
      <c r="G627" s="87"/>
      <c r="H627" s="87"/>
      <c r="I627" s="87"/>
      <c r="J627" s="101"/>
      <c r="K627" s="87"/>
      <c r="L627" s="91"/>
      <c r="M627" s="91"/>
      <c r="N627" s="88">
        <f>Goods_Receipt[[#This Row],[ Invoice. /
 Received Qty ]]-Goods_Receipt[[#This Row],[ Accepted Qty ]]</f>
        <v>0</v>
      </c>
      <c r="O627" s="87"/>
      <c r="P627" s="87"/>
      <c r="Q627" s="87"/>
      <c r="R627" s="87"/>
      <c r="S627" s="87"/>
      <c r="T627" s="85"/>
      <c r="U627" s="89"/>
      <c r="V627" s="90"/>
      <c r="W627" s="87"/>
      <c r="X627" s="91"/>
      <c r="Y627" s="84"/>
      <c r="Z627" s="97"/>
    </row>
    <row r="628" spans="1:26" s="98" customFormat="1" x14ac:dyDescent="0.35">
      <c r="A628" s="86">
        <v>625</v>
      </c>
      <c r="B628" s="85"/>
      <c r="C628" s="87"/>
      <c r="D628" s="85"/>
      <c r="E628" s="84"/>
      <c r="F628" s="85"/>
      <c r="G628" s="87"/>
      <c r="H628" s="87"/>
      <c r="I628" s="87"/>
      <c r="J628" s="101"/>
      <c r="K628" s="87"/>
      <c r="L628" s="91"/>
      <c r="M628" s="91"/>
      <c r="N628" s="88">
        <f>Goods_Receipt[[#This Row],[ Invoice. /
 Received Qty ]]-Goods_Receipt[[#This Row],[ Accepted Qty ]]</f>
        <v>0</v>
      </c>
      <c r="O628" s="87"/>
      <c r="P628" s="87"/>
      <c r="Q628" s="87"/>
      <c r="R628" s="87"/>
      <c r="S628" s="87"/>
      <c r="T628" s="85"/>
      <c r="U628" s="89"/>
      <c r="V628" s="90"/>
      <c r="W628" s="87"/>
      <c r="X628" s="91"/>
      <c r="Y628" s="84"/>
      <c r="Z628" s="97"/>
    </row>
    <row r="629" spans="1:26" s="98" customFormat="1" x14ac:dyDescent="0.35">
      <c r="A629" s="86">
        <v>626</v>
      </c>
      <c r="B629" s="85"/>
      <c r="C629" s="87"/>
      <c r="D629" s="85"/>
      <c r="E629" s="84"/>
      <c r="F629" s="85"/>
      <c r="G629" s="87"/>
      <c r="H629" s="87"/>
      <c r="I629" s="87"/>
      <c r="J629" s="101"/>
      <c r="K629" s="87"/>
      <c r="L629" s="91"/>
      <c r="M629" s="91"/>
      <c r="N629" s="88">
        <f>Goods_Receipt[[#This Row],[ Invoice. /
 Received Qty ]]-Goods_Receipt[[#This Row],[ Accepted Qty ]]</f>
        <v>0</v>
      </c>
      <c r="O629" s="87"/>
      <c r="P629" s="87"/>
      <c r="Q629" s="87"/>
      <c r="R629" s="87"/>
      <c r="S629" s="87"/>
      <c r="T629" s="85"/>
      <c r="U629" s="89"/>
      <c r="V629" s="90"/>
      <c r="W629" s="87"/>
      <c r="X629" s="91"/>
      <c r="Y629" s="84"/>
      <c r="Z629" s="97"/>
    </row>
    <row r="630" spans="1:26" s="98" customFormat="1" x14ac:dyDescent="0.35">
      <c r="A630" s="86">
        <v>627</v>
      </c>
      <c r="B630" s="85"/>
      <c r="C630" s="87"/>
      <c r="D630" s="85"/>
      <c r="E630" s="84"/>
      <c r="F630" s="85"/>
      <c r="G630" s="87"/>
      <c r="H630" s="87"/>
      <c r="I630" s="87"/>
      <c r="J630" s="101"/>
      <c r="K630" s="87"/>
      <c r="L630" s="91"/>
      <c r="M630" s="91"/>
      <c r="N630" s="88">
        <f>Goods_Receipt[[#This Row],[ Invoice. /
 Received Qty ]]-Goods_Receipt[[#This Row],[ Accepted Qty ]]</f>
        <v>0</v>
      </c>
      <c r="O630" s="87"/>
      <c r="P630" s="87"/>
      <c r="Q630" s="87"/>
      <c r="R630" s="87"/>
      <c r="S630" s="87"/>
      <c r="T630" s="85"/>
      <c r="U630" s="89"/>
      <c r="V630" s="90"/>
      <c r="W630" s="87"/>
      <c r="X630" s="91"/>
      <c r="Y630" s="84"/>
      <c r="Z630" s="97"/>
    </row>
    <row r="631" spans="1:26" s="98" customFormat="1" x14ac:dyDescent="0.35">
      <c r="A631" s="86">
        <v>628</v>
      </c>
      <c r="B631" s="85"/>
      <c r="C631" s="87"/>
      <c r="D631" s="85"/>
      <c r="E631" s="84"/>
      <c r="F631" s="85"/>
      <c r="G631" s="87"/>
      <c r="H631" s="87"/>
      <c r="I631" s="87"/>
      <c r="J631" s="101"/>
      <c r="K631" s="87"/>
      <c r="L631" s="91"/>
      <c r="M631" s="91"/>
      <c r="N631" s="88">
        <f>Goods_Receipt[[#This Row],[ Invoice. /
 Received Qty ]]-Goods_Receipt[[#This Row],[ Accepted Qty ]]</f>
        <v>0</v>
      </c>
      <c r="O631" s="87"/>
      <c r="P631" s="87"/>
      <c r="Q631" s="87"/>
      <c r="R631" s="87"/>
      <c r="S631" s="87"/>
      <c r="T631" s="85"/>
      <c r="U631" s="89"/>
      <c r="V631" s="90"/>
      <c r="W631" s="87"/>
      <c r="X631" s="91"/>
      <c r="Y631" s="84"/>
      <c r="Z631" s="97"/>
    </row>
    <row r="632" spans="1:26" s="98" customFormat="1" x14ac:dyDescent="0.35">
      <c r="A632" s="86">
        <v>629</v>
      </c>
      <c r="B632" s="85"/>
      <c r="C632" s="87"/>
      <c r="D632" s="85"/>
      <c r="E632" s="84"/>
      <c r="F632" s="85"/>
      <c r="G632" s="87"/>
      <c r="H632" s="87"/>
      <c r="I632" s="87"/>
      <c r="J632" s="101"/>
      <c r="K632" s="87"/>
      <c r="L632" s="91"/>
      <c r="M632" s="91"/>
      <c r="N632" s="88">
        <f>Goods_Receipt[[#This Row],[ Invoice. /
 Received Qty ]]-Goods_Receipt[[#This Row],[ Accepted Qty ]]</f>
        <v>0</v>
      </c>
      <c r="O632" s="87"/>
      <c r="P632" s="87"/>
      <c r="Q632" s="87"/>
      <c r="R632" s="87"/>
      <c r="S632" s="87"/>
      <c r="T632" s="85"/>
      <c r="U632" s="89"/>
      <c r="V632" s="90"/>
      <c r="W632" s="87"/>
      <c r="X632" s="91"/>
      <c r="Y632" s="84"/>
      <c r="Z632" s="97"/>
    </row>
    <row r="633" spans="1:26" s="98" customFormat="1" x14ac:dyDescent="0.35">
      <c r="A633" s="86">
        <v>630</v>
      </c>
      <c r="B633" s="85"/>
      <c r="C633" s="87"/>
      <c r="D633" s="85"/>
      <c r="E633" s="84"/>
      <c r="F633" s="85"/>
      <c r="G633" s="87"/>
      <c r="H633" s="87"/>
      <c r="I633" s="87"/>
      <c r="J633" s="101"/>
      <c r="K633" s="87"/>
      <c r="L633" s="91"/>
      <c r="M633" s="91"/>
      <c r="N633" s="88">
        <f>Goods_Receipt[[#This Row],[ Invoice. /
 Received Qty ]]-Goods_Receipt[[#This Row],[ Accepted Qty ]]</f>
        <v>0</v>
      </c>
      <c r="O633" s="87"/>
      <c r="P633" s="87"/>
      <c r="Q633" s="87"/>
      <c r="R633" s="87"/>
      <c r="S633" s="87"/>
      <c r="T633" s="85"/>
      <c r="U633" s="89"/>
      <c r="V633" s="90"/>
      <c r="W633" s="87"/>
      <c r="X633" s="91"/>
      <c r="Y633" s="84"/>
      <c r="Z633" s="97"/>
    </row>
    <row r="634" spans="1:26" s="98" customFormat="1" x14ac:dyDescent="0.35">
      <c r="A634" s="86">
        <v>631</v>
      </c>
      <c r="B634" s="85"/>
      <c r="C634" s="87"/>
      <c r="D634" s="85"/>
      <c r="E634" s="84"/>
      <c r="F634" s="85"/>
      <c r="G634" s="87"/>
      <c r="H634" s="87"/>
      <c r="I634" s="87"/>
      <c r="J634" s="101"/>
      <c r="K634" s="87"/>
      <c r="L634" s="91"/>
      <c r="M634" s="91"/>
      <c r="N634" s="88">
        <f>Goods_Receipt[[#This Row],[ Invoice. /
 Received Qty ]]-Goods_Receipt[[#This Row],[ Accepted Qty ]]</f>
        <v>0</v>
      </c>
      <c r="O634" s="87"/>
      <c r="P634" s="87"/>
      <c r="Q634" s="87"/>
      <c r="R634" s="87"/>
      <c r="S634" s="87"/>
      <c r="T634" s="85"/>
      <c r="U634" s="89"/>
      <c r="V634" s="90"/>
      <c r="W634" s="87"/>
      <c r="X634" s="91"/>
      <c r="Y634" s="84"/>
      <c r="Z634" s="97"/>
    </row>
    <row r="635" spans="1:26" s="98" customFormat="1" x14ac:dyDescent="0.35">
      <c r="A635" s="86">
        <v>632</v>
      </c>
      <c r="B635" s="85"/>
      <c r="C635" s="87"/>
      <c r="D635" s="85"/>
      <c r="E635" s="84"/>
      <c r="F635" s="85"/>
      <c r="G635" s="87"/>
      <c r="H635" s="87"/>
      <c r="I635" s="87"/>
      <c r="J635" s="101"/>
      <c r="K635" s="87"/>
      <c r="L635" s="91"/>
      <c r="M635" s="91"/>
      <c r="N635" s="88">
        <f>Goods_Receipt[[#This Row],[ Invoice. /
 Received Qty ]]-Goods_Receipt[[#This Row],[ Accepted Qty ]]</f>
        <v>0</v>
      </c>
      <c r="O635" s="87"/>
      <c r="P635" s="87"/>
      <c r="Q635" s="87"/>
      <c r="R635" s="87"/>
      <c r="S635" s="87"/>
      <c r="T635" s="85"/>
      <c r="U635" s="89"/>
      <c r="V635" s="90"/>
      <c r="W635" s="87"/>
      <c r="X635" s="91"/>
      <c r="Y635" s="84"/>
      <c r="Z635" s="97"/>
    </row>
    <row r="636" spans="1:26" s="98" customFormat="1" x14ac:dyDescent="0.35">
      <c r="A636" s="86">
        <v>633</v>
      </c>
      <c r="B636" s="85"/>
      <c r="C636" s="87"/>
      <c r="D636" s="85"/>
      <c r="E636" s="84"/>
      <c r="F636" s="85"/>
      <c r="G636" s="87"/>
      <c r="H636" s="87"/>
      <c r="I636" s="87"/>
      <c r="J636" s="101"/>
      <c r="K636" s="87"/>
      <c r="L636" s="91"/>
      <c r="M636" s="91"/>
      <c r="N636" s="88">
        <f>Goods_Receipt[[#This Row],[ Invoice. /
 Received Qty ]]-Goods_Receipt[[#This Row],[ Accepted Qty ]]</f>
        <v>0</v>
      </c>
      <c r="O636" s="87"/>
      <c r="P636" s="87"/>
      <c r="Q636" s="87"/>
      <c r="R636" s="87"/>
      <c r="S636" s="87"/>
      <c r="T636" s="85"/>
      <c r="U636" s="89"/>
      <c r="V636" s="90"/>
      <c r="W636" s="87"/>
      <c r="X636" s="91"/>
      <c r="Y636" s="84"/>
      <c r="Z636" s="97"/>
    </row>
    <row r="637" spans="1:26" s="98" customFormat="1" x14ac:dyDescent="0.35">
      <c r="A637" s="86">
        <v>634</v>
      </c>
      <c r="B637" s="85"/>
      <c r="C637" s="87"/>
      <c r="D637" s="85"/>
      <c r="E637" s="84"/>
      <c r="F637" s="85"/>
      <c r="G637" s="87"/>
      <c r="H637" s="87"/>
      <c r="I637" s="87"/>
      <c r="J637" s="101"/>
      <c r="K637" s="87"/>
      <c r="L637" s="91"/>
      <c r="M637" s="91"/>
      <c r="N637" s="88">
        <f>Goods_Receipt[[#This Row],[ Invoice. /
 Received Qty ]]-Goods_Receipt[[#This Row],[ Accepted Qty ]]</f>
        <v>0</v>
      </c>
      <c r="O637" s="87"/>
      <c r="P637" s="87"/>
      <c r="Q637" s="87"/>
      <c r="R637" s="87"/>
      <c r="S637" s="87"/>
      <c r="T637" s="85"/>
      <c r="U637" s="89"/>
      <c r="V637" s="90"/>
      <c r="W637" s="87"/>
      <c r="X637" s="91"/>
      <c r="Y637" s="84"/>
      <c r="Z637" s="97"/>
    </row>
    <row r="638" spans="1:26" s="98" customFormat="1" x14ac:dyDescent="0.35">
      <c r="A638" s="86">
        <v>635</v>
      </c>
      <c r="B638" s="85"/>
      <c r="C638" s="87"/>
      <c r="D638" s="85"/>
      <c r="E638" s="84"/>
      <c r="F638" s="85"/>
      <c r="G638" s="87"/>
      <c r="H638" s="87"/>
      <c r="I638" s="87"/>
      <c r="J638" s="101"/>
      <c r="K638" s="87"/>
      <c r="L638" s="91"/>
      <c r="M638" s="91"/>
      <c r="N638" s="88">
        <f>Goods_Receipt[[#This Row],[ Invoice. /
 Received Qty ]]-Goods_Receipt[[#This Row],[ Accepted Qty ]]</f>
        <v>0</v>
      </c>
      <c r="O638" s="87"/>
      <c r="P638" s="87"/>
      <c r="Q638" s="87"/>
      <c r="R638" s="87"/>
      <c r="S638" s="87"/>
      <c r="T638" s="85"/>
      <c r="U638" s="89"/>
      <c r="V638" s="90"/>
      <c r="W638" s="87"/>
      <c r="X638" s="91"/>
      <c r="Y638" s="84"/>
      <c r="Z638" s="97"/>
    </row>
    <row r="639" spans="1:26" s="98" customFormat="1" x14ac:dyDescent="0.35">
      <c r="A639" s="86">
        <v>636</v>
      </c>
      <c r="B639" s="85"/>
      <c r="C639" s="87"/>
      <c r="D639" s="85"/>
      <c r="E639" s="84"/>
      <c r="F639" s="85"/>
      <c r="G639" s="87"/>
      <c r="H639" s="87"/>
      <c r="I639" s="87"/>
      <c r="J639" s="101"/>
      <c r="K639" s="87"/>
      <c r="L639" s="91"/>
      <c r="M639" s="91"/>
      <c r="N639" s="88">
        <f>Goods_Receipt[[#This Row],[ Invoice. /
 Received Qty ]]-Goods_Receipt[[#This Row],[ Accepted Qty ]]</f>
        <v>0</v>
      </c>
      <c r="O639" s="87"/>
      <c r="P639" s="87"/>
      <c r="Q639" s="87"/>
      <c r="R639" s="87"/>
      <c r="S639" s="87"/>
      <c r="T639" s="85"/>
      <c r="U639" s="89"/>
      <c r="V639" s="90"/>
      <c r="W639" s="87"/>
      <c r="X639" s="91"/>
      <c r="Y639" s="84"/>
      <c r="Z639" s="97"/>
    </row>
    <row r="640" spans="1:26" s="98" customFormat="1" x14ac:dyDescent="0.35">
      <c r="A640" s="86">
        <v>637</v>
      </c>
      <c r="B640" s="85"/>
      <c r="C640" s="87"/>
      <c r="D640" s="85"/>
      <c r="E640" s="84"/>
      <c r="F640" s="85"/>
      <c r="G640" s="87"/>
      <c r="H640" s="87"/>
      <c r="I640" s="87"/>
      <c r="J640" s="101"/>
      <c r="K640" s="87"/>
      <c r="L640" s="91"/>
      <c r="M640" s="91"/>
      <c r="N640" s="88">
        <f>Goods_Receipt[[#This Row],[ Invoice. /
 Received Qty ]]-Goods_Receipt[[#This Row],[ Accepted Qty ]]</f>
        <v>0</v>
      </c>
      <c r="O640" s="87"/>
      <c r="P640" s="87"/>
      <c r="Q640" s="87"/>
      <c r="R640" s="87"/>
      <c r="S640" s="87"/>
      <c r="T640" s="85"/>
      <c r="U640" s="89"/>
      <c r="V640" s="90"/>
      <c r="W640" s="87"/>
      <c r="X640" s="91"/>
      <c r="Y640" s="84"/>
      <c r="Z640" s="97"/>
    </row>
    <row r="641" spans="1:26" s="98" customFormat="1" x14ac:dyDescent="0.35">
      <c r="A641" s="86">
        <v>638</v>
      </c>
      <c r="B641" s="85"/>
      <c r="C641" s="87"/>
      <c r="D641" s="85"/>
      <c r="E641" s="84"/>
      <c r="F641" s="85"/>
      <c r="G641" s="87"/>
      <c r="H641" s="87"/>
      <c r="I641" s="87"/>
      <c r="J641" s="101"/>
      <c r="K641" s="87"/>
      <c r="L641" s="91"/>
      <c r="M641" s="91"/>
      <c r="N641" s="88">
        <f>Goods_Receipt[[#This Row],[ Invoice. /
 Received Qty ]]-Goods_Receipt[[#This Row],[ Accepted Qty ]]</f>
        <v>0</v>
      </c>
      <c r="O641" s="87"/>
      <c r="P641" s="87"/>
      <c r="Q641" s="87"/>
      <c r="R641" s="87"/>
      <c r="S641" s="87"/>
      <c r="T641" s="85"/>
      <c r="U641" s="89"/>
      <c r="V641" s="90"/>
      <c r="W641" s="87"/>
      <c r="X641" s="91"/>
      <c r="Y641" s="84"/>
      <c r="Z641" s="97"/>
    </row>
    <row r="642" spans="1:26" s="98" customFormat="1" x14ac:dyDescent="0.35">
      <c r="A642" s="86">
        <v>639</v>
      </c>
      <c r="B642" s="85"/>
      <c r="C642" s="87"/>
      <c r="D642" s="85"/>
      <c r="E642" s="84"/>
      <c r="F642" s="85"/>
      <c r="G642" s="87"/>
      <c r="H642" s="87"/>
      <c r="I642" s="87"/>
      <c r="J642" s="101"/>
      <c r="K642" s="87"/>
      <c r="L642" s="91"/>
      <c r="M642" s="91"/>
      <c r="N642" s="88">
        <f>Goods_Receipt[[#This Row],[ Invoice. /
 Received Qty ]]-Goods_Receipt[[#This Row],[ Accepted Qty ]]</f>
        <v>0</v>
      </c>
      <c r="O642" s="87"/>
      <c r="P642" s="87"/>
      <c r="Q642" s="87"/>
      <c r="R642" s="87"/>
      <c r="S642" s="87"/>
      <c r="T642" s="85"/>
      <c r="U642" s="89"/>
      <c r="V642" s="90"/>
      <c r="W642" s="87"/>
      <c r="X642" s="91"/>
      <c r="Y642" s="84"/>
      <c r="Z642" s="97"/>
    </row>
    <row r="643" spans="1:26" s="98" customFormat="1" x14ac:dyDescent="0.35">
      <c r="A643" s="86">
        <v>640</v>
      </c>
      <c r="B643" s="85"/>
      <c r="C643" s="87"/>
      <c r="D643" s="85"/>
      <c r="E643" s="84"/>
      <c r="F643" s="85"/>
      <c r="G643" s="87"/>
      <c r="H643" s="87"/>
      <c r="I643" s="87"/>
      <c r="J643" s="101"/>
      <c r="K643" s="87"/>
      <c r="L643" s="91"/>
      <c r="M643" s="91"/>
      <c r="N643" s="88">
        <f>Goods_Receipt[[#This Row],[ Invoice. /
 Received Qty ]]-Goods_Receipt[[#This Row],[ Accepted Qty ]]</f>
        <v>0</v>
      </c>
      <c r="O643" s="87"/>
      <c r="P643" s="87"/>
      <c r="Q643" s="87"/>
      <c r="R643" s="87"/>
      <c r="S643" s="87"/>
      <c r="T643" s="85"/>
      <c r="U643" s="89"/>
      <c r="V643" s="90"/>
      <c r="W643" s="87"/>
      <c r="X643" s="91"/>
      <c r="Y643" s="84"/>
      <c r="Z643" s="97"/>
    </row>
    <row r="644" spans="1:26" s="98" customFormat="1" x14ac:dyDescent="0.35">
      <c r="A644" s="86">
        <v>641</v>
      </c>
      <c r="B644" s="85"/>
      <c r="C644" s="87"/>
      <c r="D644" s="85"/>
      <c r="E644" s="84"/>
      <c r="F644" s="85"/>
      <c r="G644" s="87"/>
      <c r="H644" s="87"/>
      <c r="I644" s="87"/>
      <c r="J644" s="101"/>
      <c r="K644" s="87"/>
      <c r="L644" s="91"/>
      <c r="M644" s="91"/>
      <c r="N644" s="88">
        <f>Goods_Receipt[[#This Row],[ Invoice. /
 Received Qty ]]-Goods_Receipt[[#This Row],[ Accepted Qty ]]</f>
        <v>0</v>
      </c>
      <c r="O644" s="87"/>
      <c r="P644" s="87"/>
      <c r="Q644" s="87"/>
      <c r="R644" s="87"/>
      <c r="S644" s="87"/>
      <c r="T644" s="85"/>
      <c r="U644" s="89"/>
      <c r="V644" s="90"/>
      <c r="W644" s="87"/>
      <c r="X644" s="91"/>
      <c r="Y644" s="84"/>
      <c r="Z644" s="97"/>
    </row>
    <row r="645" spans="1:26" s="98" customFormat="1" x14ac:dyDescent="0.35">
      <c r="A645" s="86">
        <v>642</v>
      </c>
      <c r="B645" s="85"/>
      <c r="C645" s="87"/>
      <c r="D645" s="85"/>
      <c r="E645" s="84"/>
      <c r="F645" s="85"/>
      <c r="G645" s="87"/>
      <c r="H645" s="87"/>
      <c r="I645" s="87"/>
      <c r="J645" s="101"/>
      <c r="K645" s="87"/>
      <c r="L645" s="91"/>
      <c r="M645" s="91"/>
      <c r="N645" s="88">
        <f>Goods_Receipt[[#This Row],[ Invoice. /
 Received Qty ]]-Goods_Receipt[[#This Row],[ Accepted Qty ]]</f>
        <v>0</v>
      </c>
      <c r="O645" s="87"/>
      <c r="P645" s="87"/>
      <c r="Q645" s="87"/>
      <c r="R645" s="87"/>
      <c r="S645" s="87"/>
      <c r="T645" s="85"/>
      <c r="U645" s="89"/>
      <c r="V645" s="90"/>
      <c r="W645" s="87"/>
      <c r="X645" s="91"/>
      <c r="Y645" s="84"/>
      <c r="Z645" s="97"/>
    </row>
    <row r="646" spans="1:26" s="98" customFormat="1" x14ac:dyDescent="0.35">
      <c r="A646" s="86">
        <v>643</v>
      </c>
      <c r="B646" s="85"/>
      <c r="C646" s="87"/>
      <c r="D646" s="85"/>
      <c r="E646" s="84"/>
      <c r="F646" s="85"/>
      <c r="G646" s="87"/>
      <c r="H646" s="87"/>
      <c r="I646" s="87"/>
      <c r="J646" s="101"/>
      <c r="K646" s="87"/>
      <c r="L646" s="91"/>
      <c r="M646" s="91"/>
      <c r="N646" s="88">
        <f>Goods_Receipt[[#This Row],[ Invoice. /
 Received Qty ]]-Goods_Receipt[[#This Row],[ Accepted Qty ]]</f>
        <v>0</v>
      </c>
      <c r="O646" s="87"/>
      <c r="P646" s="87"/>
      <c r="Q646" s="87"/>
      <c r="R646" s="87"/>
      <c r="S646" s="87"/>
      <c r="T646" s="85"/>
      <c r="U646" s="89"/>
      <c r="V646" s="90"/>
      <c r="W646" s="87"/>
      <c r="X646" s="91"/>
      <c r="Y646" s="84"/>
      <c r="Z646" s="97"/>
    </row>
    <row r="647" spans="1:26" s="98" customFormat="1" x14ac:dyDescent="0.35">
      <c r="A647" s="86">
        <v>644</v>
      </c>
      <c r="B647" s="85"/>
      <c r="C647" s="87"/>
      <c r="D647" s="85"/>
      <c r="E647" s="84"/>
      <c r="F647" s="85"/>
      <c r="G647" s="87"/>
      <c r="H647" s="87"/>
      <c r="I647" s="87"/>
      <c r="J647" s="101"/>
      <c r="K647" s="87"/>
      <c r="L647" s="91"/>
      <c r="M647" s="91"/>
      <c r="N647" s="88">
        <f>Goods_Receipt[[#This Row],[ Invoice. /
 Received Qty ]]-Goods_Receipt[[#This Row],[ Accepted Qty ]]</f>
        <v>0</v>
      </c>
      <c r="O647" s="87"/>
      <c r="P647" s="87"/>
      <c r="Q647" s="87"/>
      <c r="R647" s="87"/>
      <c r="S647" s="87"/>
      <c r="T647" s="85"/>
      <c r="U647" s="89"/>
      <c r="V647" s="90"/>
      <c r="W647" s="87"/>
      <c r="X647" s="91"/>
      <c r="Y647" s="84"/>
      <c r="Z647" s="97"/>
    </row>
    <row r="648" spans="1:26" s="98" customFormat="1" x14ac:dyDescent="0.35">
      <c r="A648" s="86">
        <v>645</v>
      </c>
      <c r="B648" s="85"/>
      <c r="C648" s="87"/>
      <c r="D648" s="85"/>
      <c r="E648" s="84"/>
      <c r="F648" s="85"/>
      <c r="G648" s="87"/>
      <c r="H648" s="87"/>
      <c r="I648" s="87"/>
      <c r="J648" s="101"/>
      <c r="K648" s="87"/>
      <c r="L648" s="91"/>
      <c r="M648" s="91"/>
      <c r="N648" s="88">
        <f>Goods_Receipt[[#This Row],[ Invoice. /
 Received Qty ]]-Goods_Receipt[[#This Row],[ Accepted Qty ]]</f>
        <v>0</v>
      </c>
      <c r="O648" s="87"/>
      <c r="P648" s="87"/>
      <c r="Q648" s="87"/>
      <c r="R648" s="87"/>
      <c r="S648" s="87"/>
      <c r="T648" s="85"/>
      <c r="U648" s="89"/>
      <c r="V648" s="90"/>
      <c r="W648" s="87"/>
      <c r="X648" s="91"/>
      <c r="Y648" s="84"/>
      <c r="Z648" s="97"/>
    </row>
    <row r="649" spans="1:26" s="98" customFormat="1" x14ac:dyDescent="0.35">
      <c r="A649" s="86">
        <v>646</v>
      </c>
      <c r="B649" s="85"/>
      <c r="C649" s="87"/>
      <c r="D649" s="85"/>
      <c r="E649" s="84"/>
      <c r="F649" s="85"/>
      <c r="G649" s="87"/>
      <c r="H649" s="87"/>
      <c r="I649" s="87"/>
      <c r="J649" s="101"/>
      <c r="K649" s="87"/>
      <c r="L649" s="91"/>
      <c r="M649" s="91"/>
      <c r="N649" s="88">
        <f>Goods_Receipt[[#This Row],[ Invoice. /
 Received Qty ]]-Goods_Receipt[[#This Row],[ Accepted Qty ]]</f>
        <v>0</v>
      </c>
      <c r="O649" s="87"/>
      <c r="P649" s="87"/>
      <c r="Q649" s="87"/>
      <c r="R649" s="87"/>
      <c r="S649" s="87"/>
      <c r="T649" s="85"/>
      <c r="U649" s="89"/>
      <c r="V649" s="90"/>
      <c r="W649" s="87"/>
      <c r="X649" s="91"/>
      <c r="Y649" s="84"/>
      <c r="Z649" s="97"/>
    </row>
    <row r="650" spans="1:26" s="98" customFormat="1" x14ac:dyDescent="0.35">
      <c r="A650" s="86">
        <v>647</v>
      </c>
      <c r="B650" s="85"/>
      <c r="C650" s="87"/>
      <c r="D650" s="85"/>
      <c r="E650" s="84"/>
      <c r="F650" s="85"/>
      <c r="G650" s="87"/>
      <c r="H650" s="87"/>
      <c r="I650" s="87"/>
      <c r="J650" s="101"/>
      <c r="K650" s="87"/>
      <c r="L650" s="91"/>
      <c r="M650" s="91"/>
      <c r="N650" s="88">
        <f>Goods_Receipt[[#This Row],[ Invoice. /
 Received Qty ]]-Goods_Receipt[[#This Row],[ Accepted Qty ]]</f>
        <v>0</v>
      </c>
      <c r="O650" s="87"/>
      <c r="P650" s="87"/>
      <c r="Q650" s="87"/>
      <c r="R650" s="87"/>
      <c r="S650" s="87"/>
      <c r="T650" s="85"/>
      <c r="U650" s="89"/>
      <c r="V650" s="90"/>
      <c r="W650" s="87"/>
      <c r="X650" s="91"/>
      <c r="Y650" s="84"/>
      <c r="Z650" s="97"/>
    </row>
    <row r="651" spans="1:26" s="98" customFormat="1" x14ac:dyDescent="0.35">
      <c r="A651" s="86">
        <v>648</v>
      </c>
      <c r="B651" s="85"/>
      <c r="C651" s="87"/>
      <c r="D651" s="85"/>
      <c r="E651" s="84"/>
      <c r="F651" s="85"/>
      <c r="G651" s="87"/>
      <c r="H651" s="87"/>
      <c r="I651" s="87"/>
      <c r="J651" s="101"/>
      <c r="K651" s="87"/>
      <c r="L651" s="91"/>
      <c r="M651" s="91"/>
      <c r="N651" s="88">
        <f>Goods_Receipt[[#This Row],[ Invoice. /
 Received Qty ]]-Goods_Receipt[[#This Row],[ Accepted Qty ]]</f>
        <v>0</v>
      </c>
      <c r="O651" s="87"/>
      <c r="P651" s="87"/>
      <c r="Q651" s="87"/>
      <c r="R651" s="87"/>
      <c r="S651" s="87"/>
      <c r="T651" s="85"/>
      <c r="U651" s="89"/>
      <c r="V651" s="90"/>
      <c r="W651" s="87"/>
      <c r="X651" s="91"/>
      <c r="Y651" s="84"/>
      <c r="Z651" s="97"/>
    </row>
    <row r="652" spans="1:26" s="98" customFormat="1" x14ac:dyDescent="0.35">
      <c r="A652" s="86">
        <v>649</v>
      </c>
      <c r="B652" s="85"/>
      <c r="C652" s="87"/>
      <c r="D652" s="85"/>
      <c r="E652" s="84"/>
      <c r="F652" s="85"/>
      <c r="G652" s="87"/>
      <c r="H652" s="87"/>
      <c r="I652" s="87"/>
      <c r="J652" s="101"/>
      <c r="K652" s="87"/>
      <c r="L652" s="91"/>
      <c r="M652" s="91"/>
      <c r="N652" s="88">
        <f>Goods_Receipt[[#This Row],[ Invoice. /
 Received Qty ]]-Goods_Receipt[[#This Row],[ Accepted Qty ]]</f>
        <v>0</v>
      </c>
      <c r="O652" s="87"/>
      <c r="P652" s="87"/>
      <c r="Q652" s="87"/>
      <c r="R652" s="87"/>
      <c r="S652" s="87"/>
      <c r="T652" s="85"/>
      <c r="U652" s="89"/>
      <c r="V652" s="90"/>
      <c r="W652" s="87"/>
      <c r="X652" s="91"/>
      <c r="Y652" s="84"/>
      <c r="Z652" s="97"/>
    </row>
    <row r="653" spans="1:26" s="98" customFormat="1" x14ac:dyDescent="0.35">
      <c r="A653" s="86">
        <v>650</v>
      </c>
      <c r="B653" s="85"/>
      <c r="C653" s="87"/>
      <c r="D653" s="85"/>
      <c r="E653" s="84"/>
      <c r="F653" s="85"/>
      <c r="G653" s="87"/>
      <c r="H653" s="87"/>
      <c r="I653" s="87"/>
      <c r="J653" s="101"/>
      <c r="K653" s="87"/>
      <c r="L653" s="91"/>
      <c r="M653" s="91"/>
      <c r="N653" s="88">
        <f>Goods_Receipt[[#This Row],[ Invoice. /
 Received Qty ]]-Goods_Receipt[[#This Row],[ Accepted Qty ]]</f>
        <v>0</v>
      </c>
      <c r="O653" s="87"/>
      <c r="P653" s="87"/>
      <c r="Q653" s="87"/>
      <c r="R653" s="87"/>
      <c r="S653" s="87"/>
      <c r="T653" s="85"/>
      <c r="U653" s="89"/>
      <c r="V653" s="90"/>
      <c r="W653" s="87"/>
      <c r="X653" s="91"/>
      <c r="Y653" s="84"/>
      <c r="Z653" s="97"/>
    </row>
    <row r="654" spans="1:26" s="98" customFormat="1" x14ac:dyDescent="0.35">
      <c r="A654" s="86">
        <v>651</v>
      </c>
      <c r="B654" s="85"/>
      <c r="C654" s="87"/>
      <c r="D654" s="85"/>
      <c r="E654" s="84"/>
      <c r="F654" s="85"/>
      <c r="G654" s="87"/>
      <c r="H654" s="87"/>
      <c r="I654" s="87"/>
      <c r="J654" s="101"/>
      <c r="K654" s="87"/>
      <c r="L654" s="91"/>
      <c r="M654" s="91"/>
      <c r="N654" s="88">
        <f>Goods_Receipt[[#This Row],[ Invoice. /
 Received Qty ]]-Goods_Receipt[[#This Row],[ Accepted Qty ]]</f>
        <v>0</v>
      </c>
      <c r="O654" s="87"/>
      <c r="P654" s="87"/>
      <c r="Q654" s="87"/>
      <c r="R654" s="87"/>
      <c r="S654" s="87"/>
      <c r="T654" s="85"/>
      <c r="U654" s="89"/>
      <c r="V654" s="90"/>
      <c r="W654" s="87"/>
      <c r="X654" s="91"/>
      <c r="Y654" s="84"/>
      <c r="Z654" s="97"/>
    </row>
    <row r="655" spans="1:26" s="98" customFormat="1" x14ac:dyDescent="0.35">
      <c r="A655" s="86">
        <v>652</v>
      </c>
      <c r="B655" s="85"/>
      <c r="C655" s="87"/>
      <c r="D655" s="85"/>
      <c r="E655" s="84"/>
      <c r="F655" s="85"/>
      <c r="G655" s="87"/>
      <c r="H655" s="87"/>
      <c r="I655" s="87"/>
      <c r="J655" s="101"/>
      <c r="K655" s="87"/>
      <c r="L655" s="91"/>
      <c r="M655" s="91"/>
      <c r="N655" s="88">
        <f>Goods_Receipt[[#This Row],[ Invoice. /
 Received Qty ]]-Goods_Receipt[[#This Row],[ Accepted Qty ]]</f>
        <v>0</v>
      </c>
      <c r="O655" s="87"/>
      <c r="P655" s="87"/>
      <c r="Q655" s="87"/>
      <c r="R655" s="87"/>
      <c r="S655" s="87"/>
      <c r="T655" s="85"/>
      <c r="U655" s="89"/>
      <c r="V655" s="90"/>
      <c r="W655" s="87"/>
      <c r="X655" s="91"/>
      <c r="Y655" s="84"/>
      <c r="Z655" s="97"/>
    </row>
    <row r="656" spans="1:26" s="98" customFormat="1" x14ac:dyDescent="0.35">
      <c r="A656" s="86">
        <v>653</v>
      </c>
      <c r="B656" s="85"/>
      <c r="C656" s="87"/>
      <c r="D656" s="85"/>
      <c r="E656" s="84"/>
      <c r="F656" s="85"/>
      <c r="G656" s="87"/>
      <c r="H656" s="87"/>
      <c r="I656" s="87"/>
      <c r="J656" s="101"/>
      <c r="K656" s="87"/>
      <c r="L656" s="91"/>
      <c r="M656" s="91"/>
      <c r="N656" s="88">
        <f>Goods_Receipt[[#This Row],[ Invoice. /
 Received Qty ]]-Goods_Receipt[[#This Row],[ Accepted Qty ]]</f>
        <v>0</v>
      </c>
      <c r="O656" s="87"/>
      <c r="P656" s="87"/>
      <c r="Q656" s="87"/>
      <c r="R656" s="87"/>
      <c r="S656" s="87"/>
      <c r="T656" s="85"/>
      <c r="U656" s="89"/>
      <c r="V656" s="90"/>
      <c r="W656" s="87"/>
      <c r="X656" s="91"/>
      <c r="Y656" s="84"/>
      <c r="Z656" s="97"/>
    </row>
    <row r="657" spans="1:26" s="98" customFormat="1" x14ac:dyDescent="0.35">
      <c r="A657" s="86">
        <v>654</v>
      </c>
      <c r="B657" s="85"/>
      <c r="C657" s="87"/>
      <c r="D657" s="85"/>
      <c r="E657" s="84"/>
      <c r="F657" s="85"/>
      <c r="G657" s="87"/>
      <c r="H657" s="87"/>
      <c r="I657" s="87"/>
      <c r="J657" s="101"/>
      <c r="K657" s="87"/>
      <c r="L657" s="91"/>
      <c r="M657" s="91"/>
      <c r="N657" s="88">
        <f>Goods_Receipt[[#This Row],[ Invoice. /
 Received Qty ]]-Goods_Receipt[[#This Row],[ Accepted Qty ]]</f>
        <v>0</v>
      </c>
      <c r="O657" s="87"/>
      <c r="P657" s="87"/>
      <c r="Q657" s="87"/>
      <c r="R657" s="87"/>
      <c r="S657" s="87"/>
      <c r="T657" s="85"/>
      <c r="U657" s="89"/>
      <c r="V657" s="90"/>
      <c r="W657" s="87"/>
      <c r="X657" s="91"/>
      <c r="Y657" s="84"/>
      <c r="Z657" s="97"/>
    </row>
    <row r="658" spans="1:26" s="98" customFormat="1" x14ac:dyDescent="0.35">
      <c r="A658" s="86">
        <v>655</v>
      </c>
      <c r="B658" s="85"/>
      <c r="C658" s="87"/>
      <c r="D658" s="85"/>
      <c r="E658" s="84"/>
      <c r="F658" s="85"/>
      <c r="G658" s="87"/>
      <c r="H658" s="87"/>
      <c r="I658" s="87"/>
      <c r="J658" s="101"/>
      <c r="K658" s="87"/>
      <c r="L658" s="91"/>
      <c r="M658" s="91"/>
      <c r="N658" s="88">
        <f>Goods_Receipt[[#This Row],[ Invoice. /
 Received Qty ]]-Goods_Receipt[[#This Row],[ Accepted Qty ]]</f>
        <v>0</v>
      </c>
      <c r="O658" s="87"/>
      <c r="P658" s="87"/>
      <c r="Q658" s="87"/>
      <c r="R658" s="87"/>
      <c r="S658" s="87"/>
      <c r="T658" s="85"/>
      <c r="U658" s="89"/>
      <c r="V658" s="90"/>
      <c r="W658" s="87"/>
      <c r="X658" s="91"/>
      <c r="Y658" s="84"/>
      <c r="Z658" s="97"/>
    </row>
    <row r="659" spans="1:26" s="98" customFormat="1" x14ac:dyDescent="0.35">
      <c r="A659" s="86">
        <v>656</v>
      </c>
      <c r="B659" s="85"/>
      <c r="C659" s="87"/>
      <c r="D659" s="85"/>
      <c r="E659" s="84"/>
      <c r="F659" s="85"/>
      <c r="G659" s="87"/>
      <c r="H659" s="87"/>
      <c r="I659" s="87"/>
      <c r="J659" s="101"/>
      <c r="K659" s="87"/>
      <c r="L659" s="91"/>
      <c r="M659" s="91"/>
      <c r="N659" s="88">
        <f>Goods_Receipt[[#This Row],[ Invoice. /
 Received Qty ]]-Goods_Receipt[[#This Row],[ Accepted Qty ]]</f>
        <v>0</v>
      </c>
      <c r="O659" s="87"/>
      <c r="P659" s="87"/>
      <c r="Q659" s="87"/>
      <c r="R659" s="87"/>
      <c r="S659" s="87"/>
      <c r="T659" s="85"/>
      <c r="U659" s="89"/>
      <c r="V659" s="90"/>
      <c r="W659" s="87"/>
      <c r="X659" s="91"/>
      <c r="Y659" s="84"/>
      <c r="Z659" s="97"/>
    </row>
    <row r="660" spans="1:26" s="98" customFormat="1" x14ac:dyDescent="0.35">
      <c r="A660" s="86">
        <v>657</v>
      </c>
      <c r="B660" s="85"/>
      <c r="C660" s="87"/>
      <c r="D660" s="85"/>
      <c r="E660" s="84"/>
      <c r="F660" s="85"/>
      <c r="G660" s="87"/>
      <c r="H660" s="87"/>
      <c r="I660" s="87"/>
      <c r="J660" s="101"/>
      <c r="K660" s="87"/>
      <c r="L660" s="91"/>
      <c r="M660" s="91"/>
      <c r="N660" s="88">
        <f>Goods_Receipt[[#This Row],[ Invoice. /
 Received Qty ]]-Goods_Receipt[[#This Row],[ Accepted Qty ]]</f>
        <v>0</v>
      </c>
      <c r="O660" s="87"/>
      <c r="P660" s="87"/>
      <c r="Q660" s="87"/>
      <c r="R660" s="87"/>
      <c r="S660" s="87"/>
      <c r="T660" s="85"/>
      <c r="U660" s="89"/>
      <c r="V660" s="90"/>
      <c r="W660" s="87"/>
      <c r="X660" s="91"/>
      <c r="Y660" s="84"/>
      <c r="Z660" s="97"/>
    </row>
    <row r="661" spans="1:26" s="98" customFormat="1" x14ac:dyDescent="0.35">
      <c r="A661" s="86">
        <v>658</v>
      </c>
      <c r="B661" s="85"/>
      <c r="C661" s="87"/>
      <c r="D661" s="85"/>
      <c r="E661" s="84"/>
      <c r="F661" s="85"/>
      <c r="G661" s="87"/>
      <c r="H661" s="87"/>
      <c r="I661" s="87"/>
      <c r="J661" s="101"/>
      <c r="K661" s="87"/>
      <c r="L661" s="91"/>
      <c r="M661" s="91"/>
      <c r="N661" s="88">
        <f>Goods_Receipt[[#This Row],[ Invoice. /
 Received Qty ]]-Goods_Receipt[[#This Row],[ Accepted Qty ]]</f>
        <v>0</v>
      </c>
      <c r="O661" s="87"/>
      <c r="P661" s="87"/>
      <c r="Q661" s="87"/>
      <c r="R661" s="87"/>
      <c r="S661" s="87"/>
      <c r="T661" s="85"/>
      <c r="U661" s="89"/>
      <c r="V661" s="90"/>
      <c r="W661" s="87"/>
      <c r="X661" s="91"/>
      <c r="Y661" s="84"/>
      <c r="Z661" s="97"/>
    </row>
    <row r="662" spans="1:26" s="98" customFormat="1" x14ac:dyDescent="0.35">
      <c r="A662" s="86">
        <v>659</v>
      </c>
      <c r="B662" s="85"/>
      <c r="C662" s="87"/>
      <c r="D662" s="85"/>
      <c r="E662" s="84"/>
      <c r="F662" s="85"/>
      <c r="G662" s="87"/>
      <c r="H662" s="87"/>
      <c r="I662" s="87"/>
      <c r="J662" s="101"/>
      <c r="K662" s="87"/>
      <c r="L662" s="91"/>
      <c r="M662" s="91"/>
      <c r="N662" s="88">
        <f>Goods_Receipt[[#This Row],[ Invoice. /
 Received Qty ]]-Goods_Receipt[[#This Row],[ Accepted Qty ]]</f>
        <v>0</v>
      </c>
      <c r="O662" s="87"/>
      <c r="P662" s="87"/>
      <c r="Q662" s="87"/>
      <c r="R662" s="87"/>
      <c r="S662" s="87"/>
      <c r="T662" s="85"/>
      <c r="U662" s="89"/>
      <c r="V662" s="90"/>
      <c r="W662" s="87"/>
      <c r="X662" s="91"/>
      <c r="Y662" s="84"/>
      <c r="Z662" s="97"/>
    </row>
    <row r="663" spans="1:26" s="98" customFormat="1" x14ac:dyDescent="0.35">
      <c r="A663" s="86">
        <v>660</v>
      </c>
      <c r="B663" s="85"/>
      <c r="C663" s="87"/>
      <c r="D663" s="85"/>
      <c r="E663" s="84"/>
      <c r="F663" s="85"/>
      <c r="G663" s="87"/>
      <c r="H663" s="87"/>
      <c r="I663" s="87"/>
      <c r="J663" s="101"/>
      <c r="K663" s="87"/>
      <c r="L663" s="91"/>
      <c r="M663" s="91"/>
      <c r="N663" s="88">
        <f>Goods_Receipt[[#This Row],[ Invoice. /
 Received Qty ]]-Goods_Receipt[[#This Row],[ Accepted Qty ]]</f>
        <v>0</v>
      </c>
      <c r="O663" s="87"/>
      <c r="P663" s="87"/>
      <c r="Q663" s="87"/>
      <c r="R663" s="87"/>
      <c r="S663" s="87"/>
      <c r="T663" s="85"/>
      <c r="U663" s="89"/>
      <c r="V663" s="90"/>
      <c r="W663" s="87"/>
      <c r="X663" s="91"/>
      <c r="Y663" s="84"/>
      <c r="Z663" s="97"/>
    </row>
    <row r="664" spans="1:26" s="98" customFormat="1" x14ac:dyDescent="0.35">
      <c r="A664" s="86">
        <v>661</v>
      </c>
      <c r="B664" s="85"/>
      <c r="C664" s="87"/>
      <c r="D664" s="85"/>
      <c r="E664" s="84"/>
      <c r="F664" s="85"/>
      <c r="G664" s="87"/>
      <c r="H664" s="87"/>
      <c r="I664" s="87"/>
      <c r="J664" s="101"/>
      <c r="K664" s="87"/>
      <c r="L664" s="91"/>
      <c r="M664" s="91"/>
      <c r="N664" s="88">
        <f>Goods_Receipt[[#This Row],[ Invoice. /
 Received Qty ]]-Goods_Receipt[[#This Row],[ Accepted Qty ]]</f>
        <v>0</v>
      </c>
      <c r="O664" s="87"/>
      <c r="P664" s="87"/>
      <c r="Q664" s="87"/>
      <c r="R664" s="87"/>
      <c r="S664" s="87"/>
      <c r="T664" s="85"/>
      <c r="U664" s="89"/>
      <c r="V664" s="90"/>
      <c r="W664" s="87"/>
      <c r="X664" s="91"/>
      <c r="Y664" s="84"/>
      <c r="Z664" s="97"/>
    </row>
    <row r="665" spans="1:26" s="98" customFormat="1" x14ac:dyDescent="0.35">
      <c r="A665" s="86">
        <v>662</v>
      </c>
      <c r="B665" s="85"/>
      <c r="C665" s="87"/>
      <c r="D665" s="85"/>
      <c r="E665" s="84"/>
      <c r="F665" s="85"/>
      <c r="G665" s="87"/>
      <c r="H665" s="87"/>
      <c r="I665" s="87"/>
      <c r="J665" s="101"/>
      <c r="K665" s="87"/>
      <c r="L665" s="91"/>
      <c r="M665" s="91"/>
      <c r="N665" s="88">
        <f>Goods_Receipt[[#This Row],[ Invoice. /
 Received Qty ]]-Goods_Receipt[[#This Row],[ Accepted Qty ]]</f>
        <v>0</v>
      </c>
      <c r="O665" s="87"/>
      <c r="P665" s="87"/>
      <c r="Q665" s="87"/>
      <c r="R665" s="87"/>
      <c r="S665" s="87"/>
      <c r="T665" s="85"/>
      <c r="U665" s="89"/>
      <c r="V665" s="90"/>
      <c r="W665" s="87"/>
      <c r="X665" s="91"/>
      <c r="Y665" s="84"/>
      <c r="Z665" s="97"/>
    </row>
    <row r="666" spans="1:26" s="98" customFormat="1" x14ac:dyDescent="0.35">
      <c r="A666" s="86">
        <v>663</v>
      </c>
      <c r="B666" s="85"/>
      <c r="C666" s="87"/>
      <c r="D666" s="85"/>
      <c r="E666" s="84"/>
      <c r="F666" s="85"/>
      <c r="G666" s="87"/>
      <c r="H666" s="87"/>
      <c r="I666" s="87"/>
      <c r="J666" s="101"/>
      <c r="K666" s="87"/>
      <c r="L666" s="91"/>
      <c r="M666" s="91"/>
      <c r="N666" s="88">
        <f>Goods_Receipt[[#This Row],[ Invoice. /
 Received Qty ]]-Goods_Receipt[[#This Row],[ Accepted Qty ]]</f>
        <v>0</v>
      </c>
      <c r="O666" s="87"/>
      <c r="P666" s="87"/>
      <c r="Q666" s="87"/>
      <c r="R666" s="87"/>
      <c r="S666" s="87"/>
      <c r="T666" s="85"/>
      <c r="U666" s="89"/>
      <c r="V666" s="90"/>
      <c r="W666" s="87"/>
      <c r="X666" s="91"/>
      <c r="Y666" s="84"/>
      <c r="Z666" s="97"/>
    </row>
    <row r="667" spans="1:26" s="98" customFormat="1" x14ac:dyDescent="0.35">
      <c r="A667" s="86">
        <v>664</v>
      </c>
      <c r="B667" s="85"/>
      <c r="C667" s="87"/>
      <c r="D667" s="85"/>
      <c r="E667" s="84"/>
      <c r="F667" s="85"/>
      <c r="G667" s="87"/>
      <c r="H667" s="87"/>
      <c r="I667" s="87"/>
      <c r="J667" s="101"/>
      <c r="K667" s="87"/>
      <c r="L667" s="91"/>
      <c r="M667" s="91"/>
      <c r="N667" s="88">
        <f>Goods_Receipt[[#This Row],[ Invoice. /
 Received Qty ]]-Goods_Receipt[[#This Row],[ Accepted Qty ]]</f>
        <v>0</v>
      </c>
      <c r="O667" s="87"/>
      <c r="P667" s="87"/>
      <c r="Q667" s="87"/>
      <c r="R667" s="87"/>
      <c r="S667" s="87"/>
      <c r="T667" s="85"/>
      <c r="U667" s="89"/>
      <c r="V667" s="90"/>
      <c r="W667" s="87"/>
      <c r="X667" s="91"/>
      <c r="Y667" s="84"/>
      <c r="Z667" s="97"/>
    </row>
    <row r="668" spans="1:26" s="98" customFormat="1" x14ac:dyDescent="0.35">
      <c r="A668" s="86">
        <v>665</v>
      </c>
      <c r="B668" s="85"/>
      <c r="C668" s="87"/>
      <c r="D668" s="85"/>
      <c r="E668" s="84"/>
      <c r="F668" s="85"/>
      <c r="G668" s="87"/>
      <c r="H668" s="87"/>
      <c r="I668" s="87"/>
      <c r="J668" s="101"/>
      <c r="K668" s="87"/>
      <c r="L668" s="91"/>
      <c r="M668" s="91"/>
      <c r="N668" s="88">
        <f>Goods_Receipt[[#This Row],[ Invoice. /
 Received Qty ]]-Goods_Receipt[[#This Row],[ Accepted Qty ]]</f>
        <v>0</v>
      </c>
      <c r="O668" s="87"/>
      <c r="P668" s="87"/>
      <c r="Q668" s="87"/>
      <c r="R668" s="87"/>
      <c r="S668" s="87"/>
      <c r="T668" s="85"/>
      <c r="U668" s="89"/>
      <c r="V668" s="90"/>
      <c r="W668" s="87"/>
      <c r="X668" s="91"/>
      <c r="Y668" s="84"/>
      <c r="Z668" s="97"/>
    </row>
    <row r="669" spans="1:26" s="98" customFormat="1" x14ac:dyDescent="0.35">
      <c r="A669" s="86">
        <v>666</v>
      </c>
      <c r="B669" s="85"/>
      <c r="C669" s="87"/>
      <c r="D669" s="85"/>
      <c r="E669" s="84"/>
      <c r="F669" s="85"/>
      <c r="G669" s="87"/>
      <c r="H669" s="87"/>
      <c r="I669" s="87"/>
      <c r="J669" s="101"/>
      <c r="K669" s="87"/>
      <c r="L669" s="91"/>
      <c r="M669" s="91"/>
      <c r="N669" s="88">
        <f>Goods_Receipt[[#This Row],[ Invoice. /
 Received Qty ]]-Goods_Receipt[[#This Row],[ Accepted Qty ]]</f>
        <v>0</v>
      </c>
      <c r="O669" s="87"/>
      <c r="P669" s="87"/>
      <c r="Q669" s="87"/>
      <c r="R669" s="87"/>
      <c r="S669" s="87"/>
      <c r="T669" s="85"/>
      <c r="U669" s="89"/>
      <c r="V669" s="90"/>
      <c r="W669" s="87"/>
      <c r="X669" s="91"/>
      <c r="Y669" s="84"/>
      <c r="Z669" s="97"/>
    </row>
    <row r="670" spans="1:26" s="98" customFormat="1" x14ac:dyDescent="0.35">
      <c r="A670" s="86">
        <v>667</v>
      </c>
      <c r="B670" s="85"/>
      <c r="C670" s="87"/>
      <c r="D670" s="85"/>
      <c r="E670" s="84"/>
      <c r="F670" s="85"/>
      <c r="G670" s="87"/>
      <c r="H670" s="87"/>
      <c r="I670" s="87"/>
      <c r="J670" s="101"/>
      <c r="K670" s="87"/>
      <c r="L670" s="91"/>
      <c r="M670" s="91"/>
      <c r="N670" s="88">
        <f>Goods_Receipt[[#This Row],[ Invoice. /
 Received Qty ]]-Goods_Receipt[[#This Row],[ Accepted Qty ]]</f>
        <v>0</v>
      </c>
      <c r="O670" s="87"/>
      <c r="P670" s="87"/>
      <c r="Q670" s="87"/>
      <c r="R670" s="87"/>
      <c r="S670" s="87"/>
      <c r="T670" s="85"/>
      <c r="U670" s="89"/>
      <c r="V670" s="90"/>
      <c r="W670" s="87"/>
      <c r="X670" s="91"/>
      <c r="Y670" s="84"/>
      <c r="Z670" s="97"/>
    </row>
    <row r="671" spans="1:26" s="98" customFormat="1" x14ac:dyDescent="0.35">
      <c r="A671" s="86">
        <v>668</v>
      </c>
      <c r="B671" s="85"/>
      <c r="C671" s="87"/>
      <c r="D671" s="85"/>
      <c r="E671" s="84"/>
      <c r="F671" s="85"/>
      <c r="G671" s="87"/>
      <c r="H671" s="87"/>
      <c r="I671" s="87"/>
      <c r="J671" s="101"/>
      <c r="K671" s="87"/>
      <c r="L671" s="91"/>
      <c r="M671" s="91"/>
      <c r="N671" s="88">
        <f>Goods_Receipt[[#This Row],[ Invoice. /
 Received Qty ]]-Goods_Receipt[[#This Row],[ Accepted Qty ]]</f>
        <v>0</v>
      </c>
      <c r="O671" s="87"/>
      <c r="P671" s="87"/>
      <c r="Q671" s="87"/>
      <c r="R671" s="87"/>
      <c r="S671" s="87"/>
      <c r="T671" s="85"/>
      <c r="U671" s="89"/>
      <c r="V671" s="90"/>
      <c r="W671" s="87"/>
      <c r="X671" s="91"/>
      <c r="Y671" s="84"/>
      <c r="Z671" s="97"/>
    </row>
    <row r="672" spans="1:26" s="98" customFormat="1" x14ac:dyDescent="0.35">
      <c r="A672" s="86">
        <v>669</v>
      </c>
      <c r="B672" s="85"/>
      <c r="C672" s="87"/>
      <c r="D672" s="85"/>
      <c r="E672" s="84"/>
      <c r="F672" s="85"/>
      <c r="G672" s="87"/>
      <c r="H672" s="87"/>
      <c r="I672" s="87"/>
      <c r="J672" s="101"/>
      <c r="K672" s="87"/>
      <c r="L672" s="91"/>
      <c r="M672" s="91"/>
      <c r="N672" s="88">
        <f>Goods_Receipt[[#This Row],[ Invoice. /
 Received Qty ]]-Goods_Receipt[[#This Row],[ Accepted Qty ]]</f>
        <v>0</v>
      </c>
      <c r="O672" s="87"/>
      <c r="P672" s="87"/>
      <c r="Q672" s="87"/>
      <c r="R672" s="87"/>
      <c r="S672" s="87"/>
      <c r="T672" s="85"/>
      <c r="U672" s="89"/>
      <c r="V672" s="90"/>
      <c r="W672" s="87"/>
      <c r="X672" s="91"/>
      <c r="Y672" s="84"/>
      <c r="Z672" s="97"/>
    </row>
    <row r="673" spans="1:26" s="98" customFormat="1" x14ac:dyDescent="0.35">
      <c r="A673" s="86">
        <v>670</v>
      </c>
      <c r="B673" s="85"/>
      <c r="C673" s="87"/>
      <c r="D673" s="85"/>
      <c r="E673" s="84"/>
      <c r="F673" s="85"/>
      <c r="G673" s="87"/>
      <c r="H673" s="87"/>
      <c r="I673" s="87"/>
      <c r="J673" s="101"/>
      <c r="K673" s="87"/>
      <c r="L673" s="91"/>
      <c r="M673" s="91"/>
      <c r="N673" s="88">
        <f>Goods_Receipt[[#This Row],[ Invoice. /
 Received Qty ]]-Goods_Receipt[[#This Row],[ Accepted Qty ]]</f>
        <v>0</v>
      </c>
      <c r="O673" s="87"/>
      <c r="P673" s="87"/>
      <c r="Q673" s="87"/>
      <c r="R673" s="87"/>
      <c r="S673" s="87"/>
      <c r="T673" s="85"/>
      <c r="U673" s="89"/>
      <c r="V673" s="90"/>
      <c r="W673" s="87"/>
      <c r="X673" s="91"/>
      <c r="Y673" s="84"/>
      <c r="Z673" s="97"/>
    </row>
    <row r="674" spans="1:26" s="98" customFormat="1" x14ac:dyDescent="0.35">
      <c r="A674" s="86">
        <v>671</v>
      </c>
      <c r="B674" s="85"/>
      <c r="C674" s="87"/>
      <c r="D674" s="85"/>
      <c r="E674" s="84"/>
      <c r="F674" s="85"/>
      <c r="G674" s="87"/>
      <c r="H674" s="87"/>
      <c r="I674" s="87"/>
      <c r="J674" s="101"/>
      <c r="K674" s="87"/>
      <c r="L674" s="91"/>
      <c r="M674" s="91"/>
      <c r="N674" s="88">
        <f>Goods_Receipt[[#This Row],[ Invoice. /
 Received Qty ]]-Goods_Receipt[[#This Row],[ Accepted Qty ]]</f>
        <v>0</v>
      </c>
      <c r="O674" s="87"/>
      <c r="P674" s="87"/>
      <c r="Q674" s="87"/>
      <c r="R674" s="87"/>
      <c r="S674" s="87"/>
      <c r="T674" s="85"/>
      <c r="U674" s="89"/>
      <c r="V674" s="90"/>
      <c r="W674" s="87"/>
      <c r="X674" s="91"/>
      <c r="Y674" s="84"/>
      <c r="Z674" s="97"/>
    </row>
    <row r="675" spans="1:26" s="98" customFormat="1" x14ac:dyDescent="0.35">
      <c r="A675" s="86">
        <v>672</v>
      </c>
      <c r="B675" s="85"/>
      <c r="C675" s="87"/>
      <c r="D675" s="85"/>
      <c r="E675" s="84"/>
      <c r="F675" s="85"/>
      <c r="G675" s="87"/>
      <c r="H675" s="87"/>
      <c r="I675" s="87"/>
      <c r="J675" s="101"/>
      <c r="K675" s="87"/>
      <c r="L675" s="91"/>
      <c r="M675" s="91"/>
      <c r="N675" s="88">
        <f>Goods_Receipt[[#This Row],[ Invoice. /
 Received Qty ]]-Goods_Receipt[[#This Row],[ Accepted Qty ]]</f>
        <v>0</v>
      </c>
      <c r="O675" s="87"/>
      <c r="P675" s="87"/>
      <c r="Q675" s="87"/>
      <c r="R675" s="87"/>
      <c r="S675" s="87"/>
      <c r="T675" s="85"/>
      <c r="U675" s="89"/>
      <c r="V675" s="90"/>
      <c r="W675" s="87"/>
      <c r="X675" s="91"/>
      <c r="Y675" s="84"/>
      <c r="Z675" s="97"/>
    </row>
    <row r="676" spans="1:26" s="98" customFormat="1" x14ac:dyDescent="0.35">
      <c r="A676" s="86">
        <v>673</v>
      </c>
      <c r="B676" s="85"/>
      <c r="C676" s="87"/>
      <c r="D676" s="85"/>
      <c r="E676" s="84"/>
      <c r="F676" s="85"/>
      <c r="G676" s="87"/>
      <c r="H676" s="87"/>
      <c r="I676" s="87"/>
      <c r="J676" s="101"/>
      <c r="K676" s="87"/>
      <c r="L676" s="91"/>
      <c r="M676" s="91"/>
      <c r="N676" s="88">
        <f>Goods_Receipt[[#This Row],[ Invoice. /
 Received Qty ]]-Goods_Receipt[[#This Row],[ Accepted Qty ]]</f>
        <v>0</v>
      </c>
      <c r="O676" s="87"/>
      <c r="P676" s="87"/>
      <c r="Q676" s="87"/>
      <c r="R676" s="87"/>
      <c r="S676" s="87"/>
      <c r="T676" s="85"/>
      <c r="U676" s="89"/>
      <c r="V676" s="90"/>
      <c r="W676" s="87"/>
      <c r="X676" s="91"/>
      <c r="Y676" s="84"/>
      <c r="Z676" s="97"/>
    </row>
    <row r="677" spans="1:26" s="98" customFormat="1" x14ac:dyDescent="0.35">
      <c r="A677" s="86">
        <v>674</v>
      </c>
      <c r="B677" s="85"/>
      <c r="C677" s="87"/>
      <c r="D677" s="85"/>
      <c r="E677" s="84"/>
      <c r="F677" s="85"/>
      <c r="G677" s="87"/>
      <c r="H677" s="87"/>
      <c r="I677" s="87"/>
      <c r="J677" s="101"/>
      <c r="K677" s="87"/>
      <c r="L677" s="91"/>
      <c r="M677" s="91"/>
      <c r="N677" s="88">
        <f>Goods_Receipt[[#This Row],[ Invoice. /
 Received Qty ]]-Goods_Receipt[[#This Row],[ Accepted Qty ]]</f>
        <v>0</v>
      </c>
      <c r="O677" s="87"/>
      <c r="P677" s="87"/>
      <c r="Q677" s="87"/>
      <c r="R677" s="87"/>
      <c r="S677" s="87"/>
      <c r="T677" s="85"/>
      <c r="U677" s="89"/>
      <c r="V677" s="90"/>
      <c r="W677" s="87"/>
      <c r="X677" s="91"/>
      <c r="Y677" s="84"/>
      <c r="Z677" s="97"/>
    </row>
    <row r="678" spans="1:26" s="98" customFormat="1" x14ac:dyDescent="0.35">
      <c r="A678" s="86">
        <v>675</v>
      </c>
      <c r="B678" s="85"/>
      <c r="C678" s="87"/>
      <c r="D678" s="85"/>
      <c r="E678" s="84"/>
      <c r="F678" s="85"/>
      <c r="G678" s="87"/>
      <c r="H678" s="87"/>
      <c r="I678" s="87"/>
      <c r="J678" s="101"/>
      <c r="K678" s="87"/>
      <c r="L678" s="91"/>
      <c r="M678" s="91"/>
      <c r="N678" s="88">
        <f>Goods_Receipt[[#This Row],[ Invoice. /
 Received Qty ]]-Goods_Receipt[[#This Row],[ Accepted Qty ]]</f>
        <v>0</v>
      </c>
      <c r="O678" s="87"/>
      <c r="P678" s="87"/>
      <c r="Q678" s="87"/>
      <c r="R678" s="87"/>
      <c r="S678" s="87"/>
      <c r="T678" s="85"/>
      <c r="U678" s="89"/>
      <c r="V678" s="90"/>
      <c r="W678" s="87"/>
      <c r="X678" s="91"/>
      <c r="Y678" s="84"/>
      <c r="Z678" s="97"/>
    </row>
    <row r="679" spans="1:26" s="98" customFormat="1" x14ac:dyDescent="0.35">
      <c r="A679" s="86">
        <v>676</v>
      </c>
      <c r="B679" s="85"/>
      <c r="C679" s="87"/>
      <c r="D679" s="85"/>
      <c r="E679" s="84"/>
      <c r="F679" s="85"/>
      <c r="G679" s="87"/>
      <c r="H679" s="87"/>
      <c r="I679" s="87"/>
      <c r="J679" s="101"/>
      <c r="K679" s="87"/>
      <c r="L679" s="91"/>
      <c r="M679" s="91"/>
      <c r="N679" s="88">
        <f>Goods_Receipt[[#This Row],[ Invoice. /
 Received Qty ]]-Goods_Receipt[[#This Row],[ Accepted Qty ]]</f>
        <v>0</v>
      </c>
      <c r="O679" s="87"/>
      <c r="P679" s="87"/>
      <c r="Q679" s="87"/>
      <c r="R679" s="87"/>
      <c r="S679" s="87"/>
      <c r="T679" s="85"/>
      <c r="U679" s="89"/>
      <c r="V679" s="90"/>
      <c r="W679" s="87"/>
      <c r="X679" s="91"/>
      <c r="Y679" s="84"/>
      <c r="Z679" s="97"/>
    </row>
    <row r="680" spans="1:26" s="98" customFormat="1" x14ac:dyDescent="0.35">
      <c r="A680" s="86">
        <v>677</v>
      </c>
      <c r="B680" s="85"/>
      <c r="C680" s="87"/>
      <c r="D680" s="85"/>
      <c r="E680" s="84"/>
      <c r="F680" s="85"/>
      <c r="G680" s="87"/>
      <c r="H680" s="87"/>
      <c r="I680" s="87"/>
      <c r="J680" s="101"/>
      <c r="K680" s="87"/>
      <c r="L680" s="91"/>
      <c r="M680" s="91"/>
      <c r="N680" s="88">
        <f>Goods_Receipt[[#This Row],[ Invoice. /
 Received Qty ]]-Goods_Receipt[[#This Row],[ Accepted Qty ]]</f>
        <v>0</v>
      </c>
      <c r="O680" s="87"/>
      <c r="P680" s="87"/>
      <c r="Q680" s="87"/>
      <c r="R680" s="87"/>
      <c r="S680" s="87"/>
      <c r="T680" s="85"/>
      <c r="U680" s="89"/>
      <c r="V680" s="90"/>
      <c r="W680" s="87"/>
      <c r="X680" s="91"/>
      <c r="Y680" s="84"/>
      <c r="Z680" s="97"/>
    </row>
    <row r="681" spans="1:26" s="98" customFormat="1" x14ac:dyDescent="0.35">
      <c r="A681" s="86">
        <v>678</v>
      </c>
      <c r="B681" s="85"/>
      <c r="C681" s="87"/>
      <c r="D681" s="85"/>
      <c r="E681" s="84"/>
      <c r="F681" s="85"/>
      <c r="G681" s="87"/>
      <c r="H681" s="87"/>
      <c r="I681" s="87"/>
      <c r="J681" s="101"/>
      <c r="K681" s="87"/>
      <c r="L681" s="91"/>
      <c r="M681" s="91"/>
      <c r="N681" s="88">
        <f>Goods_Receipt[[#This Row],[ Invoice. /
 Received Qty ]]-Goods_Receipt[[#This Row],[ Accepted Qty ]]</f>
        <v>0</v>
      </c>
      <c r="O681" s="87"/>
      <c r="P681" s="87"/>
      <c r="Q681" s="87"/>
      <c r="R681" s="87"/>
      <c r="S681" s="87"/>
      <c r="T681" s="85"/>
      <c r="U681" s="89"/>
      <c r="V681" s="90"/>
      <c r="W681" s="87"/>
      <c r="X681" s="91"/>
      <c r="Y681" s="84"/>
      <c r="Z681" s="97"/>
    </row>
    <row r="682" spans="1:26" s="98" customFormat="1" x14ac:dyDescent="0.35">
      <c r="A682" s="86">
        <v>679</v>
      </c>
      <c r="B682" s="85"/>
      <c r="C682" s="87"/>
      <c r="D682" s="85"/>
      <c r="E682" s="84"/>
      <c r="F682" s="85"/>
      <c r="G682" s="87"/>
      <c r="H682" s="87"/>
      <c r="I682" s="87"/>
      <c r="J682" s="101"/>
      <c r="K682" s="87"/>
      <c r="L682" s="91"/>
      <c r="M682" s="91"/>
      <c r="N682" s="88">
        <f>Goods_Receipt[[#This Row],[ Invoice. /
 Received Qty ]]-Goods_Receipt[[#This Row],[ Accepted Qty ]]</f>
        <v>0</v>
      </c>
      <c r="O682" s="87"/>
      <c r="P682" s="87"/>
      <c r="Q682" s="87"/>
      <c r="R682" s="87"/>
      <c r="S682" s="87"/>
      <c r="T682" s="85"/>
      <c r="U682" s="89"/>
      <c r="V682" s="90"/>
      <c r="W682" s="87"/>
      <c r="X682" s="91"/>
      <c r="Y682" s="84"/>
      <c r="Z682" s="97"/>
    </row>
    <row r="683" spans="1:26" s="98" customFormat="1" x14ac:dyDescent="0.35">
      <c r="A683" s="86">
        <v>680</v>
      </c>
      <c r="B683" s="85"/>
      <c r="C683" s="87"/>
      <c r="D683" s="85"/>
      <c r="E683" s="84"/>
      <c r="F683" s="85"/>
      <c r="G683" s="87"/>
      <c r="H683" s="87"/>
      <c r="I683" s="87"/>
      <c r="J683" s="101"/>
      <c r="K683" s="87"/>
      <c r="L683" s="91"/>
      <c r="M683" s="91"/>
      <c r="N683" s="88">
        <f>Goods_Receipt[[#This Row],[ Invoice. /
 Received Qty ]]-Goods_Receipt[[#This Row],[ Accepted Qty ]]</f>
        <v>0</v>
      </c>
      <c r="O683" s="87"/>
      <c r="P683" s="87"/>
      <c r="Q683" s="87"/>
      <c r="R683" s="87"/>
      <c r="S683" s="87"/>
      <c r="T683" s="85"/>
      <c r="U683" s="89"/>
      <c r="V683" s="90"/>
      <c r="W683" s="87"/>
      <c r="X683" s="91"/>
      <c r="Y683" s="84"/>
      <c r="Z683" s="97"/>
    </row>
    <row r="684" spans="1:26" s="98" customFormat="1" x14ac:dyDescent="0.35">
      <c r="A684" s="86">
        <v>681</v>
      </c>
      <c r="B684" s="85"/>
      <c r="C684" s="87"/>
      <c r="D684" s="85"/>
      <c r="E684" s="84"/>
      <c r="F684" s="85"/>
      <c r="G684" s="87"/>
      <c r="H684" s="87"/>
      <c r="I684" s="87"/>
      <c r="J684" s="101"/>
      <c r="K684" s="87"/>
      <c r="L684" s="91"/>
      <c r="M684" s="91"/>
      <c r="N684" s="88">
        <f>Goods_Receipt[[#This Row],[ Invoice. /
 Received Qty ]]-Goods_Receipt[[#This Row],[ Accepted Qty ]]</f>
        <v>0</v>
      </c>
      <c r="O684" s="87"/>
      <c r="P684" s="87"/>
      <c r="Q684" s="87"/>
      <c r="R684" s="87"/>
      <c r="S684" s="87"/>
      <c r="T684" s="85"/>
      <c r="U684" s="89"/>
      <c r="V684" s="90"/>
      <c r="W684" s="87"/>
      <c r="X684" s="91"/>
      <c r="Y684" s="84"/>
      <c r="Z684" s="97"/>
    </row>
    <row r="685" spans="1:26" s="98" customFormat="1" x14ac:dyDescent="0.35">
      <c r="A685" s="86">
        <v>682</v>
      </c>
      <c r="B685" s="85"/>
      <c r="C685" s="87"/>
      <c r="D685" s="85"/>
      <c r="E685" s="84"/>
      <c r="F685" s="85"/>
      <c r="G685" s="87"/>
      <c r="H685" s="87"/>
      <c r="I685" s="87"/>
      <c r="J685" s="101"/>
      <c r="K685" s="87"/>
      <c r="L685" s="91"/>
      <c r="M685" s="91"/>
      <c r="N685" s="88">
        <f>Goods_Receipt[[#This Row],[ Invoice. /
 Received Qty ]]-Goods_Receipt[[#This Row],[ Accepted Qty ]]</f>
        <v>0</v>
      </c>
      <c r="O685" s="87"/>
      <c r="P685" s="87"/>
      <c r="Q685" s="87"/>
      <c r="R685" s="87"/>
      <c r="S685" s="87"/>
      <c r="T685" s="85"/>
      <c r="U685" s="89"/>
      <c r="V685" s="90"/>
      <c r="W685" s="87"/>
      <c r="X685" s="91"/>
      <c r="Y685" s="84"/>
      <c r="Z685" s="97"/>
    </row>
    <row r="686" spans="1:26" s="98" customFormat="1" x14ac:dyDescent="0.35">
      <c r="A686" s="86">
        <v>683</v>
      </c>
      <c r="B686" s="85"/>
      <c r="C686" s="87"/>
      <c r="D686" s="85"/>
      <c r="E686" s="84"/>
      <c r="F686" s="85"/>
      <c r="G686" s="87"/>
      <c r="H686" s="87"/>
      <c r="I686" s="87"/>
      <c r="J686" s="101"/>
      <c r="K686" s="87"/>
      <c r="L686" s="91"/>
      <c r="M686" s="91"/>
      <c r="N686" s="88">
        <f>Goods_Receipt[[#This Row],[ Invoice. /
 Received Qty ]]-Goods_Receipt[[#This Row],[ Accepted Qty ]]</f>
        <v>0</v>
      </c>
      <c r="O686" s="87"/>
      <c r="P686" s="87"/>
      <c r="Q686" s="87"/>
      <c r="R686" s="87"/>
      <c r="S686" s="87"/>
      <c r="T686" s="85"/>
      <c r="U686" s="89"/>
      <c r="V686" s="90"/>
      <c r="W686" s="87"/>
      <c r="X686" s="91"/>
      <c r="Y686" s="84"/>
      <c r="Z686" s="97"/>
    </row>
    <row r="687" spans="1:26" s="98" customFormat="1" x14ac:dyDescent="0.35">
      <c r="A687" s="86">
        <v>684</v>
      </c>
      <c r="B687" s="85"/>
      <c r="C687" s="87"/>
      <c r="D687" s="85"/>
      <c r="E687" s="84"/>
      <c r="F687" s="85"/>
      <c r="G687" s="87"/>
      <c r="H687" s="87"/>
      <c r="I687" s="87"/>
      <c r="J687" s="101"/>
      <c r="K687" s="87"/>
      <c r="L687" s="91"/>
      <c r="M687" s="91"/>
      <c r="N687" s="88">
        <f>Goods_Receipt[[#This Row],[ Invoice. /
 Received Qty ]]-Goods_Receipt[[#This Row],[ Accepted Qty ]]</f>
        <v>0</v>
      </c>
      <c r="O687" s="87"/>
      <c r="P687" s="87"/>
      <c r="Q687" s="87"/>
      <c r="R687" s="87"/>
      <c r="S687" s="87"/>
      <c r="T687" s="85"/>
      <c r="U687" s="89"/>
      <c r="V687" s="90"/>
      <c r="W687" s="87"/>
      <c r="X687" s="91"/>
      <c r="Y687" s="84"/>
      <c r="Z687" s="97"/>
    </row>
    <row r="688" spans="1:26" s="98" customFormat="1" x14ac:dyDescent="0.35">
      <c r="A688" s="86">
        <v>685</v>
      </c>
      <c r="B688" s="85"/>
      <c r="C688" s="87"/>
      <c r="D688" s="85"/>
      <c r="E688" s="84"/>
      <c r="F688" s="85"/>
      <c r="G688" s="87"/>
      <c r="H688" s="87"/>
      <c r="I688" s="87"/>
      <c r="J688" s="101"/>
      <c r="K688" s="87"/>
      <c r="L688" s="91"/>
      <c r="M688" s="91"/>
      <c r="N688" s="88">
        <f>Goods_Receipt[[#This Row],[ Invoice. /
 Received Qty ]]-Goods_Receipt[[#This Row],[ Accepted Qty ]]</f>
        <v>0</v>
      </c>
      <c r="O688" s="87"/>
      <c r="P688" s="87"/>
      <c r="Q688" s="87"/>
      <c r="R688" s="87"/>
      <c r="S688" s="87"/>
      <c r="T688" s="85"/>
      <c r="U688" s="89"/>
      <c r="V688" s="90"/>
      <c r="W688" s="87"/>
      <c r="X688" s="91"/>
      <c r="Y688" s="84"/>
      <c r="Z688" s="97"/>
    </row>
    <row r="689" spans="1:26" s="98" customFormat="1" x14ac:dyDescent="0.35">
      <c r="A689" s="86">
        <v>686</v>
      </c>
      <c r="B689" s="85"/>
      <c r="C689" s="87"/>
      <c r="D689" s="85"/>
      <c r="E689" s="84"/>
      <c r="F689" s="85"/>
      <c r="G689" s="87"/>
      <c r="H689" s="87"/>
      <c r="I689" s="87"/>
      <c r="J689" s="101"/>
      <c r="K689" s="87"/>
      <c r="L689" s="91"/>
      <c r="M689" s="91"/>
      <c r="N689" s="88">
        <f>Goods_Receipt[[#This Row],[ Invoice. /
 Received Qty ]]-Goods_Receipt[[#This Row],[ Accepted Qty ]]</f>
        <v>0</v>
      </c>
      <c r="O689" s="87"/>
      <c r="P689" s="87"/>
      <c r="Q689" s="87"/>
      <c r="R689" s="87"/>
      <c r="S689" s="87"/>
      <c r="T689" s="85"/>
      <c r="U689" s="89"/>
      <c r="V689" s="90"/>
      <c r="W689" s="87"/>
      <c r="X689" s="91"/>
      <c r="Y689" s="84"/>
      <c r="Z689" s="97"/>
    </row>
    <row r="690" spans="1:26" s="98" customFormat="1" x14ac:dyDescent="0.35">
      <c r="A690" s="86">
        <v>687</v>
      </c>
      <c r="B690" s="85"/>
      <c r="C690" s="87"/>
      <c r="D690" s="85"/>
      <c r="E690" s="84"/>
      <c r="F690" s="85"/>
      <c r="G690" s="87"/>
      <c r="H690" s="87"/>
      <c r="I690" s="87"/>
      <c r="J690" s="101"/>
      <c r="K690" s="87"/>
      <c r="L690" s="91"/>
      <c r="M690" s="91"/>
      <c r="N690" s="88">
        <f>Goods_Receipt[[#This Row],[ Invoice. /
 Received Qty ]]-Goods_Receipt[[#This Row],[ Accepted Qty ]]</f>
        <v>0</v>
      </c>
      <c r="O690" s="87"/>
      <c r="P690" s="87"/>
      <c r="Q690" s="87"/>
      <c r="R690" s="87"/>
      <c r="S690" s="87"/>
      <c r="T690" s="85"/>
      <c r="U690" s="89"/>
      <c r="V690" s="90"/>
      <c r="W690" s="87"/>
      <c r="X690" s="91"/>
      <c r="Y690" s="84"/>
      <c r="Z690" s="97"/>
    </row>
    <row r="691" spans="1:26" s="98" customFormat="1" x14ac:dyDescent="0.35">
      <c r="A691" s="86">
        <v>688</v>
      </c>
      <c r="B691" s="85"/>
      <c r="C691" s="87"/>
      <c r="D691" s="85"/>
      <c r="E691" s="84"/>
      <c r="F691" s="85"/>
      <c r="G691" s="87"/>
      <c r="H691" s="87"/>
      <c r="I691" s="87"/>
      <c r="J691" s="101"/>
      <c r="K691" s="87"/>
      <c r="L691" s="91"/>
      <c r="M691" s="91"/>
      <c r="N691" s="88">
        <f>Goods_Receipt[[#This Row],[ Invoice. /
 Received Qty ]]-Goods_Receipt[[#This Row],[ Accepted Qty ]]</f>
        <v>0</v>
      </c>
      <c r="O691" s="87"/>
      <c r="P691" s="87"/>
      <c r="Q691" s="87"/>
      <c r="R691" s="87"/>
      <c r="S691" s="87"/>
      <c r="T691" s="85"/>
      <c r="U691" s="89"/>
      <c r="V691" s="90"/>
      <c r="W691" s="87"/>
      <c r="X691" s="91"/>
      <c r="Y691" s="84"/>
      <c r="Z691" s="97"/>
    </row>
    <row r="692" spans="1:26" s="98" customFormat="1" x14ac:dyDescent="0.35">
      <c r="A692" s="86">
        <v>689</v>
      </c>
      <c r="B692" s="85"/>
      <c r="C692" s="87"/>
      <c r="D692" s="85"/>
      <c r="E692" s="84"/>
      <c r="F692" s="85"/>
      <c r="G692" s="87"/>
      <c r="H692" s="87"/>
      <c r="I692" s="87"/>
      <c r="J692" s="101"/>
      <c r="K692" s="87"/>
      <c r="L692" s="91"/>
      <c r="M692" s="91"/>
      <c r="N692" s="88">
        <f>Goods_Receipt[[#This Row],[ Invoice. /
 Received Qty ]]-Goods_Receipt[[#This Row],[ Accepted Qty ]]</f>
        <v>0</v>
      </c>
      <c r="O692" s="87"/>
      <c r="P692" s="87"/>
      <c r="Q692" s="87"/>
      <c r="R692" s="87"/>
      <c r="S692" s="87"/>
      <c r="T692" s="85"/>
      <c r="U692" s="89"/>
      <c r="V692" s="90"/>
      <c r="W692" s="87"/>
      <c r="X692" s="91"/>
      <c r="Y692" s="84"/>
      <c r="Z692" s="97"/>
    </row>
    <row r="693" spans="1:26" s="98" customFormat="1" x14ac:dyDescent="0.35">
      <c r="A693" s="86">
        <v>690</v>
      </c>
      <c r="B693" s="85"/>
      <c r="C693" s="87"/>
      <c r="D693" s="85"/>
      <c r="E693" s="84"/>
      <c r="F693" s="85"/>
      <c r="G693" s="87"/>
      <c r="H693" s="87"/>
      <c r="I693" s="87"/>
      <c r="J693" s="101"/>
      <c r="K693" s="87"/>
      <c r="L693" s="91"/>
      <c r="M693" s="91"/>
      <c r="N693" s="88">
        <f>Goods_Receipt[[#This Row],[ Invoice. /
 Received Qty ]]-Goods_Receipt[[#This Row],[ Accepted Qty ]]</f>
        <v>0</v>
      </c>
      <c r="O693" s="87"/>
      <c r="P693" s="87"/>
      <c r="Q693" s="87"/>
      <c r="R693" s="87"/>
      <c r="S693" s="87"/>
      <c r="T693" s="85"/>
      <c r="U693" s="89"/>
      <c r="V693" s="90"/>
      <c r="W693" s="87"/>
      <c r="X693" s="91"/>
      <c r="Y693" s="84"/>
      <c r="Z693" s="97"/>
    </row>
    <row r="694" spans="1:26" s="98" customFormat="1" x14ac:dyDescent="0.35">
      <c r="A694" s="86">
        <v>691</v>
      </c>
      <c r="B694" s="85"/>
      <c r="C694" s="87"/>
      <c r="D694" s="85"/>
      <c r="E694" s="84"/>
      <c r="F694" s="85"/>
      <c r="G694" s="87"/>
      <c r="H694" s="87"/>
      <c r="I694" s="87"/>
      <c r="J694" s="101"/>
      <c r="K694" s="87"/>
      <c r="L694" s="91"/>
      <c r="M694" s="91"/>
      <c r="N694" s="88">
        <f>Goods_Receipt[[#This Row],[ Invoice. /
 Received Qty ]]-Goods_Receipt[[#This Row],[ Accepted Qty ]]</f>
        <v>0</v>
      </c>
      <c r="O694" s="87"/>
      <c r="P694" s="87"/>
      <c r="Q694" s="87"/>
      <c r="R694" s="87"/>
      <c r="S694" s="87"/>
      <c r="T694" s="85"/>
      <c r="U694" s="89"/>
      <c r="V694" s="90"/>
      <c r="W694" s="87"/>
      <c r="X694" s="91"/>
      <c r="Y694" s="84"/>
      <c r="Z694" s="97"/>
    </row>
    <row r="695" spans="1:26" s="98" customFormat="1" x14ac:dyDescent="0.35">
      <c r="A695" s="86">
        <v>692</v>
      </c>
      <c r="B695" s="85"/>
      <c r="C695" s="87"/>
      <c r="D695" s="85"/>
      <c r="E695" s="84"/>
      <c r="F695" s="85"/>
      <c r="G695" s="87"/>
      <c r="H695" s="87"/>
      <c r="I695" s="87"/>
      <c r="J695" s="101"/>
      <c r="K695" s="87"/>
      <c r="L695" s="91"/>
      <c r="M695" s="91"/>
      <c r="N695" s="88">
        <f>Goods_Receipt[[#This Row],[ Invoice. /
 Received Qty ]]-Goods_Receipt[[#This Row],[ Accepted Qty ]]</f>
        <v>0</v>
      </c>
      <c r="O695" s="87"/>
      <c r="P695" s="87"/>
      <c r="Q695" s="87"/>
      <c r="R695" s="87"/>
      <c r="S695" s="87"/>
      <c r="T695" s="85"/>
      <c r="U695" s="89"/>
      <c r="V695" s="90"/>
      <c r="W695" s="87"/>
      <c r="X695" s="91"/>
      <c r="Y695" s="84"/>
      <c r="Z695" s="97"/>
    </row>
    <row r="696" spans="1:26" s="98" customFormat="1" x14ac:dyDescent="0.35">
      <c r="A696" s="86">
        <v>693</v>
      </c>
      <c r="B696" s="85"/>
      <c r="C696" s="87"/>
      <c r="D696" s="85"/>
      <c r="E696" s="84"/>
      <c r="F696" s="85"/>
      <c r="G696" s="87"/>
      <c r="H696" s="87"/>
      <c r="I696" s="87"/>
      <c r="J696" s="101"/>
      <c r="K696" s="87"/>
      <c r="L696" s="91"/>
      <c r="M696" s="91"/>
      <c r="N696" s="88">
        <f>Goods_Receipt[[#This Row],[ Invoice. /
 Received Qty ]]-Goods_Receipt[[#This Row],[ Accepted Qty ]]</f>
        <v>0</v>
      </c>
      <c r="O696" s="87"/>
      <c r="P696" s="87"/>
      <c r="Q696" s="87"/>
      <c r="R696" s="87"/>
      <c r="S696" s="87"/>
      <c r="T696" s="85"/>
      <c r="U696" s="89"/>
      <c r="V696" s="90"/>
      <c r="W696" s="87"/>
      <c r="X696" s="91"/>
      <c r="Y696" s="84"/>
      <c r="Z696" s="97"/>
    </row>
    <row r="697" spans="1:26" s="98" customFormat="1" x14ac:dyDescent="0.35">
      <c r="A697" s="86">
        <v>694</v>
      </c>
      <c r="B697" s="85"/>
      <c r="C697" s="87"/>
      <c r="D697" s="85"/>
      <c r="E697" s="84"/>
      <c r="F697" s="85"/>
      <c r="G697" s="87"/>
      <c r="H697" s="87"/>
      <c r="I697" s="87"/>
      <c r="J697" s="101"/>
      <c r="K697" s="87"/>
      <c r="L697" s="91"/>
      <c r="M697" s="91"/>
      <c r="N697" s="88">
        <f>Goods_Receipt[[#This Row],[ Invoice. /
 Received Qty ]]-Goods_Receipt[[#This Row],[ Accepted Qty ]]</f>
        <v>0</v>
      </c>
      <c r="O697" s="87"/>
      <c r="P697" s="87"/>
      <c r="Q697" s="87"/>
      <c r="R697" s="87"/>
      <c r="S697" s="87"/>
      <c r="T697" s="85"/>
      <c r="U697" s="89"/>
      <c r="V697" s="90"/>
      <c r="W697" s="87"/>
      <c r="X697" s="91"/>
      <c r="Y697" s="84"/>
      <c r="Z697" s="97"/>
    </row>
    <row r="698" spans="1:26" s="98" customFormat="1" x14ac:dyDescent="0.35">
      <c r="A698" s="86">
        <v>695</v>
      </c>
      <c r="B698" s="85"/>
      <c r="C698" s="87"/>
      <c r="D698" s="85"/>
      <c r="E698" s="84"/>
      <c r="F698" s="85"/>
      <c r="G698" s="87"/>
      <c r="H698" s="87"/>
      <c r="I698" s="87"/>
      <c r="J698" s="101"/>
      <c r="K698" s="87"/>
      <c r="L698" s="91"/>
      <c r="M698" s="91"/>
      <c r="N698" s="88">
        <f>Goods_Receipt[[#This Row],[ Invoice. /
 Received Qty ]]-Goods_Receipt[[#This Row],[ Accepted Qty ]]</f>
        <v>0</v>
      </c>
      <c r="O698" s="87"/>
      <c r="P698" s="87"/>
      <c r="Q698" s="87"/>
      <c r="R698" s="87"/>
      <c r="S698" s="87"/>
      <c r="T698" s="85"/>
      <c r="U698" s="89"/>
      <c r="V698" s="90"/>
      <c r="W698" s="87"/>
      <c r="X698" s="91"/>
      <c r="Y698" s="84"/>
      <c r="Z698" s="97"/>
    </row>
    <row r="699" spans="1:26" s="98" customFormat="1" x14ac:dyDescent="0.35">
      <c r="A699" s="86">
        <v>696</v>
      </c>
      <c r="B699" s="85"/>
      <c r="C699" s="87"/>
      <c r="D699" s="85"/>
      <c r="E699" s="84"/>
      <c r="F699" s="85"/>
      <c r="G699" s="87"/>
      <c r="H699" s="87"/>
      <c r="I699" s="87"/>
      <c r="J699" s="101"/>
      <c r="K699" s="87"/>
      <c r="L699" s="91"/>
      <c r="M699" s="91"/>
      <c r="N699" s="88">
        <f>Goods_Receipt[[#This Row],[ Invoice. /
 Received Qty ]]-Goods_Receipt[[#This Row],[ Accepted Qty ]]</f>
        <v>0</v>
      </c>
      <c r="O699" s="87"/>
      <c r="P699" s="87"/>
      <c r="Q699" s="87"/>
      <c r="R699" s="87"/>
      <c r="S699" s="87"/>
      <c r="T699" s="85"/>
      <c r="U699" s="89"/>
      <c r="V699" s="90"/>
      <c r="W699" s="87"/>
      <c r="X699" s="91"/>
      <c r="Y699" s="84"/>
      <c r="Z699" s="97"/>
    </row>
    <row r="700" spans="1:26" s="98" customFormat="1" x14ac:dyDescent="0.35">
      <c r="A700" s="86">
        <v>697</v>
      </c>
      <c r="B700" s="85"/>
      <c r="C700" s="87"/>
      <c r="D700" s="85"/>
      <c r="E700" s="84"/>
      <c r="F700" s="85"/>
      <c r="G700" s="87"/>
      <c r="H700" s="87"/>
      <c r="I700" s="87"/>
      <c r="J700" s="101"/>
      <c r="K700" s="87"/>
      <c r="L700" s="91"/>
      <c r="M700" s="91"/>
      <c r="N700" s="88">
        <f>Goods_Receipt[[#This Row],[ Invoice. /
 Received Qty ]]-Goods_Receipt[[#This Row],[ Accepted Qty ]]</f>
        <v>0</v>
      </c>
      <c r="O700" s="87"/>
      <c r="P700" s="87"/>
      <c r="Q700" s="87"/>
      <c r="R700" s="87"/>
      <c r="S700" s="87"/>
      <c r="T700" s="85"/>
      <c r="U700" s="89"/>
      <c r="V700" s="90"/>
      <c r="W700" s="87"/>
      <c r="X700" s="91"/>
      <c r="Y700" s="84"/>
      <c r="Z700" s="97"/>
    </row>
    <row r="701" spans="1:26" s="98" customFormat="1" x14ac:dyDescent="0.35">
      <c r="A701" s="86">
        <v>698</v>
      </c>
      <c r="B701" s="85"/>
      <c r="C701" s="87"/>
      <c r="D701" s="85"/>
      <c r="E701" s="84"/>
      <c r="F701" s="85"/>
      <c r="G701" s="87"/>
      <c r="H701" s="87"/>
      <c r="I701" s="87"/>
      <c r="J701" s="101"/>
      <c r="K701" s="87"/>
      <c r="L701" s="91"/>
      <c r="M701" s="91"/>
      <c r="N701" s="88">
        <f>Goods_Receipt[[#This Row],[ Invoice. /
 Received Qty ]]-Goods_Receipt[[#This Row],[ Accepted Qty ]]</f>
        <v>0</v>
      </c>
      <c r="O701" s="87"/>
      <c r="P701" s="87"/>
      <c r="Q701" s="87"/>
      <c r="R701" s="87"/>
      <c r="S701" s="87"/>
      <c r="T701" s="85"/>
      <c r="U701" s="89"/>
      <c r="V701" s="90"/>
      <c r="W701" s="87"/>
      <c r="X701" s="91"/>
      <c r="Y701" s="84"/>
      <c r="Z701" s="97"/>
    </row>
    <row r="702" spans="1:26" s="98" customFormat="1" x14ac:dyDescent="0.35">
      <c r="A702" s="86">
        <v>699</v>
      </c>
      <c r="B702" s="85"/>
      <c r="C702" s="87"/>
      <c r="D702" s="85"/>
      <c r="E702" s="84"/>
      <c r="F702" s="85"/>
      <c r="G702" s="87"/>
      <c r="H702" s="87"/>
      <c r="I702" s="87"/>
      <c r="J702" s="101"/>
      <c r="K702" s="87"/>
      <c r="L702" s="91"/>
      <c r="M702" s="91"/>
      <c r="N702" s="88">
        <f>Goods_Receipt[[#This Row],[ Invoice. /
 Received Qty ]]-Goods_Receipt[[#This Row],[ Accepted Qty ]]</f>
        <v>0</v>
      </c>
      <c r="O702" s="87"/>
      <c r="P702" s="87"/>
      <c r="Q702" s="87"/>
      <c r="R702" s="87"/>
      <c r="S702" s="87"/>
      <c r="T702" s="85"/>
      <c r="U702" s="89"/>
      <c r="V702" s="90"/>
      <c r="W702" s="87"/>
      <c r="X702" s="91"/>
      <c r="Y702" s="84"/>
      <c r="Z702" s="97"/>
    </row>
    <row r="703" spans="1:26" s="98" customFormat="1" x14ac:dyDescent="0.35">
      <c r="A703" s="86">
        <v>700</v>
      </c>
      <c r="B703" s="85"/>
      <c r="C703" s="87"/>
      <c r="D703" s="85"/>
      <c r="E703" s="84"/>
      <c r="F703" s="85"/>
      <c r="G703" s="87"/>
      <c r="H703" s="87"/>
      <c r="I703" s="87"/>
      <c r="J703" s="101"/>
      <c r="K703" s="87"/>
      <c r="L703" s="91"/>
      <c r="M703" s="91"/>
      <c r="N703" s="88">
        <f>Goods_Receipt[[#This Row],[ Invoice. /
 Received Qty ]]-Goods_Receipt[[#This Row],[ Accepted Qty ]]</f>
        <v>0</v>
      </c>
      <c r="O703" s="87"/>
      <c r="P703" s="87"/>
      <c r="Q703" s="87"/>
      <c r="R703" s="87"/>
      <c r="S703" s="87"/>
      <c r="T703" s="85"/>
      <c r="U703" s="89"/>
      <c r="V703" s="90"/>
      <c r="W703" s="87"/>
      <c r="X703" s="91"/>
      <c r="Y703" s="84"/>
      <c r="Z703" s="97"/>
    </row>
    <row r="704" spans="1:26" s="98" customFormat="1" x14ac:dyDescent="0.35">
      <c r="A704" s="86">
        <v>701</v>
      </c>
      <c r="B704" s="85"/>
      <c r="C704" s="87"/>
      <c r="D704" s="85"/>
      <c r="E704" s="84"/>
      <c r="F704" s="85"/>
      <c r="G704" s="87"/>
      <c r="H704" s="87"/>
      <c r="I704" s="87"/>
      <c r="J704" s="101"/>
      <c r="K704" s="87"/>
      <c r="L704" s="91"/>
      <c r="M704" s="91"/>
      <c r="N704" s="88">
        <f>Goods_Receipt[[#This Row],[ Invoice. /
 Received Qty ]]-Goods_Receipt[[#This Row],[ Accepted Qty ]]</f>
        <v>0</v>
      </c>
      <c r="O704" s="87"/>
      <c r="P704" s="87"/>
      <c r="Q704" s="87"/>
      <c r="R704" s="87"/>
      <c r="S704" s="87"/>
      <c r="T704" s="85"/>
      <c r="U704" s="89"/>
      <c r="V704" s="90"/>
      <c r="W704" s="87"/>
      <c r="X704" s="91"/>
      <c r="Y704" s="84"/>
      <c r="Z704" s="97"/>
    </row>
    <row r="705" spans="1:26" s="98" customFormat="1" x14ac:dyDescent="0.35">
      <c r="A705" s="86">
        <v>702</v>
      </c>
      <c r="B705" s="85"/>
      <c r="C705" s="87"/>
      <c r="D705" s="85"/>
      <c r="E705" s="84"/>
      <c r="F705" s="85"/>
      <c r="G705" s="87"/>
      <c r="H705" s="87"/>
      <c r="I705" s="87"/>
      <c r="J705" s="101"/>
      <c r="K705" s="87"/>
      <c r="L705" s="91"/>
      <c r="M705" s="91"/>
      <c r="N705" s="88">
        <f>Goods_Receipt[[#This Row],[ Invoice. /
 Received Qty ]]-Goods_Receipt[[#This Row],[ Accepted Qty ]]</f>
        <v>0</v>
      </c>
      <c r="O705" s="87"/>
      <c r="P705" s="87"/>
      <c r="Q705" s="87"/>
      <c r="R705" s="87"/>
      <c r="S705" s="87"/>
      <c r="T705" s="85"/>
      <c r="U705" s="89"/>
      <c r="V705" s="90"/>
      <c r="W705" s="87"/>
      <c r="X705" s="91"/>
      <c r="Y705" s="84"/>
      <c r="Z705" s="97"/>
    </row>
    <row r="706" spans="1:26" s="98" customFormat="1" x14ac:dyDescent="0.35">
      <c r="A706" s="86">
        <v>703</v>
      </c>
      <c r="B706" s="85"/>
      <c r="C706" s="87"/>
      <c r="D706" s="85"/>
      <c r="E706" s="84"/>
      <c r="F706" s="85"/>
      <c r="G706" s="87"/>
      <c r="H706" s="87"/>
      <c r="I706" s="87"/>
      <c r="J706" s="101"/>
      <c r="K706" s="87"/>
      <c r="L706" s="91"/>
      <c r="M706" s="91"/>
      <c r="N706" s="88">
        <f>Goods_Receipt[[#This Row],[ Invoice. /
 Received Qty ]]-Goods_Receipt[[#This Row],[ Accepted Qty ]]</f>
        <v>0</v>
      </c>
      <c r="O706" s="87"/>
      <c r="P706" s="87"/>
      <c r="Q706" s="87"/>
      <c r="R706" s="87"/>
      <c r="S706" s="87"/>
      <c r="T706" s="85"/>
      <c r="U706" s="89"/>
      <c r="V706" s="90"/>
      <c r="W706" s="87"/>
      <c r="X706" s="91"/>
      <c r="Y706" s="84"/>
      <c r="Z706" s="97"/>
    </row>
    <row r="707" spans="1:26" s="98" customFormat="1" x14ac:dyDescent="0.35">
      <c r="A707" s="86">
        <v>704</v>
      </c>
      <c r="B707" s="85"/>
      <c r="C707" s="87"/>
      <c r="D707" s="85"/>
      <c r="E707" s="84"/>
      <c r="F707" s="85"/>
      <c r="G707" s="87"/>
      <c r="H707" s="87"/>
      <c r="I707" s="87"/>
      <c r="J707" s="101"/>
      <c r="K707" s="87"/>
      <c r="L707" s="91"/>
      <c r="M707" s="91"/>
      <c r="N707" s="88">
        <f>Goods_Receipt[[#This Row],[ Invoice. /
 Received Qty ]]-Goods_Receipt[[#This Row],[ Accepted Qty ]]</f>
        <v>0</v>
      </c>
      <c r="O707" s="87"/>
      <c r="P707" s="87"/>
      <c r="Q707" s="87"/>
      <c r="R707" s="87"/>
      <c r="S707" s="87"/>
      <c r="T707" s="85"/>
      <c r="U707" s="89"/>
      <c r="V707" s="90"/>
      <c r="W707" s="87"/>
      <c r="X707" s="91"/>
      <c r="Y707" s="84"/>
      <c r="Z707" s="97"/>
    </row>
    <row r="708" spans="1:26" s="98" customFormat="1" x14ac:dyDescent="0.35">
      <c r="A708" s="86">
        <v>705</v>
      </c>
      <c r="B708" s="85"/>
      <c r="C708" s="87"/>
      <c r="D708" s="85"/>
      <c r="E708" s="84"/>
      <c r="F708" s="85"/>
      <c r="G708" s="87"/>
      <c r="H708" s="87"/>
      <c r="I708" s="87"/>
      <c r="J708" s="101"/>
      <c r="K708" s="87"/>
      <c r="L708" s="91"/>
      <c r="M708" s="91"/>
      <c r="N708" s="88">
        <f>Goods_Receipt[[#This Row],[ Invoice. /
 Received Qty ]]-Goods_Receipt[[#This Row],[ Accepted Qty ]]</f>
        <v>0</v>
      </c>
      <c r="O708" s="87"/>
      <c r="P708" s="87"/>
      <c r="Q708" s="87"/>
      <c r="R708" s="87"/>
      <c r="S708" s="87"/>
      <c r="T708" s="85"/>
      <c r="U708" s="89"/>
      <c r="V708" s="90"/>
      <c r="W708" s="87"/>
      <c r="X708" s="91"/>
      <c r="Y708" s="84"/>
      <c r="Z708" s="97"/>
    </row>
    <row r="709" spans="1:26" s="98" customFormat="1" x14ac:dyDescent="0.35">
      <c r="A709" s="86">
        <v>706</v>
      </c>
      <c r="B709" s="85"/>
      <c r="C709" s="87"/>
      <c r="D709" s="85"/>
      <c r="E709" s="84"/>
      <c r="F709" s="85"/>
      <c r="G709" s="87"/>
      <c r="H709" s="87"/>
      <c r="I709" s="87"/>
      <c r="J709" s="101"/>
      <c r="K709" s="87"/>
      <c r="L709" s="91"/>
      <c r="M709" s="91"/>
      <c r="N709" s="88">
        <f>Goods_Receipt[[#This Row],[ Invoice. /
 Received Qty ]]-Goods_Receipt[[#This Row],[ Accepted Qty ]]</f>
        <v>0</v>
      </c>
      <c r="O709" s="87"/>
      <c r="P709" s="87"/>
      <c r="Q709" s="87"/>
      <c r="R709" s="87"/>
      <c r="S709" s="87"/>
      <c r="T709" s="85"/>
      <c r="U709" s="89"/>
      <c r="V709" s="90"/>
      <c r="W709" s="87"/>
      <c r="X709" s="91"/>
      <c r="Y709" s="84"/>
      <c r="Z709" s="97"/>
    </row>
    <row r="710" spans="1:26" s="98" customFormat="1" x14ac:dyDescent="0.35">
      <c r="A710" s="86">
        <v>707</v>
      </c>
      <c r="B710" s="85"/>
      <c r="C710" s="87"/>
      <c r="D710" s="85"/>
      <c r="E710" s="84"/>
      <c r="F710" s="85"/>
      <c r="G710" s="87"/>
      <c r="H710" s="87"/>
      <c r="I710" s="87"/>
      <c r="J710" s="101"/>
      <c r="K710" s="87"/>
      <c r="L710" s="91"/>
      <c r="M710" s="91"/>
      <c r="N710" s="88">
        <f>Goods_Receipt[[#This Row],[ Invoice. /
 Received Qty ]]-Goods_Receipt[[#This Row],[ Accepted Qty ]]</f>
        <v>0</v>
      </c>
      <c r="O710" s="87"/>
      <c r="P710" s="87"/>
      <c r="Q710" s="87"/>
      <c r="R710" s="87"/>
      <c r="S710" s="87"/>
      <c r="T710" s="85"/>
      <c r="U710" s="89"/>
      <c r="V710" s="90"/>
      <c r="W710" s="87"/>
      <c r="X710" s="91"/>
      <c r="Y710" s="84"/>
      <c r="Z710" s="97"/>
    </row>
    <row r="711" spans="1:26" s="98" customFormat="1" x14ac:dyDescent="0.35">
      <c r="A711" s="86">
        <v>708</v>
      </c>
      <c r="B711" s="85"/>
      <c r="C711" s="87"/>
      <c r="D711" s="85"/>
      <c r="E711" s="84"/>
      <c r="F711" s="85"/>
      <c r="G711" s="87"/>
      <c r="H711" s="87"/>
      <c r="I711" s="87"/>
      <c r="J711" s="101"/>
      <c r="K711" s="87"/>
      <c r="L711" s="91"/>
      <c r="M711" s="91"/>
      <c r="N711" s="88">
        <f>Goods_Receipt[[#This Row],[ Invoice. /
 Received Qty ]]-Goods_Receipt[[#This Row],[ Accepted Qty ]]</f>
        <v>0</v>
      </c>
      <c r="O711" s="87"/>
      <c r="P711" s="87"/>
      <c r="Q711" s="87"/>
      <c r="R711" s="87"/>
      <c r="S711" s="87"/>
      <c r="T711" s="85"/>
      <c r="U711" s="89"/>
      <c r="V711" s="90"/>
      <c r="W711" s="87"/>
      <c r="X711" s="91"/>
      <c r="Y711" s="84"/>
      <c r="Z711" s="97"/>
    </row>
    <row r="712" spans="1:26" s="98" customFormat="1" x14ac:dyDescent="0.35">
      <c r="A712" s="86">
        <v>709</v>
      </c>
      <c r="B712" s="85"/>
      <c r="C712" s="87"/>
      <c r="D712" s="85"/>
      <c r="E712" s="84"/>
      <c r="F712" s="85"/>
      <c r="G712" s="87"/>
      <c r="H712" s="87"/>
      <c r="I712" s="87"/>
      <c r="J712" s="101"/>
      <c r="K712" s="87"/>
      <c r="L712" s="91"/>
      <c r="M712" s="91"/>
      <c r="N712" s="88">
        <f>Goods_Receipt[[#This Row],[ Invoice. /
 Received Qty ]]-Goods_Receipt[[#This Row],[ Accepted Qty ]]</f>
        <v>0</v>
      </c>
      <c r="O712" s="87"/>
      <c r="P712" s="87"/>
      <c r="Q712" s="87"/>
      <c r="R712" s="87"/>
      <c r="S712" s="87"/>
      <c r="T712" s="85"/>
      <c r="U712" s="89"/>
      <c r="V712" s="90"/>
      <c r="W712" s="87"/>
      <c r="X712" s="91"/>
      <c r="Y712" s="84"/>
      <c r="Z712" s="97"/>
    </row>
    <row r="713" spans="1:26" s="98" customFormat="1" x14ac:dyDescent="0.35">
      <c r="A713" s="86">
        <v>710</v>
      </c>
      <c r="B713" s="85"/>
      <c r="C713" s="87"/>
      <c r="D713" s="85"/>
      <c r="E713" s="84"/>
      <c r="F713" s="85"/>
      <c r="G713" s="87"/>
      <c r="H713" s="87"/>
      <c r="I713" s="87"/>
      <c r="J713" s="101"/>
      <c r="K713" s="87"/>
      <c r="L713" s="91"/>
      <c r="M713" s="91"/>
      <c r="N713" s="88">
        <f>Goods_Receipt[[#This Row],[ Invoice. /
 Received Qty ]]-Goods_Receipt[[#This Row],[ Accepted Qty ]]</f>
        <v>0</v>
      </c>
      <c r="O713" s="87"/>
      <c r="P713" s="87"/>
      <c r="Q713" s="87"/>
      <c r="R713" s="87"/>
      <c r="S713" s="87"/>
      <c r="T713" s="85"/>
      <c r="U713" s="89"/>
      <c r="V713" s="90"/>
      <c r="W713" s="87"/>
      <c r="X713" s="91"/>
      <c r="Y713" s="84"/>
      <c r="Z713" s="97"/>
    </row>
    <row r="714" spans="1:26" s="98" customFormat="1" x14ac:dyDescent="0.35">
      <c r="A714" s="86">
        <v>711</v>
      </c>
      <c r="B714" s="85"/>
      <c r="C714" s="87"/>
      <c r="D714" s="85"/>
      <c r="E714" s="84"/>
      <c r="F714" s="85"/>
      <c r="G714" s="87"/>
      <c r="H714" s="87"/>
      <c r="I714" s="87"/>
      <c r="J714" s="101"/>
      <c r="K714" s="87"/>
      <c r="L714" s="91"/>
      <c r="M714" s="91"/>
      <c r="N714" s="88">
        <f>Goods_Receipt[[#This Row],[ Invoice. /
 Received Qty ]]-Goods_Receipt[[#This Row],[ Accepted Qty ]]</f>
        <v>0</v>
      </c>
      <c r="O714" s="87"/>
      <c r="P714" s="87"/>
      <c r="Q714" s="87"/>
      <c r="R714" s="87"/>
      <c r="S714" s="87"/>
      <c r="T714" s="85"/>
      <c r="U714" s="89"/>
      <c r="V714" s="90"/>
      <c r="W714" s="87"/>
      <c r="X714" s="91"/>
      <c r="Y714" s="84"/>
      <c r="Z714" s="97"/>
    </row>
    <row r="715" spans="1:26" s="98" customFormat="1" x14ac:dyDescent="0.35">
      <c r="A715" s="86">
        <v>712</v>
      </c>
      <c r="B715" s="85"/>
      <c r="C715" s="87"/>
      <c r="D715" s="85"/>
      <c r="E715" s="84"/>
      <c r="F715" s="85"/>
      <c r="G715" s="87"/>
      <c r="H715" s="87"/>
      <c r="I715" s="87"/>
      <c r="J715" s="101"/>
      <c r="K715" s="87"/>
      <c r="L715" s="91"/>
      <c r="M715" s="91"/>
      <c r="N715" s="88">
        <f>Goods_Receipt[[#This Row],[ Invoice. /
 Received Qty ]]-Goods_Receipt[[#This Row],[ Accepted Qty ]]</f>
        <v>0</v>
      </c>
      <c r="O715" s="87"/>
      <c r="P715" s="87"/>
      <c r="Q715" s="87"/>
      <c r="R715" s="87"/>
      <c r="S715" s="87"/>
      <c r="T715" s="85"/>
      <c r="U715" s="89"/>
      <c r="V715" s="90"/>
      <c r="W715" s="87"/>
      <c r="X715" s="91"/>
      <c r="Y715" s="84"/>
      <c r="Z715" s="97"/>
    </row>
    <row r="716" spans="1:26" s="98" customFormat="1" x14ac:dyDescent="0.35">
      <c r="A716" s="86">
        <v>713</v>
      </c>
      <c r="B716" s="85"/>
      <c r="C716" s="87"/>
      <c r="D716" s="85"/>
      <c r="E716" s="84"/>
      <c r="F716" s="85"/>
      <c r="G716" s="87"/>
      <c r="H716" s="87"/>
      <c r="I716" s="87"/>
      <c r="J716" s="101"/>
      <c r="K716" s="87"/>
      <c r="L716" s="91"/>
      <c r="M716" s="91"/>
      <c r="N716" s="88">
        <f>Goods_Receipt[[#This Row],[ Invoice. /
 Received Qty ]]-Goods_Receipt[[#This Row],[ Accepted Qty ]]</f>
        <v>0</v>
      </c>
      <c r="O716" s="87"/>
      <c r="P716" s="87"/>
      <c r="Q716" s="87"/>
      <c r="R716" s="87"/>
      <c r="S716" s="87"/>
      <c r="T716" s="85"/>
      <c r="U716" s="89"/>
      <c r="V716" s="90"/>
      <c r="W716" s="87"/>
      <c r="X716" s="91"/>
      <c r="Y716" s="84"/>
      <c r="Z716" s="97"/>
    </row>
    <row r="717" spans="1:26" s="98" customFormat="1" x14ac:dyDescent="0.35">
      <c r="A717" s="86">
        <v>714</v>
      </c>
      <c r="B717" s="85"/>
      <c r="C717" s="87"/>
      <c r="D717" s="85"/>
      <c r="E717" s="84"/>
      <c r="F717" s="85"/>
      <c r="G717" s="87"/>
      <c r="H717" s="87"/>
      <c r="I717" s="87"/>
      <c r="J717" s="101"/>
      <c r="K717" s="87"/>
      <c r="L717" s="91"/>
      <c r="M717" s="91"/>
      <c r="N717" s="88">
        <f>Goods_Receipt[[#This Row],[ Invoice. /
 Received Qty ]]-Goods_Receipt[[#This Row],[ Accepted Qty ]]</f>
        <v>0</v>
      </c>
      <c r="O717" s="87"/>
      <c r="P717" s="87"/>
      <c r="Q717" s="87"/>
      <c r="R717" s="87"/>
      <c r="S717" s="87"/>
      <c r="T717" s="85"/>
      <c r="U717" s="89"/>
      <c r="V717" s="90"/>
      <c r="W717" s="87"/>
      <c r="X717" s="91"/>
      <c r="Y717" s="84"/>
      <c r="Z717" s="97"/>
    </row>
    <row r="718" spans="1:26" s="98" customFormat="1" x14ac:dyDescent="0.35">
      <c r="A718" s="86">
        <v>715</v>
      </c>
      <c r="B718" s="85"/>
      <c r="C718" s="87"/>
      <c r="D718" s="85"/>
      <c r="E718" s="84"/>
      <c r="F718" s="85"/>
      <c r="G718" s="87"/>
      <c r="H718" s="87"/>
      <c r="I718" s="87"/>
      <c r="J718" s="101"/>
      <c r="K718" s="87"/>
      <c r="L718" s="91"/>
      <c r="M718" s="91"/>
      <c r="N718" s="88">
        <f>Goods_Receipt[[#This Row],[ Invoice. /
 Received Qty ]]-Goods_Receipt[[#This Row],[ Accepted Qty ]]</f>
        <v>0</v>
      </c>
      <c r="O718" s="87"/>
      <c r="P718" s="87"/>
      <c r="Q718" s="87"/>
      <c r="R718" s="87"/>
      <c r="S718" s="87"/>
      <c r="T718" s="85"/>
      <c r="U718" s="89"/>
      <c r="V718" s="90"/>
      <c r="W718" s="87"/>
      <c r="X718" s="91"/>
      <c r="Y718" s="84"/>
      <c r="Z718" s="97"/>
    </row>
    <row r="719" spans="1:26" s="98" customFormat="1" x14ac:dyDescent="0.35">
      <c r="A719" s="86">
        <v>716</v>
      </c>
      <c r="B719" s="85"/>
      <c r="C719" s="87"/>
      <c r="D719" s="85"/>
      <c r="E719" s="84"/>
      <c r="F719" s="85"/>
      <c r="G719" s="87"/>
      <c r="H719" s="87"/>
      <c r="I719" s="87"/>
      <c r="J719" s="101"/>
      <c r="K719" s="87"/>
      <c r="L719" s="91"/>
      <c r="M719" s="91"/>
      <c r="N719" s="88">
        <f>Goods_Receipt[[#This Row],[ Invoice. /
 Received Qty ]]-Goods_Receipt[[#This Row],[ Accepted Qty ]]</f>
        <v>0</v>
      </c>
      <c r="O719" s="87"/>
      <c r="P719" s="87"/>
      <c r="Q719" s="87"/>
      <c r="R719" s="87"/>
      <c r="S719" s="87"/>
      <c r="T719" s="85"/>
      <c r="U719" s="89"/>
      <c r="V719" s="90"/>
      <c r="W719" s="87"/>
      <c r="X719" s="91"/>
      <c r="Y719" s="84"/>
      <c r="Z719" s="97"/>
    </row>
    <row r="720" spans="1:26" s="98" customFormat="1" x14ac:dyDescent="0.35">
      <c r="A720" s="86">
        <v>717</v>
      </c>
      <c r="B720" s="85"/>
      <c r="C720" s="87"/>
      <c r="D720" s="85"/>
      <c r="E720" s="84"/>
      <c r="F720" s="85"/>
      <c r="G720" s="87"/>
      <c r="H720" s="87"/>
      <c r="I720" s="87"/>
      <c r="J720" s="101"/>
      <c r="K720" s="87"/>
      <c r="L720" s="91"/>
      <c r="M720" s="91"/>
      <c r="N720" s="88">
        <f>Goods_Receipt[[#This Row],[ Invoice. /
 Received Qty ]]-Goods_Receipt[[#This Row],[ Accepted Qty ]]</f>
        <v>0</v>
      </c>
      <c r="O720" s="87"/>
      <c r="P720" s="87"/>
      <c r="Q720" s="87"/>
      <c r="R720" s="87"/>
      <c r="S720" s="87"/>
      <c r="T720" s="85"/>
      <c r="U720" s="89"/>
      <c r="V720" s="90"/>
      <c r="W720" s="87"/>
      <c r="X720" s="91"/>
      <c r="Y720" s="84"/>
      <c r="Z720" s="97"/>
    </row>
    <row r="721" spans="1:26" s="98" customFormat="1" x14ac:dyDescent="0.35">
      <c r="A721" s="86">
        <v>718</v>
      </c>
      <c r="B721" s="85"/>
      <c r="C721" s="87"/>
      <c r="D721" s="85"/>
      <c r="E721" s="84"/>
      <c r="F721" s="85"/>
      <c r="G721" s="87"/>
      <c r="H721" s="87"/>
      <c r="I721" s="87"/>
      <c r="J721" s="101"/>
      <c r="K721" s="87"/>
      <c r="L721" s="91"/>
      <c r="M721" s="91"/>
      <c r="N721" s="88">
        <f>Goods_Receipt[[#This Row],[ Invoice. /
 Received Qty ]]-Goods_Receipt[[#This Row],[ Accepted Qty ]]</f>
        <v>0</v>
      </c>
      <c r="O721" s="87"/>
      <c r="P721" s="87"/>
      <c r="Q721" s="87"/>
      <c r="R721" s="87"/>
      <c r="S721" s="87"/>
      <c r="T721" s="85"/>
      <c r="U721" s="89"/>
      <c r="V721" s="90"/>
      <c r="W721" s="87"/>
      <c r="X721" s="91"/>
      <c r="Y721" s="84"/>
      <c r="Z721" s="97"/>
    </row>
    <row r="722" spans="1:26" s="98" customFormat="1" x14ac:dyDescent="0.35">
      <c r="A722" s="86">
        <v>719</v>
      </c>
      <c r="B722" s="85"/>
      <c r="C722" s="87"/>
      <c r="D722" s="85"/>
      <c r="E722" s="84"/>
      <c r="F722" s="85"/>
      <c r="G722" s="87"/>
      <c r="H722" s="87"/>
      <c r="I722" s="87"/>
      <c r="J722" s="101"/>
      <c r="K722" s="87"/>
      <c r="L722" s="91"/>
      <c r="M722" s="91"/>
      <c r="N722" s="88">
        <f>Goods_Receipt[[#This Row],[ Invoice. /
 Received Qty ]]-Goods_Receipt[[#This Row],[ Accepted Qty ]]</f>
        <v>0</v>
      </c>
      <c r="O722" s="87"/>
      <c r="P722" s="87"/>
      <c r="Q722" s="87"/>
      <c r="R722" s="87"/>
      <c r="S722" s="87"/>
      <c r="T722" s="85"/>
      <c r="U722" s="89"/>
      <c r="V722" s="90"/>
      <c r="W722" s="87"/>
      <c r="X722" s="91"/>
      <c r="Y722" s="84"/>
      <c r="Z722" s="97"/>
    </row>
    <row r="723" spans="1:26" s="98" customFormat="1" x14ac:dyDescent="0.35">
      <c r="A723" s="86">
        <v>720</v>
      </c>
      <c r="B723" s="85"/>
      <c r="C723" s="87"/>
      <c r="D723" s="85"/>
      <c r="E723" s="84"/>
      <c r="F723" s="85"/>
      <c r="G723" s="87"/>
      <c r="H723" s="87"/>
      <c r="I723" s="87"/>
      <c r="J723" s="101"/>
      <c r="K723" s="87"/>
      <c r="L723" s="91"/>
      <c r="M723" s="91"/>
      <c r="N723" s="88">
        <f>Goods_Receipt[[#This Row],[ Invoice. /
 Received Qty ]]-Goods_Receipt[[#This Row],[ Accepted Qty ]]</f>
        <v>0</v>
      </c>
      <c r="O723" s="87"/>
      <c r="P723" s="87"/>
      <c r="Q723" s="87"/>
      <c r="R723" s="87"/>
      <c r="S723" s="87"/>
      <c r="T723" s="85"/>
      <c r="U723" s="89"/>
      <c r="V723" s="90"/>
      <c r="W723" s="87"/>
      <c r="X723" s="91"/>
      <c r="Y723" s="84"/>
      <c r="Z723" s="97"/>
    </row>
    <row r="724" spans="1:26" s="98" customFormat="1" x14ac:dyDescent="0.35">
      <c r="A724" s="86">
        <v>721</v>
      </c>
      <c r="B724" s="85"/>
      <c r="C724" s="87"/>
      <c r="D724" s="85"/>
      <c r="E724" s="84"/>
      <c r="F724" s="85"/>
      <c r="G724" s="87"/>
      <c r="H724" s="87"/>
      <c r="I724" s="87"/>
      <c r="J724" s="101"/>
      <c r="K724" s="87"/>
      <c r="L724" s="91"/>
      <c r="M724" s="91"/>
      <c r="N724" s="88">
        <f>Goods_Receipt[[#This Row],[ Invoice. /
 Received Qty ]]-Goods_Receipt[[#This Row],[ Accepted Qty ]]</f>
        <v>0</v>
      </c>
      <c r="O724" s="87"/>
      <c r="P724" s="87"/>
      <c r="Q724" s="87"/>
      <c r="R724" s="87"/>
      <c r="S724" s="87"/>
      <c r="T724" s="85"/>
      <c r="U724" s="89"/>
      <c r="V724" s="90"/>
      <c r="W724" s="87"/>
      <c r="X724" s="91"/>
      <c r="Y724" s="84"/>
      <c r="Z724" s="97"/>
    </row>
    <row r="725" spans="1:26" s="98" customFormat="1" x14ac:dyDescent="0.35">
      <c r="A725" s="86">
        <v>722</v>
      </c>
      <c r="B725" s="85"/>
      <c r="C725" s="87"/>
      <c r="D725" s="85"/>
      <c r="E725" s="84"/>
      <c r="F725" s="85"/>
      <c r="G725" s="87"/>
      <c r="H725" s="87"/>
      <c r="I725" s="87"/>
      <c r="J725" s="101"/>
      <c r="K725" s="87"/>
      <c r="L725" s="91"/>
      <c r="M725" s="91"/>
      <c r="N725" s="88">
        <f>Goods_Receipt[[#This Row],[ Invoice. /
 Received Qty ]]-Goods_Receipt[[#This Row],[ Accepted Qty ]]</f>
        <v>0</v>
      </c>
      <c r="O725" s="87"/>
      <c r="P725" s="87"/>
      <c r="Q725" s="87"/>
      <c r="R725" s="87"/>
      <c r="S725" s="87"/>
      <c r="T725" s="85"/>
      <c r="U725" s="89"/>
      <c r="V725" s="90"/>
      <c r="W725" s="87"/>
      <c r="X725" s="91"/>
      <c r="Y725" s="84"/>
      <c r="Z725" s="97"/>
    </row>
    <row r="726" spans="1:26" s="98" customFormat="1" x14ac:dyDescent="0.35">
      <c r="A726" s="86">
        <v>723</v>
      </c>
      <c r="B726" s="85"/>
      <c r="C726" s="87"/>
      <c r="D726" s="85"/>
      <c r="E726" s="84"/>
      <c r="F726" s="85"/>
      <c r="G726" s="87"/>
      <c r="H726" s="87"/>
      <c r="I726" s="87"/>
      <c r="J726" s="101"/>
      <c r="K726" s="87"/>
      <c r="L726" s="91"/>
      <c r="M726" s="91"/>
      <c r="N726" s="88">
        <f>Goods_Receipt[[#This Row],[ Invoice. /
 Received Qty ]]-Goods_Receipt[[#This Row],[ Accepted Qty ]]</f>
        <v>0</v>
      </c>
      <c r="O726" s="87"/>
      <c r="P726" s="87"/>
      <c r="Q726" s="87"/>
      <c r="R726" s="87"/>
      <c r="S726" s="87"/>
      <c r="T726" s="85"/>
      <c r="U726" s="89"/>
      <c r="V726" s="90"/>
      <c r="W726" s="87"/>
      <c r="X726" s="91"/>
      <c r="Y726" s="84"/>
      <c r="Z726" s="97"/>
    </row>
    <row r="727" spans="1:26" s="98" customFormat="1" x14ac:dyDescent="0.35">
      <c r="A727" s="86">
        <v>724</v>
      </c>
      <c r="B727" s="85"/>
      <c r="C727" s="87"/>
      <c r="D727" s="85"/>
      <c r="E727" s="84"/>
      <c r="F727" s="85"/>
      <c r="G727" s="87"/>
      <c r="H727" s="87"/>
      <c r="I727" s="87"/>
      <c r="J727" s="101"/>
      <c r="K727" s="87"/>
      <c r="L727" s="91"/>
      <c r="M727" s="91"/>
      <c r="N727" s="88">
        <f>Goods_Receipt[[#This Row],[ Invoice. /
 Received Qty ]]-Goods_Receipt[[#This Row],[ Accepted Qty ]]</f>
        <v>0</v>
      </c>
      <c r="O727" s="87"/>
      <c r="P727" s="87"/>
      <c r="Q727" s="87"/>
      <c r="R727" s="87"/>
      <c r="S727" s="87"/>
      <c r="T727" s="85"/>
      <c r="U727" s="89"/>
      <c r="V727" s="90"/>
      <c r="W727" s="87"/>
      <c r="X727" s="91"/>
      <c r="Y727" s="84"/>
      <c r="Z727" s="97"/>
    </row>
    <row r="728" spans="1:26" s="98" customFormat="1" x14ac:dyDescent="0.35">
      <c r="A728" s="86">
        <v>725</v>
      </c>
      <c r="B728" s="85"/>
      <c r="C728" s="87"/>
      <c r="D728" s="85"/>
      <c r="E728" s="84"/>
      <c r="F728" s="85"/>
      <c r="G728" s="87"/>
      <c r="H728" s="87"/>
      <c r="I728" s="87"/>
      <c r="J728" s="101"/>
      <c r="K728" s="87"/>
      <c r="L728" s="91"/>
      <c r="M728" s="91"/>
      <c r="N728" s="88">
        <f>Goods_Receipt[[#This Row],[ Invoice. /
 Received Qty ]]-Goods_Receipt[[#This Row],[ Accepted Qty ]]</f>
        <v>0</v>
      </c>
      <c r="O728" s="87"/>
      <c r="P728" s="87"/>
      <c r="Q728" s="87"/>
      <c r="R728" s="87"/>
      <c r="S728" s="87"/>
      <c r="T728" s="85"/>
      <c r="U728" s="89"/>
      <c r="V728" s="90"/>
      <c r="W728" s="87"/>
      <c r="X728" s="91"/>
      <c r="Y728" s="84"/>
      <c r="Z728" s="97"/>
    </row>
    <row r="729" spans="1:26" s="98" customFormat="1" x14ac:dyDescent="0.35">
      <c r="A729" s="86">
        <v>726</v>
      </c>
      <c r="B729" s="85"/>
      <c r="C729" s="87"/>
      <c r="D729" s="85"/>
      <c r="E729" s="84"/>
      <c r="F729" s="85"/>
      <c r="G729" s="87"/>
      <c r="H729" s="87"/>
      <c r="I729" s="87"/>
      <c r="J729" s="101"/>
      <c r="K729" s="87"/>
      <c r="L729" s="91"/>
      <c r="M729" s="91"/>
      <c r="N729" s="88">
        <f>Goods_Receipt[[#This Row],[ Invoice. /
 Received Qty ]]-Goods_Receipt[[#This Row],[ Accepted Qty ]]</f>
        <v>0</v>
      </c>
      <c r="O729" s="87"/>
      <c r="P729" s="87"/>
      <c r="Q729" s="87"/>
      <c r="R729" s="87"/>
      <c r="S729" s="87"/>
      <c r="T729" s="85"/>
      <c r="U729" s="89"/>
      <c r="V729" s="90"/>
      <c r="W729" s="87"/>
      <c r="X729" s="91"/>
      <c r="Y729" s="84"/>
      <c r="Z729" s="97"/>
    </row>
    <row r="730" spans="1:26" s="98" customFormat="1" x14ac:dyDescent="0.35">
      <c r="A730" s="86">
        <v>727</v>
      </c>
      <c r="B730" s="85"/>
      <c r="C730" s="87"/>
      <c r="D730" s="85"/>
      <c r="E730" s="84"/>
      <c r="F730" s="85"/>
      <c r="G730" s="87"/>
      <c r="H730" s="87"/>
      <c r="I730" s="87"/>
      <c r="J730" s="101"/>
      <c r="K730" s="87"/>
      <c r="L730" s="91"/>
      <c r="M730" s="91"/>
      <c r="N730" s="88">
        <f>Goods_Receipt[[#This Row],[ Invoice. /
 Received Qty ]]-Goods_Receipt[[#This Row],[ Accepted Qty ]]</f>
        <v>0</v>
      </c>
      <c r="O730" s="87"/>
      <c r="P730" s="87"/>
      <c r="Q730" s="87"/>
      <c r="R730" s="87"/>
      <c r="S730" s="87"/>
      <c r="T730" s="85"/>
      <c r="U730" s="89"/>
      <c r="V730" s="90"/>
      <c r="W730" s="87"/>
      <c r="X730" s="91"/>
      <c r="Y730" s="84"/>
      <c r="Z730" s="97"/>
    </row>
    <row r="731" spans="1:26" s="98" customFormat="1" x14ac:dyDescent="0.35">
      <c r="A731" s="86">
        <v>728</v>
      </c>
      <c r="B731" s="85"/>
      <c r="C731" s="87"/>
      <c r="D731" s="85"/>
      <c r="E731" s="84"/>
      <c r="F731" s="85"/>
      <c r="G731" s="87"/>
      <c r="H731" s="87"/>
      <c r="I731" s="87"/>
      <c r="J731" s="101"/>
      <c r="K731" s="87"/>
      <c r="L731" s="91"/>
      <c r="M731" s="91"/>
      <c r="N731" s="88">
        <f>Goods_Receipt[[#This Row],[ Invoice. /
 Received Qty ]]-Goods_Receipt[[#This Row],[ Accepted Qty ]]</f>
        <v>0</v>
      </c>
      <c r="O731" s="87"/>
      <c r="P731" s="87"/>
      <c r="Q731" s="87"/>
      <c r="R731" s="87"/>
      <c r="S731" s="87"/>
      <c r="T731" s="85"/>
      <c r="U731" s="89"/>
      <c r="V731" s="90"/>
      <c r="W731" s="87"/>
      <c r="X731" s="91"/>
      <c r="Y731" s="84"/>
      <c r="Z731" s="97"/>
    </row>
    <row r="732" spans="1:26" s="98" customFormat="1" x14ac:dyDescent="0.35">
      <c r="A732" s="86">
        <v>729</v>
      </c>
      <c r="B732" s="85"/>
      <c r="C732" s="87"/>
      <c r="D732" s="85"/>
      <c r="E732" s="84"/>
      <c r="F732" s="85"/>
      <c r="G732" s="87"/>
      <c r="H732" s="87"/>
      <c r="I732" s="87"/>
      <c r="J732" s="101"/>
      <c r="K732" s="87"/>
      <c r="L732" s="91"/>
      <c r="M732" s="91"/>
      <c r="N732" s="88">
        <f>Goods_Receipt[[#This Row],[ Invoice. /
 Received Qty ]]-Goods_Receipt[[#This Row],[ Accepted Qty ]]</f>
        <v>0</v>
      </c>
      <c r="O732" s="87"/>
      <c r="P732" s="87"/>
      <c r="Q732" s="87"/>
      <c r="R732" s="87"/>
      <c r="S732" s="87"/>
      <c r="T732" s="85"/>
      <c r="U732" s="89"/>
      <c r="V732" s="90"/>
      <c r="W732" s="87"/>
      <c r="X732" s="91"/>
      <c r="Y732" s="84"/>
      <c r="Z732" s="97"/>
    </row>
    <row r="733" spans="1:26" s="98" customFormat="1" x14ac:dyDescent="0.35">
      <c r="A733" s="86">
        <v>730</v>
      </c>
      <c r="B733" s="85"/>
      <c r="C733" s="87"/>
      <c r="D733" s="85"/>
      <c r="E733" s="84"/>
      <c r="F733" s="85"/>
      <c r="G733" s="87"/>
      <c r="H733" s="87"/>
      <c r="I733" s="87"/>
      <c r="J733" s="101"/>
      <c r="K733" s="87"/>
      <c r="L733" s="91"/>
      <c r="M733" s="91"/>
      <c r="N733" s="88">
        <f>Goods_Receipt[[#This Row],[ Invoice. /
 Received Qty ]]-Goods_Receipt[[#This Row],[ Accepted Qty ]]</f>
        <v>0</v>
      </c>
      <c r="O733" s="87"/>
      <c r="P733" s="87"/>
      <c r="Q733" s="87"/>
      <c r="R733" s="87"/>
      <c r="S733" s="87"/>
      <c r="T733" s="85"/>
      <c r="U733" s="89"/>
      <c r="V733" s="90"/>
      <c r="W733" s="87"/>
      <c r="X733" s="91"/>
      <c r="Y733" s="84"/>
      <c r="Z733" s="97"/>
    </row>
    <row r="734" spans="1:26" s="98" customFormat="1" x14ac:dyDescent="0.35">
      <c r="A734" s="86">
        <v>731</v>
      </c>
      <c r="B734" s="85"/>
      <c r="C734" s="87"/>
      <c r="D734" s="85"/>
      <c r="E734" s="84"/>
      <c r="F734" s="85"/>
      <c r="G734" s="87"/>
      <c r="H734" s="87"/>
      <c r="I734" s="87"/>
      <c r="J734" s="101"/>
      <c r="K734" s="87"/>
      <c r="L734" s="91"/>
      <c r="M734" s="91"/>
      <c r="N734" s="88">
        <f>Goods_Receipt[[#This Row],[ Invoice. /
 Received Qty ]]-Goods_Receipt[[#This Row],[ Accepted Qty ]]</f>
        <v>0</v>
      </c>
      <c r="O734" s="87"/>
      <c r="P734" s="87"/>
      <c r="Q734" s="87"/>
      <c r="R734" s="87"/>
      <c r="S734" s="87"/>
      <c r="T734" s="85"/>
      <c r="U734" s="89"/>
      <c r="V734" s="90"/>
      <c r="W734" s="87"/>
      <c r="X734" s="91"/>
      <c r="Y734" s="84"/>
      <c r="Z734" s="97"/>
    </row>
    <row r="735" spans="1:26" s="98" customFormat="1" x14ac:dyDescent="0.35">
      <c r="A735" s="86">
        <v>732</v>
      </c>
      <c r="B735" s="85"/>
      <c r="C735" s="87"/>
      <c r="D735" s="85"/>
      <c r="E735" s="84"/>
      <c r="F735" s="85"/>
      <c r="G735" s="87"/>
      <c r="H735" s="87"/>
      <c r="I735" s="87"/>
      <c r="J735" s="101"/>
      <c r="K735" s="87"/>
      <c r="L735" s="91"/>
      <c r="M735" s="91"/>
      <c r="N735" s="88">
        <f>Goods_Receipt[[#This Row],[ Invoice. /
 Received Qty ]]-Goods_Receipt[[#This Row],[ Accepted Qty ]]</f>
        <v>0</v>
      </c>
      <c r="O735" s="87"/>
      <c r="P735" s="87"/>
      <c r="Q735" s="87"/>
      <c r="R735" s="87"/>
      <c r="S735" s="87"/>
      <c r="T735" s="85"/>
      <c r="U735" s="89"/>
      <c r="V735" s="90"/>
      <c r="W735" s="87"/>
      <c r="X735" s="91"/>
      <c r="Y735" s="84"/>
      <c r="Z735" s="97"/>
    </row>
    <row r="736" spans="1:26" s="98" customFormat="1" x14ac:dyDescent="0.35">
      <c r="A736" s="86">
        <v>733</v>
      </c>
      <c r="B736" s="85"/>
      <c r="C736" s="87"/>
      <c r="D736" s="85"/>
      <c r="E736" s="84"/>
      <c r="F736" s="85"/>
      <c r="G736" s="87"/>
      <c r="H736" s="87"/>
      <c r="I736" s="87"/>
      <c r="J736" s="101"/>
      <c r="K736" s="87"/>
      <c r="L736" s="91"/>
      <c r="M736" s="91"/>
      <c r="N736" s="88">
        <f>Goods_Receipt[[#This Row],[ Invoice. /
 Received Qty ]]-Goods_Receipt[[#This Row],[ Accepted Qty ]]</f>
        <v>0</v>
      </c>
      <c r="O736" s="87"/>
      <c r="P736" s="87"/>
      <c r="Q736" s="87"/>
      <c r="R736" s="87"/>
      <c r="S736" s="87"/>
      <c r="T736" s="85"/>
      <c r="U736" s="89"/>
      <c r="V736" s="90"/>
      <c r="W736" s="87"/>
      <c r="X736" s="91"/>
      <c r="Y736" s="84"/>
      <c r="Z736" s="97"/>
    </row>
    <row r="737" spans="1:26" s="98" customFormat="1" x14ac:dyDescent="0.35">
      <c r="A737" s="86">
        <v>734</v>
      </c>
      <c r="B737" s="85"/>
      <c r="C737" s="87"/>
      <c r="D737" s="85"/>
      <c r="E737" s="84"/>
      <c r="F737" s="85"/>
      <c r="G737" s="87"/>
      <c r="H737" s="87"/>
      <c r="I737" s="87"/>
      <c r="J737" s="101"/>
      <c r="K737" s="87"/>
      <c r="L737" s="91"/>
      <c r="M737" s="91"/>
      <c r="N737" s="88">
        <f>Goods_Receipt[[#This Row],[ Invoice. /
 Received Qty ]]-Goods_Receipt[[#This Row],[ Accepted Qty ]]</f>
        <v>0</v>
      </c>
      <c r="O737" s="87"/>
      <c r="P737" s="87"/>
      <c r="Q737" s="87"/>
      <c r="R737" s="87"/>
      <c r="S737" s="87"/>
      <c r="T737" s="85"/>
      <c r="U737" s="89"/>
      <c r="V737" s="90"/>
      <c r="W737" s="87"/>
      <c r="X737" s="91"/>
      <c r="Y737" s="84"/>
      <c r="Z737" s="97"/>
    </row>
    <row r="738" spans="1:26" s="98" customFormat="1" x14ac:dyDescent="0.35">
      <c r="A738" s="86">
        <v>735</v>
      </c>
      <c r="B738" s="85"/>
      <c r="C738" s="87"/>
      <c r="D738" s="85"/>
      <c r="E738" s="84"/>
      <c r="F738" s="85"/>
      <c r="G738" s="87"/>
      <c r="H738" s="87"/>
      <c r="I738" s="87"/>
      <c r="J738" s="101"/>
      <c r="K738" s="87"/>
      <c r="L738" s="91"/>
      <c r="M738" s="91"/>
      <c r="N738" s="88">
        <f>Goods_Receipt[[#This Row],[ Invoice. /
 Received Qty ]]-Goods_Receipt[[#This Row],[ Accepted Qty ]]</f>
        <v>0</v>
      </c>
      <c r="O738" s="87"/>
      <c r="P738" s="87"/>
      <c r="Q738" s="87"/>
      <c r="R738" s="87"/>
      <c r="S738" s="87"/>
      <c r="T738" s="85"/>
      <c r="U738" s="89"/>
      <c r="V738" s="90"/>
      <c r="W738" s="87"/>
      <c r="X738" s="91"/>
      <c r="Y738" s="84"/>
      <c r="Z738" s="97"/>
    </row>
    <row r="739" spans="1:26" s="98" customFormat="1" x14ac:dyDescent="0.35">
      <c r="A739" s="86">
        <v>736</v>
      </c>
      <c r="B739" s="85"/>
      <c r="C739" s="87"/>
      <c r="D739" s="85"/>
      <c r="E739" s="84"/>
      <c r="F739" s="85"/>
      <c r="G739" s="87"/>
      <c r="H739" s="87"/>
      <c r="I739" s="87"/>
      <c r="J739" s="101"/>
      <c r="K739" s="87"/>
      <c r="L739" s="91"/>
      <c r="M739" s="91"/>
      <c r="N739" s="88">
        <f>Goods_Receipt[[#This Row],[ Invoice. /
 Received Qty ]]-Goods_Receipt[[#This Row],[ Accepted Qty ]]</f>
        <v>0</v>
      </c>
      <c r="O739" s="87"/>
      <c r="P739" s="87"/>
      <c r="Q739" s="87"/>
      <c r="R739" s="87"/>
      <c r="S739" s="87"/>
      <c r="T739" s="85"/>
      <c r="U739" s="89"/>
      <c r="V739" s="90"/>
      <c r="W739" s="87"/>
      <c r="X739" s="91"/>
      <c r="Y739" s="84"/>
      <c r="Z739" s="97"/>
    </row>
    <row r="740" spans="1:26" s="98" customFormat="1" x14ac:dyDescent="0.35">
      <c r="A740" s="86">
        <v>737</v>
      </c>
      <c r="B740" s="85"/>
      <c r="C740" s="87"/>
      <c r="D740" s="85"/>
      <c r="E740" s="84"/>
      <c r="F740" s="85"/>
      <c r="G740" s="87"/>
      <c r="H740" s="87"/>
      <c r="I740" s="87"/>
      <c r="J740" s="101"/>
      <c r="K740" s="87"/>
      <c r="L740" s="91"/>
      <c r="M740" s="91"/>
      <c r="N740" s="88">
        <f>Goods_Receipt[[#This Row],[ Invoice. /
 Received Qty ]]-Goods_Receipt[[#This Row],[ Accepted Qty ]]</f>
        <v>0</v>
      </c>
      <c r="O740" s="87"/>
      <c r="P740" s="87"/>
      <c r="Q740" s="87"/>
      <c r="R740" s="87"/>
      <c r="S740" s="87"/>
      <c r="T740" s="85"/>
      <c r="U740" s="89"/>
      <c r="V740" s="90"/>
      <c r="W740" s="87"/>
      <c r="X740" s="91"/>
      <c r="Y740" s="84"/>
      <c r="Z740" s="97"/>
    </row>
    <row r="741" spans="1:26" s="98" customFormat="1" x14ac:dyDescent="0.35">
      <c r="A741" s="86">
        <v>738</v>
      </c>
      <c r="B741" s="85"/>
      <c r="C741" s="87"/>
      <c r="D741" s="85"/>
      <c r="E741" s="84"/>
      <c r="F741" s="85"/>
      <c r="G741" s="87"/>
      <c r="H741" s="87"/>
      <c r="I741" s="87"/>
      <c r="J741" s="101"/>
      <c r="K741" s="87"/>
      <c r="L741" s="91"/>
      <c r="M741" s="91"/>
      <c r="N741" s="88">
        <f>Goods_Receipt[[#This Row],[ Invoice. /
 Received Qty ]]-Goods_Receipt[[#This Row],[ Accepted Qty ]]</f>
        <v>0</v>
      </c>
      <c r="O741" s="87"/>
      <c r="P741" s="87"/>
      <c r="Q741" s="87"/>
      <c r="R741" s="87"/>
      <c r="S741" s="87"/>
      <c r="T741" s="85"/>
      <c r="U741" s="89"/>
      <c r="V741" s="90"/>
      <c r="W741" s="87"/>
      <c r="X741" s="91"/>
      <c r="Y741" s="84"/>
      <c r="Z741" s="97"/>
    </row>
    <row r="742" spans="1:26" s="98" customFormat="1" x14ac:dyDescent="0.35">
      <c r="A742" s="86">
        <v>739</v>
      </c>
      <c r="B742" s="85"/>
      <c r="C742" s="87"/>
      <c r="D742" s="85"/>
      <c r="E742" s="84"/>
      <c r="F742" s="85"/>
      <c r="G742" s="87"/>
      <c r="H742" s="87"/>
      <c r="I742" s="87"/>
      <c r="J742" s="101"/>
      <c r="K742" s="87"/>
      <c r="L742" s="91"/>
      <c r="M742" s="91"/>
      <c r="N742" s="88">
        <f>Goods_Receipt[[#This Row],[ Invoice. /
 Received Qty ]]-Goods_Receipt[[#This Row],[ Accepted Qty ]]</f>
        <v>0</v>
      </c>
      <c r="O742" s="87"/>
      <c r="P742" s="87"/>
      <c r="Q742" s="87"/>
      <c r="R742" s="87"/>
      <c r="S742" s="87"/>
      <c r="T742" s="85"/>
      <c r="U742" s="89"/>
      <c r="V742" s="90"/>
      <c r="W742" s="87"/>
      <c r="X742" s="91"/>
      <c r="Y742" s="84"/>
      <c r="Z742" s="97"/>
    </row>
    <row r="743" spans="1:26" s="98" customFormat="1" x14ac:dyDescent="0.35">
      <c r="A743" s="86">
        <v>740</v>
      </c>
      <c r="B743" s="85"/>
      <c r="C743" s="87"/>
      <c r="D743" s="85"/>
      <c r="E743" s="84"/>
      <c r="F743" s="85"/>
      <c r="G743" s="87"/>
      <c r="H743" s="87"/>
      <c r="I743" s="87"/>
      <c r="J743" s="101"/>
      <c r="K743" s="87"/>
      <c r="L743" s="91"/>
      <c r="M743" s="91"/>
      <c r="N743" s="88">
        <f>Goods_Receipt[[#This Row],[ Invoice. /
 Received Qty ]]-Goods_Receipt[[#This Row],[ Accepted Qty ]]</f>
        <v>0</v>
      </c>
      <c r="O743" s="87"/>
      <c r="P743" s="87"/>
      <c r="Q743" s="87"/>
      <c r="R743" s="87"/>
      <c r="S743" s="87"/>
      <c r="T743" s="85"/>
      <c r="U743" s="89"/>
      <c r="V743" s="90"/>
      <c r="W743" s="87"/>
      <c r="X743" s="91"/>
      <c r="Y743" s="84"/>
      <c r="Z743" s="97"/>
    </row>
    <row r="744" spans="1:26" s="98" customFormat="1" x14ac:dyDescent="0.35">
      <c r="A744" s="86">
        <v>741</v>
      </c>
      <c r="B744" s="85"/>
      <c r="C744" s="87"/>
      <c r="D744" s="85"/>
      <c r="E744" s="84"/>
      <c r="F744" s="85"/>
      <c r="G744" s="87"/>
      <c r="H744" s="87"/>
      <c r="I744" s="87"/>
      <c r="J744" s="101"/>
      <c r="K744" s="87"/>
      <c r="L744" s="91"/>
      <c r="M744" s="91"/>
      <c r="N744" s="88">
        <f>Goods_Receipt[[#This Row],[ Invoice. /
 Received Qty ]]-Goods_Receipt[[#This Row],[ Accepted Qty ]]</f>
        <v>0</v>
      </c>
      <c r="O744" s="87"/>
      <c r="P744" s="87"/>
      <c r="Q744" s="87"/>
      <c r="R744" s="87"/>
      <c r="S744" s="87"/>
      <c r="T744" s="85"/>
      <c r="U744" s="89"/>
      <c r="V744" s="90"/>
      <c r="W744" s="87"/>
      <c r="X744" s="91"/>
      <c r="Y744" s="84"/>
      <c r="Z744" s="97"/>
    </row>
    <row r="745" spans="1:26" s="98" customFormat="1" x14ac:dyDescent="0.35">
      <c r="A745" s="86">
        <v>742</v>
      </c>
      <c r="B745" s="85"/>
      <c r="C745" s="87"/>
      <c r="D745" s="85"/>
      <c r="E745" s="84"/>
      <c r="F745" s="85"/>
      <c r="G745" s="87"/>
      <c r="H745" s="87"/>
      <c r="I745" s="87"/>
      <c r="J745" s="101"/>
      <c r="K745" s="87"/>
      <c r="L745" s="91"/>
      <c r="M745" s="91"/>
      <c r="N745" s="88">
        <f>Goods_Receipt[[#This Row],[ Invoice. /
 Received Qty ]]-Goods_Receipt[[#This Row],[ Accepted Qty ]]</f>
        <v>0</v>
      </c>
      <c r="O745" s="87"/>
      <c r="P745" s="87"/>
      <c r="Q745" s="87"/>
      <c r="R745" s="87"/>
      <c r="S745" s="87"/>
      <c r="T745" s="85"/>
      <c r="U745" s="89"/>
      <c r="V745" s="90"/>
      <c r="W745" s="87"/>
      <c r="X745" s="91"/>
      <c r="Y745" s="84"/>
      <c r="Z745" s="97"/>
    </row>
    <row r="746" spans="1:26" s="98" customFormat="1" x14ac:dyDescent="0.35">
      <c r="A746" s="86">
        <v>743</v>
      </c>
      <c r="B746" s="85"/>
      <c r="C746" s="87"/>
      <c r="D746" s="85"/>
      <c r="E746" s="84"/>
      <c r="F746" s="85"/>
      <c r="G746" s="87"/>
      <c r="H746" s="87"/>
      <c r="I746" s="87"/>
      <c r="J746" s="101"/>
      <c r="K746" s="87"/>
      <c r="L746" s="91"/>
      <c r="M746" s="91"/>
      <c r="N746" s="88">
        <f>Goods_Receipt[[#This Row],[ Invoice. /
 Received Qty ]]-Goods_Receipt[[#This Row],[ Accepted Qty ]]</f>
        <v>0</v>
      </c>
      <c r="O746" s="87"/>
      <c r="P746" s="87"/>
      <c r="Q746" s="87"/>
      <c r="R746" s="87"/>
      <c r="S746" s="87"/>
      <c r="T746" s="85"/>
      <c r="U746" s="89"/>
      <c r="V746" s="90"/>
      <c r="W746" s="87"/>
      <c r="X746" s="91"/>
      <c r="Y746" s="84"/>
      <c r="Z746" s="97"/>
    </row>
    <row r="747" spans="1:26" s="98" customFormat="1" x14ac:dyDescent="0.35">
      <c r="A747" s="86">
        <v>744</v>
      </c>
      <c r="B747" s="85"/>
      <c r="C747" s="87"/>
      <c r="D747" s="85"/>
      <c r="E747" s="84"/>
      <c r="F747" s="85"/>
      <c r="G747" s="87"/>
      <c r="H747" s="87"/>
      <c r="I747" s="87"/>
      <c r="J747" s="101"/>
      <c r="K747" s="87"/>
      <c r="L747" s="91"/>
      <c r="M747" s="91"/>
      <c r="N747" s="88">
        <f>Goods_Receipt[[#This Row],[ Invoice. /
 Received Qty ]]-Goods_Receipt[[#This Row],[ Accepted Qty ]]</f>
        <v>0</v>
      </c>
      <c r="O747" s="87"/>
      <c r="P747" s="87"/>
      <c r="Q747" s="87"/>
      <c r="R747" s="87"/>
      <c r="S747" s="87"/>
      <c r="T747" s="85"/>
      <c r="U747" s="89"/>
      <c r="V747" s="90"/>
      <c r="W747" s="87"/>
      <c r="X747" s="91"/>
      <c r="Y747" s="84"/>
      <c r="Z747" s="97"/>
    </row>
    <row r="748" spans="1:26" s="98" customFormat="1" x14ac:dyDescent="0.35">
      <c r="A748" s="86">
        <v>745</v>
      </c>
      <c r="B748" s="85"/>
      <c r="C748" s="87"/>
      <c r="D748" s="85"/>
      <c r="E748" s="84"/>
      <c r="F748" s="85"/>
      <c r="G748" s="87"/>
      <c r="H748" s="87"/>
      <c r="I748" s="87"/>
      <c r="J748" s="101"/>
      <c r="K748" s="87"/>
      <c r="L748" s="91"/>
      <c r="M748" s="91"/>
      <c r="N748" s="88">
        <f>Goods_Receipt[[#This Row],[ Invoice. /
 Received Qty ]]-Goods_Receipt[[#This Row],[ Accepted Qty ]]</f>
        <v>0</v>
      </c>
      <c r="O748" s="87"/>
      <c r="P748" s="87"/>
      <c r="Q748" s="87"/>
      <c r="R748" s="87"/>
      <c r="S748" s="87"/>
      <c r="T748" s="85"/>
      <c r="U748" s="89"/>
      <c r="V748" s="90"/>
      <c r="W748" s="87"/>
      <c r="X748" s="91"/>
      <c r="Y748" s="84"/>
      <c r="Z748" s="97"/>
    </row>
    <row r="749" spans="1:26" s="98" customFormat="1" x14ac:dyDescent="0.35">
      <c r="A749" s="86">
        <v>746</v>
      </c>
      <c r="B749" s="85"/>
      <c r="C749" s="87"/>
      <c r="D749" s="85"/>
      <c r="E749" s="84"/>
      <c r="F749" s="85"/>
      <c r="G749" s="87"/>
      <c r="H749" s="87"/>
      <c r="I749" s="87"/>
      <c r="J749" s="101"/>
      <c r="K749" s="87"/>
      <c r="L749" s="91"/>
      <c r="M749" s="91"/>
      <c r="N749" s="88">
        <f>Goods_Receipt[[#This Row],[ Invoice. /
 Received Qty ]]-Goods_Receipt[[#This Row],[ Accepted Qty ]]</f>
        <v>0</v>
      </c>
      <c r="O749" s="87"/>
      <c r="P749" s="87"/>
      <c r="Q749" s="87"/>
      <c r="R749" s="87"/>
      <c r="S749" s="87"/>
      <c r="T749" s="85"/>
      <c r="U749" s="89"/>
      <c r="V749" s="90"/>
      <c r="W749" s="87"/>
      <c r="X749" s="91"/>
      <c r="Y749" s="84"/>
      <c r="Z749" s="97"/>
    </row>
    <row r="750" spans="1:26" s="98" customFormat="1" x14ac:dyDescent="0.35">
      <c r="A750" s="86">
        <v>747</v>
      </c>
      <c r="B750" s="85"/>
      <c r="C750" s="87"/>
      <c r="D750" s="85"/>
      <c r="E750" s="84"/>
      <c r="F750" s="85"/>
      <c r="G750" s="87"/>
      <c r="H750" s="87"/>
      <c r="I750" s="87"/>
      <c r="J750" s="101"/>
      <c r="K750" s="87"/>
      <c r="L750" s="91"/>
      <c r="M750" s="91"/>
      <c r="N750" s="88">
        <f>Goods_Receipt[[#This Row],[ Invoice. /
 Received Qty ]]-Goods_Receipt[[#This Row],[ Accepted Qty ]]</f>
        <v>0</v>
      </c>
      <c r="O750" s="87"/>
      <c r="P750" s="87"/>
      <c r="Q750" s="87"/>
      <c r="R750" s="87"/>
      <c r="S750" s="87"/>
      <c r="T750" s="85"/>
      <c r="U750" s="89"/>
      <c r="V750" s="90"/>
      <c r="W750" s="87"/>
      <c r="X750" s="91"/>
      <c r="Y750" s="84"/>
      <c r="Z750" s="97"/>
    </row>
    <row r="751" spans="1:26" s="98" customFormat="1" x14ac:dyDescent="0.35">
      <c r="A751" s="86">
        <v>748</v>
      </c>
      <c r="B751" s="85"/>
      <c r="C751" s="87"/>
      <c r="D751" s="85"/>
      <c r="E751" s="84"/>
      <c r="F751" s="85"/>
      <c r="G751" s="87"/>
      <c r="H751" s="87"/>
      <c r="I751" s="87"/>
      <c r="J751" s="101"/>
      <c r="K751" s="87"/>
      <c r="L751" s="91"/>
      <c r="M751" s="91"/>
      <c r="N751" s="88">
        <f>Goods_Receipt[[#This Row],[ Invoice. /
 Received Qty ]]-Goods_Receipt[[#This Row],[ Accepted Qty ]]</f>
        <v>0</v>
      </c>
      <c r="O751" s="87"/>
      <c r="P751" s="87"/>
      <c r="Q751" s="87"/>
      <c r="R751" s="87"/>
      <c r="S751" s="87"/>
      <c r="T751" s="85"/>
      <c r="U751" s="89"/>
      <c r="V751" s="90"/>
      <c r="W751" s="87"/>
      <c r="X751" s="91"/>
      <c r="Y751" s="84"/>
      <c r="Z751" s="97"/>
    </row>
    <row r="752" spans="1:26" s="98" customFormat="1" x14ac:dyDescent="0.35">
      <c r="A752" s="86">
        <v>749</v>
      </c>
      <c r="B752" s="85"/>
      <c r="C752" s="87"/>
      <c r="D752" s="85"/>
      <c r="E752" s="84"/>
      <c r="F752" s="85"/>
      <c r="G752" s="87"/>
      <c r="H752" s="87"/>
      <c r="I752" s="87"/>
      <c r="J752" s="101"/>
      <c r="K752" s="87"/>
      <c r="L752" s="91"/>
      <c r="M752" s="91"/>
      <c r="N752" s="88">
        <f>Goods_Receipt[[#This Row],[ Invoice. /
 Received Qty ]]-Goods_Receipt[[#This Row],[ Accepted Qty ]]</f>
        <v>0</v>
      </c>
      <c r="O752" s="87"/>
      <c r="P752" s="87"/>
      <c r="Q752" s="87"/>
      <c r="R752" s="87"/>
      <c r="S752" s="87"/>
      <c r="T752" s="85"/>
      <c r="U752" s="89"/>
      <c r="V752" s="90"/>
      <c r="W752" s="87"/>
      <c r="X752" s="91"/>
      <c r="Y752" s="84"/>
      <c r="Z752" s="97"/>
    </row>
    <row r="753" spans="1:26" s="98" customFormat="1" x14ac:dyDescent="0.35">
      <c r="A753" s="86">
        <v>750</v>
      </c>
      <c r="B753" s="85"/>
      <c r="C753" s="87"/>
      <c r="D753" s="85"/>
      <c r="E753" s="84"/>
      <c r="F753" s="85"/>
      <c r="G753" s="87"/>
      <c r="H753" s="87"/>
      <c r="I753" s="87"/>
      <c r="J753" s="101"/>
      <c r="K753" s="87"/>
      <c r="L753" s="91"/>
      <c r="M753" s="91"/>
      <c r="N753" s="88">
        <f>Goods_Receipt[[#This Row],[ Invoice. /
 Received Qty ]]-Goods_Receipt[[#This Row],[ Accepted Qty ]]</f>
        <v>0</v>
      </c>
      <c r="O753" s="87"/>
      <c r="P753" s="87"/>
      <c r="Q753" s="87"/>
      <c r="R753" s="87"/>
      <c r="S753" s="87"/>
      <c r="T753" s="85"/>
      <c r="U753" s="89"/>
      <c r="V753" s="90"/>
      <c r="W753" s="87"/>
      <c r="X753" s="91"/>
      <c r="Y753" s="84"/>
      <c r="Z753" s="97"/>
    </row>
    <row r="754" spans="1:26" s="98" customFormat="1" x14ac:dyDescent="0.35">
      <c r="A754" s="86">
        <v>751</v>
      </c>
      <c r="B754" s="85"/>
      <c r="C754" s="87"/>
      <c r="D754" s="85"/>
      <c r="E754" s="84"/>
      <c r="F754" s="85"/>
      <c r="G754" s="87"/>
      <c r="H754" s="87"/>
      <c r="I754" s="87"/>
      <c r="J754" s="101"/>
      <c r="K754" s="87"/>
      <c r="L754" s="91"/>
      <c r="M754" s="91"/>
      <c r="N754" s="88">
        <f>Goods_Receipt[[#This Row],[ Invoice. /
 Received Qty ]]-Goods_Receipt[[#This Row],[ Accepted Qty ]]</f>
        <v>0</v>
      </c>
      <c r="O754" s="87"/>
      <c r="P754" s="87"/>
      <c r="Q754" s="87"/>
      <c r="R754" s="87"/>
      <c r="S754" s="87"/>
      <c r="T754" s="85"/>
      <c r="U754" s="89"/>
      <c r="V754" s="90"/>
      <c r="W754" s="87"/>
      <c r="X754" s="91"/>
      <c r="Y754" s="84"/>
      <c r="Z754" s="97"/>
    </row>
    <row r="755" spans="1:26" s="98" customFormat="1" x14ac:dyDescent="0.35">
      <c r="A755" s="86">
        <v>752</v>
      </c>
      <c r="B755" s="85"/>
      <c r="C755" s="87"/>
      <c r="D755" s="85"/>
      <c r="E755" s="84"/>
      <c r="F755" s="85"/>
      <c r="G755" s="87"/>
      <c r="H755" s="87"/>
      <c r="I755" s="87"/>
      <c r="J755" s="101"/>
      <c r="K755" s="87"/>
      <c r="L755" s="91"/>
      <c r="M755" s="91"/>
      <c r="N755" s="88">
        <f>Goods_Receipt[[#This Row],[ Invoice. /
 Received Qty ]]-Goods_Receipt[[#This Row],[ Accepted Qty ]]</f>
        <v>0</v>
      </c>
      <c r="O755" s="87"/>
      <c r="P755" s="87"/>
      <c r="Q755" s="87"/>
      <c r="R755" s="87"/>
      <c r="S755" s="87"/>
      <c r="T755" s="85"/>
      <c r="U755" s="89"/>
      <c r="V755" s="90"/>
      <c r="W755" s="87"/>
      <c r="X755" s="91"/>
      <c r="Y755" s="84"/>
      <c r="Z755" s="97"/>
    </row>
    <row r="756" spans="1:26" s="98" customFormat="1" x14ac:dyDescent="0.35">
      <c r="A756" s="86">
        <v>753</v>
      </c>
      <c r="B756" s="85"/>
      <c r="C756" s="87"/>
      <c r="D756" s="85"/>
      <c r="E756" s="84"/>
      <c r="F756" s="85"/>
      <c r="G756" s="87"/>
      <c r="H756" s="87"/>
      <c r="I756" s="87"/>
      <c r="J756" s="101"/>
      <c r="K756" s="87"/>
      <c r="L756" s="91"/>
      <c r="M756" s="91"/>
      <c r="N756" s="88">
        <f>Goods_Receipt[[#This Row],[ Invoice. /
 Received Qty ]]-Goods_Receipt[[#This Row],[ Accepted Qty ]]</f>
        <v>0</v>
      </c>
      <c r="O756" s="87"/>
      <c r="P756" s="87"/>
      <c r="Q756" s="87"/>
      <c r="R756" s="87"/>
      <c r="S756" s="87"/>
      <c r="T756" s="85"/>
      <c r="U756" s="89"/>
      <c r="V756" s="90"/>
      <c r="W756" s="87"/>
      <c r="X756" s="91"/>
      <c r="Y756" s="84"/>
      <c r="Z756" s="97"/>
    </row>
    <row r="757" spans="1:26" s="98" customFormat="1" x14ac:dyDescent="0.35">
      <c r="A757" s="86">
        <v>754</v>
      </c>
      <c r="B757" s="85"/>
      <c r="C757" s="87"/>
      <c r="D757" s="85"/>
      <c r="E757" s="84"/>
      <c r="F757" s="85"/>
      <c r="G757" s="87"/>
      <c r="H757" s="87"/>
      <c r="I757" s="87"/>
      <c r="J757" s="101"/>
      <c r="K757" s="87"/>
      <c r="L757" s="91"/>
      <c r="M757" s="91"/>
      <c r="N757" s="88">
        <f>Goods_Receipt[[#This Row],[ Invoice. /
 Received Qty ]]-Goods_Receipt[[#This Row],[ Accepted Qty ]]</f>
        <v>0</v>
      </c>
      <c r="O757" s="87"/>
      <c r="P757" s="87"/>
      <c r="Q757" s="87"/>
      <c r="R757" s="87"/>
      <c r="S757" s="87"/>
      <c r="T757" s="85"/>
      <c r="U757" s="89"/>
      <c r="V757" s="90"/>
      <c r="W757" s="87"/>
      <c r="X757" s="91"/>
      <c r="Y757" s="84"/>
      <c r="Z757" s="97"/>
    </row>
    <row r="758" spans="1:26" s="98" customFormat="1" x14ac:dyDescent="0.35">
      <c r="A758" s="86">
        <v>755</v>
      </c>
      <c r="B758" s="85"/>
      <c r="C758" s="87"/>
      <c r="D758" s="85"/>
      <c r="E758" s="84"/>
      <c r="F758" s="85"/>
      <c r="G758" s="87"/>
      <c r="H758" s="87"/>
      <c r="I758" s="87"/>
      <c r="J758" s="101"/>
      <c r="K758" s="87"/>
      <c r="L758" s="91"/>
      <c r="M758" s="91"/>
      <c r="N758" s="88">
        <f>Goods_Receipt[[#This Row],[ Invoice. /
 Received Qty ]]-Goods_Receipt[[#This Row],[ Accepted Qty ]]</f>
        <v>0</v>
      </c>
      <c r="O758" s="87"/>
      <c r="P758" s="87"/>
      <c r="Q758" s="87"/>
      <c r="R758" s="87"/>
      <c r="S758" s="87"/>
      <c r="T758" s="85"/>
      <c r="U758" s="89"/>
      <c r="V758" s="90"/>
      <c r="W758" s="87"/>
      <c r="X758" s="91"/>
      <c r="Y758" s="84"/>
      <c r="Z758" s="97"/>
    </row>
    <row r="759" spans="1:26" s="98" customFormat="1" x14ac:dyDescent="0.35">
      <c r="A759" s="86">
        <v>756</v>
      </c>
      <c r="B759" s="85"/>
      <c r="C759" s="87"/>
      <c r="D759" s="85"/>
      <c r="E759" s="84"/>
      <c r="F759" s="85"/>
      <c r="G759" s="87"/>
      <c r="H759" s="87"/>
      <c r="I759" s="87"/>
      <c r="J759" s="101"/>
      <c r="K759" s="87"/>
      <c r="L759" s="91"/>
      <c r="M759" s="91"/>
      <c r="N759" s="88">
        <f>Goods_Receipt[[#This Row],[ Invoice. /
 Received Qty ]]-Goods_Receipt[[#This Row],[ Accepted Qty ]]</f>
        <v>0</v>
      </c>
      <c r="O759" s="87"/>
      <c r="P759" s="87"/>
      <c r="Q759" s="87"/>
      <c r="R759" s="87"/>
      <c r="S759" s="87"/>
      <c r="T759" s="85"/>
      <c r="U759" s="89"/>
      <c r="V759" s="90"/>
      <c r="W759" s="87"/>
      <c r="X759" s="91"/>
      <c r="Y759" s="84"/>
      <c r="Z759" s="97"/>
    </row>
    <row r="760" spans="1:26" s="98" customFormat="1" x14ac:dyDescent="0.35">
      <c r="A760" s="86">
        <v>757</v>
      </c>
      <c r="B760" s="85"/>
      <c r="C760" s="87"/>
      <c r="D760" s="85"/>
      <c r="E760" s="84"/>
      <c r="F760" s="85"/>
      <c r="G760" s="87"/>
      <c r="H760" s="87"/>
      <c r="I760" s="87"/>
      <c r="J760" s="101"/>
      <c r="K760" s="87"/>
      <c r="L760" s="91"/>
      <c r="M760" s="91"/>
      <c r="N760" s="88">
        <f>Goods_Receipt[[#This Row],[ Invoice. /
 Received Qty ]]-Goods_Receipt[[#This Row],[ Accepted Qty ]]</f>
        <v>0</v>
      </c>
      <c r="O760" s="87"/>
      <c r="P760" s="87"/>
      <c r="Q760" s="87"/>
      <c r="R760" s="87"/>
      <c r="S760" s="87"/>
      <c r="T760" s="85"/>
      <c r="U760" s="89"/>
      <c r="V760" s="90"/>
      <c r="W760" s="87"/>
      <c r="X760" s="91"/>
      <c r="Y760" s="84"/>
      <c r="Z760" s="97"/>
    </row>
    <row r="761" spans="1:26" s="98" customFormat="1" x14ac:dyDescent="0.35">
      <c r="A761" s="86">
        <v>758</v>
      </c>
      <c r="B761" s="85"/>
      <c r="C761" s="87"/>
      <c r="D761" s="85"/>
      <c r="E761" s="84"/>
      <c r="F761" s="85"/>
      <c r="G761" s="87"/>
      <c r="H761" s="87"/>
      <c r="I761" s="87"/>
      <c r="J761" s="101"/>
      <c r="K761" s="87"/>
      <c r="L761" s="91"/>
      <c r="M761" s="91"/>
      <c r="N761" s="88">
        <f>Goods_Receipt[[#This Row],[ Invoice. /
 Received Qty ]]-Goods_Receipt[[#This Row],[ Accepted Qty ]]</f>
        <v>0</v>
      </c>
      <c r="O761" s="87"/>
      <c r="P761" s="87"/>
      <c r="Q761" s="87"/>
      <c r="R761" s="87"/>
      <c r="S761" s="87"/>
      <c r="T761" s="85"/>
      <c r="U761" s="89"/>
      <c r="V761" s="90"/>
      <c r="W761" s="87"/>
      <c r="X761" s="91"/>
      <c r="Y761" s="84"/>
      <c r="Z761" s="97"/>
    </row>
    <row r="762" spans="1:26" s="98" customFormat="1" x14ac:dyDescent="0.35">
      <c r="A762" s="86">
        <v>759</v>
      </c>
      <c r="B762" s="85"/>
      <c r="C762" s="87"/>
      <c r="D762" s="85"/>
      <c r="E762" s="84"/>
      <c r="F762" s="85"/>
      <c r="G762" s="87"/>
      <c r="H762" s="87"/>
      <c r="I762" s="87"/>
      <c r="J762" s="101"/>
      <c r="K762" s="87"/>
      <c r="L762" s="91"/>
      <c r="M762" s="91"/>
      <c r="N762" s="88">
        <f>Goods_Receipt[[#This Row],[ Invoice. /
 Received Qty ]]-Goods_Receipt[[#This Row],[ Accepted Qty ]]</f>
        <v>0</v>
      </c>
      <c r="O762" s="87"/>
      <c r="P762" s="87"/>
      <c r="Q762" s="87"/>
      <c r="R762" s="87"/>
      <c r="S762" s="87"/>
      <c r="T762" s="85"/>
      <c r="U762" s="89"/>
      <c r="V762" s="90"/>
      <c r="W762" s="87"/>
      <c r="X762" s="91"/>
      <c r="Y762" s="84"/>
      <c r="Z762" s="97"/>
    </row>
    <row r="763" spans="1:26" s="98" customFormat="1" x14ac:dyDescent="0.35">
      <c r="A763" s="86">
        <v>760</v>
      </c>
      <c r="B763" s="85"/>
      <c r="C763" s="87"/>
      <c r="D763" s="85"/>
      <c r="E763" s="84"/>
      <c r="F763" s="85"/>
      <c r="G763" s="87"/>
      <c r="H763" s="87"/>
      <c r="I763" s="87"/>
      <c r="J763" s="101"/>
      <c r="K763" s="87"/>
      <c r="L763" s="91"/>
      <c r="M763" s="91"/>
      <c r="N763" s="88">
        <f>Goods_Receipt[[#This Row],[ Invoice. /
 Received Qty ]]-Goods_Receipt[[#This Row],[ Accepted Qty ]]</f>
        <v>0</v>
      </c>
      <c r="O763" s="87"/>
      <c r="P763" s="87"/>
      <c r="Q763" s="87"/>
      <c r="R763" s="87"/>
      <c r="S763" s="87"/>
      <c r="T763" s="85"/>
      <c r="U763" s="89"/>
      <c r="V763" s="90"/>
      <c r="W763" s="87"/>
      <c r="X763" s="91"/>
      <c r="Y763" s="84"/>
      <c r="Z763" s="97"/>
    </row>
    <row r="764" spans="1:26" s="98" customFormat="1" x14ac:dyDescent="0.35">
      <c r="A764" s="86">
        <v>761</v>
      </c>
      <c r="B764" s="85"/>
      <c r="C764" s="87"/>
      <c r="D764" s="85"/>
      <c r="E764" s="84"/>
      <c r="F764" s="85"/>
      <c r="G764" s="87"/>
      <c r="H764" s="87"/>
      <c r="I764" s="87"/>
      <c r="J764" s="101"/>
      <c r="K764" s="87"/>
      <c r="L764" s="91"/>
      <c r="M764" s="91"/>
      <c r="N764" s="88">
        <f>Goods_Receipt[[#This Row],[ Invoice. /
 Received Qty ]]-Goods_Receipt[[#This Row],[ Accepted Qty ]]</f>
        <v>0</v>
      </c>
      <c r="O764" s="87"/>
      <c r="P764" s="87"/>
      <c r="Q764" s="87"/>
      <c r="R764" s="87"/>
      <c r="S764" s="87"/>
      <c r="T764" s="85"/>
      <c r="U764" s="89"/>
      <c r="V764" s="90"/>
      <c r="W764" s="87"/>
      <c r="X764" s="91"/>
      <c r="Y764" s="84"/>
      <c r="Z764" s="97"/>
    </row>
    <row r="765" spans="1:26" s="98" customFormat="1" x14ac:dyDescent="0.35">
      <c r="A765" s="86">
        <v>762</v>
      </c>
      <c r="B765" s="85"/>
      <c r="C765" s="87"/>
      <c r="D765" s="85"/>
      <c r="E765" s="84"/>
      <c r="F765" s="85"/>
      <c r="G765" s="87"/>
      <c r="H765" s="87"/>
      <c r="I765" s="87"/>
      <c r="J765" s="101"/>
      <c r="K765" s="87"/>
      <c r="L765" s="91"/>
      <c r="M765" s="91"/>
      <c r="N765" s="88">
        <f>Goods_Receipt[[#This Row],[ Invoice. /
 Received Qty ]]-Goods_Receipt[[#This Row],[ Accepted Qty ]]</f>
        <v>0</v>
      </c>
      <c r="O765" s="87"/>
      <c r="P765" s="87"/>
      <c r="Q765" s="87"/>
      <c r="R765" s="87"/>
      <c r="S765" s="87"/>
      <c r="T765" s="85"/>
      <c r="U765" s="89"/>
      <c r="V765" s="90"/>
      <c r="W765" s="87"/>
      <c r="X765" s="91"/>
      <c r="Y765" s="84"/>
      <c r="Z765" s="97"/>
    </row>
    <row r="766" spans="1:26" s="98" customFormat="1" x14ac:dyDescent="0.35">
      <c r="A766" s="86">
        <v>763</v>
      </c>
      <c r="B766" s="85"/>
      <c r="C766" s="87"/>
      <c r="D766" s="85"/>
      <c r="E766" s="84"/>
      <c r="F766" s="85"/>
      <c r="G766" s="87"/>
      <c r="H766" s="87"/>
      <c r="I766" s="87"/>
      <c r="J766" s="101"/>
      <c r="K766" s="87"/>
      <c r="L766" s="91"/>
      <c r="M766" s="91"/>
      <c r="N766" s="88">
        <f>Goods_Receipt[[#This Row],[ Invoice. /
 Received Qty ]]-Goods_Receipt[[#This Row],[ Accepted Qty ]]</f>
        <v>0</v>
      </c>
      <c r="O766" s="87"/>
      <c r="P766" s="87"/>
      <c r="Q766" s="87"/>
      <c r="R766" s="87"/>
      <c r="S766" s="87"/>
      <c r="T766" s="85"/>
      <c r="U766" s="89"/>
      <c r="V766" s="90"/>
      <c r="W766" s="87"/>
      <c r="X766" s="91"/>
      <c r="Y766" s="84"/>
      <c r="Z766" s="97"/>
    </row>
    <row r="767" spans="1:26" s="98" customFormat="1" x14ac:dyDescent="0.35">
      <c r="A767" s="86">
        <v>764</v>
      </c>
      <c r="B767" s="85"/>
      <c r="C767" s="87"/>
      <c r="D767" s="85"/>
      <c r="E767" s="84"/>
      <c r="F767" s="85"/>
      <c r="G767" s="87"/>
      <c r="H767" s="87"/>
      <c r="I767" s="87"/>
      <c r="J767" s="101"/>
      <c r="K767" s="87"/>
      <c r="L767" s="91"/>
      <c r="M767" s="91"/>
      <c r="N767" s="88">
        <f>Goods_Receipt[[#This Row],[ Invoice. /
 Received Qty ]]-Goods_Receipt[[#This Row],[ Accepted Qty ]]</f>
        <v>0</v>
      </c>
      <c r="O767" s="87"/>
      <c r="P767" s="87"/>
      <c r="Q767" s="87"/>
      <c r="R767" s="87"/>
      <c r="S767" s="87"/>
      <c r="T767" s="85"/>
      <c r="U767" s="89"/>
      <c r="V767" s="90"/>
      <c r="W767" s="87"/>
      <c r="X767" s="91"/>
      <c r="Y767" s="84"/>
      <c r="Z767" s="97"/>
    </row>
    <row r="768" spans="1:26" s="98" customFormat="1" x14ac:dyDescent="0.35">
      <c r="A768" s="86">
        <v>765</v>
      </c>
      <c r="B768" s="85"/>
      <c r="C768" s="87"/>
      <c r="D768" s="85"/>
      <c r="E768" s="84"/>
      <c r="F768" s="85"/>
      <c r="G768" s="87"/>
      <c r="H768" s="87"/>
      <c r="I768" s="87"/>
      <c r="J768" s="101"/>
      <c r="K768" s="87"/>
      <c r="L768" s="91"/>
      <c r="M768" s="91"/>
      <c r="N768" s="88">
        <f>Goods_Receipt[[#This Row],[ Invoice. /
 Received Qty ]]-Goods_Receipt[[#This Row],[ Accepted Qty ]]</f>
        <v>0</v>
      </c>
      <c r="O768" s="87"/>
      <c r="P768" s="87"/>
      <c r="Q768" s="87"/>
      <c r="R768" s="87"/>
      <c r="S768" s="87"/>
      <c r="T768" s="85"/>
      <c r="U768" s="89"/>
      <c r="V768" s="90"/>
      <c r="W768" s="87"/>
      <c r="X768" s="91"/>
      <c r="Y768" s="84"/>
      <c r="Z768" s="97"/>
    </row>
    <row r="769" spans="1:26" s="98" customFormat="1" x14ac:dyDescent="0.35">
      <c r="A769" s="86">
        <v>766</v>
      </c>
      <c r="B769" s="85"/>
      <c r="C769" s="87"/>
      <c r="D769" s="85"/>
      <c r="E769" s="84"/>
      <c r="F769" s="85"/>
      <c r="G769" s="87"/>
      <c r="H769" s="87"/>
      <c r="I769" s="87"/>
      <c r="J769" s="101"/>
      <c r="K769" s="87"/>
      <c r="L769" s="91"/>
      <c r="M769" s="91"/>
      <c r="N769" s="88">
        <f>Goods_Receipt[[#This Row],[ Invoice. /
 Received Qty ]]-Goods_Receipt[[#This Row],[ Accepted Qty ]]</f>
        <v>0</v>
      </c>
      <c r="O769" s="87"/>
      <c r="P769" s="87"/>
      <c r="Q769" s="87"/>
      <c r="R769" s="87"/>
      <c r="S769" s="87"/>
      <c r="T769" s="85"/>
      <c r="U769" s="89"/>
      <c r="V769" s="90"/>
      <c r="W769" s="87"/>
      <c r="X769" s="91"/>
      <c r="Y769" s="84"/>
      <c r="Z769" s="97"/>
    </row>
    <row r="770" spans="1:26" s="98" customFormat="1" x14ac:dyDescent="0.35">
      <c r="A770" s="86">
        <v>767</v>
      </c>
      <c r="B770" s="85"/>
      <c r="C770" s="87"/>
      <c r="D770" s="85"/>
      <c r="E770" s="84"/>
      <c r="F770" s="85"/>
      <c r="G770" s="87"/>
      <c r="H770" s="87"/>
      <c r="I770" s="87"/>
      <c r="J770" s="101"/>
      <c r="K770" s="87"/>
      <c r="L770" s="91"/>
      <c r="M770" s="91"/>
      <c r="N770" s="88">
        <f>Goods_Receipt[[#This Row],[ Invoice. /
 Received Qty ]]-Goods_Receipt[[#This Row],[ Accepted Qty ]]</f>
        <v>0</v>
      </c>
      <c r="O770" s="87"/>
      <c r="P770" s="87"/>
      <c r="Q770" s="87"/>
      <c r="R770" s="87"/>
      <c r="S770" s="87"/>
      <c r="T770" s="85"/>
      <c r="U770" s="89"/>
      <c r="V770" s="90"/>
      <c r="W770" s="87"/>
      <c r="X770" s="91"/>
      <c r="Y770" s="84"/>
      <c r="Z770" s="97"/>
    </row>
    <row r="771" spans="1:26" s="98" customFormat="1" x14ac:dyDescent="0.35">
      <c r="A771" s="86">
        <v>768</v>
      </c>
      <c r="B771" s="85"/>
      <c r="C771" s="87"/>
      <c r="D771" s="85"/>
      <c r="E771" s="84"/>
      <c r="F771" s="85"/>
      <c r="G771" s="87"/>
      <c r="H771" s="87"/>
      <c r="I771" s="87"/>
      <c r="J771" s="101"/>
      <c r="K771" s="87"/>
      <c r="L771" s="91"/>
      <c r="M771" s="91"/>
      <c r="N771" s="88">
        <f>Goods_Receipt[[#This Row],[ Invoice. /
 Received Qty ]]-Goods_Receipt[[#This Row],[ Accepted Qty ]]</f>
        <v>0</v>
      </c>
      <c r="O771" s="87"/>
      <c r="P771" s="87"/>
      <c r="Q771" s="87"/>
      <c r="R771" s="87"/>
      <c r="S771" s="87"/>
      <c r="T771" s="85"/>
      <c r="U771" s="89"/>
      <c r="V771" s="90"/>
      <c r="W771" s="87"/>
      <c r="X771" s="91"/>
      <c r="Y771" s="84"/>
      <c r="Z771" s="97"/>
    </row>
    <row r="772" spans="1:26" s="98" customFormat="1" x14ac:dyDescent="0.35">
      <c r="A772" s="86">
        <v>769</v>
      </c>
      <c r="B772" s="85"/>
      <c r="C772" s="87"/>
      <c r="D772" s="85"/>
      <c r="E772" s="84"/>
      <c r="F772" s="85"/>
      <c r="G772" s="87"/>
      <c r="H772" s="87"/>
      <c r="I772" s="87"/>
      <c r="J772" s="101"/>
      <c r="K772" s="87"/>
      <c r="L772" s="91"/>
      <c r="M772" s="91"/>
      <c r="N772" s="88">
        <f>Goods_Receipt[[#This Row],[ Invoice. /
 Received Qty ]]-Goods_Receipt[[#This Row],[ Accepted Qty ]]</f>
        <v>0</v>
      </c>
      <c r="O772" s="87"/>
      <c r="P772" s="87"/>
      <c r="Q772" s="87"/>
      <c r="R772" s="87"/>
      <c r="S772" s="87"/>
      <c r="T772" s="85"/>
      <c r="U772" s="89"/>
      <c r="V772" s="90"/>
      <c r="W772" s="87"/>
      <c r="X772" s="91"/>
      <c r="Y772" s="84"/>
      <c r="Z772" s="97"/>
    </row>
    <row r="773" spans="1:26" s="98" customFormat="1" x14ac:dyDescent="0.35">
      <c r="A773" s="86">
        <v>770</v>
      </c>
      <c r="B773" s="85"/>
      <c r="C773" s="87"/>
      <c r="D773" s="85"/>
      <c r="E773" s="84"/>
      <c r="F773" s="85"/>
      <c r="G773" s="87"/>
      <c r="H773" s="87"/>
      <c r="I773" s="87"/>
      <c r="J773" s="101"/>
      <c r="K773" s="87"/>
      <c r="L773" s="91"/>
      <c r="M773" s="91"/>
      <c r="N773" s="88">
        <f>Goods_Receipt[[#This Row],[ Invoice. /
 Received Qty ]]-Goods_Receipt[[#This Row],[ Accepted Qty ]]</f>
        <v>0</v>
      </c>
      <c r="O773" s="87"/>
      <c r="P773" s="87"/>
      <c r="Q773" s="87"/>
      <c r="R773" s="87"/>
      <c r="S773" s="87"/>
      <c r="T773" s="85"/>
      <c r="U773" s="89"/>
      <c r="V773" s="90"/>
      <c r="W773" s="87"/>
      <c r="X773" s="91"/>
      <c r="Y773" s="84"/>
      <c r="Z773" s="97"/>
    </row>
    <row r="774" spans="1:26" s="98" customFormat="1" x14ac:dyDescent="0.35">
      <c r="A774" s="86">
        <v>771</v>
      </c>
      <c r="B774" s="85"/>
      <c r="C774" s="87"/>
      <c r="D774" s="85"/>
      <c r="E774" s="84"/>
      <c r="F774" s="85"/>
      <c r="G774" s="87"/>
      <c r="H774" s="87"/>
      <c r="I774" s="87"/>
      <c r="J774" s="101"/>
      <c r="K774" s="87"/>
      <c r="L774" s="91"/>
      <c r="M774" s="91"/>
      <c r="N774" s="88">
        <f>Goods_Receipt[[#This Row],[ Invoice. /
 Received Qty ]]-Goods_Receipt[[#This Row],[ Accepted Qty ]]</f>
        <v>0</v>
      </c>
      <c r="O774" s="87"/>
      <c r="P774" s="87"/>
      <c r="Q774" s="87"/>
      <c r="R774" s="87"/>
      <c r="S774" s="87"/>
      <c r="T774" s="85"/>
      <c r="U774" s="89"/>
      <c r="V774" s="90"/>
      <c r="W774" s="87"/>
      <c r="X774" s="91"/>
      <c r="Y774" s="84"/>
      <c r="Z774" s="97"/>
    </row>
    <row r="775" spans="1:26" s="98" customFormat="1" x14ac:dyDescent="0.35">
      <c r="A775" s="86">
        <v>772</v>
      </c>
      <c r="B775" s="85"/>
      <c r="C775" s="87"/>
      <c r="D775" s="85"/>
      <c r="E775" s="84"/>
      <c r="F775" s="85"/>
      <c r="G775" s="87"/>
      <c r="H775" s="87"/>
      <c r="I775" s="87"/>
      <c r="J775" s="101"/>
      <c r="K775" s="87"/>
      <c r="L775" s="91"/>
      <c r="M775" s="91"/>
      <c r="N775" s="88">
        <f>Goods_Receipt[[#This Row],[ Invoice. /
 Received Qty ]]-Goods_Receipt[[#This Row],[ Accepted Qty ]]</f>
        <v>0</v>
      </c>
      <c r="O775" s="87"/>
      <c r="P775" s="87"/>
      <c r="Q775" s="87"/>
      <c r="R775" s="87"/>
      <c r="S775" s="87"/>
      <c r="T775" s="85"/>
      <c r="U775" s="89"/>
      <c r="V775" s="90"/>
      <c r="W775" s="87"/>
      <c r="X775" s="91"/>
      <c r="Y775" s="84"/>
      <c r="Z775" s="97"/>
    </row>
    <row r="776" spans="1:26" s="98" customFormat="1" x14ac:dyDescent="0.35">
      <c r="A776" s="86">
        <v>773</v>
      </c>
      <c r="B776" s="85"/>
      <c r="C776" s="87"/>
      <c r="D776" s="85"/>
      <c r="E776" s="84"/>
      <c r="F776" s="85"/>
      <c r="G776" s="87"/>
      <c r="H776" s="87"/>
      <c r="I776" s="87"/>
      <c r="J776" s="101"/>
      <c r="K776" s="87"/>
      <c r="L776" s="91"/>
      <c r="M776" s="91"/>
      <c r="N776" s="88">
        <f>Goods_Receipt[[#This Row],[ Invoice. /
 Received Qty ]]-Goods_Receipt[[#This Row],[ Accepted Qty ]]</f>
        <v>0</v>
      </c>
      <c r="O776" s="87"/>
      <c r="P776" s="87"/>
      <c r="Q776" s="87"/>
      <c r="R776" s="87"/>
      <c r="S776" s="87"/>
      <c r="T776" s="85"/>
      <c r="U776" s="89"/>
      <c r="V776" s="90"/>
      <c r="W776" s="87"/>
      <c r="X776" s="91"/>
      <c r="Y776" s="84"/>
      <c r="Z776" s="97"/>
    </row>
    <row r="777" spans="1:26" s="98" customFormat="1" x14ac:dyDescent="0.35">
      <c r="A777" s="86">
        <v>774</v>
      </c>
      <c r="B777" s="85"/>
      <c r="C777" s="87"/>
      <c r="D777" s="85"/>
      <c r="E777" s="84"/>
      <c r="F777" s="85"/>
      <c r="G777" s="87"/>
      <c r="H777" s="87"/>
      <c r="I777" s="87"/>
      <c r="J777" s="101"/>
      <c r="K777" s="87"/>
      <c r="L777" s="91"/>
      <c r="M777" s="91"/>
      <c r="N777" s="88">
        <f>Goods_Receipt[[#This Row],[ Invoice. /
 Received Qty ]]-Goods_Receipt[[#This Row],[ Accepted Qty ]]</f>
        <v>0</v>
      </c>
      <c r="O777" s="87"/>
      <c r="P777" s="87"/>
      <c r="Q777" s="87"/>
      <c r="R777" s="87"/>
      <c r="S777" s="87"/>
      <c r="T777" s="85"/>
      <c r="U777" s="89"/>
      <c r="V777" s="90"/>
      <c r="W777" s="87"/>
      <c r="X777" s="91"/>
      <c r="Y777" s="84"/>
      <c r="Z777" s="97"/>
    </row>
    <row r="778" spans="1:26" s="98" customFormat="1" x14ac:dyDescent="0.35">
      <c r="A778" s="86">
        <v>775</v>
      </c>
      <c r="B778" s="85"/>
      <c r="C778" s="87"/>
      <c r="D778" s="85"/>
      <c r="E778" s="84"/>
      <c r="F778" s="85"/>
      <c r="G778" s="87"/>
      <c r="H778" s="87"/>
      <c r="I778" s="87"/>
      <c r="J778" s="101"/>
      <c r="K778" s="87"/>
      <c r="L778" s="91"/>
      <c r="M778" s="91"/>
      <c r="N778" s="88">
        <f>Goods_Receipt[[#This Row],[ Invoice. /
 Received Qty ]]-Goods_Receipt[[#This Row],[ Accepted Qty ]]</f>
        <v>0</v>
      </c>
      <c r="O778" s="87"/>
      <c r="P778" s="87"/>
      <c r="Q778" s="87"/>
      <c r="R778" s="87"/>
      <c r="S778" s="87"/>
      <c r="T778" s="85"/>
      <c r="U778" s="89"/>
      <c r="V778" s="90"/>
      <c r="W778" s="87"/>
      <c r="X778" s="91"/>
      <c r="Y778" s="84"/>
      <c r="Z778" s="97"/>
    </row>
    <row r="779" spans="1:26" s="98" customFormat="1" x14ac:dyDescent="0.35">
      <c r="A779" s="86">
        <v>776</v>
      </c>
      <c r="B779" s="85"/>
      <c r="C779" s="87"/>
      <c r="D779" s="85"/>
      <c r="E779" s="84"/>
      <c r="F779" s="85"/>
      <c r="G779" s="87"/>
      <c r="H779" s="87"/>
      <c r="I779" s="87"/>
      <c r="J779" s="101"/>
      <c r="K779" s="87"/>
      <c r="L779" s="91"/>
      <c r="M779" s="91"/>
      <c r="N779" s="88">
        <f>Goods_Receipt[[#This Row],[ Invoice. /
 Received Qty ]]-Goods_Receipt[[#This Row],[ Accepted Qty ]]</f>
        <v>0</v>
      </c>
      <c r="O779" s="87"/>
      <c r="P779" s="87"/>
      <c r="Q779" s="87"/>
      <c r="R779" s="87"/>
      <c r="S779" s="87"/>
      <c r="T779" s="85"/>
      <c r="U779" s="89"/>
      <c r="V779" s="90"/>
      <c r="W779" s="87"/>
      <c r="X779" s="91"/>
      <c r="Y779" s="84"/>
      <c r="Z779" s="97"/>
    </row>
    <row r="780" spans="1:26" s="98" customFormat="1" x14ac:dyDescent="0.35">
      <c r="A780" s="86">
        <v>777</v>
      </c>
      <c r="B780" s="85"/>
      <c r="C780" s="87"/>
      <c r="D780" s="85"/>
      <c r="E780" s="84"/>
      <c r="F780" s="85"/>
      <c r="G780" s="87"/>
      <c r="H780" s="87"/>
      <c r="I780" s="87"/>
      <c r="J780" s="101"/>
      <c r="K780" s="87"/>
      <c r="L780" s="91"/>
      <c r="M780" s="91"/>
      <c r="N780" s="88">
        <f>Goods_Receipt[[#This Row],[ Invoice. /
 Received Qty ]]-Goods_Receipt[[#This Row],[ Accepted Qty ]]</f>
        <v>0</v>
      </c>
      <c r="O780" s="87"/>
      <c r="P780" s="87"/>
      <c r="Q780" s="87"/>
      <c r="R780" s="87"/>
      <c r="S780" s="87"/>
      <c r="T780" s="85"/>
      <c r="U780" s="89"/>
      <c r="V780" s="90"/>
      <c r="W780" s="87"/>
      <c r="X780" s="91"/>
      <c r="Y780" s="84"/>
      <c r="Z780" s="97"/>
    </row>
    <row r="781" spans="1:26" s="98" customFormat="1" x14ac:dyDescent="0.35">
      <c r="A781" s="86">
        <v>778</v>
      </c>
      <c r="B781" s="85"/>
      <c r="C781" s="87"/>
      <c r="D781" s="85"/>
      <c r="E781" s="84"/>
      <c r="F781" s="85"/>
      <c r="G781" s="87"/>
      <c r="H781" s="87"/>
      <c r="I781" s="87"/>
      <c r="J781" s="101"/>
      <c r="K781" s="87"/>
      <c r="L781" s="91"/>
      <c r="M781" s="91"/>
      <c r="N781" s="88">
        <f>Goods_Receipt[[#This Row],[ Invoice. /
 Received Qty ]]-Goods_Receipt[[#This Row],[ Accepted Qty ]]</f>
        <v>0</v>
      </c>
      <c r="O781" s="87"/>
      <c r="P781" s="87"/>
      <c r="Q781" s="87"/>
      <c r="R781" s="87"/>
      <c r="S781" s="87"/>
      <c r="T781" s="85"/>
      <c r="U781" s="89"/>
      <c r="V781" s="90"/>
      <c r="W781" s="87"/>
      <c r="X781" s="91"/>
      <c r="Y781" s="84"/>
      <c r="Z781" s="97"/>
    </row>
    <row r="782" spans="1:26" s="98" customFormat="1" x14ac:dyDescent="0.35">
      <c r="A782" s="86">
        <v>779</v>
      </c>
      <c r="B782" s="85"/>
      <c r="C782" s="87"/>
      <c r="D782" s="85"/>
      <c r="E782" s="84"/>
      <c r="F782" s="85"/>
      <c r="G782" s="87"/>
      <c r="H782" s="87"/>
      <c r="I782" s="87"/>
      <c r="J782" s="101"/>
      <c r="K782" s="87"/>
      <c r="L782" s="91"/>
      <c r="M782" s="91"/>
      <c r="N782" s="88">
        <f>Goods_Receipt[[#This Row],[ Invoice. /
 Received Qty ]]-Goods_Receipt[[#This Row],[ Accepted Qty ]]</f>
        <v>0</v>
      </c>
      <c r="O782" s="87"/>
      <c r="P782" s="87"/>
      <c r="Q782" s="87"/>
      <c r="R782" s="87"/>
      <c r="S782" s="87"/>
      <c r="T782" s="85"/>
      <c r="U782" s="89"/>
      <c r="V782" s="90"/>
      <c r="W782" s="87"/>
      <c r="X782" s="91"/>
      <c r="Y782" s="84"/>
      <c r="Z782" s="97"/>
    </row>
    <row r="783" spans="1:26" s="98" customFormat="1" x14ac:dyDescent="0.35">
      <c r="A783" s="86">
        <v>780</v>
      </c>
      <c r="B783" s="85"/>
      <c r="C783" s="87"/>
      <c r="D783" s="85"/>
      <c r="E783" s="84"/>
      <c r="F783" s="85"/>
      <c r="G783" s="87"/>
      <c r="H783" s="87"/>
      <c r="I783" s="87"/>
      <c r="J783" s="101"/>
      <c r="K783" s="87"/>
      <c r="L783" s="91"/>
      <c r="M783" s="91"/>
      <c r="N783" s="88">
        <f>Goods_Receipt[[#This Row],[ Invoice. /
 Received Qty ]]-Goods_Receipt[[#This Row],[ Accepted Qty ]]</f>
        <v>0</v>
      </c>
      <c r="O783" s="87"/>
      <c r="P783" s="87"/>
      <c r="Q783" s="87"/>
      <c r="R783" s="87"/>
      <c r="S783" s="87"/>
      <c r="T783" s="85"/>
      <c r="U783" s="89"/>
      <c r="V783" s="90"/>
      <c r="W783" s="87"/>
      <c r="X783" s="91"/>
      <c r="Y783" s="84"/>
      <c r="Z783" s="97"/>
    </row>
    <row r="784" spans="1:26" s="98" customFormat="1" x14ac:dyDescent="0.35">
      <c r="A784" s="86">
        <v>781</v>
      </c>
      <c r="B784" s="85"/>
      <c r="C784" s="87"/>
      <c r="D784" s="85"/>
      <c r="E784" s="84"/>
      <c r="F784" s="85"/>
      <c r="G784" s="87"/>
      <c r="H784" s="87"/>
      <c r="I784" s="87"/>
      <c r="J784" s="101"/>
      <c r="K784" s="87"/>
      <c r="L784" s="91"/>
      <c r="M784" s="91"/>
      <c r="N784" s="88">
        <f>Goods_Receipt[[#This Row],[ Invoice. /
 Received Qty ]]-Goods_Receipt[[#This Row],[ Accepted Qty ]]</f>
        <v>0</v>
      </c>
      <c r="O784" s="87"/>
      <c r="P784" s="87"/>
      <c r="Q784" s="87"/>
      <c r="R784" s="87"/>
      <c r="S784" s="87"/>
      <c r="T784" s="85"/>
      <c r="U784" s="89"/>
      <c r="V784" s="90"/>
      <c r="W784" s="87"/>
      <c r="X784" s="91"/>
      <c r="Y784" s="84"/>
      <c r="Z784" s="97"/>
    </row>
    <row r="785" spans="1:26" s="98" customFormat="1" x14ac:dyDescent="0.35">
      <c r="A785" s="86">
        <v>782</v>
      </c>
      <c r="B785" s="85"/>
      <c r="C785" s="87"/>
      <c r="D785" s="85"/>
      <c r="E785" s="84"/>
      <c r="F785" s="85"/>
      <c r="G785" s="87"/>
      <c r="H785" s="87"/>
      <c r="I785" s="87"/>
      <c r="J785" s="101"/>
      <c r="K785" s="87"/>
      <c r="L785" s="91"/>
      <c r="M785" s="91"/>
      <c r="N785" s="88">
        <f>Goods_Receipt[[#This Row],[ Invoice. /
 Received Qty ]]-Goods_Receipt[[#This Row],[ Accepted Qty ]]</f>
        <v>0</v>
      </c>
      <c r="O785" s="87"/>
      <c r="P785" s="87"/>
      <c r="Q785" s="87"/>
      <c r="R785" s="87"/>
      <c r="S785" s="87"/>
      <c r="T785" s="85"/>
      <c r="U785" s="89"/>
      <c r="V785" s="90"/>
      <c r="W785" s="87"/>
      <c r="X785" s="91"/>
      <c r="Y785" s="84"/>
      <c r="Z785" s="97"/>
    </row>
    <row r="786" spans="1:26" s="98" customFormat="1" x14ac:dyDescent="0.35">
      <c r="A786" s="86">
        <v>783</v>
      </c>
      <c r="B786" s="85"/>
      <c r="C786" s="87"/>
      <c r="D786" s="85"/>
      <c r="E786" s="84"/>
      <c r="F786" s="85"/>
      <c r="G786" s="87"/>
      <c r="H786" s="87"/>
      <c r="I786" s="87"/>
      <c r="J786" s="101"/>
      <c r="K786" s="87"/>
      <c r="L786" s="91"/>
      <c r="M786" s="91"/>
      <c r="N786" s="88">
        <f>Goods_Receipt[[#This Row],[ Invoice. /
 Received Qty ]]-Goods_Receipt[[#This Row],[ Accepted Qty ]]</f>
        <v>0</v>
      </c>
      <c r="O786" s="87"/>
      <c r="P786" s="87"/>
      <c r="Q786" s="87"/>
      <c r="R786" s="87"/>
      <c r="S786" s="87"/>
      <c r="T786" s="85"/>
      <c r="U786" s="89"/>
      <c r="V786" s="90"/>
      <c r="W786" s="87"/>
      <c r="X786" s="91"/>
      <c r="Y786" s="84"/>
      <c r="Z786" s="97"/>
    </row>
    <row r="787" spans="1:26" s="98" customFormat="1" x14ac:dyDescent="0.35">
      <c r="A787" s="86">
        <v>784</v>
      </c>
      <c r="B787" s="85"/>
      <c r="C787" s="87"/>
      <c r="D787" s="85"/>
      <c r="E787" s="84"/>
      <c r="F787" s="85"/>
      <c r="G787" s="87"/>
      <c r="H787" s="87"/>
      <c r="I787" s="87"/>
      <c r="J787" s="101"/>
      <c r="K787" s="87"/>
      <c r="L787" s="91"/>
      <c r="M787" s="91"/>
      <c r="N787" s="88">
        <f>Goods_Receipt[[#This Row],[ Invoice. /
 Received Qty ]]-Goods_Receipt[[#This Row],[ Accepted Qty ]]</f>
        <v>0</v>
      </c>
      <c r="O787" s="87"/>
      <c r="P787" s="87"/>
      <c r="Q787" s="87"/>
      <c r="R787" s="87"/>
      <c r="S787" s="87"/>
      <c r="T787" s="85"/>
      <c r="U787" s="89"/>
      <c r="V787" s="90"/>
      <c r="W787" s="87"/>
      <c r="X787" s="91"/>
      <c r="Y787" s="84"/>
      <c r="Z787" s="97"/>
    </row>
    <row r="788" spans="1:26" s="98" customFormat="1" x14ac:dyDescent="0.35">
      <c r="A788" s="86">
        <v>785</v>
      </c>
      <c r="B788" s="85"/>
      <c r="C788" s="87"/>
      <c r="D788" s="85"/>
      <c r="E788" s="84"/>
      <c r="F788" s="85"/>
      <c r="G788" s="87"/>
      <c r="H788" s="87"/>
      <c r="I788" s="87"/>
      <c r="J788" s="101"/>
      <c r="K788" s="87"/>
      <c r="L788" s="91"/>
      <c r="M788" s="91"/>
      <c r="N788" s="88">
        <f>Goods_Receipt[[#This Row],[ Invoice. /
 Received Qty ]]-Goods_Receipt[[#This Row],[ Accepted Qty ]]</f>
        <v>0</v>
      </c>
      <c r="O788" s="87"/>
      <c r="P788" s="87"/>
      <c r="Q788" s="87"/>
      <c r="R788" s="87"/>
      <c r="S788" s="87"/>
      <c r="T788" s="85"/>
      <c r="U788" s="89"/>
      <c r="V788" s="90"/>
      <c r="W788" s="87"/>
      <c r="X788" s="91"/>
      <c r="Y788" s="84"/>
      <c r="Z788" s="97"/>
    </row>
    <row r="789" spans="1:26" s="98" customFormat="1" x14ac:dyDescent="0.35">
      <c r="A789" s="86">
        <v>786</v>
      </c>
      <c r="B789" s="85"/>
      <c r="C789" s="87"/>
      <c r="D789" s="85"/>
      <c r="E789" s="84"/>
      <c r="F789" s="85"/>
      <c r="G789" s="87"/>
      <c r="H789" s="87"/>
      <c r="I789" s="87"/>
      <c r="J789" s="101"/>
      <c r="K789" s="87"/>
      <c r="L789" s="91"/>
      <c r="M789" s="91"/>
      <c r="N789" s="88">
        <f>Goods_Receipt[[#This Row],[ Invoice. /
 Received Qty ]]-Goods_Receipt[[#This Row],[ Accepted Qty ]]</f>
        <v>0</v>
      </c>
      <c r="O789" s="87"/>
      <c r="P789" s="87"/>
      <c r="Q789" s="87"/>
      <c r="R789" s="87"/>
      <c r="S789" s="87"/>
      <c r="T789" s="85"/>
      <c r="U789" s="89"/>
      <c r="V789" s="90"/>
      <c r="W789" s="87"/>
      <c r="X789" s="91"/>
      <c r="Y789" s="84"/>
      <c r="Z789" s="97"/>
    </row>
    <row r="790" spans="1:26" s="98" customFormat="1" x14ac:dyDescent="0.35">
      <c r="A790" s="86">
        <v>787</v>
      </c>
      <c r="B790" s="85"/>
      <c r="C790" s="87"/>
      <c r="D790" s="85"/>
      <c r="E790" s="84"/>
      <c r="F790" s="85"/>
      <c r="G790" s="87"/>
      <c r="H790" s="87"/>
      <c r="I790" s="87"/>
      <c r="J790" s="101"/>
      <c r="K790" s="87"/>
      <c r="L790" s="91"/>
      <c r="M790" s="91"/>
      <c r="N790" s="88">
        <f>Goods_Receipt[[#This Row],[ Invoice. /
 Received Qty ]]-Goods_Receipt[[#This Row],[ Accepted Qty ]]</f>
        <v>0</v>
      </c>
      <c r="O790" s="87"/>
      <c r="P790" s="87"/>
      <c r="Q790" s="87"/>
      <c r="R790" s="87"/>
      <c r="S790" s="87"/>
      <c r="T790" s="85"/>
      <c r="U790" s="89"/>
      <c r="V790" s="90"/>
      <c r="W790" s="87"/>
      <c r="X790" s="91"/>
      <c r="Y790" s="84"/>
      <c r="Z790" s="97"/>
    </row>
    <row r="791" spans="1:26" s="98" customFormat="1" x14ac:dyDescent="0.35">
      <c r="A791" s="86">
        <v>788</v>
      </c>
      <c r="B791" s="85"/>
      <c r="C791" s="87"/>
      <c r="D791" s="85"/>
      <c r="E791" s="84"/>
      <c r="F791" s="85"/>
      <c r="G791" s="87"/>
      <c r="H791" s="87"/>
      <c r="I791" s="87"/>
      <c r="J791" s="101"/>
      <c r="K791" s="87"/>
      <c r="L791" s="91"/>
      <c r="M791" s="91"/>
      <c r="N791" s="88">
        <f>Goods_Receipt[[#This Row],[ Invoice. /
 Received Qty ]]-Goods_Receipt[[#This Row],[ Accepted Qty ]]</f>
        <v>0</v>
      </c>
      <c r="O791" s="87"/>
      <c r="P791" s="87"/>
      <c r="Q791" s="87"/>
      <c r="R791" s="87"/>
      <c r="S791" s="87"/>
      <c r="T791" s="85"/>
      <c r="U791" s="89"/>
      <c r="V791" s="90"/>
      <c r="W791" s="87"/>
      <c r="X791" s="91"/>
      <c r="Y791" s="84"/>
      <c r="Z791" s="97"/>
    </row>
    <row r="792" spans="1:26" s="98" customFormat="1" x14ac:dyDescent="0.35">
      <c r="A792" s="86">
        <v>789</v>
      </c>
      <c r="B792" s="85"/>
      <c r="C792" s="87"/>
      <c r="D792" s="85"/>
      <c r="E792" s="84"/>
      <c r="F792" s="85"/>
      <c r="G792" s="87"/>
      <c r="H792" s="87"/>
      <c r="I792" s="87"/>
      <c r="J792" s="101"/>
      <c r="K792" s="87"/>
      <c r="L792" s="91"/>
      <c r="M792" s="91"/>
      <c r="N792" s="88">
        <f>Goods_Receipt[[#This Row],[ Invoice. /
 Received Qty ]]-Goods_Receipt[[#This Row],[ Accepted Qty ]]</f>
        <v>0</v>
      </c>
      <c r="O792" s="87"/>
      <c r="P792" s="87"/>
      <c r="Q792" s="87"/>
      <c r="R792" s="87"/>
      <c r="S792" s="87"/>
      <c r="T792" s="85"/>
      <c r="U792" s="89"/>
      <c r="V792" s="90"/>
      <c r="W792" s="87"/>
      <c r="X792" s="91"/>
      <c r="Y792" s="84"/>
      <c r="Z792" s="97"/>
    </row>
    <row r="793" spans="1:26" s="98" customFormat="1" x14ac:dyDescent="0.35">
      <c r="A793" s="86">
        <v>790</v>
      </c>
      <c r="B793" s="85"/>
      <c r="C793" s="87"/>
      <c r="D793" s="85"/>
      <c r="E793" s="84"/>
      <c r="F793" s="85"/>
      <c r="G793" s="87"/>
      <c r="H793" s="87"/>
      <c r="I793" s="87"/>
      <c r="J793" s="101"/>
      <c r="K793" s="87"/>
      <c r="L793" s="91"/>
      <c r="M793" s="91"/>
      <c r="N793" s="88">
        <f>Goods_Receipt[[#This Row],[ Invoice. /
 Received Qty ]]-Goods_Receipt[[#This Row],[ Accepted Qty ]]</f>
        <v>0</v>
      </c>
      <c r="O793" s="87"/>
      <c r="P793" s="87"/>
      <c r="Q793" s="87"/>
      <c r="R793" s="87"/>
      <c r="S793" s="87"/>
      <c r="T793" s="85"/>
      <c r="U793" s="89"/>
      <c r="V793" s="90"/>
      <c r="W793" s="87"/>
      <c r="X793" s="91"/>
      <c r="Y793" s="84"/>
      <c r="Z793" s="97"/>
    </row>
    <row r="794" spans="1:26" s="98" customFormat="1" x14ac:dyDescent="0.35">
      <c r="A794" s="86">
        <v>791</v>
      </c>
      <c r="B794" s="85"/>
      <c r="C794" s="87"/>
      <c r="D794" s="85"/>
      <c r="E794" s="84"/>
      <c r="F794" s="85"/>
      <c r="G794" s="87"/>
      <c r="H794" s="87"/>
      <c r="I794" s="87"/>
      <c r="J794" s="101"/>
      <c r="K794" s="87"/>
      <c r="L794" s="91"/>
      <c r="M794" s="91"/>
      <c r="N794" s="88">
        <f>Goods_Receipt[[#This Row],[ Invoice. /
 Received Qty ]]-Goods_Receipt[[#This Row],[ Accepted Qty ]]</f>
        <v>0</v>
      </c>
      <c r="O794" s="87"/>
      <c r="P794" s="87"/>
      <c r="Q794" s="87"/>
      <c r="R794" s="87"/>
      <c r="S794" s="87"/>
      <c r="T794" s="85"/>
      <c r="U794" s="89"/>
      <c r="V794" s="90"/>
      <c r="W794" s="87"/>
      <c r="X794" s="91"/>
      <c r="Y794" s="84"/>
      <c r="Z794" s="97"/>
    </row>
    <row r="795" spans="1:26" s="98" customFormat="1" x14ac:dyDescent="0.35">
      <c r="A795" s="86">
        <v>792</v>
      </c>
      <c r="B795" s="85"/>
      <c r="C795" s="87"/>
      <c r="D795" s="85"/>
      <c r="E795" s="84"/>
      <c r="F795" s="85"/>
      <c r="G795" s="87"/>
      <c r="H795" s="87"/>
      <c r="I795" s="87"/>
      <c r="J795" s="101"/>
      <c r="K795" s="87"/>
      <c r="L795" s="91"/>
      <c r="M795" s="91"/>
      <c r="N795" s="88">
        <f>Goods_Receipt[[#This Row],[ Invoice. /
 Received Qty ]]-Goods_Receipt[[#This Row],[ Accepted Qty ]]</f>
        <v>0</v>
      </c>
      <c r="O795" s="87"/>
      <c r="P795" s="87"/>
      <c r="Q795" s="87"/>
      <c r="R795" s="87"/>
      <c r="S795" s="87"/>
      <c r="T795" s="85"/>
      <c r="U795" s="89"/>
      <c r="V795" s="90"/>
      <c r="W795" s="87"/>
      <c r="X795" s="91"/>
      <c r="Y795" s="84"/>
      <c r="Z795" s="97"/>
    </row>
    <row r="796" spans="1:26" s="98" customFormat="1" x14ac:dyDescent="0.35">
      <c r="A796" s="86">
        <v>793</v>
      </c>
      <c r="B796" s="85"/>
      <c r="C796" s="87"/>
      <c r="D796" s="85"/>
      <c r="E796" s="84"/>
      <c r="F796" s="85"/>
      <c r="G796" s="87"/>
      <c r="H796" s="87"/>
      <c r="I796" s="87"/>
      <c r="J796" s="101"/>
      <c r="K796" s="87"/>
      <c r="L796" s="91"/>
      <c r="M796" s="91"/>
      <c r="N796" s="88">
        <f>Goods_Receipt[[#This Row],[ Invoice. /
 Received Qty ]]-Goods_Receipt[[#This Row],[ Accepted Qty ]]</f>
        <v>0</v>
      </c>
      <c r="O796" s="87"/>
      <c r="P796" s="87"/>
      <c r="Q796" s="87"/>
      <c r="R796" s="87"/>
      <c r="S796" s="87"/>
      <c r="T796" s="85"/>
      <c r="U796" s="89"/>
      <c r="V796" s="90"/>
      <c r="W796" s="87"/>
      <c r="X796" s="91"/>
      <c r="Y796" s="84"/>
      <c r="Z796" s="97"/>
    </row>
    <row r="797" spans="1:26" s="98" customFormat="1" x14ac:dyDescent="0.35">
      <c r="A797" s="86">
        <v>794</v>
      </c>
      <c r="B797" s="85"/>
      <c r="C797" s="87"/>
      <c r="D797" s="85"/>
      <c r="E797" s="84"/>
      <c r="F797" s="85"/>
      <c r="G797" s="87"/>
      <c r="H797" s="87"/>
      <c r="I797" s="87"/>
      <c r="J797" s="101"/>
      <c r="K797" s="87"/>
      <c r="L797" s="91"/>
      <c r="M797" s="91"/>
      <c r="N797" s="88">
        <f>Goods_Receipt[[#This Row],[ Invoice. /
 Received Qty ]]-Goods_Receipt[[#This Row],[ Accepted Qty ]]</f>
        <v>0</v>
      </c>
      <c r="O797" s="87"/>
      <c r="P797" s="87"/>
      <c r="Q797" s="87"/>
      <c r="R797" s="87"/>
      <c r="S797" s="87"/>
      <c r="T797" s="85"/>
      <c r="U797" s="89"/>
      <c r="V797" s="90"/>
      <c r="W797" s="87"/>
      <c r="X797" s="91"/>
      <c r="Y797" s="84"/>
      <c r="Z797" s="97"/>
    </row>
    <row r="798" spans="1:26" s="98" customFormat="1" x14ac:dyDescent="0.35">
      <c r="A798" s="86">
        <v>795</v>
      </c>
      <c r="B798" s="85"/>
      <c r="C798" s="87"/>
      <c r="D798" s="85"/>
      <c r="E798" s="84"/>
      <c r="F798" s="85"/>
      <c r="G798" s="87"/>
      <c r="H798" s="87"/>
      <c r="I798" s="87"/>
      <c r="J798" s="101"/>
      <c r="K798" s="87"/>
      <c r="L798" s="91"/>
      <c r="M798" s="91"/>
      <c r="N798" s="88">
        <f>Goods_Receipt[[#This Row],[ Invoice. /
 Received Qty ]]-Goods_Receipt[[#This Row],[ Accepted Qty ]]</f>
        <v>0</v>
      </c>
      <c r="O798" s="87"/>
      <c r="P798" s="87"/>
      <c r="Q798" s="87"/>
      <c r="R798" s="87"/>
      <c r="S798" s="87"/>
      <c r="T798" s="85"/>
      <c r="U798" s="89"/>
      <c r="V798" s="90"/>
      <c r="W798" s="87"/>
      <c r="X798" s="91"/>
      <c r="Y798" s="84"/>
      <c r="Z798" s="97"/>
    </row>
    <row r="799" spans="1:26" s="98" customFormat="1" x14ac:dyDescent="0.35">
      <c r="A799" s="86">
        <v>796</v>
      </c>
      <c r="B799" s="85"/>
      <c r="C799" s="87"/>
      <c r="D799" s="85"/>
      <c r="E799" s="84"/>
      <c r="F799" s="85"/>
      <c r="G799" s="87"/>
      <c r="H799" s="87"/>
      <c r="I799" s="87"/>
      <c r="J799" s="101"/>
      <c r="K799" s="87"/>
      <c r="L799" s="91"/>
      <c r="M799" s="91"/>
      <c r="N799" s="88">
        <f>Goods_Receipt[[#This Row],[ Invoice. /
 Received Qty ]]-Goods_Receipt[[#This Row],[ Accepted Qty ]]</f>
        <v>0</v>
      </c>
      <c r="O799" s="87"/>
      <c r="P799" s="87"/>
      <c r="Q799" s="87"/>
      <c r="R799" s="87"/>
      <c r="S799" s="87"/>
      <c r="T799" s="85"/>
      <c r="U799" s="89"/>
      <c r="V799" s="90"/>
      <c r="W799" s="87"/>
      <c r="X799" s="91"/>
      <c r="Y799" s="84"/>
      <c r="Z799" s="97"/>
    </row>
    <row r="800" spans="1:26" s="98" customFormat="1" x14ac:dyDescent="0.35">
      <c r="A800" s="86">
        <v>797</v>
      </c>
      <c r="B800" s="85"/>
      <c r="C800" s="87"/>
      <c r="D800" s="85"/>
      <c r="E800" s="84"/>
      <c r="F800" s="85"/>
      <c r="G800" s="87"/>
      <c r="H800" s="87"/>
      <c r="I800" s="87"/>
      <c r="J800" s="101"/>
      <c r="K800" s="87"/>
      <c r="L800" s="91"/>
      <c r="M800" s="91"/>
      <c r="N800" s="88">
        <f>Goods_Receipt[[#This Row],[ Invoice. /
 Received Qty ]]-Goods_Receipt[[#This Row],[ Accepted Qty ]]</f>
        <v>0</v>
      </c>
      <c r="O800" s="87"/>
      <c r="P800" s="87"/>
      <c r="Q800" s="87"/>
      <c r="R800" s="87"/>
      <c r="S800" s="87"/>
      <c r="T800" s="85"/>
      <c r="U800" s="89"/>
      <c r="V800" s="90"/>
      <c r="W800" s="87"/>
      <c r="X800" s="91"/>
      <c r="Y800" s="84"/>
      <c r="Z800" s="97"/>
    </row>
    <row r="801" spans="1:26" s="98" customFormat="1" x14ac:dyDescent="0.35">
      <c r="A801" s="86">
        <v>798</v>
      </c>
      <c r="B801" s="85"/>
      <c r="C801" s="87"/>
      <c r="D801" s="85"/>
      <c r="E801" s="84"/>
      <c r="F801" s="85"/>
      <c r="G801" s="87"/>
      <c r="H801" s="87"/>
      <c r="I801" s="87"/>
      <c r="J801" s="101"/>
      <c r="K801" s="87"/>
      <c r="L801" s="91"/>
      <c r="M801" s="91"/>
      <c r="N801" s="88">
        <f>Goods_Receipt[[#This Row],[ Invoice. /
 Received Qty ]]-Goods_Receipt[[#This Row],[ Accepted Qty ]]</f>
        <v>0</v>
      </c>
      <c r="O801" s="87"/>
      <c r="P801" s="87"/>
      <c r="Q801" s="87"/>
      <c r="R801" s="87"/>
      <c r="S801" s="87"/>
      <c r="T801" s="85"/>
      <c r="U801" s="89"/>
      <c r="V801" s="90"/>
      <c r="W801" s="87"/>
      <c r="X801" s="91"/>
      <c r="Y801" s="84"/>
      <c r="Z801" s="97"/>
    </row>
    <row r="802" spans="1:26" s="98" customFormat="1" x14ac:dyDescent="0.35">
      <c r="A802" s="86">
        <v>799</v>
      </c>
      <c r="B802" s="85"/>
      <c r="C802" s="87"/>
      <c r="D802" s="85"/>
      <c r="E802" s="84"/>
      <c r="F802" s="85"/>
      <c r="G802" s="87"/>
      <c r="H802" s="87"/>
      <c r="I802" s="87"/>
      <c r="J802" s="101"/>
      <c r="K802" s="87"/>
      <c r="L802" s="91"/>
      <c r="M802" s="91"/>
      <c r="N802" s="88">
        <f>Goods_Receipt[[#This Row],[ Invoice. /
 Received Qty ]]-Goods_Receipt[[#This Row],[ Accepted Qty ]]</f>
        <v>0</v>
      </c>
      <c r="O802" s="87"/>
      <c r="P802" s="87"/>
      <c r="Q802" s="87"/>
      <c r="R802" s="87"/>
      <c r="S802" s="87"/>
      <c r="T802" s="85"/>
      <c r="U802" s="89"/>
      <c r="V802" s="90"/>
      <c r="W802" s="87"/>
      <c r="X802" s="91"/>
      <c r="Y802" s="84"/>
      <c r="Z802" s="97"/>
    </row>
    <row r="803" spans="1:26" s="98" customFormat="1" x14ac:dyDescent="0.35">
      <c r="A803" s="86">
        <v>800</v>
      </c>
      <c r="B803" s="85"/>
      <c r="C803" s="87"/>
      <c r="D803" s="85"/>
      <c r="E803" s="84"/>
      <c r="F803" s="85"/>
      <c r="G803" s="87"/>
      <c r="H803" s="87"/>
      <c r="I803" s="87"/>
      <c r="J803" s="101"/>
      <c r="K803" s="87"/>
      <c r="L803" s="91"/>
      <c r="M803" s="91"/>
      <c r="N803" s="88">
        <f>Goods_Receipt[[#This Row],[ Invoice. /
 Received Qty ]]-Goods_Receipt[[#This Row],[ Accepted Qty ]]</f>
        <v>0</v>
      </c>
      <c r="O803" s="87"/>
      <c r="P803" s="87"/>
      <c r="Q803" s="87"/>
      <c r="R803" s="87"/>
      <c r="S803" s="87"/>
      <c r="T803" s="85"/>
      <c r="U803" s="89"/>
      <c r="V803" s="90"/>
      <c r="W803" s="87"/>
      <c r="X803" s="91"/>
      <c r="Y803" s="84"/>
      <c r="Z803" s="97"/>
    </row>
    <row r="804" spans="1:26" s="98" customFormat="1" x14ac:dyDescent="0.35">
      <c r="A804" s="86">
        <v>801</v>
      </c>
      <c r="B804" s="85"/>
      <c r="C804" s="87"/>
      <c r="D804" s="85"/>
      <c r="E804" s="84"/>
      <c r="F804" s="85"/>
      <c r="G804" s="87"/>
      <c r="H804" s="87"/>
      <c r="I804" s="87"/>
      <c r="J804" s="101"/>
      <c r="K804" s="87"/>
      <c r="L804" s="91"/>
      <c r="M804" s="91"/>
      <c r="N804" s="88">
        <f>Goods_Receipt[[#This Row],[ Invoice. /
 Received Qty ]]-Goods_Receipt[[#This Row],[ Accepted Qty ]]</f>
        <v>0</v>
      </c>
      <c r="O804" s="87"/>
      <c r="P804" s="87"/>
      <c r="Q804" s="87"/>
      <c r="R804" s="87"/>
      <c r="S804" s="87"/>
      <c r="T804" s="85"/>
      <c r="U804" s="89"/>
      <c r="V804" s="90"/>
      <c r="W804" s="87"/>
      <c r="X804" s="91"/>
      <c r="Y804" s="84"/>
      <c r="Z804" s="97"/>
    </row>
    <row r="805" spans="1:26" s="98" customFormat="1" x14ac:dyDescent="0.35">
      <c r="A805" s="86">
        <v>802</v>
      </c>
      <c r="B805" s="85"/>
      <c r="C805" s="87"/>
      <c r="D805" s="85"/>
      <c r="E805" s="84"/>
      <c r="F805" s="85"/>
      <c r="G805" s="87"/>
      <c r="H805" s="87"/>
      <c r="I805" s="87"/>
      <c r="J805" s="101"/>
      <c r="K805" s="87"/>
      <c r="L805" s="91"/>
      <c r="M805" s="91"/>
      <c r="N805" s="88">
        <f>Goods_Receipt[[#This Row],[ Invoice. /
 Received Qty ]]-Goods_Receipt[[#This Row],[ Accepted Qty ]]</f>
        <v>0</v>
      </c>
      <c r="O805" s="87"/>
      <c r="P805" s="87"/>
      <c r="Q805" s="87"/>
      <c r="R805" s="87"/>
      <c r="S805" s="87"/>
      <c r="T805" s="85"/>
      <c r="U805" s="89"/>
      <c r="V805" s="90"/>
      <c r="W805" s="87"/>
      <c r="X805" s="91"/>
      <c r="Y805" s="84"/>
      <c r="Z805" s="97"/>
    </row>
    <row r="806" spans="1:26" s="98" customFormat="1" x14ac:dyDescent="0.35">
      <c r="A806" s="86">
        <v>803</v>
      </c>
      <c r="B806" s="85"/>
      <c r="C806" s="87"/>
      <c r="D806" s="85"/>
      <c r="E806" s="84"/>
      <c r="F806" s="85"/>
      <c r="G806" s="87"/>
      <c r="H806" s="87"/>
      <c r="I806" s="87"/>
      <c r="J806" s="101"/>
      <c r="K806" s="87"/>
      <c r="L806" s="91"/>
      <c r="M806" s="91"/>
      <c r="N806" s="88">
        <f>Goods_Receipt[[#This Row],[ Invoice. /
 Received Qty ]]-Goods_Receipt[[#This Row],[ Accepted Qty ]]</f>
        <v>0</v>
      </c>
      <c r="O806" s="87"/>
      <c r="P806" s="87"/>
      <c r="Q806" s="87"/>
      <c r="R806" s="87"/>
      <c r="S806" s="87"/>
      <c r="T806" s="85"/>
      <c r="U806" s="89"/>
      <c r="V806" s="90"/>
      <c r="W806" s="87"/>
      <c r="X806" s="91"/>
      <c r="Y806" s="84"/>
      <c r="Z806" s="97"/>
    </row>
    <row r="807" spans="1:26" s="98" customFormat="1" x14ac:dyDescent="0.35">
      <c r="A807" s="86">
        <v>804</v>
      </c>
      <c r="B807" s="85"/>
      <c r="C807" s="87"/>
      <c r="D807" s="85"/>
      <c r="E807" s="84"/>
      <c r="F807" s="85"/>
      <c r="G807" s="87"/>
      <c r="H807" s="87"/>
      <c r="I807" s="87"/>
      <c r="J807" s="101"/>
      <c r="K807" s="87"/>
      <c r="L807" s="91"/>
      <c r="M807" s="91"/>
      <c r="N807" s="88">
        <f>Goods_Receipt[[#This Row],[ Invoice. /
 Received Qty ]]-Goods_Receipt[[#This Row],[ Accepted Qty ]]</f>
        <v>0</v>
      </c>
      <c r="O807" s="87"/>
      <c r="P807" s="87"/>
      <c r="Q807" s="87"/>
      <c r="R807" s="87"/>
      <c r="S807" s="87"/>
      <c r="T807" s="85"/>
      <c r="U807" s="89"/>
      <c r="V807" s="90"/>
      <c r="W807" s="87"/>
      <c r="X807" s="91"/>
      <c r="Y807" s="84"/>
      <c r="Z807" s="97"/>
    </row>
    <row r="808" spans="1:26" s="98" customFormat="1" x14ac:dyDescent="0.35">
      <c r="A808" s="86">
        <v>805</v>
      </c>
      <c r="B808" s="85"/>
      <c r="C808" s="87"/>
      <c r="D808" s="85"/>
      <c r="E808" s="84"/>
      <c r="F808" s="85"/>
      <c r="G808" s="87"/>
      <c r="H808" s="87"/>
      <c r="I808" s="87"/>
      <c r="J808" s="101"/>
      <c r="K808" s="87"/>
      <c r="L808" s="91"/>
      <c r="M808" s="91"/>
      <c r="N808" s="88">
        <f>Goods_Receipt[[#This Row],[ Invoice. /
 Received Qty ]]-Goods_Receipt[[#This Row],[ Accepted Qty ]]</f>
        <v>0</v>
      </c>
      <c r="O808" s="87"/>
      <c r="P808" s="87"/>
      <c r="Q808" s="87"/>
      <c r="R808" s="87"/>
      <c r="S808" s="87"/>
      <c r="T808" s="85"/>
      <c r="U808" s="89"/>
      <c r="V808" s="90"/>
      <c r="W808" s="87"/>
      <c r="X808" s="91"/>
      <c r="Y808" s="84"/>
      <c r="Z808" s="97"/>
    </row>
    <row r="809" spans="1:26" s="98" customFormat="1" x14ac:dyDescent="0.35">
      <c r="A809" s="86">
        <v>806</v>
      </c>
      <c r="B809" s="85"/>
      <c r="C809" s="87"/>
      <c r="D809" s="85"/>
      <c r="E809" s="84"/>
      <c r="F809" s="85"/>
      <c r="G809" s="87"/>
      <c r="H809" s="87"/>
      <c r="I809" s="87"/>
      <c r="J809" s="101"/>
      <c r="K809" s="87"/>
      <c r="L809" s="91"/>
      <c r="M809" s="91"/>
      <c r="N809" s="88">
        <f>Goods_Receipt[[#This Row],[ Invoice. /
 Received Qty ]]-Goods_Receipt[[#This Row],[ Accepted Qty ]]</f>
        <v>0</v>
      </c>
      <c r="O809" s="87"/>
      <c r="P809" s="87"/>
      <c r="Q809" s="87"/>
      <c r="R809" s="87"/>
      <c r="S809" s="87"/>
      <c r="T809" s="85"/>
      <c r="U809" s="89"/>
      <c r="V809" s="90"/>
      <c r="W809" s="87"/>
      <c r="X809" s="91"/>
      <c r="Y809" s="84"/>
      <c r="Z809" s="97"/>
    </row>
    <row r="810" spans="1:26" s="98" customFormat="1" x14ac:dyDescent="0.35">
      <c r="A810" s="86">
        <v>807</v>
      </c>
      <c r="B810" s="85"/>
      <c r="C810" s="87"/>
      <c r="D810" s="85"/>
      <c r="E810" s="84"/>
      <c r="F810" s="85"/>
      <c r="G810" s="87"/>
      <c r="H810" s="87"/>
      <c r="I810" s="87"/>
      <c r="J810" s="101"/>
      <c r="K810" s="87"/>
      <c r="L810" s="91"/>
      <c r="M810" s="91"/>
      <c r="N810" s="88">
        <f>Goods_Receipt[[#This Row],[ Invoice. /
 Received Qty ]]-Goods_Receipt[[#This Row],[ Accepted Qty ]]</f>
        <v>0</v>
      </c>
      <c r="O810" s="87"/>
      <c r="P810" s="87"/>
      <c r="Q810" s="87"/>
      <c r="R810" s="87"/>
      <c r="S810" s="87"/>
      <c r="T810" s="85"/>
      <c r="U810" s="89"/>
      <c r="V810" s="90"/>
      <c r="W810" s="87"/>
      <c r="X810" s="91"/>
      <c r="Y810" s="84"/>
      <c r="Z810" s="97"/>
    </row>
    <row r="811" spans="1:26" s="98" customFormat="1" x14ac:dyDescent="0.35">
      <c r="A811" s="86">
        <v>808</v>
      </c>
      <c r="B811" s="85"/>
      <c r="C811" s="87"/>
      <c r="D811" s="85"/>
      <c r="E811" s="84"/>
      <c r="F811" s="85"/>
      <c r="G811" s="87"/>
      <c r="H811" s="87"/>
      <c r="I811" s="87"/>
      <c r="J811" s="101"/>
      <c r="K811" s="87"/>
      <c r="L811" s="91"/>
      <c r="M811" s="91"/>
      <c r="N811" s="88">
        <f>Goods_Receipt[[#This Row],[ Invoice. /
 Received Qty ]]-Goods_Receipt[[#This Row],[ Accepted Qty ]]</f>
        <v>0</v>
      </c>
      <c r="O811" s="87"/>
      <c r="P811" s="87"/>
      <c r="Q811" s="87"/>
      <c r="R811" s="87"/>
      <c r="S811" s="87"/>
      <c r="T811" s="85"/>
      <c r="U811" s="89"/>
      <c r="V811" s="90"/>
      <c r="W811" s="87"/>
      <c r="X811" s="91"/>
      <c r="Y811" s="84"/>
      <c r="Z811" s="97"/>
    </row>
    <row r="812" spans="1:26" s="98" customFormat="1" x14ac:dyDescent="0.35">
      <c r="A812" s="86">
        <v>809</v>
      </c>
      <c r="B812" s="85"/>
      <c r="C812" s="87"/>
      <c r="D812" s="85"/>
      <c r="E812" s="84"/>
      <c r="F812" s="85"/>
      <c r="G812" s="87"/>
      <c r="H812" s="87"/>
      <c r="I812" s="87"/>
      <c r="J812" s="101"/>
      <c r="K812" s="87"/>
      <c r="L812" s="91"/>
      <c r="M812" s="91"/>
      <c r="N812" s="88">
        <f>Goods_Receipt[[#This Row],[ Invoice. /
 Received Qty ]]-Goods_Receipt[[#This Row],[ Accepted Qty ]]</f>
        <v>0</v>
      </c>
      <c r="O812" s="87"/>
      <c r="P812" s="87"/>
      <c r="Q812" s="87"/>
      <c r="R812" s="87"/>
      <c r="S812" s="87"/>
      <c r="T812" s="85"/>
      <c r="U812" s="89"/>
      <c r="V812" s="90"/>
      <c r="W812" s="87"/>
      <c r="X812" s="91"/>
      <c r="Y812" s="84"/>
      <c r="Z812" s="97"/>
    </row>
    <row r="813" spans="1:26" s="98" customFormat="1" x14ac:dyDescent="0.35">
      <c r="A813" s="86">
        <v>810</v>
      </c>
      <c r="B813" s="85"/>
      <c r="C813" s="87"/>
      <c r="D813" s="85"/>
      <c r="E813" s="84"/>
      <c r="F813" s="85"/>
      <c r="G813" s="87"/>
      <c r="H813" s="87"/>
      <c r="I813" s="87"/>
      <c r="J813" s="101"/>
      <c r="K813" s="87"/>
      <c r="L813" s="91"/>
      <c r="M813" s="91"/>
      <c r="N813" s="88">
        <f>Goods_Receipt[[#This Row],[ Invoice. /
 Received Qty ]]-Goods_Receipt[[#This Row],[ Accepted Qty ]]</f>
        <v>0</v>
      </c>
      <c r="O813" s="87"/>
      <c r="P813" s="87"/>
      <c r="Q813" s="87"/>
      <c r="R813" s="87"/>
      <c r="S813" s="87"/>
      <c r="T813" s="85"/>
      <c r="U813" s="89"/>
      <c r="V813" s="90"/>
      <c r="W813" s="87"/>
      <c r="X813" s="91"/>
      <c r="Y813" s="84"/>
      <c r="Z813" s="97"/>
    </row>
    <row r="814" spans="1:26" s="98" customFormat="1" x14ac:dyDescent="0.35">
      <c r="A814" s="86">
        <v>811</v>
      </c>
      <c r="B814" s="85"/>
      <c r="C814" s="87"/>
      <c r="D814" s="85"/>
      <c r="E814" s="84"/>
      <c r="F814" s="85"/>
      <c r="G814" s="87"/>
      <c r="H814" s="87"/>
      <c r="I814" s="87"/>
      <c r="J814" s="101"/>
      <c r="K814" s="87"/>
      <c r="L814" s="91"/>
      <c r="M814" s="91"/>
      <c r="N814" s="88">
        <f>Goods_Receipt[[#This Row],[ Invoice. /
 Received Qty ]]-Goods_Receipt[[#This Row],[ Accepted Qty ]]</f>
        <v>0</v>
      </c>
      <c r="O814" s="87"/>
      <c r="P814" s="87"/>
      <c r="Q814" s="87"/>
      <c r="R814" s="87"/>
      <c r="S814" s="87"/>
      <c r="T814" s="85"/>
      <c r="U814" s="89"/>
      <c r="V814" s="90"/>
      <c r="W814" s="87"/>
      <c r="X814" s="91"/>
      <c r="Y814" s="84"/>
      <c r="Z814" s="97"/>
    </row>
    <row r="815" spans="1:26" s="98" customFormat="1" x14ac:dyDescent="0.35">
      <c r="A815" s="86">
        <v>812</v>
      </c>
      <c r="B815" s="85"/>
      <c r="C815" s="87"/>
      <c r="D815" s="85"/>
      <c r="E815" s="84"/>
      <c r="F815" s="85"/>
      <c r="G815" s="87"/>
      <c r="H815" s="87"/>
      <c r="I815" s="87"/>
      <c r="J815" s="101"/>
      <c r="K815" s="87"/>
      <c r="L815" s="91"/>
      <c r="M815" s="91"/>
      <c r="N815" s="88">
        <f>Goods_Receipt[[#This Row],[ Invoice. /
 Received Qty ]]-Goods_Receipt[[#This Row],[ Accepted Qty ]]</f>
        <v>0</v>
      </c>
      <c r="O815" s="87"/>
      <c r="P815" s="87"/>
      <c r="Q815" s="87"/>
      <c r="R815" s="87"/>
      <c r="S815" s="87"/>
      <c r="T815" s="85"/>
      <c r="U815" s="89"/>
      <c r="V815" s="90"/>
      <c r="W815" s="87"/>
      <c r="X815" s="91"/>
      <c r="Y815" s="84"/>
      <c r="Z815" s="97"/>
    </row>
    <row r="816" spans="1:26" s="98" customFormat="1" x14ac:dyDescent="0.35">
      <c r="A816" s="86">
        <v>813</v>
      </c>
      <c r="B816" s="85"/>
      <c r="C816" s="87"/>
      <c r="D816" s="85"/>
      <c r="E816" s="84"/>
      <c r="F816" s="85"/>
      <c r="G816" s="87"/>
      <c r="H816" s="87"/>
      <c r="I816" s="87"/>
      <c r="J816" s="101"/>
      <c r="K816" s="87"/>
      <c r="L816" s="91"/>
      <c r="M816" s="91"/>
      <c r="N816" s="88">
        <f>Goods_Receipt[[#This Row],[ Invoice. /
 Received Qty ]]-Goods_Receipt[[#This Row],[ Accepted Qty ]]</f>
        <v>0</v>
      </c>
      <c r="O816" s="87"/>
      <c r="P816" s="87"/>
      <c r="Q816" s="87"/>
      <c r="R816" s="87"/>
      <c r="S816" s="87"/>
      <c r="T816" s="85"/>
      <c r="U816" s="89"/>
      <c r="V816" s="90"/>
      <c r="W816" s="87"/>
      <c r="X816" s="91"/>
      <c r="Y816" s="84"/>
      <c r="Z816" s="97"/>
    </row>
    <row r="817" spans="1:26" s="98" customFormat="1" x14ac:dyDescent="0.35">
      <c r="A817" s="86">
        <v>814</v>
      </c>
      <c r="B817" s="85"/>
      <c r="C817" s="87"/>
      <c r="D817" s="85"/>
      <c r="E817" s="84"/>
      <c r="F817" s="85"/>
      <c r="G817" s="87"/>
      <c r="H817" s="87"/>
      <c r="I817" s="87"/>
      <c r="J817" s="101"/>
      <c r="K817" s="87"/>
      <c r="L817" s="91"/>
      <c r="M817" s="91"/>
      <c r="N817" s="88">
        <f>Goods_Receipt[[#This Row],[ Invoice. /
 Received Qty ]]-Goods_Receipt[[#This Row],[ Accepted Qty ]]</f>
        <v>0</v>
      </c>
      <c r="O817" s="87"/>
      <c r="P817" s="87"/>
      <c r="Q817" s="87"/>
      <c r="R817" s="87"/>
      <c r="S817" s="87"/>
      <c r="T817" s="85"/>
      <c r="U817" s="89"/>
      <c r="V817" s="90"/>
      <c r="W817" s="87"/>
      <c r="X817" s="91"/>
      <c r="Y817" s="84"/>
      <c r="Z817" s="97"/>
    </row>
    <row r="818" spans="1:26" s="98" customFormat="1" x14ac:dyDescent="0.35">
      <c r="A818" s="86">
        <v>815</v>
      </c>
      <c r="B818" s="85"/>
      <c r="C818" s="87"/>
      <c r="D818" s="85"/>
      <c r="E818" s="84"/>
      <c r="F818" s="85"/>
      <c r="G818" s="87"/>
      <c r="H818" s="87"/>
      <c r="I818" s="87"/>
      <c r="J818" s="101"/>
      <c r="K818" s="87"/>
      <c r="L818" s="91"/>
      <c r="M818" s="91"/>
      <c r="N818" s="88">
        <f>Goods_Receipt[[#This Row],[ Invoice. /
 Received Qty ]]-Goods_Receipt[[#This Row],[ Accepted Qty ]]</f>
        <v>0</v>
      </c>
      <c r="O818" s="87"/>
      <c r="P818" s="87"/>
      <c r="Q818" s="87"/>
      <c r="R818" s="87"/>
      <c r="S818" s="87"/>
      <c r="T818" s="85"/>
      <c r="U818" s="89"/>
      <c r="V818" s="90"/>
      <c r="W818" s="87"/>
      <c r="X818" s="91"/>
      <c r="Y818" s="84"/>
      <c r="Z818" s="97"/>
    </row>
    <row r="819" spans="1:26" s="98" customFormat="1" x14ac:dyDescent="0.35">
      <c r="A819" s="86">
        <v>816</v>
      </c>
      <c r="B819" s="85"/>
      <c r="C819" s="87"/>
      <c r="D819" s="85"/>
      <c r="E819" s="84"/>
      <c r="F819" s="85"/>
      <c r="G819" s="87"/>
      <c r="H819" s="87"/>
      <c r="I819" s="87"/>
      <c r="J819" s="101"/>
      <c r="K819" s="87"/>
      <c r="L819" s="91"/>
      <c r="M819" s="91"/>
      <c r="N819" s="88">
        <f>Goods_Receipt[[#This Row],[ Invoice. /
 Received Qty ]]-Goods_Receipt[[#This Row],[ Accepted Qty ]]</f>
        <v>0</v>
      </c>
      <c r="O819" s="87"/>
      <c r="P819" s="87"/>
      <c r="Q819" s="87"/>
      <c r="R819" s="87"/>
      <c r="S819" s="87"/>
      <c r="T819" s="85"/>
      <c r="U819" s="89"/>
      <c r="V819" s="90"/>
      <c r="W819" s="87"/>
      <c r="X819" s="91"/>
      <c r="Y819" s="84"/>
      <c r="Z819" s="97"/>
    </row>
    <row r="820" spans="1:26" s="98" customFormat="1" x14ac:dyDescent="0.35">
      <c r="A820" s="86">
        <v>817</v>
      </c>
      <c r="B820" s="85"/>
      <c r="C820" s="87"/>
      <c r="D820" s="85"/>
      <c r="E820" s="84"/>
      <c r="F820" s="85"/>
      <c r="G820" s="87"/>
      <c r="H820" s="87"/>
      <c r="I820" s="87"/>
      <c r="J820" s="101"/>
      <c r="K820" s="87"/>
      <c r="L820" s="91"/>
      <c r="M820" s="91"/>
      <c r="N820" s="88">
        <f>Goods_Receipt[[#This Row],[ Invoice. /
 Received Qty ]]-Goods_Receipt[[#This Row],[ Accepted Qty ]]</f>
        <v>0</v>
      </c>
      <c r="O820" s="87"/>
      <c r="P820" s="87"/>
      <c r="Q820" s="87"/>
      <c r="R820" s="87"/>
      <c r="S820" s="87"/>
      <c r="T820" s="85"/>
      <c r="U820" s="89"/>
      <c r="V820" s="90"/>
      <c r="W820" s="87"/>
      <c r="X820" s="91"/>
      <c r="Y820" s="84"/>
      <c r="Z820" s="97"/>
    </row>
    <row r="821" spans="1:26" s="98" customFormat="1" x14ac:dyDescent="0.35">
      <c r="A821" s="86">
        <v>818</v>
      </c>
      <c r="B821" s="85"/>
      <c r="C821" s="87"/>
      <c r="D821" s="85"/>
      <c r="E821" s="84"/>
      <c r="F821" s="85"/>
      <c r="G821" s="87"/>
      <c r="H821" s="87"/>
      <c r="I821" s="87"/>
      <c r="J821" s="101"/>
      <c r="K821" s="87"/>
      <c r="L821" s="91"/>
      <c r="M821" s="91"/>
      <c r="N821" s="88">
        <f>Goods_Receipt[[#This Row],[ Invoice. /
 Received Qty ]]-Goods_Receipt[[#This Row],[ Accepted Qty ]]</f>
        <v>0</v>
      </c>
      <c r="O821" s="87"/>
      <c r="P821" s="87"/>
      <c r="Q821" s="87"/>
      <c r="R821" s="87"/>
      <c r="S821" s="87"/>
      <c r="T821" s="85"/>
      <c r="U821" s="89"/>
      <c r="V821" s="90"/>
      <c r="W821" s="87"/>
      <c r="X821" s="91"/>
      <c r="Y821" s="84"/>
      <c r="Z821" s="97"/>
    </row>
    <row r="822" spans="1:26" s="98" customFormat="1" x14ac:dyDescent="0.35">
      <c r="A822" s="86">
        <v>819</v>
      </c>
      <c r="B822" s="85"/>
      <c r="C822" s="87"/>
      <c r="D822" s="85"/>
      <c r="E822" s="84"/>
      <c r="F822" s="85"/>
      <c r="G822" s="87"/>
      <c r="H822" s="87"/>
      <c r="I822" s="87"/>
      <c r="J822" s="101"/>
      <c r="K822" s="87"/>
      <c r="L822" s="91"/>
      <c r="M822" s="91"/>
      <c r="N822" s="88">
        <f>Goods_Receipt[[#This Row],[ Invoice. /
 Received Qty ]]-Goods_Receipt[[#This Row],[ Accepted Qty ]]</f>
        <v>0</v>
      </c>
      <c r="O822" s="87"/>
      <c r="P822" s="87"/>
      <c r="Q822" s="87"/>
      <c r="R822" s="87"/>
      <c r="S822" s="87"/>
      <c r="T822" s="85"/>
      <c r="U822" s="89"/>
      <c r="V822" s="90"/>
      <c r="W822" s="87"/>
      <c r="X822" s="91"/>
      <c r="Y822" s="84"/>
      <c r="Z822" s="97"/>
    </row>
    <row r="823" spans="1:26" s="98" customFormat="1" x14ac:dyDescent="0.35">
      <c r="A823" s="86">
        <v>820</v>
      </c>
      <c r="B823" s="85"/>
      <c r="C823" s="87"/>
      <c r="D823" s="85"/>
      <c r="E823" s="84"/>
      <c r="F823" s="85"/>
      <c r="G823" s="87"/>
      <c r="H823" s="87"/>
      <c r="I823" s="87"/>
      <c r="J823" s="101"/>
      <c r="K823" s="87"/>
      <c r="L823" s="91"/>
      <c r="M823" s="91"/>
      <c r="N823" s="88">
        <f>Goods_Receipt[[#This Row],[ Invoice. /
 Received Qty ]]-Goods_Receipt[[#This Row],[ Accepted Qty ]]</f>
        <v>0</v>
      </c>
      <c r="O823" s="87"/>
      <c r="P823" s="87"/>
      <c r="Q823" s="87"/>
      <c r="R823" s="87"/>
      <c r="S823" s="87"/>
      <c r="T823" s="85"/>
      <c r="U823" s="89"/>
      <c r="V823" s="90"/>
      <c r="W823" s="87"/>
      <c r="X823" s="91"/>
      <c r="Y823" s="84"/>
      <c r="Z823" s="97"/>
    </row>
    <row r="824" spans="1:26" s="98" customFormat="1" x14ac:dyDescent="0.35">
      <c r="A824" s="86">
        <v>821</v>
      </c>
      <c r="B824" s="85"/>
      <c r="C824" s="87"/>
      <c r="D824" s="85"/>
      <c r="E824" s="84"/>
      <c r="F824" s="85"/>
      <c r="G824" s="87"/>
      <c r="H824" s="87"/>
      <c r="I824" s="87"/>
      <c r="J824" s="101"/>
      <c r="K824" s="87"/>
      <c r="L824" s="91"/>
      <c r="M824" s="91"/>
      <c r="N824" s="88">
        <f>Goods_Receipt[[#This Row],[ Invoice. /
 Received Qty ]]-Goods_Receipt[[#This Row],[ Accepted Qty ]]</f>
        <v>0</v>
      </c>
      <c r="O824" s="87"/>
      <c r="P824" s="87"/>
      <c r="Q824" s="87"/>
      <c r="R824" s="87"/>
      <c r="S824" s="87"/>
      <c r="T824" s="85"/>
      <c r="U824" s="89"/>
      <c r="V824" s="90"/>
      <c r="W824" s="87"/>
      <c r="X824" s="91"/>
      <c r="Y824" s="84"/>
      <c r="Z824" s="97"/>
    </row>
    <row r="825" spans="1:26" s="98" customFormat="1" x14ac:dyDescent="0.35">
      <c r="A825" s="86">
        <v>822</v>
      </c>
      <c r="B825" s="85"/>
      <c r="C825" s="87"/>
      <c r="D825" s="85"/>
      <c r="E825" s="84"/>
      <c r="F825" s="85"/>
      <c r="G825" s="87"/>
      <c r="H825" s="87"/>
      <c r="I825" s="87"/>
      <c r="J825" s="101"/>
      <c r="K825" s="87"/>
      <c r="L825" s="91"/>
      <c r="M825" s="91"/>
      <c r="N825" s="88">
        <f>Goods_Receipt[[#This Row],[ Invoice. /
 Received Qty ]]-Goods_Receipt[[#This Row],[ Accepted Qty ]]</f>
        <v>0</v>
      </c>
      <c r="O825" s="87"/>
      <c r="P825" s="87"/>
      <c r="Q825" s="87"/>
      <c r="R825" s="87"/>
      <c r="S825" s="87"/>
      <c r="T825" s="85"/>
      <c r="U825" s="89"/>
      <c r="V825" s="90"/>
      <c r="W825" s="87"/>
      <c r="X825" s="91"/>
      <c r="Y825" s="84"/>
      <c r="Z825" s="97"/>
    </row>
    <row r="826" spans="1:26" s="98" customFormat="1" x14ac:dyDescent="0.35">
      <c r="A826" s="86">
        <v>823</v>
      </c>
      <c r="B826" s="85"/>
      <c r="C826" s="87"/>
      <c r="D826" s="85"/>
      <c r="E826" s="84"/>
      <c r="F826" s="85"/>
      <c r="G826" s="87"/>
      <c r="H826" s="87"/>
      <c r="I826" s="87"/>
      <c r="J826" s="101"/>
      <c r="K826" s="87"/>
      <c r="L826" s="91"/>
      <c r="M826" s="91"/>
      <c r="N826" s="88">
        <f>Goods_Receipt[[#This Row],[ Invoice. /
 Received Qty ]]-Goods_Receipt[[#This Row],[ Accepted Qty ]]</f>
        <v>0</v>
      </c>
      <c r="O826" s="87"/>
      <c r="P826" s="87"/>
      <c r="Q826" s="87"/>
      <c r="R826" s="87"/>
      <c r="S826" s="87"/>
      <c r="T826" s="85"/>
      <c r="U826" s="89"/>
      <c r="V826" s="90"/>
      <c r="W826" s="87"/>
      <c r="X826" s="91"/>
      <c r="Y826" s="84"/>
      <c r="Z826" s="97"/>
    </row>
    <row r="827" spans="1:26" s="98" customFormat="1" x14ac:dyDescent="0.35">
      <c r="A827" s="86">
        <v>824</v>
      </c>
      <c r="B827" s="85"/>
      <c r="C827" s="87"/>
      <c r="D827" s="85"/>
      <c r="E827" s="84"/>
      <c r="F827" s="85"/>
      <c r="G827" s="87"/>
      <c r="H827" s="87"/>
      <c r="I827" s="87"/>
      <c r="J827" s="101"/>
      <c r="K827" s="87"/>
      <c r="L827" s="91"/>
      <c r="M827" s="91"/>
      <c r="N827" s="88">
        <f>Goods_Receipt[[#This Row],[ Invoice. /
 Received Qty ]]-Goods_Receipt[[#This Row],[ Accepted Qty ]]</f>
        <v>0</v>
      </c>
      <c r="O827" s="87"/>
      <c r="P827" s="87"/>
      <c r="Q827" s="87"/>
      <c r="R827" s="87"/>
      <c r="S827" s="87"/>
      <c r="T827" s="85"/>
      <c r="U827" s="89"/>
      <c r="V827" s="90"/>
      <c r="W827" s="87"/>
      <c r="X827" s="91"/>
      <c r="Y827" s="84"/>
      <c r="Z827" s="97"/>
    </row>
    <row r="828" spans="1:26" s="98" customFormat="1" x14ac:dyDescent="0.35">
      <c r="A828" s="86">
        <v>825</v>
      </c>
      <c r="B828" s="85"/>
      <c r="C828" s="87"/>
      <c r="D828" s="85"/>
      <c r="E828" s="84"/>
      <c r="F828" s="85"/>
      <c r="G828" s="87"/>
      <c r="H828" s="87"/>
      <c r="I828" s="87"/>
      <c r="J828" s="101"/>
      <c r="K828" s="87"/>
      <c r="L828" s="91"/>
      <c r="M828" s="91"/>
      <c r="N828" s="88">
        <f>Goods_Receipt[[#This Row],[ Invoice. /
 Received Qty ]]-Goods_Receipt[[#This Row],[ Accepted Qty ]]</f>
        <v>0</v>
      </c>
      <c r="O828" s="87"/>
      <c r="P828" s="87"/>
      <c r="Q828" s="87"/>
      <c r="R828" s="87"/>
      <c r="S828" s="87"/>
      <c r="T828" s="85"/>
      <c r="U828" s="89"/>
      <c r="V828" s="90"/>
      <c r="W828" s="87"/>
      <c r="X828" s="91"/>
      <c r="Y828" s="84"/>
      <c r="Z828" s="97"/>
    </row>
    <row r="829" spans="1:26" s="98" customFormat="1" x14ac:dyDescent="0.35">
      <c r="A829" s="86">
        <v>826</v>
      </c>
      <c r="B829" s="85"/>
      <c r="C829" s="87"/>
      <c r="D829" s="85"/>
      <c r="E829" s="84"/>
      <c r="F829" s="85"/>
      <c r="G829" s="87"/>
      <c r="H829" s="87"/>
      <c r="I829" s="87"/>
      <c r="J829" s="101"/>
      <c r="K829" s="87"/>
      <c r="L829" s="91"/>
      <c r="M829" s="91"/>
      <c r="N829" s="88">
        <f>Goods_Receipt[[#This Row],[ Invoice. /
 Received Qty ]]-Goods_Receipt[[#This Row],[ Accepted Qty ]]</f>
        <v>0</v>
      </c>
      <c r="O829" s="87"/>
      <c r="P829" s="87"/>
      <c r="Q829" s="87"/>
      <c r="R829" s="87"/>
      <c r="S829" s="87"/>
      <c r="T829" s="85"/>
      <c r="U829" s="89"/>
      <c r="V829" s="90"/>
      <c r="W829" s="87"/>
      <c r="X829" s="91"/>
      <c r="Y829" s="84"/>
      <c r="Z829" s="97"/>
    </row>
    <row r="830" spans="1:26" s="98" customFormat="1" x14ac:dyDescent="0.35">
      <c r="A830" s="86">
        <v>827</v>
      </c>
      <c r="B830" s="85"/>
      <c r="C830" s="87"/>
      <c r="D830" s="85"/>
      <c r="E830" s="84"/>
      <c r="F830" s="85"/>
      <c r="G830" s="87"/>
      <c r="H830" s="87"/>
      <c r="I830" s="87"/>
      <c r="J830" s="101"/>
      <c r="K830" s="87"/>
      <c r="L830" s="91"/>
      <c r="M830" s="91"/>
      <c r="N830" s="88">
        <f>Goods_Receipt[[#This Row],[ Invoice. /
 Received Qty ]]-Goods_Receipt[[#This Row],[ Accepted Qty ]]</f>
        <v>0</v>
      </c>
      <c r="O830" s="87"/>
      <c r="P830" s="87"/>
      <c r="Q830" s="87"/>
      <c r="R830" s="87"/>
      <c r="S830" s="87"/>
      <c r="T830" s="85"/>
      <c r="U830" s="89"/>
      <c r="V830" s="90"/>
      <c r="W830" s="87"/>
      <c r="X830" s="91"/>
      <c r="Y830" s="84"/>
      <c r="Z830" s="97"/>
    </row>
    <row r="831" spans="1:26" s="98" customFormat="1" x14ac:dyDescent="0.35">
      <c r="A831" s="86">
        <v>828</v>
      </c>
      <c r="B831" s="85"/>
      <c r="C831" s="87"/>
      <c r="D831" s="85"/>
      <c r="E831" s="84"/>
      <c r="F831" s="85"/>
      <c r="G831" s="87"/>
      <c r="H831" s="87"/>
      <c r="I831" s="87"/>
      <c r="J831" s="101"/>
      <c r="K831" s="87"/>
      <c r="L831" s="91"/>
      <c r="M831" s="91"/>
      <c r="N831" s="88">
        <f>Goods_Receipt[[#This Row],[ Invoice. /
 Received Qty ]]-Goods_Receipt[[#This Row],[ Accepted Qty ]]</f>
        <v>0</v>
      </c>
      <c r="O831" s="87"/>
      <c r="P831" s="87"/>
      <c r="Q831" s="87"/>
      <c r="R831" s="87"/>
      <c r="S831" s="87"/>
      <c r="T831" s="85"/>
      <c r="U831" s="89"/>
      <c r="V831" s="90"/>
      <c r="W831" s="87"/>
      <c r="X831" s="91"/>
      <c r="Y831" s="84"/>
      <c r="Z831" s="97"/>
    </row>
    <row r="832" spans="1:26" s="98" customFormat="1" x14ac:dyDescent="0.35">
      <c r="A832" s="86">
        <v>829</v>
      </c>
      <c r="B832" s="85"/>
      <c r="C832" s="87"/>
      <c r="D832" s="85"/>
      <c r="E832" s="84"/>
      <c r="F832" s="85"/>
      <c r="G832" s="87"/>
      <c r="H832" s="87"/>
      <c r="I832" s="87"/>
      <c r="J832" s="101"/>
      <c r="K832" s="87"/>
      <c r="L832" s="91"/>
      <c r="M832" s="91"/>
      <c r="N832" s="88">
        <f>Goods_Receipt[[#This Row],[ Invoice. /
 Received Qty ]]-Goods_Receipt[[#This Row],[ Accepted Qty ]]</f>
        <v>0</v>
      </c>
      <c r="O832" s="87"/>
      <c r="P832" s="87"/>
      <c r="Q832" s="87"/>
      <c r="R832" s="87"/>
      <c r="S832" s="87"/>
      <c r="T832" s="85"/>
      <c r="U832" s="89"/>
      <c r="V832" s="90"/>
      <c r="W832" s="87"/>
      <c r="X832" s="91"/>
      <c r="Y832" s="84"/>
      <c r="Z832" s="97"/>
    </row>
    <row r="833" spans="1:26" s="98" customFormat="1" x14ac:dyDescent="0.35">
      <c r="A833" s="86">
        <v>830</v>
      </c>
      <c r="B833" s="85"/>
      <c r="C833" s="87"/>
      <c r="D833" s="85"/>
      <c r="E833" s="84"/>
      <c r="F833" s="85"/>
      <c r="G833" s="87"/>
      <c r="H833" s="87"/>
      <c r="I833" s="87"/>
      <c r="J833" s="101"/>
      <c r="K833" s="87"/>
      <c r="L833" s="91"/>
      <c r="M833" s="91"/>
      <c r="N833" s="88">
        <f>Goods_Receipt[[#This Row],[ Invoice. /
 Received Qty ]]-Goods_Receipt[[#This Row],[ Accepted Qty ]]</f>
        <v>0</v>
      </c>
      <c r="O833" s="87"/>
      <c r="P833" s="87"/>
      <c r="Q833" s="87"/>
      <c r="R833" s="87"/>
      <c r="S833" s="87"/>
      <c r="T833" s="85"/>
      <c r="U833" s="89"/>
      <c r="V833" s="90"/>
      <c r="W833" s="87"/>
      <c r="X833" s="91"/>
      <c r="Y833" s="84"/>
      <c r="Z833" s="97"/>
    </row>
    <row r="834" spans="1:26" s="98" customFormat="1" x14ac:dyDescent="0.35">
      <c r="A834" s="86">
        <v>831</v>
      </c>
      <c r="B834" s="85"/>
      <c r="C834" s="87"/>
      <c r="D834" s="85"/>
      <c r="E834" s="84"/>
      <c r="F834" s="85"/>
      <c r="G834" s="87"/>
      <c r="H834" s="87"/>
      <c r="I834" s="87"/>
      <c r="J834" s="101"/>
      <c r="K834" s="87"/>
      <c r="L834" s="91"/>
      <c r="M834" s="91"/>
      <c r="N834" s="88">
        <f>Goods_Receipt[[#This Row],[ Invoice. /
 Received Qty ]]-Goods_Receipt[[#This Row],[ Accepted Qty ]]</f>
        <v>0</v>
      </c>
      <c r="O834" s="87"/>
      <c r="P834" s="87"/>
      <c r="Q834" s="87"/>
      <c r="R834" s="87"/>
      <c r="S834" s="87"/>
      <c r="T834" s="85"/>
      <c r="U834" s="89"/>
      <c r="V834" s="90"/>
      <c r="W834" s="87"/>
      <c r="X834" s="91"/>
      <c r="Y834" s="84"/>
      <c r="Z834" s="97"/>
    </row>
    <row r="835" spans="1:26" s="98" customFormat="1" x14ac:dyDescent="0.35">
      <c r="A835" s="86">
        <v>832</v>
      </c>
      <c r="B835" s="85"/>
      <c r="C835" s="87"/>
      <c r="D835" s="85"/>
      <c r="E835" s="84"/>
      <c r="F835" s="85"/>
      <c r="G835" s="87"/>
      <c r="H835" s="87"/>
      <c r="I835" s="87"/>
      <c r="J835" s="101"/>
      <c r="K835" s="87"/>
      <c r="L835" s="91"/>
      <c r="M835" s="91"/>
      <c r="N835" s="88">
        <f>Goods_Receipt[[#This Row],[ Invoice. /
 Received Qty ]]-Goods_Receipt[[#This Row],[ Accepted Qty ]]</f>
        <v>0</v>
      </c>
      <c r="O835" s="87"/>
      <c r="P835" s="87"/>
      <c r="Q835" s="87"/>
      <c r="R835" s="87"/>
      <c r="S835" s="87"/>
      <c r="T835" s="85"/>
      <c r="U835" s="89"/>
      <c r="V835" s="90"/>
      <c r="W835" s="87"/>
      <c r="X835" s="91"/>
      <c r="Y835" s="84"/>
      <c r="Z835" s="97"/>
    </row>
    <row r="836" spans="1:26" s="98" customFormat="1" x14ac:dyDescent="0.35">
      <c r="A836" s="86">
        <v>833</v>
      </c>
      <c r="B836" s="85"/>
      <c r="C836" s="87"/>
      <c r="D836" s="85"/>
      <c r="E836" s="84"/>
      <c r="F836" s="85"/>
      <c r="G836" s="87"/>
      <c r="H836" s="87"/>
      <c r="I836" s="87"/>
      <c r="J836" s="101"/>
      <c r="K836" s="87"/>
      <c r="L836" s="91"/>
      <c r="M836" s="91"/>
      <c r="N836" s="88">
        <f>Goods_Receipt[[#This Row],[ Invoice. /
 Received Qty ]]-Goods_Receipt[[#This Row],[ Accepted Qty ]]</f>
        <v>0</v>
      </c>
      <c r="O836" s="87"/>
      <c r="P836" s="87"/>
      <c r="Q836" s="87"/>
      <c r="R836" s="87"/>
      <c r="S836" s="87"/>
      <c r="T836" s="85"/>
      <c r="U836" s="89"/>
      <c r="V836" s="90"/>
      <c r="W836" s="87"/>
      <c r="X836" s="91"/>
      <c r="Y836" s="84"/>
      <c r="Z836" s="97"/>
    </row>
    <row r="837" spans="1:26" s="98" customFormat="1" x14ac:dyDescent="0.35">
      <c r="A837" s="86">
        <v>834</v>
      </c>
      <c r="B837" s="85"/>
      <c r="C837" s="87"/>
      <c r="D837" s="85"/>
      <c r="E837" s="84"/>
      <c r="F837" s="85"/>
      <c r="G837" s="87"/>
      <c r="H837" s="87"/>
      <c r="I837" s="87"/>
      <c r="J837" s="101"/>
      <c r="K837" s="87"/>
      <c r="L837" s="91"/>
      <c r="M837" s="91"/>
      <c r="N837" s="88">
        <f>Goods_Receipt[[#This Row],[ Invoice. /
 Received Qty ]]-Goods_Receipt[[#This Row],[ Accepted Qty ]]</f>
        <v>0</v>
      </c>
      <c r="O837" s="87"/>
      <c r="P837" s="87"/>
      <c r="Q837" s="87"/>
      <c r="R837" s="87"/>
      <c r="S837" s="87"/>
      <c r="T837" s="85"/>
      <c r="U837" s="89"/>
      <c r="V837" s="90"/>
      <c r="W837" s="87"/>
      <c r="X837" s="91"/>
      <c r="Y837" s="84"/>
      <c r="Z837" s="97"/>
    </row>
    <row r="838" spans="1:26" s="98" customFormat="1" x14ac:dyDescent="0.35">
      <c r="A838" s="86">
        <v>835</v>
      </c>
      <c r="B838" s="85"/>
      <c r="C838" s="87"/>
      <c r="D838" s="85"/>
      <c r="E838" s="84"/>
      <c r="F838" s="85"/>
      <c r="G838" s="87"/>
      <c r="H838" s="87"/>
      <c r="I838" s="87"/>
      <c r="J838" s="101"/>
      <c r="K838" s="87"/>
      <c r="L838" s="91"/>
      <c r="M838" s="91"/>
      <c r="N838" s="88">
        <f>Goods_Receipt[[#This Row],[ Invoice. /
 Received Qty ]]-Goods_Receipt[[#This Row],[ Accepted Qty ]]</f>
        <v>0</v>
      </c>
      <c r="O838" s="87"/>
      <c r="P838" s="87"/>
      <c r="Q838" s="87"/>
      <c r="R838" s="87"/>
      <c r="S838" s="87"/>
      <c r="T838" s="85"/>
      <c r="U838" s="89"/>
      <c r="V838" s="90"/>
      <c r="W838" s="87"/>
      <c r="X838" s="91"/>
      <c r="Y838" s="84"/>
      <c r="Z838" s="97"/>
    </row>
    <row r="839" spans="1:26" s="98" customFormat="1" x14ac:dyDescent="0.35">
      <c r="A839" s="86">
        <v>836</v>
      </c>
      <c r="B839" s="85"/>
      <c r="C839" s="87"/>
      <c r="D839" s="85"/>
      <c r="E839" s="84"/>
      <c r="F839" s="85"/>
      <c r="G839" s="87"/>
      <c r="H839" s="87"/>
      <c r="I839" s="87"/>
      <c r="J839" s="101"/>
      <c r="K839" s="87"/>
      <c r="L839" s="91"/>
      <c r="M839" s="91"/>
      <c r="N839" s="88">
        <f>Goods_Receipt[[#This Row],[ Invoice. /
 Received Qty ]]-Goods_Receipt[[#This Row],[ Accepted Qty ]]</f>
        <v>0</v>
      </c>
      <c r="O839" s="87"/>
      <c r="P839" s="87"/>
      <c r="Q839" s="87"/>
      <c r="R839" s="87"/>
      <c r="S839" s="87"/>
      <c r="T839" s="85"/>
      <c r="U839" s="89"/>
      <c r="V839" s="90"/>
      <c r="W839" s="87"/>
      <c r="X839" s="91"/>
      <c r="Y839" s="84"/>
      <c r="Z839" s="97"/>
    </row>
    <row r="840" spans="1:26" s="98" customFormat="1" x14ac:dyDescent="0.35">
      <c r="A840" s="86">
        <v>837</v>
      </c>
      <c r="B840" s="85"/>
      <c r="C840" s="87"/>
      <c r="D840" s="85"/>
      <c r="E840" s="84"/>
      <c r="F840" s="85"/>
      <c r="G840" s="87"/>
      <c r="H840" s="87"/>
      <c r="I840" s="87"/>
      <c r="J840" s="101"/>
      <c r="K840" s="87"/>
      <c r="L840" s="91"/>
      <c r="M840" s="91"/>
      <c r="N840" s="88">
        <f>Goods_Receipt[[#This Row],[ Invoice. /
 Received Qty ]]-Goods_Receipt[[#This Row],[ Accepted Qty ]]</f>
        <v>0</v>
      </c>
      <c r="O840" s="87"/>
      <c r="P840" s="87"/>
      <c r="Q840" s="87"/>
      <c r="R840" s="87"/>
      <c r="S840" s="87"/>
      <c r="T840" s="85"/>
      <c r="U840" s="89"/>
      <c r="V840" s="90"/>
      <c r="W840" s="87"/>
      <c r="X840" s="91"/>
      <c r="Y840" s="84"/>
      <c r="Z840" s="97"/>
    </row>
    <row r="841" spans="1:26" s="98" customFormat="1" x14ac:dyDescent="0.35">
      <c r="A841" s="86">
        <v>838</v>
      </c>
      <c r="B841" s="85"/>
      <c r="C841" s="87"/>
      <c r="D841" s="85"/>
      <c r="E841" s="84"/>
      <c r="F841" s="85"/>
      <c r="G841" s="87"/>
      <c r="H841" s="87"/>
      <c r="I841" s="87"/>
      <c r="J841" s="101"/>
      <c r="K841" s="87"/>
      <c r="L841" s="91"/>
      <c r="M841" s="91"/>
      <c r="N841" s="88">
        <f>Goods_Receipt[[#This Row],[ Invoice. /
 Received Qty ]]-Goods_Receipt[[#This Row],[ Accepted Qty ]]</f>
        <v>0</v>
      </c>
      <c r="O841" s="87"/>
      <c r="P841" s="87"/>
      <c r="Q841" s="87"/>
      <c r="R841" s="87"/>
      <c r="S841" s="87"/>
      <c r="T841" s="85"/>
      <c r="U841" s="89"/>
      <c r="V841" s="90"/>
      <c r="W841" s="87"/>
      <c r="X841" s="91"/>
      <c r="Y841" s="84"/>
      <c r="Z841" s="97"/>
    </row>
    <row r="842" spans="1:26" s="98" customFormat="1" x14ac:dyDescent="0.35">
      <c r="A842" s="86">
        <v>839</v>
      </c>
      <c r="B842" s="85"/>
      <c r="C842" s="87"/>
      <c r="D842" s="85"/>
      <c r="E842" s="84"/>
      <c r="F842" s="85"/>
      <c r="G842" s="87"/>
      <c r="H842" s="87"/>
      <c r="I842" s="87"/>
      <c r="J842" s="101"/>
      <c r="K842" s="87"/>
      <c r="L842" s="91"/>
      <c r="M842" s="91"/>
      <c r="N842" s="88">
        <f>Goods_Receipt[[#This Row],[ Invoice. /
 Received Qty ]]-Goods_Receipt[[#This Row],[ Accepted Qty ]]</f>
        <v>0</v>
      </c>
      <c r="O842" s="87"/>
      <c r="P842" s="87"/>
      <c r="Q842" s="87"/>
      <c r="R842" s="87"/>
      <c r="S842" s="87"/>
      <c r="T842" s="85"/>
      <c r="U842" s="89"/>
      <c r="V842" s="90"/>
      <c r="W842" s="87"/>
      <c r="X842" s="91"/>
      <c r="Y842" s="84"/>
      <c r="Z842" s="97"/>
    </row>
    <row r="843" spans="1:26" s="98" customFormat="1" x14ac:dyDescent="0.35">
      <c r="A843" s="86">
        <v>840</v>
      </c>
      <c r="B843" s="85"/>
      <c r="C843" s="87"/>
      <c r="D843" s="85"/>
      <c r="E843" s="84"/>
      <c r="F843" s="85"/>
      <c r="G843" s="87"/>
      <c r="H843" s="87"/>
      <c r="I843" s="87"/>
      <c r="J843" s="101"/>
      <c r="K843" s="87"/>
      <c r="L843" s="91"/>
      <c r="M843" s="91"/>
      <c r="N843" s="88">
        <f>Goods_Receipt[[#This Row],[ Invoice. /
 Received Qty ]]-Goods_Receipt[[#This Row],[ Accepted Qty ]]</f>
        <v>0</v>
      </c>
      <c r="O843" s="87"/>
      <c r="P843" s="87"/>
      <c r="Q843" s="87"/>
      <c r="R843" s="87"/>
      <c r="S843" s="87"/>
      <c r="T843" s="85"/>
      <c r="U843" s="89"/>
      <c r="V843" s="90"/>
      <c r="W843" s="87"/>
      <c r="X843" s="91"/>
      <c r="Y843" s="84"/>
      <c r="Z843" s="97"/>
    </row>
    <row r="844" spans="1:26" s="98" customFormat="1" x14ac:dyDescent="0.35">
      <c r="A844" s="86">
        <v>841</v>
      </c>
      <c r="B844" s="85"/>
      <c r="C844" s="87"/>
      <c r="D844" s="85"/>
      <c r="E844" s="84"/>
      <c r="F844" s="85"/>
      <c r="G844" s="87"/>
      <c r="H844" s="87"/>
      <c r="I844" s="87"/>
      <c r="J844" s="101"/>
      <c r="K844" s="87"/>
      <c r="L844" s="91"/>
      <c r="M844" s="91"/>
      <c r="N844" s="88">
        <f>Goods_Receipt[[#This Row],[ Invoice. /
 Received Qty ]]-Goods_Receipt[[#This Row],[ Accepted Qty ]]</f>
        <v>0</v>
      </c>
      <c r="O844" s="87"/>
      <c r="P844" s="87"/>
      <c r="Q844" s="87"/>
      <c r="R844" s="87"/>
      <c r="S844" s="87"/>
      <c r="T844" s="85"/>
      <c r="U844" s="89"/>
      <c r="V844" s="90"/>
      <c r="W844" s="87"/>
      <c r="X844" s="91"/>
      <c r="Y844" s="84"/>
      <c r="Z844" s="97"/>
    </row>
    <row r="845" spans="1:26" s="98" customFormat="1" x14ac:dyDescent="0.35">
      <c r="A845" s="86">
        <v>842</v>
      </c>
      <c r="B845" s="85"/>
      <c r="C845" s="87"/>
      <c r="D845" s="85"/>
      <c r="E845" s="84"/>
      <c r="F845" s="85"/>
      <c r="G845" s="87"/>
      <c r="H845" s="87"/>
      <c r="I845" s="87"/>
      <c r="J845" s="101"/>
      <c r="K845" s="87"/>
      <c r="L845" s="91"/>
      <c r="M845" s="91"/>
      <c r="N845" s="88">
        <f>Goods_Receipt[[#This Row],[ Invoice. /
 Received Qty ]]-Goods_Receipt[[#This Row],[ Accepted Qty ]]</f>
        <v>0</v>
      </c>
      <c r="O845" s="87"/>
      <c r="P845" s="87"/>
      <c r="Q845" s="87"/>
      <c r="R845" s="87"/>
      <c r="S845" s="87"/>
      <c r="T845" s="85"/>
      <c r="U845" s="89"/>
      <c r="V845" s="90"/>
      <c r="W845" s="87"/>
      <c r="X845" s="91"/>
      <c r="Y845" s="84"/>
      <c r="Z845" s="97"/>
    </row>
    <row r="846" spans="1:26" s="98" customFormat="1" x14ac:dyDescent="0.35">
      <c r="A846" s="86">
        <v>843</v>
      </c>
      <c r="B846" s="85"/>
      <c r="C846" s="87"/>
      <c r="D846" s="85"/>
      <c r="E846" s="84"/>
      <c r="F846" s="85"/>
      <c r="G846" s="87"/>
      <c r="H846" s="87"/>
      <c r="I846" s="87"/>
      <c r="J846" s="101"/>
      <c r="K846" s="87"/>
      <c r="L846" s="91"/>
      <c r="M846" s="91"/>
      <c r="N846" s="88">
        <f>Goods_Receipt[[#This Row],[ Invoice. /
 Received Qty ]]-Goods_Receipt[[#This Row],[ Accepted Qty ]]</f>
        <v>0</v>
      </c>
      <c r="O846" s="87"/>
      <c r="P846" s="87"/>
      <c r="Q846" s="87"/>
      <c r="R846" s="87"/>
      <c r="S846" s="87"/>
      <c r="T846" s="85"/>
      <c r="U846" s="89"/>
      <c r="V846" s="90"/>
      <c r="W846" s="87"/>
      <c r="X846" s="91"/>
      <c r="Y846" s="84"/>
      <c r="Z846" s="97"/>
    </row>
    <row r="847" spans="1:26" s="98" customFormat="1" x14ac:dyDescent="0.35">
      <c r="A847" s="86">
        <v>844</v>
      </c>
      <c r="B847" s="85"/>
      <c r="C847" s="87"/>
      <c r="D847" s="85"/>
      <c r="E847" s="84"/>
      <c r="F847" s="85"/>
      <c r="G847" s="87"/>
      <c r="H847" s="87"/>
      <c r="I847" s="87"/>
      <c r="J847" s="101"/>
      <c r="K847" s="87"/>
      <c r="L847" s="91"/>
      <c r="M847" s="91"/>
      <c r="N847" s="88">
        <f>Goods_Receipt[[#This Row],[ Invoice. /
 Received Qty ]]-Goods_Receipt[[#This Row],[ Accepted Qty ]]</f>
        <v>0</v>
      </c>
      <c r="O847" s="87"/>
      <c r="P847" s="87"/>
      <c r="Q847" s="87"/>
      <c r="R847" s="87"/>
      <c r="S847" s="87"/>
      <c r="T847" s="85"/>
      <c r="U847" s="89"/>
      <c r="V847" s="90"/>
      <c r="W847" s="87"/>
      <c r="X847" s="91"/>
      <c r="Y847" s="84"/>
      <c r="Z847" s="97"/>
    </row>
    <row r="848" spans="1:26" s="98" customFormat="1" x14ac:dyDescent="0.35">
      <c r="A848" s="86">
        <v>845</v>
      </c>
      <c r="B848" s="85"/>
      <c r="C848" s="87"/>
      <c r="D848" s="85"/>
      <c r="E848" s="84"/>
      <c r="F848" s="85"/>
      <c r="G848" s="87"/>
      <c r="H848" s="87"/>
      <c r="I848" s="87"/>
      <c r="J848" s="101"/>
      <c r="K848" s="87"/>
      <c r="L848" s="91"/>
      <c r="M848" s="91"/>
      <c r="N848" s="88">
        <f>Goods_Receipt[[#This Row],[ Invoice. /
 Received Qty ]]-Goods_Receipt[[#This Row],[ Accepted Qty ]]</f>
        <v>0</v>
      </c>
      <c r="O848" s="87"/>
      <c r="P848" s="87"/>
      <c r="Q848" s="87"/>
      <c r="R848" s="87"/>
      <c r="S848" s="87"/>
      <c r="T848" s="85"/>
      <c r="U848" s="89"/>
      <c r="V848" s="90"/>
      <c r="W848" s="87"/>
      <c r="X848" s="91"/>
      <c r="Y848" s="84"/>
      <c r="Z848" s="97"/>
    </row>
    <row r="849" spans="1:26" s="98" customFormat="1" x14ac:dyDescent="0.35">
      <c r="A849" s="86">
        <v>846</v>
      </c>
      <c r="B849" s="85"/>
      <c r="C849" s="87"/>
      <c r="D849" s="85"/>
      <c r="E849" s="84"/>
      <c r="F849" s="85"/>
      <c r="G849" s="87"/>
      <c r="H849" s="87"/>
      <c r="I849" s="87"/>
      <c r="J849" s="101"/>
      <c r="K849" s="87"/>
      <c r="L849" s="91"/>
      <c r="M849" s="91"/>
      <c r="N849" s="88">
        <f>Goods_Receipt[[#This Row],[ Invoice. /
 Received Qty ]]-Goods_Receipt[[#This Row],[ Accepted Qty ]]</f>
        <v>0</v>
      </c>
      <c r="O849" s="87"/>
      <c r="P849" s="87"/>
      <c r="Q849" s="87"/>
      <c r="R849" s="87"/>
      <c r="S849" s="87"/>
      <c r="T849" s="85"/>
      <c r="U849" s="89"/>
      <c r="V849" s="90"/>
      <c r="W849" s="87"/>
      <c r="X849" s="91"/>
      <c r="Y849" s="84"/>
      <c r="Z849" s="97"/>
    </row>
    <row r="850" spans="1:26" s="98" customFormat="1" x14ac:dyDescent="0.35">
      <c r="A850" s="86">
        <v>847</v>
      </c>
      <c r="B850" s="85"/>
      <c r="C850" s="87"/>
      <c r="D850" s="85"/>
      <c r="E850" s="84"/>
      <c r="F850" s="85"/>
      <c r="G850" s="87"/>
      <c r="H850" s="87"/>
      <c r="I850" s="87"/>
      <c r="J850" s="101"/>
      <c r="K850" s="87"/>
      <c r="L850" s="91"/>
      <c r="M850" s="91"/>
      <c r="N850" s="88">
        <f>Goods_Receipt[[#This Row],[ Invoice. /
 Received Qty ]]-Goods_Receipt[[#This Row],[ Accepted Qty ]]</f>
        <v>0</v>
      </c>
      <c r="O850" s="87"/>
      <c r="P850" s="87"/>
      <c r="Q850" s="87"/>
      <c r="R850" s="87"/>
      <c r="S850" s="87"/>
      <c r="T850" s="85"/>
      <c r="U850" s="89"/>
      <c r="V850" s="90"/>
      <c r="W850" s="87"/>
      <c r="X850" s="91"/>
      <c r="Y850" s="84"/>
      <c r="Z850" s="97"/>
    </row>
    <row r="851" spans="1:26" s="98" customFormat="1" x14ac:dyDescent="0.35">
      <c r="A851" s="86">
        <v>848</v>
      </c>
      <c r="B851" s="85"/>
      <c r="C851" s="87"/>
      <c r="D851" s="85"/>
      <c r="E851" s="84"/>
      <c r="F851" s="85"/>
      <c r="G851" s="87"/>
      <c r="H851" s="87"/>
      <c r="I851" s="87"/>
      <c r="J851" s="101"/>
      <c r="K851" s="87"/>
      <c r="L851" s="91"/>
      <c r="M851" s="91"/>
      <c r="N851" s="88">
        <f>Goods_Receipt[[#This Row],[ Invoice. /
 Received Qty ]]-Goods_Receipt[[#This Row],[ Accepted Qty ]]</f>
        <v>0</v>
      </c>
      <c r="O851" s="87"/>
      <c r="P851" s="87"/>
      <c r="Q851" s="87"/>
      <c r="R851" s="87"/>
      <c r="S851" s="87"/>
      <c r="T851" s="85"/>
      <c r="U851" s="89"/>
      <c r="V851" s="90"/>
      <c r="W851" s="87"/>
      <c r="X851" s="91"/>
      <c r="Y851" s="84"/>
      <c r="Z851" s="97"/>
    </row>
    <row r="852" spans="1:26" s="98" customFormat="1" x14ac:dyDescent="0.35">
      <c r="A852" s="86">
        <v>849</v>
      </c>
      <c r="B852" s="85"/>
      <c r="C852" s="87"/>
      <c r="D852" s="85"/>
      <c r="E852" s="84"/>
      <c r="F852" s="85"/>
      <c r="G852" s="87"/>
      <c r="H852" s="87"/>
      <c r="I852" s="87"/>
      <c r="J852" s="101"/>
      <c r="K852" s="87"/>
      <c r="L852" s="91"/>
      <c r="M852" s="91"/>
      <c r="N852" s="88">
        <f>Goods_Receipt[[#This Row],[ Invoice. /
 Received Qty ]]-Goods_Receipt[[#This Row],[ Accepted Qty ]]</f>
        <v>0</v>
      </c>
      <c r="O852" s="87"/>
      <c r="P852" s="87"/>
      <c r="Q852" s="87"/>
      <c r="R852" s="87"/>
      <c r="S852" s="87"/>
      <c r="T852" s="85"/>
      <c r="U852" s="89"/>
      <c r="V852" s="90"/>
      <c r="W852" s="87"/>
      <c r="X852" s="91"/>
      <c r="Y852" s="84"/>
      <c r="Z852" s="97"/>
    </row>
    <row r="853" spans="1:26" s="98" customFormat="1" x14ac:dyDescent="0.35">
      <c r="A853" s="86">
        <v>850</v>
      </c>
      <c r="B853" s="85"/>
      <c r="C853" s="87"/>
      <c r="D853" s="85"/>
      <c r="E853" s="84"/>
      <c r="F853" s="85"/>
      <c r="G853" s="87"/>
      <c r="H853" s="87"/>
      <c r="I853" s="87"/>
      <c r="J853" s="101"/>
      <c r="K853" s="87"/>
      <c r="L853" s="91"/>
      <c r="M853" s="91"/>
      <c r="N853" s="88">
        <f>Goods_Receipt[[#This Row],[ Invoice. /
 Received Qty ]]-Goods_Receipt[[#This Row],[ Accepted Qty ]]</f>
        <v>0</v>
      </c>
      <c r="O853" s="87"/>
      <c r="P853" s="87"/>
      <c r="Q853" s="87"/>
      <c r="R853" s="87"/>
      <c r="S853" s="87"/>
      <c r="T853" s="85"/>
      <c r="U853" s="89"/>
      <c r="V853" s="90"/>
      <c r="W853" s="87"/>
      <c r="X853" s="91"/>
      <c r="Y853" s="84"/>
      <c r="Z853" s="97"/>
    </row>
    <row r="854" spans="1:26" s="98" customFormat="1" x14ac:dyDescent="0.35">
      <c r="A854" s="86">
        <v>851</v>
      </c>
      <c r="B854" s="85"/>
      <c r="C854" s="87"/>
      <c r="D854" s="85"/>
      <c r="E854" s="84"/>
      <c r="F854" s="85"/>
      <c r="G854" s="87"/>
      <c r="H854" s="87"/>
      <c r="I854" s="87"/>
      <c r="J854" s="101"/>
      <c r="K854" s="87"/>
      <c r="L854" s="91"/>
      <c r="M854" s="91"/>
      <c r="N854" s="88">
        <f>Goods_Receipt[[#This Row],[ Invoice. /
 Received Qty ]]-Goods_Receipt[[#This Row],[ Accepted Qty ]]</f>
        <v>0</v>
      </c>
      <c r="O854" s="87"/>
      <c r="P854" s="87"/>
      <c r="Q854" s="87"/>
      <c r="R854" s="87"/>
      <c r="S854" s="87"/>
      <c r="T854" s="85"/>
      <c r="U854" s="89"/>
      <c r="V854" s="90"/>
      <c r="W854" s="87"/>
      <c r="X854" s="91"/>
      <c r="Y854" s="84"/>
      <c r="Z854" s="97"/>
    </row>
    <row r="855" spans="1:26" s="98" customFormat="1" x14ac:dyDescent="0.35">
      <c r="A855" s="86">
        <v>852</v>
      </c>
      <c r="B855" s="85"/>
      <c r="C855" s="87"/>
      <c r="D855" s="85"/>
      <c r="E855" s="84"/>
      <c r="F855" s="85"/>
      <c r="G855" s="87"/>
      <c r="H855" s="87"/>
      <c r="I855" s="87"/>
      <c r="J855" s="101"/>
      <c r="K855" s="87"/>
      <c r="L855" s="91"/>
      <c r="M855" s="91"/>
      <c r="N855" s="88">
        <f>Goods_Receipt[[#This Row],[ Invoice. /
 Received Qty ]]-Goods_Receipt[[#This Row],[ Accepted Qty ]]</f>
        <v>0</v>
      </c>
      <c r="O855" s="87"/>
      <c r="P855" s="87"/>
      <c r="Q855" s="87"/>
      <c r="R855" s="87"/>
      <c r="S855" s="87"/>
      <c r="T855" s="85"/>
      <c r="U855" s="89"/>
      <c r="V855" s="90"/>
      <c r="W855" s="87"/>
      <c r="X855" s="91"/>
      <c r="Y855" s="84"/>
      <c r="Z855" s="97"/>
    </row>
    <row r="856" spans="1:26" s="98" customFormat="1" x14ac:dyDescent="0.35">
      <c r="A856" s="86">
        <v>853</v>
      </c>
      <c r="B856" s="85"/>
      <c r="C856" s="87"/>
      <c r="D856" s="85"/>
      <c r="E856" s="84"/>
      <c r="F856" s="85"/>
      <c r="G856" s="87"/>
      <c r="H856" s="87"/>
      <c r="I856" s="87"/>
      <c r="J856" s="101"/>
      <c r="K856" s="87"/>
      <c r="L856" s="91"/>
      <c r="M856" s="91"/>
      <c r="N856" s="88">
        <f>Goods_Receipt[[#This Row],[ Invoice. /
 Received Qty ]]-Goods_Receipt[[#This Row],[ Accepted Qty ]]</f>
        <v>0</v>
      </c>
      <c r="O856" s="87"/>
      <c r="P856" s="87"/>
      <c r="Q856" s="87"/>
      <c r="R856" s="87"/>
      <c r="S856" s="87"/>
      <c r="T856" s="85"/>
      <c r="U856" s="89"/>
      <c r="V856" s="90"/>
      <c r="W856" s="87"/>
      <c r="X856" s="91"/>
      <c r="Y856" s="84"/>
      <c r="Z856" s="97"/>
    </row>
    <row r="857" spans="1:26" s="98" customFormat="1" x14ac:dyDescent="0.35">
      <c r="A857" s="86">
        <v>854</v>
      </c>
      <c r="B857" s="85"/>
      <c r="C857" s="87"/>
      <c r="D857" s="85"/>
      <c r="E857" s="84"/>
      <c r="F857" s="85"/>
      <c r="G857" s="87"/>
      <c r="H857" s="87"/>
      <c r="I857" s="87"/>
      <c r="J857" s="101"/>
      <c r="K857" s="87"/>
      <c r="L857" s="91"/>
      <c r="M857" s="91"/>
      <c r="N857" s="88">
        <f>Goods_Receipt[[#This Row],[ Invoice. /
 Received Qty ]]-Goods_Receipt[[#This Row],[ Accepted Qty ]]</f>
        <v>0</v>
      </c>
      <c r="O857" s="87"/>
      <c r="P857" s="87"/>
      <c r="Q857" s="87"/>
      <c r="R857" s="87"/>
      <c r="S857" s="87"/>
      <c r="T857" s="85"/>
      <c r="U857" s="89"/>
      <c r="V857" s="90"/>
      <c r="W857" s="87"/>
      <c r="X857" s="91"/>
      <c r="Y857" s="84"/>
      <c r="Z857" s="97"/>
    </row>
    <row r="858" spans="1:26" s="98" customFormat="1" x14ac:dyDescent="0.35">
      <c r="A858" s="86">
        <v>855</v>
      </c>
      <c r="B858" s="85"/>
      <c r="C858" s="87"/>
      <c r="D858" s="85"/>
      <c r="E858" s="84"/>
      <c r="F858" s="85"/>
      <c r="G858" s="87"/>
      <c r="H858" s="87"/>
      <c r="I858" s="87"/>
      <c r="J858" s="101"/>
      <c r="K858" s="87"/>
      <c r="L858" s="91"/>
      <c r="M858" s="91"/>
      <c r="N858" s="88">
        <f>Goods_Receipt[[#This Row],[ Invoice. /
 Received Qty ]]-Goods_Receipt[[#This Row],[ Accepted Qty ]]</f>
        <v>0</v>
      </c>
      <c r="O858" s="87"/>
      <c r="P858" s="87"/>
      <c r="Q858" s="87"/>
      <c r="R858" s="87"/>
      <c r="S858" s="87"/>
      <c r="T858" s="85"/>
      <c r="U858" s="89"/>
      <c r="V858" s="90"/>
      <c r="W858" s="87"/>
      <c r="X858" s="91"/>
      <c r="Y858" s="84"/>
      <c r="Z858" s="97"/>
    </row>
    <row r="859" spans="1:26" s="98" customFormat="1" x14ac:dyDescent="0.35">
      <c r="A859" s="86">
        <v>856</v>
      </c>
      <c r="B859" s="85"/>
      <c r="C859" s="87"/>
      <c r="D859" s="85"/>
      <c r="E859" s="84"/>
      <c r="F859" s="85"/>
      <c r="G859" s="87"/>
      <c r="H859" s="87"/>
      <c r="I859" s="87"/>
      <c r="J859" s="101"/>
      <c r="K859" s="87"/>
      <c r="L859" s="91"/>
      <c r="M859" s="91"/>
      <c r="N859" s="88">
        <f>Goods_Receipt[[#This Row],[ Invoice. /
 Received Qty ]]-Goods_Receipt[[#This Row],[ Accepted Qty ]]</f>
        <v>0</v>
      </c>
      <c r="O859" s="87"/>
      <c r="P859" s="87"/>
      <c r="Q859" s="87"/>
      <c r="R859" s="87"/>
      <c r="S859" s="87"/>
      <c r="T859" s="85"/>
      <c r="U859" s="89"/>
      <c r="V859" s="90"/>
      <c r="W859" s="87"/>
      <c r="X859" s="91"/>
      <c r="Y859" s="84"/>
      <c r="Z859" s="97"/>
    </row>
    <row r="860" spans="1:26" s="98" customFormat="1" x14ac:dyDescent="0.35">
      <c r="A860" s="86">
        <v>857</v>
      </c>
      <c r="B860" s="85"/>
      <c r="C860" s="87"/>
      <c r="D860" s="85"/>
      <c r="E860" s="84"/>
      <c r="F860" s="85"/>
      <c r="G860" s="87"/>
      <c r="H860" s="87"/>
      <c r="I860" s="87"/>
      <c r="J860" s="101"/>
      <c r="K860" s="87"/>
      <c r="L860" s="91"/>
      <c r="M860" s="91"/>
      <c r="N860" s="88">
        <f>Goods_Receipt[[#This Row],[ Invoice. /
 Received Qty ]]-Goods_Receipt[[#This Row],[ Accepted Qty ]]</f>
        <v>0</v>
      </c>
      <c r="O860" s="87"/>
      <c r="P860" s="87"/>
      <c r="Q860" s="87"/>
      <c r="R860" s="87"/>
      <c r="S860" s="87"/>
      <c r="T860" s="85"/>
      <c r="U860" s="89"/>
      <c r="V860" s="90"/>
      <c r="W860" s="87"/>
      <c r="X860" s="91"/>
      <c r="Y860" s="84"/>
      <c r="Z860" s="97"/>
    </row>
    <row r="861" spans="1:26" s="98" customFormat="1" x14ac:dyDescent="0.35">
      <c r="A861" s="86">
        <v>858</v>
      </c>
      <c r="B861" s="85"/>
      <c r="C861" s="87"/>
      <c r="D861" s="85"/>
      <c r="E861" s="84"/>
      <c r="F861" s="85"/>
      <c r="G861" s="87"/>
      <c r="H861" s="87"/>
      <c r="I861" s="87"/>
      <c r="J861" s="101"/>
      <c r="K861" s="87"/>
      <c r="L861" s="91"/>
      <c r="M861" s="91"/>
      <c r="N861" s="88">
        <f>Goods_Receipt[[#This Row],[ Invoice. /
 Received Qty ]]-Goods_Receipt[[#This Row],[ Accepted Qty ]]</f>
        <v>0</v>
      </c>
      <c r="O861" s="87"/>
      <c r="P861" s="87"/>
      <c r="Q861" s="87"/>
      <c r="R861" s="87"/>
      <c r="S861" s="87"/>
      <c r="T861" s="85"/>
      <c r="U861" s="89"/>
      <c r="V861" s="90"/>
      <c r="W861" s="87"/>
      <c r="X861" s="91"/>
      <c r="Y861" s="84"/>
      <c r="Z861" s="97"/>
    </row>
    <row r="862" spans="1:26" s="98" customFormat="1" x14ac:dyDescent="0.35">
      <c r="A862" s="86">
        <v>859</v>
      </c>
      <c r="B862" s="85"/>
      <c r="C862" s="87"/>
      <c r="D862" s="85"/>
      <c r="E862" s="84"/>
      <c r="F862" s="85"/>
      <c r="G862" s="87"/>
      <c r="H862" s="87"/>
      <c r="I862" s="87"/>
      <c r="J862" s="101"/>
      <c r="K862" s="87"/>
      <c r="L862" s="91"/>
      <c r="M862" s="91"/>
      <c r="N862" s="88">
        <f>Goods_Receipt[[#This Row],[ Invoice. /
 Received Qty ]]-Goods_Receipt[[#This Row],[ Accepted Qty ]]</f>
        <v>0</v>
      </c>
      <c r="O862" s="87"/>
      <c r="P862" s="87"/>
      <c r="Q862" s="87"/>
      <c r="R862" s="87"/>
      <c r="S862" s="87"/>
      <c r="T862" s="85"/>
      <c r="U862" s="89"/>
      <c r="V862" s="90"/>
      <c r="W862" s="87"/>
      <c r="X862" s="91"/>
      <c r="Y862" s="84"/>
      <c r="Z862" s="97"/>
    </row>
    <row r="863" spans="1:26" s="98" customFormat="1" x14ac:dyDescent="0.35">
      <c r="A863" s="86">
        <v>860</v>
      </c>
      <c r="B863" s="85"/>
      <c r="C863" s="87"/>
      <c r="D863" s="85"/>
      <c r="E863" s="84"/>
      <c r="F863" s="85"/>
      <c r="G863" s="87"/>
      <c r="H863" s="87"/>
      <c r="I863" s="87"/>
      <c r="J863" s="101"/>
      <c r="K863" s="87"/>
      <c r="L863" s="91"/>
      <c r="M863" s="91"/>
      <c r="N863" s="88">
        <f>Goods_Receipt[[#This Row],[ Invoice. /
 Received Qty ]]-Goods_Receipt[[#This Row],[ Accepted Qty ]]</f>
        <v>0</v>
      </c>
      <c r="O863" s="87"/>
      <c r="P863" s="87"/>
      <c r="Q863" s="87"/>
      <c r="R863" s="87"/>
      <c r="S863" s="87"/>
      <c r="T863" s="85"/>
      <c r="U863" s="89"/>
      <c r="V863" s="90"/>
      <c r="W863" s="87"/>
      <c r="X863" s="91"/>
      <c r="Y863" s="84"/>
      <c r="Z863" s="97"/>
    </row>
    <row r="864" spans="1:26" s="98" customFormat="1" x14ac:dyDescent="0.35">
      <c r="A864" s="86">
        <v>861</v>
      </c>
      <c r="B864" s="85"/>
      <c r="C864" s="87"/>
      <c r="D864" s="85"/>
      <c r="E864" s="84"/>
      <c r="F864" s="85"/>
      <c r="G864" s="87"/>
      <c r="H864" s="87"/>
      <c r="I864" s="87"/>
      <c r="J864" s="101"/>
      <c r="K864" s="87"/>
      <c r="L864" s="91"/>
      <c r="M864" s="91"/>
      <c r="N864" s="88">
        <f>Goods_Receipt[[#This Row],[ Invoice. /
 Received Qty ]]-Goods_Receipt[[#This Row],[ Accepted Qty ]]</f>
        <v>0</v>
      </c>
      <c r="O864" s="87"/>
      <c r="P864" s="87"/>
      <c r="Q864" s="87"/>
      <c r="R864" s="87"/>
      <c r="S864" s="87"/>
      <c r="T864" s="85"/>
      <c r="U864" s="89"/>
      <c r="V864" s="90"/>
      <c r="W864" s="87"/>
      <c r="X864" s="91"/>
      <c r="Y864" s="84"/>
      <c r="Z864" s="97"/>
    </row>
    <row r="865" spans="1:26" s="98" customFormat="1" x14ac:dyDescent="0.35">
      <c r="A865" s="86">
        <v>862</v>
      </c>
      <c r="B865" s="85"/>
      <c r="C865" s="87"/>
      <c r="D865" s="85"/>
      <c r="E865" s="84"/>
      <c r="F865" s="85"/>
      <c r="G865" s="87"/>
      <c r="H865" s="87"/>
      <c r="I865" s="87"/>
      <c r="J865" s="101"/>
      <c r="K865" s="87"/>
      <c r="L865" s="91"/>
      <c r="M865" s="91"/>
      <c r="N865" s="88">
        <f>Goods_Receipt[[#This Row],[ Invoice. /
 Received Qty ]]-Goods_Receipt[[#This Row],[ Accepted Qty ]]</f>
        <v>0</v>
      </c>
      <c r="O865" s="87"/>
      <c r="P865" s="87"/>
      <c r="Q865" s="87"/>
      <c r="R865" s="87"/>
      <c r="S865" s="87"/>
      <c r="T865" s="85"/>
      <c r="U865" s="89"/>
      <c r="V865" s="90"/>
      <c r="W865" s="87"/>
      <c r="X865" s="91"/>
      <c r="Y865" s="84"/>
      <c r="Z865" s="97"/>
    </row>
    <row r="866" spans="1:26" s="98" customFormat="1" x14ac:dyDescent="0.35">
      <c r="A866" s="86">
        <v>863</v>
      </c>
      <c r="B866" s="85"/>
      <c r="C866" s="87"/>
      <c r="D866" s="85"/>
      <c r="E866" s="84"/>
      <c r="F866" s="85"/>
      <c r="G866" s="87"/>
      <c r="H866" s="87"/>
      <c r="I866" s="87"/>
      <c r="J866" s="101"/>
      <c r="K866" s="87"/>
      <c r="L866" s="91"/>
      <c r="M866" s="91"/>
      <c r="N866" s="88">
        <f>Goods_Receipt[[#This Row],[ Invoice. /
 Received Qty ]]-Goods_Receipt[[#This Row],[ Accepted Qty ]]</f>
        <v>0</v>
      </c>
      <c r="O866" s="87"/>
      <c r="P866" s="87"/>
      <c r="Q866" s="87"/>
      <c r="R866" s="87"/>
      <c r="S866" s="87"/>
      <c r="T866" s="85"/>
      <c r="U866" s="89"/>
      <c r="V866" s="90"/>
      <c r="W866" s="87"/>
      <c r="X866" s="91"/>
      <c r="Y866" s="84"/>
      <c r="Z866" s="97"/>
    </row>
    <row r="867" spans="1:26" s="98" customFormat="1" x14ac:dyDescent="0.35">
      <c r="A867" s="86">
        <v>864</v>
      </c>
      <c r="B867" s="85"/>
      <c r="C867" s="87"/>
      <c r="D867" s="85"/>
      <c r="E867" s="84"/>
      <c r="F867" s="85"/>
      <c r="G867" s="87"/>
      <c r="H867" s="87"/>
      <c r="I867" s="87"/>
      <c r="J867" s="101"/>
      <c r="K867" s="87"/>
      <c r="L867" s="91"/>
      <c r="M867" s="91"/>
      <c r="N867" s="88">
        <f>Goods_Receipt[[#This Row],[ Invoice. /
 Received Qty ]]-Goods_Receipt[[#This Row],[ Accepted Qty ]]</f>
        <v>0</v>
      </c>
      <c r="O867" s="87"/>
      <c r="P867" s="87"/>
      <c r="Q867" s="87"/>
      <c r="R867" s="87"/>
      <c r="S867" s="87"/>
      <c r="T867" s="85"/>
      <c r="U867" s="89"/>
      <c r="V867" s="90"/>
      <c r="W867" s="87"/>
      <c r="X867" s="91"/>
      <c r="Y867" s="84"/>
      <c r="Z867" s="97"/>
    </row>
    <row r="868" spans="1:26" s="98" customFormat="1" x14ac:dyDescent="0.35">
      <c r="A868" s="86">
        <v>865</v>
      </c>
      <c r="B868" s="85"/>
      <c r="C868" s="87"/>
      <c r="D868" s="85"/>
      <c r="E868" s="84"/>
      <c r="F868" s="85"/>
      <c r="G868" s="87"/>
      <c r="H868" s="87"/>
      <c r="I868" s="87"/>
      <c r="J868" s="101"/>
      <c r="K868" s="87"/>
      <c r="L868" s="91"/>
      <c r="M868" s="91"/>
      <c r="N868" s="88">
        <f>Goods_Receipt[[#This Row],[ Invoice. /
 Received Qty ]]-Goods_Receipt[[#This Row],[ Accepted Qty ]]</f>
        <v>0</v>
      </c>
      <c r="O868" s="87"/>
      <c r="P868" s="87"/>
      <c r="Q868" s="87"/>
      <c r="R868" s="87"/>
      <c r="S868" s="87"/>
      <c r="T868" s="85"/>
      <c r="U868" s="89"/>
      <c r="V868" s="90"/>
      <c r="W868" s="87"/>
      <c r="X868" s="91"/>
      <c r="Y868" s="84"/>
      <c r="Z868" s="97"/>
    </row>
    <row r="869" spans="1:26" s="98" customFormat="1" x14ac:dyDescent="0.35">
      <c r="A869" s="86">
        <v>866</v>
      </c>
      <c r="B869" s="85"/>
      <c r="C869" s="87"/>
      <c r="D869" s="85"/>
      <c r="E869" s="84"/>
      <c r="F869" s="85"/>
      <c r="G869" s="87"/>
      <c r="H869" s="87"/>
      <c r="I869" s="87"/>
      <c r="J869" s="101"/>
      <c r="K869" s="87"/>
      <c r="L869" s="91"/>
      <c r="M869" s="91"/>
      <c r="N869" s="88">
        <f>Goods_Receipt[[#This Row],[ Invoice. /
 Received Qty ]]-Goods_Receipt[[#This Row],[ Accepted Qty ]]</f>
        <v>0</v>
      </c>
      <c r="O869" s="87"/>
      <c r="P869" s="87"/>
      <c r="Q869" s="87"/>
      <c r="R869" s="87"/>
      <c r="S869" s="87"/>
      <c r="T869" s="85"/>
      <c r="U869" s="89"/>
      <c r="V869" s="90"/>
      <c r="W869" s="87"/>
      <c r="X869" s="91"/>
      <c r="Y869" s="84"/>
      <c r="Z869" s="97"/>
    </row>
    <row r="870" spans="1:26" s="98" customFormat="1" x14ac:dyDescent="0.35">
      <c r="A870" s="86">
        <v>867</v>
      </c>
      <c r="B870" s="85"/>
      <c r="C870" s="87"/>
      <c r="D870" s="85"/>
      <c r="E870" s="84"/>
      <c r="F870" s="85"/>
      <c r="G870" s="87"/>
      <c r="H870" s="87"/>
      <c r="I870" s="87"/>
      <c r="J870" s="101"/>
      <c r="K870" s="87"/>
      <c r="L870" s="91"/>
      <c r="M870" s="91"/>
      <c r="N870" s="88">
        <f>Goods_Receipt[[#This Row],[ Invoice. /
 Received Qty ]]-Goods_Receipt[[#This Row],[ Accepted Qty ]]</f>
        <v>0</v>
      </c>
      <c r="O870" s="87"/>
      <c r="P870" s="87"/>
      <c r="Q870" s="87"/>
      <c r="R870" s="87"/>
      <c r="S870" s="87"/>
      <c r="T870" s="85"/>
      <c r="U870" s="89"/>
      <c r="V870" s="90"/>
      <c r="W870" s="87"/>
      <c r="X870" s="91"/>
      <c r="Y870" s="84"/>
      <c r="Z870" s="97"/>
    </row>
    <row r="871" spans="1:26" s="98" customFormat="1" x14ac:dyDescent="0.35">
      <c r="A871" s="86">
        <v>868</v>
      </c>
      <c r="B871" s="85"/>
      <c r="C871" s="87"/>
      <c r="D871" s="85"/>
      <c r="E871" s="84"/>
      <c r="F871" s="85"/>
      <c r="G871" s="87"/>
      <c r="H871" s="87"/>
      <c r="I871" s="87"/>
      <c r="J871" s="101"/>
      <c r="K871" s="87"/>
      <c r="L871" s="91"/>
      <c r="M871" s="91"/>
      <c r="N871" s="88">
        <f>Goods_Receipt[[#This Row],[ Invoice. /
 Received Qty ]]-Goods_Receipt[[#This Row],[ Accepted Qty ]]</f>
        <v>0</v>
      </c>
      <c r="O871" s="87"/>
      <c r="P871" s="87"/>
      <c r="Q871" s="87"/>
      <c r="R871" s="87"/>
      <c r="S871" s="87"/>
      <c r="T871" s="85"/>
      <c r="U871" s="89"/>
      <c r="V871" s="90"/>
      <c r="W871" s="87"/>
      <c r="X871" s="91"/>
      <c r="Y871" s="84"/>
      <c r="Z871" s="97"/>
    </row>
    <row r="872" spans="1:26" s="98" customFormat="1" x14ac:dyDescent="0.35">
      <c r="A872" s="86">
        <v>869</v>
      </c>
      <c r="B872" s="85"/>
      <c r="C872" s="87"/>
      <c r="D872" s="85"/>
      <c r="E872" s="84"/>
      <c r="F872" s="85"/>
      <c r="G872" s="87"/>
      <c r="H872" s="87"/>
      <c r="I872" s="87"/>
      <c r="J872" s="101"/>
      <c r="K872" s="87"/>
      <c r="L872" s="91"/>
      <c r="M872" s="91"/>
      <c r="N872" s="88">
        <f>Goods_Receipt[[#This Row],[ Invoice. /
 Received Qty ]]-Goods_Receipt[[#This Row],[ Accepted Qty ]]</f>
        <v>0</v>
      </c>
      <c r="O872" s="87"/>
      <c r="P872" s="87"/>
      <c r="Q872" s="87"/>
      <c r="R872" s="87"/>
      <c r="S872" s="87"/>
      <c r="T872" s="85"/>
      <c r="U872" s="89"/>
      <c r="V872" s="90"/>
      <c r="W872" s="87"/>
      <c r="X872" s="91"/>
      <c r="Y872" s="84"/>
      <c r="Z872" s="97"/>
    </row>
    <row r="873" spans="1:26" s="98" customFormat="1" x14ac:dyDescent="0.35">
      <c r="A873" s="86">
        <v>870</v>
      </c>
      <c r="B873" s="85"/>
      <c r="C873" s="87"/>
      <c r="D873" s="85"/>
      <c r="E873" s="84"/>
      <c r="F873" s="85"/>
      <c r="G873" s="87"/>
      <c r="H873" s="87"/>
      <c r="I873" s="87"/>
      <c r="J873" s="101"/>
      <c r="K873" s="87"/>
      <c r="L873" s="91"/>
      <c r="M873" s="91"/>
      <c r="N873" s="88">
        <f>Goods_Receipt[[#This Row],[ Invoice. /
 Received Qty ]]-Goods_Receipt[[#This Row],[ Accepted Qty ]]</f>
        <v>0</v>
      </c>
      <c r="O873" s="87"/>
      <c r="P873" s="87"/>
      <c r="Q873" s="87"/>
      <c r="R873" s="87"/>
      <c r="S873" s="87"/>
      <c r="T873" s="85"/>
      <c r="U873" s="89"/>
      <c r="V873" s="90"/>
      <c r="W873" s="87"/>
      <c r="X873" s="91"/>
      <c r="Y873" s="84"/>
      <c r="Z873" s="97"/>
    </row>
    <row r="874" spans="1:26" s="98" customFormat="1" x14ac:dyDescent="0.35">
      <c r="A874" s="86">
        <v>871</v>
      </c>
      <c r="B874" s="85"/>
      <c r="C874" s="87"/>
      <c r="D874" s="85"/>
      <c r="E874" s="84"/>
      <c r="F874" s="85"/>
      <c r="G874" s="87"/>
      <c r="H874" s="87"/>
      <c r="I874" s="87"/>
      <c r="J874" s="101"/>
      <c r="K874" s="87"/>
      <c r="L874" s="91"/>
      <c r="M874" s="91"/>
      <c r="N874" s="88">
        <f>Goods_Receipt[[#This Row],[ Invoice. /
 Received Qty ]]-Goods_Receipt[[#This Row],[ Accepted Qty ]]</f>
        <v>0</v>
      </c>
      <c r="O874" s="87"/>
      <c r="P874" s="87"/>
      <c r="Q874" s="87"/>
      <c r="R874" s="87"/>
      <c r="S874" s="87"/>
      <c r="T874" s="85"/>
      <c r="U874" s="89"/>
      <c r="V874" s="90"/>
      <c r="W874" s="87"/>
      <c r="X874" s="91"/>
      <c r="Y874" s="84"/>
      <c r="Z874" s="97"/>
    </row>
    <row r="875" spans="1:26" s="98" customFormat="1" x14ac:dyDescent="0.35">
      <c r="A875" s="86">
        <v>872</v>
      </c>
      <c r="B875" s="85"/>
      <c r="C875" s="87"/>
      <c r="D875" s="85"/>
      <c r="E875" s="84"/>
      <c r="F875" s="85"/>
      <c r="G875" s="87"/>
      <c r="H875" s="87"/>
      <c r="I875" s="87"/>
      <c r="J875" s="101"/>
      <c r="K875" s="87"/>
      <c r="L875" s="91"/>
      <c r="M875" s="91"/>
      <c r="N875" s="88">
        <f>Goods_Receipt[[#This Row],[ Invoice. /
 Received Qty ]]-Goods_Receipt[[#This Row],[ Accepted Qty ]]</f>
        <v>0</v>
      </c>
      <c r="O875" s="87"/>
      <c r="P875" s="87"/>
      <c r="Q875" s="87"/>
      <c r="R875" s="87"/>
      <c r="S875" s="87"/>
      <c r="T875" s="85"/>
      <c r="U875" s="89"/>
      <c r="V875" s="90"/>
      <c r="W875" s="87"/>
      <c r="X875" s="91"/>
      <c r="Y875" s="84"/>
      <c r="Z875" s="97"/>
    </row>
    <row r="876" spans="1:26" s="98" customFormat="1" x14ac:dyDescent="0.35">
      <c r="A876" s="86">
        <v>873</v>
      </c>
      <c r="B876" s="85"/>
      <c r="C876" s="87"/>
      <c r="D876" s="85"/>
      <c r="E876" s="84"/>
      <c r="F876" s="85"/>
      <c r="G876" s="87"/>
      <c r="H876" s="87"/>
      <c r="I876" s="87"/>
      <c r="J876" s="101"/>
      <c r="K876" s="87"/>
      <c r="L876" s="91"/>
      <c r="M876" s="91"/>
      <c r="N876" s="88">
        <f>Goods_Receipt[[#This Row],[ Invoice. /
 Received Qty ]]-Goods_Receipt[[#This Row],[ Accepted Qty ]]</f>
        <v>0</v>
      </c>
      <c r="O876" s="87"/>
      <c r="P876" s="87"/>
      <c r="Q876" s="87"/>
      <c r="R876" s="87"/>
      <c r="S876" s="87"/>
      <c r="T876" s="85"/>
      <c r="U876" s="89"/>
      <c r="V876" s="90"/>
      <c r="W876" s="87"/>
      <c r="X876" s="91"/>
      <c r="Y876" s="84"/>
      <c r="Z876" s="97"/>
    </row>
    <row r="877" spans="1:26" s="98" customFormat="1" x14ac:dyDescent="0.35">
      <c r="A877" s="86">
        <v>874</v>
      </c>
      <c r="B877" s="85"/>
      <c r="C877" s="87"/>
      <c r="D877" s="85"/>
      <c r="E877" s="84"/>
      <c r="F877" s="85"/>
      <c r="G877" s="87"/>
      <c r="H877" s="87"/>
      <c r="I877" s="87"/>
      <c r="J877" s="101"/>
      <c r="K877" s="87"/>
      <c r="L877" s="91"/>
      <c r="M877" s="91"/>
      <c r="N877" s="88">
        <f>Goods_Receipt[[#This Row],[ Invoice. /
 Received Qty ]]-Goods_Receipt[[#This Row],[ Accepted Qty ]]</f>
        <v>0</v>
      </c>
      <c r="O877" s="87"/>
      <c r="P877" s="87"/>
      <c r="Q877" s="87"/>
      <c r="R877" s="87"/>
      <c r="S877" s="87"/>
      <c r="T877" s="85"/>
      <c r="U877" s="89"/>
      <c r="V877" s="90"/>
      <c r="W877" s="87"/>
      <c r="X877" s="91"/>
      <c r="Y877" s="84"/>
      <c r="Z877" s="97"/>
    </row>
    <row r="878" spans="1:26" s="98" customFormat="1" x14ac:dyDescent="0.35">
      <c r="A878" s="86">
        <v>875</v>
      </c>
      <c r="B878" s="85"/>
      <c r="C878" s="87"/>
      <c r="D878" s="85"/>
      <c r="E878" s="84"/>
      <c r="F878" s="85"/>
      <c r="G878" s="87"/>
      <c r="H878" s="87"/>
      <c r="I878" s="87"/>
      <c r="J878" s="101"/>
      <c r="K878" s="87"/>
      <c r="L878" s="91"/>
      <c r="M878" s="91"/>
      <c r="N878" s="88">
        <f>Goods_Receipt[[#This Row],[ Invoice. /
 Received Qty ]]-Goods_Receipt[[#This Row],[ Accepted Qty ]]</f>
        <v>0</v>
      </c>
      <c r="O878" s="87"/>
      <c r="P878" s="87"/>
      <c r="Q878" s="87"/>
      <c r="R878" s="87"/>
      <c r="S878" s="87"/>
      <c r="T878" s="85"/>
      <c r="U878" s="89"/>
      <c r="V878" s="90"/>
      <c r="W878" s="87"/>
      <c r="X878" s="91"/>
      <c r="Y878" s="84"/>
      <c r="Z878" s="97"/>
    </row>
    <row r="879" spans="1:26" s="98" customFormat="1" x14ac:dyDescent="0.35">
      <c r="A879" s="86">
        <v>876</v>
      </c>
      <c r="B879" s="85"/>
      <c r="C879" s="87"/>
      <c r="D879" s="85"/>
      <c r="E879" s="84"/>
      <c r="F879" s="85"/>
      <c r="G879" s="87"/>
      <c r="H879" s="87"/>
      <c r="I879" s="87"/>
      <c r="J879" s="101"/>
      <c r="K879" s="87"/>
      <c r="L879" s="91"/>
      <c r="M879" s="91"/>
      <c r="N879" s="88">
        <f>Goods_Receipt[[#This Row],[ Invoice. /
 Received Qty ]]-Goods_Receipt[[#This Row],[ Accepted Qty ]]</f>
        <v>0</v>
      </c>
      <c r="O879" s="87"/>
      <c r="P879" s="87"/>
      <c r="Q879" s="87"/>
      <c r="R879" s="87"/>
      <c r="S879" s="87"/>
      <c r="T879" s="85"/>
      <c r="U879" s="89"/>
      <c r="V879" s="90"/>
      <c r="W879" s="87"/>
      <c r="X879" s="91"/>
      <c r="Y879" s="84"/>
      <c r="Z879" s="97"/>
    </row>
    <row r="880" spans="1:26" s="98" customFormat="1" x14ac:dyDescent="0.35">
      <c r="A880" s="86">
        <v>877</v>
      </c>
      <c r="B880" s="85"/>
      <c r="C880" s="87"/>
      <c r="D880" s="85"/>
      <c r="E880" s="84"/>
      <c r="F880" s="85"/>
      <c r="G880" s="87"/>
      <c r="H880" s="87"/>
      <c r="I880" s="87"/>
      <c r="J880" s="101"/>
      <c r="K880" s="87"/>
      <c r="L880" s="91"/>
      <c r="M880" s="91"/>
      <c r="N880" s="88">
        <f>Goods_Receipt[[#This Row],[ Invoice. /
 Received Qty ]]-Goods_Receipt[[#This Row],[ Accepted Qty ]]</f>
        <v>0</v>
      </c>
      <c r="O880" s="87"/>
      <c r="P880" s="87"/>
      <c r="Q880" s="87"/>
      <c r="R880" s="87"/>
      <c r="S880" s="87"/>
      <c r="T880" s="85"/>
      <c r="U880" s="89"/>
      <c r="V880" s="90"/>
      <c r="W880" s="87"/>
      <c r="X880" s="91"/>
      <c r="Y880" s="84"/>
      <c r="Z880" s="97"/>
    </row>
    <row r="881" spans="1:26" s="98" customFormat="1" x14ac:dyDescent="0.35">
      <c r="A881" s="86">
        <v>878</v>
      </c>
      <c r="B881" s="85"/>
      <c r="C881" s="87"/>
      <c r="D881" s="85"/>
      <c r="E881" s="84"/>
      <c r="F881" s="85"/>
      <c r="G881" s="87"/>
      <c r="H881" s="87"/>
      <c r="I881" s="87"/>
      <c r="J881" s="101"/>
      <c r="K881" s="87"/>
      <c r="L881" s="91"/>
      <c r="M881" s="91"/>
      <c r="N881" s="88">
        <f>Goods_Receipt[[#This Row],[ Invoice. /
 Received Qty ]]-Goods_Receipt[[#This Row],[ Accepted Qty ]]</f>
        <v>0</v>
      </c>
      <c r="O881" s="87"/>
      <c r="P881" s="87"/>
      <c r="Q881" s="87"/>
      <c r="R881" s="87"/>
      <c r="S881" s="87"/>
      <c r="T881" s="85"/>
      <c r="U881" s="89"/>
      <c r="V881" s="90"/>
      <c r="W881" s="87"/>
      <c r="X881" s="91"/>
      <c r="Y881" s="84"/>
      <c r="Z881" s="97"/>
    </row>
    <row r="882" spans="1:26" s="98" customFormat="1" x14ac:dyDescent="0.35">
      <c r="A882" s="86">
        <v>879</v>
      </c>
      <c r="B882" s="85"/>
      <c r="C882" s="87"/>
      <c r="D882" s="85"/>
      <c r="E882" s="84"/>
      <c r="F882" s="85"/>
      <c r="G882" s="87"/>
      <c r="H882" s="87"/>
      <c r="I882" s="87"/>
      <c r="J882" s="101"/>
      <c r="K882" s="87"/>
      <c r="L882" s="91"/>
      <c r="M882" s="91"/>
      <c r="N882" s="88">
        <f>Goods_Receipt[[#This Row],[ Invoice. /
 Received Qty ]]-Goods_Receipt[[#This Row],[ Accepted Qty ]]</f>
        <v>0</v>
      </c>
      <c r="O882" s="87"/>
      <c r="P882" s="87"/>
      <c r="Q882" s="87"/>
      <c r="R882" s="87"/>
      <c r="S882" s="87"/>
      <c r="T882" s="85"/>
      <c r="U882" s="89"/>
      <c r="V882" s="90"/>
      <c r="W882" s="87"/>
      <c r="X882" s="91"/>
      <c r="Y882" s="84"/>
      <c r="Z882" s="97"/>
    </row>
    <row r="883" spans="1:26" s="98" customFormat="1" x14ac:dyDescent="0.35">
      <c r="A883" s="86">
        <v>880</v>
      </c>
      <c r="B883" s="85"/>
      <c r="C883" s="87"/>
      <c r="D883" s="85"/>
      <c r="E883" s="84"/>
      <c r="F883" s="85"/>
      <c r="G883" s="87"/>
      <c r="H883" s="87"/>
      <c r="I883" s="87"/>
      <c r="J883" s="101"/>
      <c r="K883" s="87"/>
      <c r="L883" s="91"/>
      <c r="M883" s="91"/>
      <c r="N883" s="88">
        <f>Goods_Receipt[[#This Row],[ Invoice. /
 Received Qty ]]-Goods_Receipt[[#This Row],[ Accepted Qty ]]</f>
        <v>0</v>
      </c>
      <c r="O883" s="87"/>
      <c r="P883" s="87"/>
      <c r="Q883" s="87"/>
      <c r="R883" s="87"/>
      <c r="S883" s="87"/>
      <c r="T883" s="85"/>
      <c r="U883" s="89"/>
      <c r="V883" s="90"/>
      <c r="W883" s="87"/>
      <c r="X883" s="91"/>
      <c r="Y883" s="84"/>
      <c r="Z883" s="97"/>
    </row>
    <row r="884" spans="1:26" s="98" customFormat="1" x14ac:dyDescent="0.35">
      <c r="A884" s="86">
        <v>881</v>
      </c>
      <c r="B884" s="85"/>
      <c r="C884" s="87"/>
      <c r="D884" s="85"/>
      <c r="E884" s="84"/>
      <c r="F884" s="85"/>
      <c r="G884" s="87"/>
      <c r="H884" s="87"/>
      <c r="I884" s="87"/>
      <c r="J884" s="101"/>
      <c r="K884" s="87"/>
      <c r="L884" s="91"/>
      <c r="M884" s="91"/>
      <c r="N884" s="88">
        <f>Goods_Receipt[[#This Row],[ Invoice. /
 Received Qty ]]-Goods_Receipt[[#This Row],[ Accepted Qty ]]</f>
        <v>0</v>
      </c>
      <c r="O884" s="87"/>
      <c r="P884" s="87"/>
      <c r="Q884" s="87"/>
      <c r="R884" s="87"/>
      <c r="S884" s="87"/>
      <c r="T884" s="85"/>
      <c r="U884" s="89"/>
      <c r="V884" s="90"/>
      <c r="W884" s="87"/>
      <c r="X884" s="91"/>
      <c r="Y884" s="84"/>
      <c r="Z884" s="97"/>
    </row>
    <row r="885" spans="1:26" s="98" customFormat="1" x14ac:dyDescent="0.35">
      <c r="A885" s="86">
        <v>882</v>
      </c>
      <c r="B885" s="85"/>
      <c r="C885" s="87"/>
      <c r="D885" s="85"/>
      <c r="E885" s="84"/>
      <c r="F885" s="85"/>
      <c r="G885" s="87"/>
      <c r="H885" s="87"/>
      <c r="I885" s="87"/>
      <c r="J885" s="101"/>
      <c r="K885" s="87"/>
      <c r="L885" s="91"/>
      <c r="M885" s="91"/>
      <c r="N885" s="88">
        <f>Goods_Receipt[[#This Row],[ Invoice. /
 Received Qty ]]-Goods_Receipt[[#This Row],[ Accepted Qty ]]</f>
        <v>0</v>
      </c>
      <c r="O885" s="87"/>
      <c r="P885" s="87"/>
      <c r="Q885" s="87"/>
      <c r="R885" s="87"/>
      <c r="S885" s="87"/>
      <c r="T885" s="85"/>
      <c r="U885" s="89"/>
      <c r="V885" s="90"/>
      <c r="W885" s="87"/>
      <c r="X885" s="91"/>
      <c r="Y885" s="84"/>
      <c r="Z885" s="97"/>
    </row>
    <row r="886" spans="1:26" s="98" customFormat="1" x14ac:dyDescent="0.35">
      <c r="A886" s="86">
        <v>883</v>
      </c>
      <c r="B886" s="85"/>
      <c r="C886" s="87"/>
      <c r="D886" s="85"/>
      <c r="E886" s="84"/>
      <c r="F886" s="85"/>
      <c r="G886" s="87"/>
      <c r="H886" s="87"/>
      <c r="I886" s="87"/>
      <c r="J886" s="101"/>
      <c r="K886" s="87"/>
      <c r="L886" s="91"/>
      <c r="M886" s="91"/>
      <c r="N886" s="88">
        <f>Goods_Receipt[[#This Row],[ Invoice. /
 Received Qty ]]-Goods_Receipt[[#This Row],[ Accepted Qty ]]</f>
        <v>0</v>
      </c>
      <c r="O886" s="87"/>
      <c r="P886" s="87"/>
      <c r="Q886" s="87"/>
      <c r="R886" s="87"/>
      <c r="S886" s="87"/>
      <c r="T886" s="85"/>
      <c r="U886" s="89"/>
      <c r="V886" s="90"/>
      <c r="W886" s="87"/>
      <c r="X886" s="91"/>
      <c r="Y886" s="84"/>
      <c r="Z886" s="97"/>
    </row>
    <row r="887" spans="1:26" s="98" customFormat="1" x14ac:dyDescent="0.35">
      <c r="A887" s="86">
        <v>884</v>
      </c>
      <c r="B887" s="85"/>
      <c r="C887" s="87"/>
      <c r="D887" s="85"/>
      <c r="E887" s="84"/>
      <c r="F887" s="85"/>
      <c r="G887" s="87"/>
      <c r="H887" s="87"/>
      <c r="I887" s="87"/>
      <c r="J887" s="101"/>
      <c r="K887" s="87"/>
      <c r="L887" s="91"/>
      <c r="M887" s="91"/>
      <c r="N887" s="88">
        <f>Goods_Receipt[[#This Row],[ Invoice. /
 Received Qty ]]-Goods_Receipt[[#This Row],[ Accepted Qty ]]</f>
        <v>0</v>
      </c>
      <c r="O887" s="87"/>
      <c r="P887" s="87"/>
      <c r="Q887" s="87"/>
      <c r="R887" s="87"/>
      <c r="S887" s="87"/>
      <c r="T887" s="85"/>
      <c r="U887" s="89"/>
      <c r="V887" s="90"/>
      <c r="W887" s="87"/>
      <c r="X887" s="91"/>
      <c r="Y887" s="84"/>
      <c r="Z887" s="97"/>
    </row>
    <row r="888" spans="1:26" s="98" customFormat="1" x14ac:dyDescent="0.35">
      <c r="A888" s="86">
        <v>885</v>
      </c>
      <c r="B888" s="85"/>
      <c r="C888" s="87"/>
      <c r="D888" s="85"/>
      <c r="E888" s="84"/>
      <c r="F888" s="85"/>
      <c r="G888" s="87"/>
      <c r="H888" s="87"/>
      <c r="I888" s="87"/>
      <c r="J888" s="101"/>
      <c r="K888" s="87"/>
      <c r="L888" s="91"/>
      <c r="M888" s="91"/>
      <c r="N888" s="88">
        <f>Goods_Receipt[[#This Row],[ Invoice. /
 Received Qty ]]-Goods_Receipt[[#This Row],[ Accepted Qty ]]</f>
        <v>0</v>
      </c>
      <c r="O888" s="87"/>
      <c r="P888" s="87"/>
      <c r="Q888" s="87"/>
      <c r="R888" s="87"/>
      <c r="S888" s="87"/>
      <c r="T888" s="85"/>
      <c r="U888" s="89"/>
      <c r="V888" s="90"/>
      <c r="W888" s="87"/>
      <c r="X888" s="91"/>
      <c r="Y888" s="84"/>
      <c r="Z888" s="97"/>
    </row>
    <row r="889" spans="1:26" s="98" customFormat="1" x14ac:dyDescent="0.35">
      <c r="A889" s="86">
        <v>886</v>
      </c>
      <c r="B889" s="85"/>
      <c r="C889" s="87"/>
      <c r="D889" s="85"/>
      <c r="E889" s="84"/>
      <c r="F889" s="85"/>
      <c r="G889" s="87"/>
      <c r="H889" s="87"/>
      <c r="I889" s="87"/>
      <c r="J889" s="101"/>
      <c r="K889" s="87"/>
      <c r="L889" s="91"/>
      <c r="M889" s="91"/>
      <c r="N889" s="88">
        <f>Goods_Receipt[[#This Row],[ Invoice. /
 Received Qty ]]-Goods_Receipt[[#This Row],[ Accepted Qty ]]</f>
        <v>0</v>
      </c>
      <c r="O889" s="87"/>
      <c r="P889" s="87"/>
      <c r="Q889" s="87"/>
      <c r="R889" s="87"/>
      <c r="S889" s="87"/>
      <c r="T889" s="85"/>
      <c r="U889" s="89"/>
      <c r="V889" s="90"/>
      <c r="W889" s="87"/>
      <c r="X889" s="91"/>
      <c r="Y889" s="84"/>
      <c r="Z889" s="97"/>
    </row>
    <row r="890" spans="1:26" s="98" customFormat="1" x14ac:dyDescent="0.35">
      <c r="A890" s="86">
        <v>887</v>
      </c>
      <c r="B890" s="85"/>
      <c r="C890" s="87"/>
      <c r="D890" s="85"/>
      <c r="E890" s="84"/>
      <c r="F890" s="85"/>
      <c r="G890" s="87"/>
      <c r="H890" s="87"/>
      <c r="I890" s="87"/>
      <c r="J890" s="101"/>
      <c r="K890" s="87"/>
      <c r="L890" s="91"/>
      <c r="M890" s="91"/>
      <c r="N890" s="88">
        <f>Goods_Receipt[[#This Row],[ Invoice. /
 Received Qty ]]-Goods_Receipt[[#This Row],[ Accepted Qty ]]</f>
        <v>0</v>
      </c>
      <c r="O890" s="87"/>
      <c r="P890" s="87"/>
      <c r="Q890" s="87"/>
      <c r="R890" s="87"/>
      <c r="S890" s="87"/>
      <c r="T890" s="85"/>
      <c r="U890" s="89"/>
      <c r="V890" s="90"/>
      <c r="W890" s="87"/>
      <c r="X890" s="91"/>
      <c r="Y890" s="84"/>
      <c r="Z890" s="97"/>
    </row>
    <row r="891" spans="1:26" s="98" customFormat="1" x14ac:dyDescent="0.35">
      <c r="A891" s="86">
        <v>888</v>
      </c>
      <c r="B891" s="85"/>
      <c r="C891" s="87"/>
      <c r="D891" s="85"/>
      <c r="E891" s="84"/>
      <c r="F891" s="85"/>
      <c r="G891" s="87"/>
      <c r="H891" s="87"/>
      <c r="I891" s="87"/>
      <c r="J891" s="101"/>
      <c r="K891" s="87"/>
      <c r="L891" s="91"/>
      <c r="M891" s="91"/>
      <c r="N891" s="88">
        <f>Goods_Receipt[[#This Row],[ Invoice. /
 Received Qty ]]-Goods_Receipt[[#This Row],[ Accepted Qty ]]</f>
        <v>0</v>
      </c>
      <c r="O891" s="87"/>
      <c r="P891" s="87"/>
      <c r="Q891" s="87"/>
      <c r="R891" s="87"/>
      <c r="S891" s="87"/>
      <c r="T891" s="85"/>
      <c r="U891" s="89"/>
      <c r="V891" s="90"/>
      <c r="W891" s="87"/>
      <c r="X891" s="91"/>
      <c r="Y891" s="84"/>
      <c r="Z891" s="97"/>
    </row>
    <row r="892" spans="1:26" s="98" customFormat="1" x14ac:dyDescent="0.35">
      <c r="A892" s="86">
        <v>889</v>
      </c>
      <c r="B892" s="85"/>
      <c r="C892" s="87"/>
      <c r="D892" s="85"/>
      <c r="E892" s="84"/>
      <c r="F892" s="85"/>
      <c r="G892" s="87"/>
      <c r="H892" s="87"/>
      <c r="I892" s="87"/>
      <c r="J892" s="101"/>
      <c r="K892" s="87"/>
      <c r="L892" s="91"/>
      <c r="M892" s="91"/>
      <c r="N892" s="88">
        <f>Goods_Receipt[[#This Row],[ Invoice. /
 Received Qty ]]-Goods_Receipt[[#This Row],[ Accepted Qty ]]</f>
        <v>0</v>
      </c>
      <c r="O892" s="87"/>
      <c r="P892" s="87"/>
      <c r="Q892" s="87"/>
      <c r="R892" s="87"/>
      <c r="S892" s="87"/>
      <c r="T892" s="85"/>
      <c r="U892" s="89"/>
      <c r="V892" s="90"/>
      <c r="W892" s="87"/>
      <c r="X892" s="91"/>
      <c r="Y892" s="84"/>
      <c r="Z892" s="97"/>
    </row>
    <row r="893" spans="1:26" s="98" customFormat="1" x14ac:dyDescent="0.35">
      <c r="A893" s="86">
        <v>890</v>
      </c>
      <c r="B893" s="85"/>
      <c r="C893" s="87"/>
      <c r="D893" s="85"/>
      <c r="E893" s="84"/>
      <c r="F893" s="85"/>
      <c r="G893" s="87"/>
      <c r="H893" s="87"/>
      <c r="I893" s="87"/>
      <c r="J893" s="101"/>
      <c r="K893" s="87"/>
      <c r="L893" s="91"/>
      <c r="M893" s="91"/>
      <c r="N893" s="88">
        <f>Goods_Receipt[[#This Row],[ Invoice. /
 Received Qty ]]-Goods_Receipt[[#This Row],[ Accepted Qty ]]</f>
        <v>0</v>
      </c>
      <c r="O893" s="87"/>
      <c r="P893" s="87"/>
      <c r="Q893" s="87"/>
      <c r="R893" s="87"/>
      <c r="S893" s="87"/>
      <c r="T893" s="85"/>
      <c r="U893" s="89"/>
      <c r="V893" s="90"/>
      <c r="W893" s="87"/>
      <c r="X893" s="91"/>
      <c r="Y893" s="84"/>
      <c r="Z893" s="97"/>
    </row>
    <row r="894" spans="1:26" s="98" customFormat="1" x14ac:dyDescent="0.35">
      <c r="A894" s="86">
        <v>891</v>
      </c>
      <c r="B894" s="85"/>
      <c r="C894" s="87"/>
      <c r="D894" s="85"/>
      <c r="E894" s="84"/>
      <c r="F894" s="85"/>
      <c r="G894" s="87"/>
      <c r="H894" s="87"/>
      <c r="I894" s="87"/>
      <c r="J894" s="101"/>
      <c r="K894" s="87"/>
      <c r="L894" s="91"/>
      <c r="M894" s="91"/>
      <c r="N894" s="88">
        <f>Goods_Receipt[[#This Row],[ Invoice. /
 Received Qty ]]-Goods_Receipt[[#This Row],[ Accepted Qty ]]</f>
        <v>0</v>
      </c>
      <c r="O894" s="87"/>
      <c r="P894" s="87"/>
      <c r="Q894" s="87"/>
      <c r="R894" s="87"/>
      <c r="S894" s="87"/>
      <c r="T894" s="85"/>
      <c r="U894" s="89"/>
      <c r="V894" s="90"/>
      <c r="W894" s="87"/>
      <c r="X894" s="91"/>
      <c r="Y894" s="84"/>
      <c r="Z894" s="97"/>
    </row>
    <row r="895" spans="1:26" s="98" customFormat="1" x14ac:dyDescent="0.35">
      <c r="A895" s="86">
        <v>892</v>
      </c>
      <c r="B895" s="85"/>
      <c r="C895" s="87"/>
      <c r="D895" s="85"/>
      <c r="E895" s="84"/>
      <c r="F895" s="85"/>
      <c r="G895" s="87"/>
      <c r="H895" s="87"/>
      <c r="I895" s="87"/>
      <c r="J895" s="101"/>
      <c r="K895" s="87"/>
      <c r="L895" s="91"/>
      <c r="M895" s="91"/>
      <c r="N895" s="88">
        <f>Goods_Receipt[[#This Row],[ Invoice. /
 Received Qty ]]-Goods_Receipt[[#This Row],[ Accepted Qty ]]</f>
        <v>0</v>
      </c>
      <c r="O895" s="87"/>
      <c r="P895" s="87"/>
      <c r="Q895" s="87"/>
      <c r="R895" s="87"/>
      <c r="S895" s="87"/>
      <c r="T895" s="85"/>
      <c r="U895" s="89"/>
      <c r="V895" s="90"/>
      <c r="W895" s="87"/>
      <c r="X895" s="91"/>
      <c r="Y895" s="84"/>
      <c r="Z895" s="97"/>
    </row>
    <row r="896" spans="1:26" s="98" customFormat="1" x14ac:dyDescent="0.35">
      <c r="A896" s="86">
        <v>893</v>
      </c>
      <c r="B896" s="85"/>
      <c r="C896" s="87"/>
      <c r="D896" s="85"/>
      <c r="E896" s="84"/>
      <c r="F896" s="85"/>
      <c r="G896" s="87"/>
      <c r="H896" s="87"/>
      <c r="I896" s="87"/>
      <c r="J896" s="101"/>
      <c r="K896" s="87"/>
      <c r="L896" s="91"/>
      <c r="M896" s="91"/>
      <c r="N896" s="88">
        <f>Goods_Receipt[[#This Row],[ Invoice. /
 Received Qty ]]-Goods_Receipt[[#This Row],[ Accepted Qty ]]</f>
        <v>0</v>
      </c>
      <c r="O896" s="87"/>
      <c r="P896" s="87"/>
      <c r="Q896" s="87"/>
      <c r="R896" s="87"/>
      <c r="S896" s="87"/>
      <c r="T896" s="85"/>
      <c r="U896" s="89"/>
      <c r="V896" s="90"/>
      <c r="W896" s="87"/>
      <c r="X896" s="91"/>
      <c r="Y896" s="84"/>
      <c r="Z896" s="97"/>
    </row>
    <row r="897" spans="1:26" s="98" customFormat="1" x14ac:dyDescent="0.35">
      <c r="A897" s="86">
        <v>894</v>
      </c>
      <c r="B897" s="85"/>
      <c r="C897" s="87"/>
      <c r="D897" s="85"/>
      <c r="E897" s="84"/>
      <c r="F897" s="85"/>
      <c r="G897" s="87"/>
      <c r="H897" s="87"/>
      <c r="I897" s="87"/>
      <c r="J897" s="101"/>
      <c r="K897" s="87"/>
      <c r="L897" s="91"/>
      <c r="M897" s="91"/>
      <c r="N897" s="88">
        <f>Goods_Receipt[[#This Row],[ Invoice. /
 Received Qty ]]-Goods_Receipt[[#This Row],[ Accepted Qty ]]</f>
        <v>0</v>
      </c>
      <c r="O897" s="87"/>
      <c r="P897" s="87"/>
      <c r="Q897" s="87"/>
      <c r="R897" s="87"/>
      <c r="S897" s="87"/>
      <c r="T897" s="85"/>
      <c r="U897" s="89"/>
      <c r="V897" s="90"/>
      <c r="W897" s="87"/>
      <c r="X897" s="91"/>
      <c r="Y897" s="84"/>
      <c r="Z897" s="97"/>
    </row>
    <row r="898" spans="1:26" s="98" customFormat="1" x14ac:dyDescent="0.35">
      <c r="A898" s="86">
        <v>895</v>
      </c>
      <c r="B898" s="85"/>
      <c r="C898" s="87"/>
      <c r="D898" s="85"/>
      <c r="E898" s="84"/>
      <c r="F898" s="85"/>
      <c r="G898" s="87"/>
      <c r="H898" s="87"/>
      <c r="I898" s="87"/>
      <c r="J898" s="101"/>
      <c r="K898" s="87"/>
      <c r="L898" s="91"/>
      <c r="M898" s="91"/>
      <c r="N898" s="88">
        <f>Goods_Receipt[[#This Row],[ Invoice. /
 Received Qty ]]-Goods_Receipt[[#This Row],[ Accepted Qty ]]</f>
        <v>0</v>
      </c>
      <c r="O898" s="87"/>
      <c r="P898" s="87"/>
      <c r="Q898" s="87"/>
      <c r="R898" s="87"/>
      <c r="S898" s="87"/>
      <c r="T898" s="85"/>
      <c r="U898" s="89"/>
      <c r="V898" s="90"/>
      <c r="W898" s="87"/>
      <c r="X898" s="91"/>
      <c r="Y898" s="84"/>
      <c r="Z898" s="97"/>
    </row>
    <row r="899" spans="1:26" s="98" customFormat="1" x14ac:dyDescent="0.35">
      <c r="A899" s="86">
        <v>896</v>
      </c>
      <c r="B899" s="85"/>
      <c r="C899" s="87"/>
      <c r="D899" s="85"/>
      <c r="E899" s="84"/>
      <c r="F899" s="85"/>
      <c r="G899" s="87"/>
      <c r="H899" s="87"/>
      <c r="I899" s="87"/>
      <c r="J899" s="101"/>
      <c r="K899" s="87"/>
      <c r="L899" s="91"/>
      <c r="M899" s="91"/>
      <c r="N899" s="88">
        <f>Goods_Receipt[[#This Row],[ Invoice. /
 Received Qty ]]-Goods_Receipt[[#This Row],[ Accepted Qty ]]</f>
        <v>0</v>
      </c>
      <c r="O899" s="87"/>
      <c r="P899" s="87"/>
      <c r="Q899" s="87"/>
      <c r="R899" s="87"/>
      <c r="S899" s="87"/>
      <c r="T899" s="85"/>
      <c r="U899" s="89"/>
      <c r="V899" s="90"/>
      <c r="W899" s="87"/>
      <c r="X899" s="91"/>
      <c r="Y899" s="84"/>
      <c r="Z899" s="97"/>
    </row>
    <row r="900" spans="1:26" s="98" customFormat="1" x14ac:dyDescent="0.35">
      <c r="A900" s="86">
        <v>897</v>
      </c>
      <c r="B900" s="85"/>
      <c r="C900" s="87"/>
      <c r="D900" s="85"/>
      <c r="E900" s="84"/>
      <c r="F900" s="85"/>
      <c r="G900" s="87"/>
      <c r="H900" s="87"/>
      <c r="I900" s="87"/>
      <c r="J900" s="101"/>
      <c r="K900" s="87"/>
      <c r="L900" s="91"/>
      <c r="M900" s="91"/>
      <c r="N900" s="88">
        <f>Goods_Receipt[[#This Row],[ Invoice. /
 Received Qty ]]-Goods_Receipt[[#This Row],[ Accepted Qty ]]</f>
        <v>0</v>
      </c>
      <c r="O900" s="87"/>
      <c r="P900" s="87"/>
      <c r="Q900" s="87"/>
      <c r="R900" s="87"/>
      <c r="S900" s="87"/>
      <c r="T900" s="85"/>
      <c r="U900" s="89"/>
      <c r="V900" s="90"/>
      <c r="W900" s="87"/>
      <c r="X900" s="91"/>
      <c r="Y900" s="84"/>
      <c r="Z900" s="97"/>
    </row>
    <row r="901" spans="1:26" s="98" customFormat="1" x14ac:dyDescent="0.35">
      <c r="A901" s="86">
        <v>898</v>
      </c>
      <c r="B901" s="85"/>
      <c r="C901" s="87"/>
      <c r="D901" s="85"/>
      <c r="E901" s="84"/>
      <c r="F901" s="85"/>
      <c r="G901" s="87"/>
      <c r="H901" s="87"/>
      <c r="I901" s="87"/>
      <c r="J901" s="101"/>
      <c r="K901" s="87"/>
      <c r="L901" s="91"/>
      <c r="M901" s="91"/>
      <c r="N901" s="88">
        <f>Goods_Receipt[[#This Row],[ Invoice. /
 Received Qty ]]-Goods_Receipt[[#This Row],[ Accepted Qty ]]</f>
        <v>0</v>
      </c>
      <c r="O901" s="87"/>
      <c r="P901" s="87"/>
      <c r="Q901" s="87"/>
      <c r="R901" s="87"/>
      <c r="S901" s="87"/>
      <c r="T901" s="85"/>
      <c r="U901" s="89"/>
      <c r="V901" s="90"/>
      <c r="W901" s="87"/>
      <c r="X901" s="91"/>
      <c r="Y901" s="84"/>
      <c r="Z901" s="97"/>
    </row>
    <row r="902" spans="1:26" s="98" customFormat="1" x14ac:dyDescent="0.35">
      <c r="A902" s="86">
        <v>899</v>
      </c>
      <c r="B902" s="85"/>
      <c r="C902" s="87"/>
      <c r="D902" s="85"/>
      <c r="E902" s="84"/>
      <c r="F902" s="85"/>
      <c r="G902" s="87"/>
      <c r="H902" s="87"/>
      <c r="I902" s="87"/>
      <c r="J902" s="101"/>
      <c r="K902" s="87"/>
      <c r="L902" s="91"/>
      <c r="M902" s="91"/>
      <c r="N902" s="88">
        <f>Goods_Receipt[[#This Row],[ Invoice. /
 Received Qty ]]-Goods_Receipt[[#This Row],[ Accepted Qty ]]</f>
        <v>0</v>
      </c>
      <c r="O902" s="87"/>
      <c r="P902" s="87"/>
      <c r="Q902" s="87"/>
      <c r="R902" s="87"/>
      <c r="S902" s="87"/>
      <c r="T902" s="85"/>
      <c r="U902" s="89"/>
      <c r="V902" s="90"/>
      <c r="W902" s="87"/>
      <c r="X902" s="91"/>
      <c r="Y902" s="84"/>
      <c r="Z902" s="97"/>
    </row>
    <row r="903" spans="1:26" s="98" customFormat="1" x14ac:dyDescent="0.35">
      <c r="A903" s="86">
        <v>900</v>
      </c>
      <c r="B903" s="85"/>
      <c r="C903" s="87"/>
      <c r="D903" s="85"/>
      <c r="E903" s="84"/>
      <c r="F903" s="85"/>
      <c r="G903" s="87"/>
      <c r="H903" s="87"/>
      <c r="I903" s="87"/>
      <c r="J903" s="101"/>
      <c r="K903" s="87"/>
      <c r="L903" s="91"/>
      <c r="M903" s="91"/>
      <c r="N903" s="88">
        <f>Goods_Receipt[[#This Row],[ Invoice. /
 Received Qty ]]-Goods_Receipt[[#This Row],[ Accepted Qty ]]</f>
        <v>0</v>
      </c>
      <c r="O903" s="87"/>
      <c r="P903" s="87"/>
      <c r="Q903" s="87"/>
      <c r="R903" s="87"/>
      <c r="S903" s="87"/>
      <c r="T903" s="85"/>
      <c r="U903" s="89"/>
      <c r="V903" s="90"/>
      <c r="W903" s="87"/>
      <c r="X903" s="91"/>
      <c r="Y903" s="84"/>
      <c r="Z903" s="97"/>
    </row>
    <row r="904" spans="1:26" s="98" customFormat="1" x14ac:dyDescent="0.35">
      <c r="A904" s="86">
        <v>901</v>
      </c>
      <c r="B904" s="85"/>
      <c r="C904" s="87"/>
      <c r="D904" s="85"/>
      <c r="E904" s="84"/>
      <c r="F904" s="85"/>
      <c r="G904" s="87"/>
      <c r="H904" s="87"/>
      <c r="I904" s="87"/>
      <c r="J904" s="101"/>
      <c r="K904" s="87"/>
      <c r="L904" s="91"/>
      <c r="M904" s="91"/>
      <c r="N904" s="88">
        <f>Goods_Receipt[[#This Row],[ Invoice. /
 Received Qty ]]-Goods_Receipt[[#This Row],[ Accepted Qty ]]</f>
        <v>0</v>
      </c>
      <c r="O904" s="87"/>
      <c r="P904" s="87"/>
      <c r="Q904" s="87"/>
      <c r="R904" s="87"/>
      <c r="S904" s="87"/>
      <c r="T904" s="85"/>
      <c r="U904" s="89"/>
      <c r="V904" s="90"/>
      <c r="W904" s="87"/>
      <c r="X904" s="91"/>
      <c r="Y904" s="84"/>
      <c r="Z904" s="97"/>
    </row>
    <row r="905" spans="1:26" s="98" customFormat="1" x14ac:dyDescent="0.35">
      <c r="A905" s="86">
        <v>902</v>
      </c>
      <c r="B905" s="85"/>
      <c r="C905" s="87"/>
      <c r="D905" s="85"/>
      <c r="E905" s="84"/>
      <c r="F905" s="85"/>
      <c r="G905" s="87"/>
      <c r="H905" s="87"/>
      <c r="I905" s="87"/>
      <c r="J905" s="101"/>
      <c r="K905" s="87"/>
      <c r="L905" s="91"/>
      <c r="M905" s="91"/>
      <c r="N905" s="88">
        <f>Goods_Receipt[[#This Row],[ Invoice. /
 Received Qty ]]-Goods_Receipt[[#This Row],[ Accepted Qty ]]</f>
        <v>0</v>
      </c>
      <c r="O905" s="87"/>
      <c r="P905" s="87"/>
      <c r="Q905" s="87"/>
      <c r="R905" s="87"/>
      <c r="S905" s="87"/>
      <c r="T905" s="85"/>
      <c r="U905" s="89"/>
      <c r="V905" s="90"/>
      <c r="W905" s="87"/>
      <c r="X905" s="91"/>
      <c r="Y905" s="84"/>
      <c r="Z905" s="97"/>
    </row>
    <row r="906" spans="1:26" s="98" customFormat="1" x14ac:dyDescent="0.35">
      <c r="A906" s="86">
        <v>903</v>
      </c>
      <c r="B906" s="85"/>
      <c r="C906" s="87"/>
      <c r="D906" s="85"/>
      <c r="E906" s="84"/>
      <c r="F906" s="85"/>
      <c r="G906" s="87"/>
      <c r="H906" s="87"/>
      <c r="I906" s="87"/>
      <c r="J906" s="101"/>
      <c r="K906" s="87"/>
      <c r="L906" s="91"/>
      <c r="M906" s="91"/>
      <c r="N906" s="88">
        <f>Goods_Receipt[[#This Row],[ Invoice. /
 Received Qty ]]-Goods_Receipt[[#This Row],[ Accepted Qty ]]</f>
        <v>0</v>
      </c>
      <c r="O906" s="87"/>
      <c r="P906" s="87"/>
      <c r="Q906" s="87"/>
      <c r="R906" s="87"/>
      <c r="S906" s="87"/>
      <c r="T906" s="85"/>
      <c r="U906" s="89"/>
      <c r="V906" s="90"/>
      <c r="W906" s="87"/>
      <c r="X906" s="91"/>
      <c r="Y906" s="84"/>
      <c r="Z906" s="97"/>
    </row>
    <row r="907" spans="1:26" s="98" customFormat="1" x14ac:dyDescent="0.35">
      <c r="A907" s="86">
        <v>904</v>
      </c>
      <c r="B907" s="85"/>
      <c r="C907" s="87"/>
      <c r="D907" s="85"/>
      <c r="E907" s="84"/>
      <c r="F907" s="85"/>
      <c r="G907" s="87"/>
      <c r="H907" s="87"/>
      <c r="I907" s="87"/>
      <c r="J907" s="101"/>
      <c r="K907" s="87"/>
      <c r="L907" s="91"/>
      <c r="M907" s="91"/>
      <c r="N907" s="88">
        <f>Goods_Receipt[[#This Row],[ Invoice. /
 Received Qty ]]-Goods_Receipt[[#This Row],[ Accepted Qty ]]</f>
        <v>0</v>
      </c>
      <c r="O907" s="87"/>
      <c r="P907" s="87"/>
      <c r="Q907" s="87"/>
      <c r="R907" s="87"/>
      <c r="S907" s="87"/>
      <c r="T907" s="85"/>
      <c r="U907" s="89"/>
      <c r="V907" s="90"/>
      <c r="W907" s="87"/>
      <c r="X907" s="91"/>
      <c r="Y907" s="84"/>
      <c r="Z907" s="97"/>
    </row>
    <row r="908" spans="1:26" s="98" customFormat="1" x14ac:dyDescent="0.35">
      <c r="A908" s="86">
        <v>905</v>
      </c>
      <c r="B908" s="85"/>
      <c r="C908" s="87"/>
      <c r="D908" s="85"/>
      <c r="E908" s="84"/>
      <c r="F908" s="85"/>
      <c r="G908" s="87"/>
      <c r="H908" s="87"/>
      <c r="I908" s="87"/>
      <c r="J908" s="101"/>
      <c r="K908" s="87"/>
      <c r="L908" s="91"/>
      <c r="M908" s="91"/>
      <c r="N908" s="88">
        <f>Goods_Receipt[[#This Row],[ Invoice. /
 Received Qty ]]-Goods_Receipt[[#This Row],[ Accepted Qty ]]</f>
        <v>0</v>
      </c>
      <c r="O908" s="87"/>
      <c r="P908" s="87"/>
      <c r="Q908" s="87"/>
      <c r="R908" s="87"/>
      <c r="S908" s="87"/>
      <c r="T908" s="85"/>
      <c r="U908" s="89"/>
      <c r="V908" s="90"/>
      <c r="W908" s="87"/>
      <c r="X908" s="91"/>
      <c r="Y908" s="84"/>
      <c r="Z908" s="97"/>
    </row>
    <row r="909" spans="1:26" s="98" customFormat="1" x14ac:dyDescent="0.35">
      <c r="A909" s="86">
        <v>906</v>
      </c>
      <c r="B909" s="85"/>
      <c r="C909" s="87"/>
      <c r="D909" s="85"/>
      <c r="E909" s="84"/>
      <c r="F909" s="85"/>
      <c r="G909" s="87"/>
      <c r="H909" s="87"/>
      <c r="I909" s="87"/>
      <c r="J909" s="101"/>
      <c r="K909" s="87"/>
      <c r="L909" s="91"/>
      <c r="M909" s="91"/>
      <c r="N909" s="88">
        <f>Goods_Receipt[[#This Row],[ Invoice. /
 Received Qty ]]-Goods_Receipt[[#This Row],[ Accepted Qty ]]</f>
        <v>0</v>
      </c>
      <c r="O909" s="87"/>
      <c r="P909" s="87"/>
      <c r="Q909" s="87"/>
      <c r="R909" s="87"/>
      <c r="S909" s="87"/>
      <c r="T909" s="85"/>
      <c r="U909" s="89"/>
      <c r="V909" s="90"/>
      <c r="W909" s="87"/>
      <c r="X909" s="91"/>
      <c r="Y909" s="84"/>
      <c r="Z909" s="97"/>
    </row>
    <row r="910" spans="1:26" s="98" customFormat="1" x14ac:dyDescent="0.35">
      <c r="A910" s="86">
        <v>907</v>
      </c>
      <c r="B910" s="85"/>
      <c r="C910" s="87"/>
      <c r="D910" s="85"/>
      <c r="E910" s="84"/>
      <c r="F910" s="85"/>
      <c r="G910" s="87"/>
      <c r="H910" s="87"/>
      <c r="I910" s="87"/>
      <c r="J910" s="101"/>
      <c r="K910" s="87"/>
      <c r="L910" s="91"/>
      <c r="M910" s="91"/>
      <c r="N910" s="88">
        <f>Goods_Receipt[[#This Row],[ Invoice. /
 Received Qty ]]-Goods_Receipt[[#This Row],[ Accepted Qty ]]</f>
        <v>0</v>
      </c>
      <c r="O910" s="87"/>
      <c r="P910" s="87"/>
      <c r="Q910" s="87"/>
      <c r="R910" s="87"/>
      <c r="S910" s="87"/>
      <c r="T910" s="85"/>
      <c r="U910" s="89"/>
      <c r="V910" s="90"/>
      <c r="W910" s="87"/>
      <c r="X910" s="91"/>
      <c r="Y910" s="84"/>
      <c r="Z910" s="97"/>
    </row>
    <row r="911" spans="1:26" s="98" customFormat="1" x14ac:dyDescent="0.35">
      <c r="A911" s="86">
        <v>908</v>
      </c>
      <c r="B911" s="85"/>
      <c r="C911" s="87"/>
      <c r="D911" s="85"/>
      <c r="E911" s="84"/>
      <c r="F911" s="85"/>
      <c r="G911" s="87"/>
      <c r="H911" s="87"/>
      <c r="I911" s="87"/>
      <c r="J911" s="101"/>
      <c r="K911" s="87"/>
      <c r="L911" s="91"/>
      <c r="M911" s="91"/>
      <c r="N911" s="88">
        <f>Goods_Receipt[[#This Row],[ Invoice. /
 Received Qty ]]-Goods_Receipt[[#This Row],[ Accepted Qty ]]</f>
        <v>0</v>
      </c>
      <c r="O911" s="87"/>
      <c r="P911" s="87"/>
      <c r="Q911" s="87"/>
      <c r="R911" s="87"/>
      <c r="S911" s="87"/>
      <c r="T911" s="85"/>
      <c r="U911" s="89"/>
      <c r="V911" s="90"/>
      <c r="W911" s="87"/>
      <c r="X911" s="91"/>
      <c r="Y911" s="84"/>
      <c r="Z911" s="97"/>
    </row>
    <row r="912" spans="1:26" s="98" customFormat="1" x14ac:dyDescent="0.35">
      <c r="A912" s="86">
        <v>909</v>
      </c>
      <c r="B912" s="85"/>
      <c r="C912" s="87"/>
      <c r="D912" s="85"/>
      <c r="E912" s="84"/>
      <c r="F912" s="85"/>
      <c r="G912" s="87"/>
      <c r="H912" s="87"/>
      <c r="I912" s="87"/>
      <c r="J912" s="101"/>
      <c r="K912" s="87"/>
      <c r="L912" s="91"/>
      <c r="M912" s="91"/>
      <c r="N912" s="88">
        <f>Goods_Receipt[[#This Row],[ Invoice. /
 Received Qty ]]-Goods_Receipt[[#This Row],[ Accepted Qty ]]</f>
        <v>0</v>
      </c>
      <c r="O912" s="87"/>
      <c r="P912" s="87"/>
      <c r="Q912" s="87"/>
      <c r="R912" s="87"/>
      <c r="S912" s="87"/>
      <c r="T912" s="85"/>
      <c r="U912" s="89"/>
      <c r="V912" s="90"/>
      <c r="W912" s="87"/>
      <c r="X912" s="91"/>
      <c r="Y912" s="84"/>
      <c r="Z912" s="97"/>
    </row>
    <row r="913" spans="1:26" s="98" customFormat="1" x14ac:dyDescent="0.35">
      <c r="A913" s="86">
        <v>910</v>
      </c>
      <c r="B913" s="85"/>
      <c r="C913" s="87"/>
      <c r="D913" s="85"/>
      <c r="E913" s="84"/>
      <c r="F913" s="85"/>
      <c r="G913" s="87"/>
      <c r="H913" s="87"/>
      <c r="I913" s="87"/>
      <c r="J913" s="101"/>
      <c r="K913" s="87"/>
      <c r="L913" s="91"/>
      <c r="M913" s="91"/>
      <c r="N913" s="88">
        <f>Goods_Receipt[[#This Row],[ Invoice. /
 Received Qty ]]-Goods_Receipt[[#This Row],[ Accepted Qty ]]</f>
        <v>0</v>
      </c>
      <c r="O913" s="87"/>
      <c r="P913" s="87"/>
      <c r="Q913" s="87"/>
      <c r="R913" s="87"/>
      <c r="S913" s="87"/>
      <c r="T913" s="85"/>
      <c r="U913" s="89"/>
      <c r="V913" s="90"/>
      <c r="W913" s="87"/>
      <c r="X913" s="91"/>
      <c r="Y913" s="84"/>
      <c r="Z913" s="97"/>
    </row>
    <row r="914" spans="1:26" s="98" customFormat="1" x14ac:dyDescent="0.35">
      <c r="A914" s="86">
        <v>911</v>
      </c>
      <c r="B914" s="85"/>
      <c r="C914" s="87"/>
      <c r="D914" s="85"/>
      <c r="E914" s="84"/>
      <c r="F914" s="85"/>
      <c r="G914" s="87"/>
      <c r="H914" s="87"/>
      <c r="I914" s="87"/>
      <c r="J914" s="101"/>
      <c r="K914" s="87"/>
      <c r="L914" s="91"/>
      <c r="M914" s="91"/>
      <c r="N914" s="88">
        <f>Goods_Receipt[[#This Row],[ Invoice. /
 Received Qty ]]-Goods_Receipt[[#This Row],[ Accepted Qty ]]</f>
        <v>0</v>
      </c>
      <c r="O914" s="87"/>
      <c r="P914" s="87"/>
      <c r="Q914" s="87"/>
      <c r="R914" s="87"/>
      <c r="S914" s="87"/>
      <c r="T914" s="85"/>
      <c r="U914" s="89"/>
      <c r="V914" s="90"/>
      <c r="W914" s="87"/>
      <c r="X914" s="91"/>
      <c r="Y914" s="84"/>
      <c r="Z914" s="97"/>
    </row>
    <row r="915" spans="1:26" s="98" customFormat="1" x14ac:dyDescent="0.35">
      <c r="A915" s="86">
        <v>912</v>
      </c>
      <c r="B915" s="85"/>
      <c r="C915" s="87"/>
      <c r="D915" s="85"/>
      <c r="E915" s="84"/>
      <c r="F915" s="85"/>
      <c r="G915" s="87"/>
      <c r="H915" s="87"/>
      <c r="I915" s="87"/>
      <c r="J915" s="101"/>
      <c r="K915" s="87"/>
      <c r="L915" s="91"/>
      <c r="M915" s="91"/>
      <c r="N915" s="88">
        <f>Goods_Receipt[[#This Row],[ Invoice. /
 Received Qty ]]-Goods_Receipt[[#This Row],[ Accepted Qty ]]</f>
        <v>0</v>
      </c>
      <c r="O915" s="87"/>
      <c r="P915" s="87"/>
      <c r="Q915" s="87"/>
      <c r="R915" s="87"/>
      <c r="S915" s="87"/>
      <c r="T915" s="85"/>
      <c r="U915" s="89"/>
      <c r="V915" s="90"/>
      <c r="W915" s="87"/>
      <c r="X915" s="91"/>
      <c r="Y915" s="84"/>
      <c r="Z915" s="97"/>
    </row>
    <row r="916" spans="1:26" s="98" customFormat="1" x14ac:dyDescent="0.35">
      <c r="A916" s="86">
        <v>913</v>
      </c>
      <c r="B916" s="85"/>
      <c r="C916" s="87"/>
      <c r="D916" s="85"/>
      <c r="E916" s="84"/>
      <c r="F916" s="85"/>
      <c r="G916" s="87"/>
      <c r="H916" s="87"/>
      <c r="I916" s="87"/>
      <c r="J916" s="101"/>
      <c r="K916" s="87"/>
      <c r="L916" s="91"/>
      <c r="M916" s="91"/>
      <c r="N916" s="88">
        <f>Goods_Receipt[[#This Row],[ Invoice. /
 Received Qty ]]-Goods_Receipt[[#This Row],[ Accepted Qty ]]</f>
        <v>0</v>
      </c>
      <c r="O916" s="87"/>
      <c r="P916" s="87"/>
      <c r="Q916" s="87"/>
      <c r="R916" s="87"/>
      <c r="S916" s="87"/>
      <c r="T916" s="85"/>
      <c r="U916" s="89"/>
      <c r="V916" s="90"/>
      <c r="W916" s="87"/>
      <c r="X916" s="91"/>
      <c r="Y916" s="84"/>
      <c r="Z916" s="97"/>
    </row>
    <row r="917" spans="1:26" s="98" customFormat="1" x14ac:dyDescent="0.35">
      <c r="A917" s="86">
        <v>914</v>
      </c>
      <c r="B917" s="85"/>
      <c r="C917" s="87"/>
      <c r="D917" s="85"/>
      <c r="E917" s="84"/>
      <c r="F917" s="85"/>
      <c r="G917" s="87"/>
      <c r="H917" s="87"/>
      <c r="I917" s="87"/>
      <c r="J917" s="101"/>
      <c r="K917" s="87"/>
      <c r="L917" s="91"/>
      <c r="M917" s="91"/>
      <c r="N917" s="88">
        <f>Goods_Receipt[[#This Row],[ Invoice. /
 Received Qty ]]-Goods_Receipt[[#This Row],[ Accepted Qty ]]</f>
        <v>0</v>
      </c>
      <c r="O917" s="87"/>
      <c r="P917" s="87"/>
      <c r="Q917" s="87"/>
      <c r="R917" s="87"/>
      <c r="S917" s="87"/>
      <c r="T917" s="85"/>
      <c r="U917" s="89"/>
      <c r="V917" s="90"/>
      <c r="W917" s="87"/>
      <c r="X917" s="91"/>
      <c r="Y917" s="84"/>
      <c r="Z917" s="97"/>
    </row>
    <row r="918" spans="1:26" s="98" customFormat="1" x14ac:dyDescent="0.35">
      <c r="A918" s="86">
        <v>915</v>
      </c>
      <c r="B918" s="85"/>
      <c r="C918" s="87"/>
      <c r="D918" s="85"/>
      <c r="E918" s="84"/>
      <c r="F918" s="85"/>
      <c r="G918" s="87"/>
      <c r="H918" s="87"/>
      <c r="I918" s="87"/>
      <c r="J918" s="101"/>
      <c r="K918" s="87"/>
      <c r="L918" s="91"/>
      <c r="M918" s="91"/>
      <c r="N918" s="88">
        <f>Goods_Receipt[[#This Row],[ Invoice. /
 Received Qty ]]-Goods_Receipt[[#This Row],[ Accepted Qty ]]</f>
        <v>0</v>
      </c>
      <c r="O918" s="87"/>
      <c r="P918" s="87"/>
      <c r="Q918" s="87"/>
      <c r="R918" s="87"/>
      <c r="S918" s="87"/>
      <c r="T918" s="85"/>
      <c r="U918" s="89"/>
      <c r="V918" s="90"/>
      <c r="W918" s="87"/>
      <c r="X918" s="91"/>
      <c r="Y918" s="84"/>
      <c r="Z918" s="97"/>
    </row>
    <row r="919" spans="1:26" s="98" customFormat="1" x14ac:dyDescent="0.35">
      <c r="A919" s="86">
        <v>916</v>
      </c>
      <c r="B919" s="85"/>
      <c r="C919" s="87"/>
      <c r="D919" s="85"/>
      <c r="E919" s="84"/>
      <c r="F919" s="85"/>
      <c r="G919" s="87"/>
      <c r="H919" s="87"/>
      <c r="I919" s="87"/>
      <c r="J919" s="101"/>
      <c r="K919" s="87"/>
      <c r="L919" s="91"/>
      <c r="M919" s="91"/>
      <c r="N919" s="88">
        <f>Goods_Receipt[[#This Row],[ Invoice. /
 Received Qty ]]-Goods_Receipt[[#This Row],[ Accepted Qty ]]</f>
        <v>0</v>
      </c>
      <c r="O919" s="87"/>
      <c r="P919" s="87"/>
      <c r="Q919" s="87"/>
      <c r="R919" s="87"/>
      <c r="S919" s="87"/>
      <c r="T919" s="85"/>
      <c r="U919" s="89"/>
      <c r="V919" s="90"/>
      <c r="W919" s="87"/>
      <c r="X919" s="91"/>
      <c r="Y919" s="84"/>
      <c r="Z919" s="97"/>
    </row>
    <row r="920" spans="1:26" s="98" customFormat="1" x14ac:dyDescent="0.35">
      <c r="A920" s="86">
        <v>917</v>
      </c>
      <c r="B920" s="85"/>
      <c r="C920" s="87"/>
      <c r="D920" s="85"/>
      <c r="E920" s="84"/>
      <c r="F920" s="85"/>
      <c r="G920" s="87"/>
      <c r="H920" s="87"/>
      <c r="I920" s="87"/>
      <c r="J920" s="101"/>
      <c r="K920" s="87"/>
      <c r="L920" s="91"/>
      <c r="M920" s="91"/>
      <c r="N920" s="88">
        <f>Goods_Receipt[[#This Row],[ Invoice. /
 Received Qty ]]-Goods_Receipt[[#This Row],[ Accepted Qty ]]</f>
        <v>0</v>
      </c>
      <c r="O920" s="87"/>
      <c r="P920" s="87"/>
      <c r="Q920" s="87"/>
      <c r="R920" s="87"/>
      <c r="S920" s="87"/>
      <c r="T920" s="85"/>
      <c r="U920" s="89"/>
      <c r="V920" s="90"/>
      <c r="W920" s="87"/>
      <c r="X920" s="91"/>
      <c r="Y920" s="84"/>
      <c r="Z920" s="97"/>
    </row>
    <row r="921" spans="1:26" s="98" customFormat="1" x14ac:dyDescent="0.35">
      <c r="A921" s="86">
        <v>918</v>
      </c>
      <c r="B921" s="85"/>
      <c r="C921" s="87"/>
      <c r="D921" s="85"/>
      <c r="E921" s="84"/>
      <c r="F921" s="85"/>
      <c r="G921" s="87"/>
      <c r="H921" s="87"/>
      <c r="I921" s="87"/>
      <c r="J921" s="101"/>
      <c r="K921" s="87"/>
      <c r="L921" s="91"/>
      <c r="M921" s="91"/>
      <c r="N921" s="88">
        <f>Goods_Receipt[[#This Row],[ Invoice. /
 Received Qty ]]-Goods_Receipt[[#This Row],[ Accepted Qty ]]</f>
        <v>0</v>
      </c>
      <c r="O921" s="87"/>
      <c r="P921" s="87"/>
      <c r="Q921" s="87"/>
      <c r="R921" s="87"/>
      <c r="S921" s="87"/>
      <c r="T921" s="85"/>
      <c r="U921" s="89"/>
      <c r="V921" s="90"/>
      <c r="W921" s="87"/>
      <c r="X921" s="91"/>
      <c r="Y921" s="84"/>
      <c r="Z921" s="97"/>
    </row>
    <row r="922" spans="1:26" s="98" customFormat="1" x14ac:dyDescent="0.35">
      <c r="A922" s="86">
        <v>919</v>
      </c>
      <c r="B922" s="85"/>
      <c r="C922" s="87"/>
      <c r="D922" s="85"/>
      <c r="E922" s="84"/>
      <c r="F922" s="85"/>
      <c r="G922" s="87"/>
      <c r="H922" s="87"/>
      <c r="I922" s="87"/>
      <c r="J922" s="101"/>
      <c r="K922" s="87"/>
      <c r="L922" s="91"/>
      <c r="M922" s="91"/>
      <c r="N922" s="88">
        <f>Goods_Receipt[[#This Row],[ Invoice. /
 Received Qty ]]-Goods_Receipt[[#This Row],[ Accepted Qty ]]</f>
        <v>0</v>
      </c>
      <c r="O922" s="87"/>
      <c r="P922" s="87"/>
      <c r="Q922" s="87"/>
      <c r="R922" s="87"/>
      <c r="S922" s="87"/>
      <c r="T922" s="85"/>
      <c r="U922" s="89"/>
      <c r="V922" s="90"/>
      <c r="W922" s="87"/>
      <c r="X922" s="91"/>
      <c r="Y922" s="84"/>
      <c r="Z922" s="97"/>
    </row>
    <row r="923" spans="1:26" s="98" customFormat="1" x14ac:dyDescent="0.35">
      <c r="A923" s="86">
        <v>920</v>
      </c>
      <c r="B923" s="85"/>
      <c r="C923" s="87"/>
      <c r="D923" s="85"/>
      <c r="E923" s="84"/>
      <c r="F923" s="85"/>
      <c r="G923" s="87"/>
      <c r="H923" s="87"/>
      <c r="I923" s="87"/>
      <c r="J923" s="101"/>
      <c r="K923" s="87"/>
      <c r="L923" s="91"/>
      <c r="M923" s="91"/>
      <c r="N923" s="88">
        <f>Goods_Receipt[[#This Row],[ Invoice. /
 Received Qty ]]-Goods_Receipt[[#This Row],[ Accepted Qty ]]</f>
        <v>0</v>
      </c>
      <c r="O923" s="87"/>
      <c r="P923" s="87"/>
      <c r="Q923" s="87"/>
      <c r="R923" s="87"/>
      <c r="S923" s="87"/>
      <c r="T923" s="85"/>
      <c r="U923" s="89"/>
      <c r="V923" s="90"/>
      <c r="W923" s="87"/>
      <c r="X923" s="91"/>
      <c r="Y923" s="84"/>
      <c r="Z923" s="97"/>
    </row>
    <row r="924" spans="1:26" s="98" customFormat="1" x14ac:dyDescent="0.35">
      <c r="A924" s="86">
        <v>921</v>
      </c>
      <c r="B924" s="85"/>
      <c r="C924" s="87"/>
      <c r="D924" s="85"/>
      <c r="E924" s="84"/>
      <c r="F924" s="85"/>
      <c r="G924" s="87"/>
      <c r="H924" s="87"/>
      <c r="I924" s="87"/>
      <c r="J924" s="101"/>
      <c r="K924" s="87"/>
      <c r="L924" s="91"/>
      <c r="M924" s="91"/>
      <c r="N924" s="88">
        <f>Goods_Receipt[[#This Row],[ Invoice. /
 Received Qty ]]-Goods_Receipt[[#This Row],[ Accepted Qty ]]</f>
        <v>0</v>
      </c>
      <c r="O924" s="87"/>
      <c r="P924" s="87"/>
      <c r="Q924" s="87"/>
      <c r="R924" s="87"/>
      <c r="S924" s="87"/>
      <c r="T924" s="85"/>
      <c r="U924" s="89"/>
      <c r="V924" s="90"/>
      <c r="W924" s="87"/>
      <c r="X924" s="91"/>
      <c r="Y924" s="84"/>
      <c r="Z924" s="97"/>
    </row>
    <row r="925" spans="1:26" s="98" customFormat="1" x14ac:dyDescent="0.35">
      <c r="A925" s="86">
        <v>922</v>
      </c>
      <c r="B925" s="85"/>
      <c r="C925" s="87"/>
      <c r="D925" s="85"/>
      <c r="E925" s="84"/>
      <c r="F925" s="85"/>
      <c r="G925" s="87"/>
      <c r="H925" s="87"/>
      <c r="I925" s="87"/>
      <c r="J925" s="101"/>
      <c r="K925" s="87"/>
      <c r="L925" s="91"/>
      <c r="M925" s="91"/>
      <c r="N925" s="88">
        <f>Goods_Receipt[[#This Row],[ Invoice. /
 Received Qty ]]-Goods_Receipt[[#This Row],[ Accepted Qty ]]</f>
        <v>0</v>
      </c>
      <c r="O925" s="87"/>
      <c r="P925" s="87"/>
      <c r="Q925" s="87"/>
      <c r="R925" s="87"/>
      <c r="S925" s="87"/>
      <c r="T925" s="85"/>
      <c r="U925" s="89"/>
      <c r="V925" s="90"/>
      <c r="W925" s="87"/>
      <c r="X925" s="91"/>
      <c r="Y925" s="84"/>
      <c r="Z925" s="97"/>
    </row>
    <row r="926" spans="1:26" s="98" customFormat="1" x14ac:dyDescent="0.35">
      <c r="A926" s="86">
        <v>923</v>
      </c>
      <c r="B926" s="85"/>
      <c r="C926" s="87"/>
      <c r="D926" s="85"/>
      <c r="E926" s="84"/>
      <c r="F926" s="85"/>
      <c r="G926" s="87"/>
      <c r="H926" s="87"/>
      <c r="I926" s="87"/>
      <c r="J926" s="101"/>
      <c r="K926" s="87"/>
      <c r="L926" s="91"/>
      <c r="M926" s="91"/>
      <c r="N926" s="88">
        <f>Goods_Receipt[[#This Row],[ Invoice. /
 Received Qty ]]-Goods_Receipt[[#This Row],[ Accepted Qty ]]</f>
        <v>0</v>
      </c>
      <c r="O926" s="87"/>
      <c r="P926" s="87"/>
      <c r="Q926" s="87"/>
      <c r="R926" s="87"/>
      <c r="S926" s="87"/>
      <c r="T926" s="85"/>
      <c r="U926" s="89"/>
      <c r="V926" s="90"/>
      <c r="W926" s="87"/>
      <c r="X926" s="91"/>
      <c r="Y926" s="84"/>
      <c r="Z926" s="97"/>
    </row>
    <row r="927" spans="1:26" s="98" customFormat="1" x14ac:dyDescent="0.35">
      <c r="A927" s="86">
        <v>924</v>
      </c>
      <c r="B927" s="85"/>
      <c r="C927" s="87"/>
      <c r="D927" s="85"/>
      <c r="E927" s="84"/>
      <c r="F927" s="85"/>
      <c r="G927" s="87"/>
      <c r="H927" s="87"/>
      <c r="I927" s="87"/>
      <c r="J927" s="101"/>
      <c r="K927" s="87"/>
      <c r="L927" s="91"/>
      <c r="M927" s="91"/>
      <c r="N927" s="88">
        <f>Goods_Receipt[[#This Row],[ Invoice. /
 Received Qty ]]-Goods_Receipt[[#This Row],[ Accepted Qty ]]</f>
        <v>0</v>
      </c>
      <c r="O927" s="87"/>
      <c r="P927" s="87"/>
      <c r="Q927" s="87"/>
      <c r="R927" s="87"/>
      <c r="S927" s="87"/>
      <c r="T927" s="85"/>
      <c r="U927" s="89"/>
      <c r="V927" s="90"/>
      <c r="W927" s="87"/>
      <c r="X927" s="91"/>
      <c r="Y927" s="84"/>
      <c r="Z927" s="97"/>
    </row>
    <row r="928" spans="1:26" s="98" customFormat="1" x14ac:dyDescent="0.35">
      <c r="A928" s="86">
        <v>925</v>
      </c>
      <c r="B928" s="85"/>
      <c r="C928" s="87"/>
      <c r="D928" s="85"/>
      <c r="E928" s="84"/>
      <c r="F928" s="85"/>
      <c r="G928" s="87"/>
      <c r="H928" s="87"/>
      <c r="I928" s="87"/>
      <c r="J928" s="101"/>
      <c r="K928" s="87"/>
      <c r="L928" s="91"/>
      <c r="M928" s="91"/>
      <c r="N928" s="88">
        <f>Goods_Receipt[[#This Row],[ Invoice. /
 Received Qty ]]-Goods_Receipt[[#This Row],[ Accepted Qty ]]</f>
        <v>0</v>
      </c>
      <c r="O928" s="87"/>
      <c r="P928" s="87"/>
      <c r="Q928" s="87"/>
      <c r="R928" s="87"/>
      <c r="S928" s="87"/>
      <c r="T928" s="85"/>
      <c r="U928" s="89"/>
      <c r="V928" s="90"/>
      <c r="W928" s="87"/>
      <c r="X928" s="91"/>
      <c r="Y928" s="84"/>
      <c r="Z928" s="97"/>
    </row>
    <row r="929" spans="1:26" s="98" customFormat="1" x14ac:dyDescent="0.35">
      <c r="A929" s="86">
        <v>926</v>
      </c>
      <c r="B929" s="85"/>
      <c r="C929" s="87"/>
      <c r="D929" s="85"/>
      <c r="E929" s="84"/>
      <c r="F929" s="85"/>
      <c r="G929" s="87"/>
      <c r="H929" s="87"/>
      <c r="I929" s="87"/>
      <c r="J929" s="101"/>
      <c r="K929" s="87"/>
      <c r="L929" s="91"/>
      <c r="M929" s="91"/>
      <c r="N929" s="88">
        <f>Goods_Receipt[[#This Row],[ Invoice. /
 Received Qty ]]-Goods_Receipt[[#This Row],[ Accepted Qty ]]</f>
        <v>0</v>
      </c>
      <c r="O929" s="87"/>
      <c r="P929" s="87"/>
      <c r="Q929" s="87"/>
      <c r="R929" s="87"/>
      <c r="S929" s="87"/>
      <c r="T929" s="85"/>
      <c r="U929" s="89"/>
      <c r="V929" s="90"/>
      <c r="W929" s="87"/>
      <c r="X929" s="91"/>
      <c r="Y929" s="84"/>
      <c r="Z929" s="97"/>
    </row>
    <row r="930" spans="1:26" s="98" customFormat="1" x14ac:dyDescent="0.35">
      <c r="A930" s="86">
        <v>927</v>
      </c>
      <c r="B930" s="85"/>
      <c r="C930" s="87"/>
      <c r="D930" s="85"/>
      <c r="E930" s="84"/>
      <c r="F930" s="85"/>
      <c r="G930" s="87"/>
      <c r="H930" s="87"/>
      <c r="I930" s="87"/>
      <c r="J930" s="101"/>
      <c r="K930" s="87"/>
      <c r="L930" s="91"/>
      <c r="M930" s="91"/>
      <c r="N930" s="88">
        <f>Goods_Receipt[[#This Row],[ Invoice. /
 Received Qty ]]-Goods_Receipt[[#This Row],[ Accepted Qty ]]</f>
        <v>0</v>
      </c>
      <c r="O930" s="87"/>
      <c r="P930" s="87"/>
      <c r="Q930" s="87"/>
      <c r="R930" s="87"/>
      <c r="S930" s="87"/>
      <c r="T930" s="85"/>
      <c r="U930" s="89"/>
      <c r="V930" s="90"/>
      <c r="W930" s="87"/>
      <c r="X930" s="91"/>
      <c r="Y930" s="84"/>
      <c r="Z930" s="97"/>
    </row>
    <row r="931" spans="1:26" s="98" customFormat="1" x14ac:dyDescent="0.35">
      <c r="A931" s="86">
        <v>928</v>
      </c>
      <c r="B931" s="85"/>
      <c r="C931" s="87"/>
      <c r="D931" s="85"/>
      <c r="E931" s="84"/>
      <c r="F931" s="85"/>
      <c r="G931" s="87"/>
      <c r="H931" s="87"/>
      <c r="I931" s="87"/>
      <c r="J931" s="101"/>
      <c r="K931" s="87"/>
      <c r="L931" s="91"/>
      <c r="M931" s="91"/>
      <c r="N931" s="88">
        <f>Goods_Receipt[[#This Row],[ Invoice. /
 Received Qty ]]-Goods_Receipt[[#This Row],[ Accepted Qty ]]</f>
        <v>0</v>
      </c>
      <c r="O931" s="87"/>
      <c r="P931" s="87"/>
      <c r="Q931" s="87"/>
      <c r="R931" s="87"/>
      <c r="S931" s="87"/>
      <c r="T931" s="85"/>
      <c r="U931" s="89"/>
      <c r="V931" s="90"/>
      <c r="W931" s="87"/>
      <c r="X931" s="91"/>
      <c r="Y931" s="84"/>
      <c r="Z931" s="97"/>
    </row>
    <row r="932" spans="1:26" s="98" customFormat="1" x14ac:dyDescent="0.35">
      <c r="A932" s="86">
        <v>929</v>
      </c>
      <c r="B932" s="85"/>
      <c r="C932" s="87"/>
      <c r="D932" s="85"/>
      <c r="E932" s="84"/>
      <c r="F932" s="85"/>
      <c r="G932" s="87"/>
      <c r="H932" s="87"/>
      <c r="I932" s="87"/>
      <c r="J932" s="101"/>
      <c r="K932" s="87"/>
      <c r="L932" s="91"/>
      <c r="M932" s="91"/>
      <c r="N932" s="88">
        <f>Goods_Receipt[[#This Row],[ Invoice. /
 Received Qty ]]-Goods_Receipt[[#This Row],[ Accepted Qty ]]</f>
        <v>0</v>
      </c>
      <c r="O932" s="87"/>
      <c r="P932" s="87"/>
      <c r="Q932" s="87"/>
      <c r="R932" s="87"/>
      <c r="S932" s="87"/>
      <c r="T932" s="85"/>
      <c r="U932" s="89"/>
      <c r="V932" s="90"/>
      <c r="W932" s="87"/>
      <c r="X932" s="91"/>
      <c r="Y932" s="84"/>
      <c r="Z932" s="97"/>
    </row>
    <row r="933" spans="1:26" s="98" customFormat="1" x14ac:dyDescent="0.35">
      <c r="A933" s="86">
        <v>930</v>
      </c>
      <c r="B933" s="85"/>
      <c r="C933" s="87"/>
      <c r="D933" s="85"/>
      <c r="E933" s="84"/>
      <c r="F933" s="85"/>
      <c r="G933" s="87"/>
      <c r="H933" s="87"/>
      <c r="I933" s="87"/>
      <c r="J933" s="101"/>
      <c r="K933" s="87"/>
      <c r="L933" s="91"/>
      <c r="M933" s="91"/>
      <c r="N933" s="88">
        <f>Goods_Receipt[[#This Row],[ Invoice. /
 Received Qty ]]-Goods_Receipt[[#This Row],[ Accepted Qty ]]</f>
        <v>0</v>
      </c>
      <c r="O933" s="87"/>
      <c r="P933" s="87"/>
      <c r="Q933" s="87"/>
      <c r="R933" s="87"/>
      <c r="S933" s="87"/>
      <c r="T933" s="85"/>
      <c r="U933" s="89"/>
      <c r="V933" s="90"/>
      <c r="W933" s="87"/>
      <c r="X933" s="91"/>
      <c r="Y933" s="84"/>
      <c r="Z933" s="97"/>
    </row>
    <row r="934" spans="1:26" s="98" customFormat="1" x14ac:dyDescent="0.35">
      <c r="A934" s="86">
        <v>931</v>
      </c>
      <c r="B934" s="85"/>
      <c r="C934" s="87"/>
      <c r="D934" s="85"/>
      <c r="E934" s="84"/>
      <c r="F934" s="85"/>
      <c r="G934" s="87"/>
      <c r="H934" s="87"/>
      <c r="I934" s="87"/>
      <c r="J934" s="101"/>
      <c r="K934" s="87"/>
      <c r="L934" s="91"/>
      <c r="M934" s="91"/>
      <c r="N934" s="88">
        <f>Goods_Receipt[[#This Row],[ Invoice. /
 Received Qty ]]-Goods_Receipt[[#This Row],[ Accepted Qty ]]</f>
        <v>0</v>
      </c>
      <c r="O934" s="87"/>
      <c r="P934" s="87"/>
      <c r="Q934" s="87"/>
      <c r="R934" s="87"/>
      <c r="S934" s="87"/>
      <c r="T934" s="85"/>
      <c r="U934" s="89"/>
      <c r="V934" s="90"/>
      <c r="W934" s="87"/>
      <c r="X934" s="91"/>
      <c r="Y934" s="84"/>
      <c r="Z934" s="97"/>
    </row>
    <row r="935" spans="1:26" s="98" customFormat="1" x14ac:dyDescent="0.35">
      <c r="A935" s="86">
        <v>932</v>
      </c>
      <c r="B935" s="85"/>
      <c r="C935" s="87"/>
      <c r="D935" s="85"/>
      <c r="E935" s="84"/>
      <c r="F935" s="85"/>
      <c r="G935" s="87"/>
      <c r="H935" s="87"/>
      <c r="I935" s="87"/>
      <c r="J935" s="101"/>
      <c r="K935" s="87"/>
      <c r="L935" s="91"/>
      <c r="M935" s="91"/>
      <c r="N935" s="88">
        <f>Goods_Receipt[[#This Row],[ Invoice. /
 Received Qty ]]-Goods_Receipt[[#This Row],[ Accepted Qty ]]</f>
        <v>0</v>
      </c>
      <c r="O935" s="87"/>
      <c r="P935" s="87"/>
      <c r="Q935" s="87"/>
      <c r="R935" s="87"/>
      <c r="S935" s="87"/>
      <c r="T935" s="85"/>
      <c r="U935" s="89"/>
      <c r="V935" s="90"/>
      <c r="W935" s="87"/>
      <c r="X935" s="91"/>
      <c r="Y935" s="84"/>
      <c r="Z935" s="97"/>
    </row>
    <row r="936" spans="1:26" s="98" customFormat="1" x14ac:dyDescent="0.35">
      <c r="A936" s="86">
        <v>933</v>
      </c>
      <c r="B936" s="85"/>
      <c r="C936" s="87"/>
      <c r="D936" s="85"/>
      <c r="E936" s="84"/>
      <c r="F936" s="85"/>
      <c r="G936" s="87"/>
      <c r="H936" s="87"/>
      <c r="I936" s="87"/>
      <c r="J936" s="101"/>
      <c r="K936" s="87"/>
      <c r="L936" s="91"/>
      <c r="M936" s="91"/>
      <c r="N936" s="88">
        <f>Goods_Receipt[[#This Row],[ Invoice. /
 Received Qty ]]-Goods_Receipt[[#This Row],[ Accepted Qty ]]</f>
        <v>0</v>
      </c>
      <c r="O936" s="87"/>
      <c r="P936" s="87"/>
      <c r="Q936" s="87"/>
      <c r="R936" s="87"/>
      <c r="S936" s="87"/>
      <c r="T936" s="85"/>
      <c r="U936" s="89"/>
      <c r="V936" s="90"/>
      <c r="W936" s="87"/>
      <c r="X936" s="91"/>
      <c r="Y936" s="84"/>
      <c r="Z936" s="97"/>
    </row>
    <row r="937" spans="1:26" s="98" customFormat="1" x14ac:dyDescent="0.35">
      <c r="A937" s="86">
        <v>934</v>
      </c>
      <c r="B937" s="85"/>
      <c r="C937" s="87"/>
      <c r="D937" s="85"/>
      <c r="E937" s="84"/>
      <c r="F937" s="85"/>
      <c r="G937" s="87"/>
      <c r="H937" s="87"/>
      <c r="I937" s="87"/>
      <c r="J937" s="101"/>
      <c r="K937" s="87"/>
      <c r="L937" s="91"/>
      <c r="M937" s="91"/>
      <c r="N937" s="88">
        <f>Goods_Receipt[[#This Row],[ Invoice. /
 Received Qty ]]-Goods_Receipt[[#This Row],[ Accepted Qty ]]</f>
        <v>0</v>
      </c>
      <c r="O937" s="87"/>
      <c r="P937" s="87"/>
      <c r="Q937" s="87"/>
      <c r="R937" s="87"/>
      <c r="S937" s="87"/>
      <c r="T937" s="85"/>
      <c r="U937" s="89"/>
      <c r="V937" s="90"/>
      <c r="W937" s="87"/>
      <c r="X937" s="91"/>
      <c r="Y937" s="84"/>
      <c r="Z937" s="97"/>
    </row>
    <row r="938" spans="1:26" s="98" customFormat="1" x14ac:dyDescent="0.35">
      <c r="A938" s="86">
        <v>935</v>
      </c>
      <c r="B938" s="85"/>
      <c r="C938" s="87"/>
      <c r="D938" s="85"/>
      <c r="E938" s="84"/>
      <c r="F938" s="85"/>
      <c r="G938" s="87"/>
      <c r="H938" s="87"/>
      <c r="I938" s="87"/>
      <c r="J938" s="101"/>
      <c r="K938" s="87"/>
      <c r="L938" s="91"/>
      <c r="M938" s="91"/>
      <c r="N938" s="88">
        <f>Goods_Receipt[[#This Row],[ Invoice. /
 Received Qty ]]-Goods_Receipt[[#This Row],[ Accepted Qty ]]</f>
        <v>0</v>
      </c>
      <c r="O938" s="87"/>
      <c r="P938" s="87"/>
      <c r="Q938" s="87"/>
      <c r="R938" s="87"/>
      <c r="S938" s="87"/>
      <c r="T938" s="85"/>
      <c r="U938" s="89"/>
      <c r="V938" s="90"/>
      <c r="W938" s="87"/>
      <c r="X938" s="91"/>
      <c r="Y938" s="84"/>
      <c r="Z938" s="97"/>
    </row>
    <row r="939" spans="1:26" s="98" customFormat="1" x14ac:dyDescent="0.35">
      <c r="A939" s="86">
        <v>936</v>
      </c>
      <c r="B939" s="85"/>
      <c r="C939" s="87"/>
      <c r="D939" s="85"/>
      <c r="E939" s="84"/>
      <c r="F939" s="85"/>
      <c r="G939" s="87"/>
      <c r="H939" s="87"/>
      <c r="I939" s="87"/>
      <c r="J939" s="101"/>
      <c r="K939" s="87"/>
      <c r="L939" s="91"/>
      <c r="M939" s="91"/>
      <c r="N939" s="88">
        <f>Goods_Receipt[[#This Row],[ Invoice. /
 Received Qty ]]-Goods_Receipt[[#This Row],[ Accepted Qty ]]</f>
        <v>0</v>
      </c>
      <c r="O939" s="87"/>
      <c r="P939" s="87"/>
      <c r="Q939" s="87"/>
      <c r="R939" s="87"/>
      <c r="S939" s="87"/>
      <c r="T939" s="85"/>
      <c r="U939" s="89"/>
      <c r="V939" s="90"/>
      <c r="W939" s="87"/>
      <c r="X939" s="91"/>
      <c r="Y939" s="84"/>
      <c r="Z939" s="97"/>
    </row>
    <row r="940" spans="1:26" s="98" customFormat="1" x14ac:dyDescent="0.35">
      <c r="A940" s="86">
        <v>937</v>
      </c>
      <c r="B940" s="85"/>
      <c r="C940" s="87"/>
      <c r="D940" s="85"/>
      <c r="E940" s="84"/>
      <c r="F940" s="85"/>
      <c r="G940" s="87"/>
      <c r="H940" s="87"/>
      <c r="I940" s="87"/>
      <c r="J940" s="101"/>
      <c r="K940" s="87"/>
      <c r="L940" s="91"/>
      <c r="M940" s="91"/>
      <c r="N940" s="88">
        <f>Goods_Receipt[[#This Row],[ Invoice. /
 Received Qty ]]-Goods_Receipt[[#This Row],[ Accepted Qty ]]</f>
        <v>0</v>
      </c>
      <c r="O940" s="87"/>
      <c r="P940" s="87"/>
      <c r="Q940" s="87"/>
      <c r="R940" s="87"/>
      <c r="S940" s="87"/>
      <c r="T940" s="85"/>
      <c r="U940" s="89"/>
      <c r="V940" s="90"/>
      <c r="W940" s="87"/>
      <c r="X940" s="91"/>
      <c r="Y940" s="84"/>
      <c r="Z940" s="97"/>
    </row>
    <row r="941" spans="1:26" s="98" customFormat="1" x14ac:dyDescent="0.35">
      <c r="A941" s="86">
        <v>938</v>
      </c>
      <c r="B941" s="85"/>
      <c r="C941" s="87"/>
      <c r="D941" s="85"/>
      <c r="E941" s="84"/>
      <c r="F941" s="85"/>
      <c r="G941" s="87"/>
      <c r="H941" s="87"/>
      <c r="I941" s="87"/>
      <c r="J941" s="101"/>
      <c r="K941" s="87"/>
      <c r="L941" s="91"/>
      <c r="M941" s="91"/>
      <c r="N941" s="88">
        <f>Goods_Receipt[[#This Row],[ Invoice. /
 Received Qty ]]-Goods_Receipt[[#This Row],[ Accepted Qty ]]</f>
        <v>0</v>
      </c>
      <c r="O941" s="87"/>
      <c r="P941" s="87"/>
      <c r="Q941" s="87"/>
      <c r="R941" s="87"/>
      <c r="S941" s="87"/>
      <c r="T941" s="85"/>
      <c r="U941" s="89"/>
      <c r="V941" s="90"/>
      <c r="W941" s="87"/>
      <c r="X941" s="91"/>
      <c r="Y941" s="84"/>
      <c r="Z941" s="97"/>
    </row>
    <row r="942" spans="1:26" s="98" customFormat="1" x14ac:dyDescent="0.35">
      <c r="A942" s="86">
        <v>939</v>
      </c>
      <c r="B942" s="85"/>
      <c r="C942" s="87"/>
      <c r="D942" s="85"/>
      <c r="E942" s="84"/>
      <c r="F942" s="85"/>
      <c r="G942" s="87"/>
      <c r="H942" s="87"/>
      <c r="I942" s="87"/>
      <c r="J942" s="101"/>
      <c r="K942" s="87"/>
      <c r="L942" s="91"/>
      <c r="M942" s="91"/>
      <c r="N942" s="88">
        <f>Goods_Receipt[[#This Row],[ Invoice. /
 Received Qty ]]-Goods_Receipt[[#This Row],[ Accepted Qty ]]</f>
        <v>0</v>
      </c>
      <c r="O942" s="87"/>
      <c r="P942" s="87"/>
      <c r="Q942" s="87"/>
      <c r="R942" s="87"/>
      <c r="S942" s="87"/>
      <c r="T942" s="85"/>
      <c r="U942" s="89"/>
      <c r="V942" s="90"/>
      <c r="W942" s="87"/>
      <c r="X942" s="91"/>
      <c r="Y942" s="84"/>
      <c r="Z942" s="97"/>
    </row>
    <row r="943" spans="1:26" s="98" customFormat="1" x14ac:dyDescent="0.35">
      <c r="A943" s="86">
        <v>940</v>
      </c>
      <c r="B943" s="85"/>
      <c r="C943" s="87"/>
      <c r="D943" s="85"/>
      <c r="E943" s="84"/>
      <c r="F943" s="85"/>
      <c r="G943" s="87"/>
      <c r="H943" s="87"/>
      <c r="I943" s="87"/>
      <c r="J943" s="101"/>
      <c r="K943" s="87"/>
      <c r="L943" s="91"/>
      <c r="M943" s="91"/>
      <c r="N943" s="88">
        <f>Goods_Receipt[[#This Row],[ Invoice. /
 Received Qty ]]-Goods_Receipt[[#This Row],[ Accepted Qty ]]</f>
        <v>0</v>
      </c>
      <c r="O943" s="87"/>
      <c r="P943" s="87"/>
      <c r="Q943" s="87"/>
      <c r="R943" s="87"/>
      <c r="S943" s="87"/>
      <c r="T943" s="85"/>
      <c r="U943" s="89"/>
      <c r="V943" s="90"/>
      <c r="W943" s="87"/>
      <c r="X943" s="91"/>
      <c r="Y943" s="84"/>
      <c r="Z943" s="97"/>
    </row>
    <row r="944" spans="1:26" s="98" customFormat="1" x14ac:dyDescent="0.35">
      <c r="A944" s="86">
        <v>941</v>
      </c>
      <c r="B944" s="85"/>
      <c r="C944" s="87"/>
      <c r="D944" s="85"/>
      <c r="E944" s="84"/>
      <c r="F944" s="85"/>
      <c r="G944" s="87"/>
      <c r="H944" s="87"/>
      <c r="I944" s="87"/>
      <c r="J944" s="101"/>
      <c r="K944" s="87"/>
      <c r="L944" s="91"/>
      <c r="M944" s="91"/>
      <c r="N944" s="88">
        <f>Goods_Receipt[[#This Row],[ Invoice. /
 Received Qty ]]-Goods_Receipt[[#This Row],[ Accepted Qty ]]</f>
        <v>0</v>
      </c>
      <c r="O944" s="87"/>
      <c r="P944" s="87"/>
      <c r="Q944" s="87"/>
      <c r="R944" s="87"/>
      <c r="S944" s="87"/>
      <c r="T944" s="85"/>
      <c r="U944" s="89"/>
      <c r="V944" s="90"/>
      <c r="W944" s="87"/>
      <c r="X944" s="91"/>
      <c r="Y944" s="84"/>
      <c r="Z944" s="97"/>
    </row>
    <row r="945" spans="1:26" s="98" customFormat="1" x14ac:dyDescent="0.35">
      <c r="A945" s="86">
        <v>942</v>
      </c>
      <c r="B945" s="85"/>
      <c r="C945" s="87"/>
      <c r="D945" s="85"/>
      <c r="E945" s="84"/>
      <c r="F945" s="85"/>
      <c r="G945" s="87"/>
      <c r="H945" s="87"/>
      <c r="I945" s="87"/>
      <c r="J945" s="101"/>
      <c r="K945" s="87"/>
      <c r="L945" s="91"/>
      <c r="M945" s="91"/>
      <c r="N945" s="88">
        <f>Goods_Receipt[[#This Row],[ Invoice. /
 Received Qty ]]-Goods_Receipt[[#This Row],[ Accepted Qty ]]</f>
        <v>0</v>
      </c>
      <c r="O945" s="87"/>
      <c r="P945" s="87"/>
      <c r="Q945" s="87"/>
      <c r="R945" s="87"/>
      <c r="S945" s="87"/>
      <c r="T945" s="85"/>
      <c r="U945" s="89"/>
      <c r="V945" s="90"/>
      <c r="W945" s="87"/>
      <c r="X945" s="91"/>
      <c r="Y945" s="84"/>
      <c r="Z945" s="97"/>
    </row>
    <row r="946" spans="1:26" s="98" customFormat="1" x14ac:dyDescent="0.35">
      <c r="A946" s="86">
        <v>943</v>
      </c>
      <c r="B946" s="85"/>
      <c r="C946" s="87"/>
      <c r="D946" s="85"/>
      <c r="E946" s="84"/>
      <c r="F946" s="85"/>
      <c r="G946" s="87"/>
      <c r="H946" s="87"/>
      <c r="I946" s="87"/>
      <c r="J946" s="101"/>
      <c r="K946" s="87"/>
      <c r="L946" s="91"/>
      <c r="M946" s="91"/>
      <c r="N946" s="88">
        <f>Goods_Receipt[[#This Row],[ Invoice. /
 Received Qty ]]-Goods_Receipt[[#This Row],[ Accepted Qty ]]</f>
        <v>0</v>
      </c>
      <c r="O946" s="87"/>
      <c r="P946" s="87"/>
      <c r="Q946" s="87"/>
      <c r="R946" s="87"/>
      <c r="S946" s="87"/>
      <c r="T946" s="85"/>
      <c r="U946" s="89"/>
      <c r="V946" s="90"/>
      <c r="W946" s="87"/>
      <c r="X946" s="91"/>
      <c r="Y946" s="84"/>
      <c r="Z946" s="97"/>
    </row>
    <row r="947" spans="1:26" s="98" customFormat="1" x14ac:dyDescent="0.35">
      <c r="A947" s="86">
        <v>944</v>
      </c>
      <c r="B947" s="85"/>
      <c r="C947" s="87"/>
      <c r="D947" s="85"/>
      <c r="E947" s="84"/>
      <c r="F947" s="85"/>
      <c r="G947" s="87"/>
      <c r="H947" s="87"/>
      <c r="I947" s="87"/>
      <c r="J947" s="101"/>
      <c r="K947" s="87"/>
      <c r="L947" s="91"/>
      <c r="M947" s="91"/>
      <c r="N947" s="88">
        <f>Goods_Receipt[[#This Row],[ Invoice. /
 Received Qty ]]-Goods_Receipt[[#This Row],[ Accepted Qty ]]</f>
        <v>0</v>
      </c>
      <c r="O947" s="87"/>
      <c r="P947" s="87"/>
      <c r="Q947" s="87"/>
      <c r="R947" s="87"/>
      <c r="S947" s="87"/>
      <c r="T947" s="85"/>
      <c r="U947" s="89"/>
      <c r="V947" s="90"/>
      <c r="W947" s="87"/>
      <c r="X947" s="91"/>
      <c r="Y947" s="84"/>
      <c r="Z947" s="97"/>
    </row>
    <row r="948" spans="1:26" s="98" customFormat="1" x14ac:dyDescent="0.35">
      <c r="A948" s="86">
        <v>945</v>
      </c>
      <c r="B948" s="85"/>
      <c r="C948" s="87"/>
      <c r="D948" s="85"/>
      <c r="E948" s="84"/>
      <c r="F948" s="85"/>
      <c r="G948" s="87"/>
      <c r="H948" s="87"/>
      <c r="I948" s="87"/>
      <c r="J948" s="101"/>
      <c r="K948" s="87"/>
      <c r="L948" s="91"/>
      <c r="M948" s="91"/>
      <c r="N948" s="88">
        <f>Goods_Receipt[[#This Row],[ Invoice. /
 Received Qty ]]-Goods_Receipt[[#This Row],[ Accepted Qty ]]</f>
        <v>0</v>
      </c>
      <c r="O948" s="87"/>
      <c r="P948" s="87"/>
      <c r="Q948" s="87"/>
      <c r="R948" s="87"/>
      <c r="S948" s="87"/>
      <c r="T948" s="85"/>
      <c r="U948" s="89"/>
      <c r="V948" s="90"/>
      <c r="W948" s="87"/>
      <c r="X948" s="91"/>
      <c r="Y948" s="84"/>
      <c r="Z948" s="97"/>
    </row>
    <row r="949" spans="1:26" s="98" customFormat="1" x14ac:dyDescent="0.35">
      <c r="A949" s="86">
        <v>946</v>
      </c>
      <c r="B949" s="85"/>
      <c r="C949" s="87"/>
      <c r="D949" s="85"/>
      <c r="E949" s="84"/>
      <c r="F949" s="85"/>
      <c r="G949" s="87"/>
      <c r="H949" s="87"/>
      <c r="I949" s="87"/>
      <c r="J949" s="101"/>
      <c r="K949" s="87"/>
      <c r="L949" s="91"/>
      <c r="M949" s="91"/>
      <c r="N949" s="88">
        <f>Goods_Receipt[[#This Row],[ Invoice. /
 Received Qty ]]-Goods_Receipt[[#This Row],[ Accepted Qty ]]</f>
        <v>0</v>
      </c>
      <c r="O949" s="87"/>
      <c r="P949" s="87"/>
      <c r="Q949" s="87"/>
      <c r="R949" s="87"/>
      <c r="S949" s="87"/>
      <c r="T949" s="85"/>
      <c r="U949" s="89"/>
      <c r="V949" s="90"/>
      <c r="W949" s="87"/>
      <c r="X949" s="91"/>
      <c r="Y949" s="84"/>
      <c r="Z949" s="97"/>
    </row>
    <row r="950" spans="1:26" s="98" customFormat="1" x14ac:dyDescent="0.35">
      <c r="A950" s="86">
        <v>947</v>
      </c>
      <c r="B950" s="85"/>
      <c r="C950" s="87"/>
      <c r="D950" s="85"/>
      <c r="E950" s="84"/>
      <c r="F950" s="85"/>
      <c r="G950" s="87"/>
      <c r="H950" s="87"/>
      <c r="I950" s="87"/>
      <c r="J950" s="101"/>
      <c r="K950" s="87"/>
      <c r="L950" s="91"/>
      <c r="M950" s="91"/>
      <c r="N950" s="88">
        <f>Goods_Receipt[[#This Row],[ Invoice. /
 Received Qty ]]-Goods_Receipt[[#This Row],[ Accepted Qty ]]</f>
        <v>0</v>
      </c>
      <c r="O950" s="87"/>
      <c r="P950" s="87"/>
      <c r="Q950" s="87"/>
      <c r="R950" s="87"/>
      <c r="S950" s="87"/>
      <c r="T950" s="85"/>
      <c r="U950" s="89"/>
      <c r="V950" s="90"/>
      <c r="W950" s="87"/>
      <c r="X950" s="91"/>
      <c r="Y950" s="84"/>
      <c r="Z950" s="97"/>
    </row>
    <row r="951" spans="1:26" s="98" customFormat="1" x14ac:dyDescent="0.35">
      <c r="A951" s="86">
        <v>948</v>
      </c>
      <c r="B951" s="85"/>
      <c r="C951" s="87"/>
      <c r="D951" s="85"/>
      <c r="E951" s="84"/>
      <c r="F951" s="85"/>
      <c r="G951" s="87"/>
      <c r="H951" s="87"/>
      <c r="I951" s="87"/>
      <c r="J951" s="101"/>
      <c r="K951" s="87"/>
      <c r="L951" s="91"/>
      <c r="M951" s="91"/>
      <c r="N951" s="88">
        <f>Goods_Receipt[[#This Row],[ Invoice. /
 Received Qty ]]-Goods_Receipt[[#This Row],[ Accepted Qty ]]</f>
        <v>0</v>
      </c>
      <c r="O951" s="87"/>
      <c r="P951" s="87"/>
      <c r="Q951" s="87"/>
      <c r="R951" s="87"/>
      <c r="S951" s="87"/>
      <c r="T951" s="85"/>
      <c r="U951" s="89"/>
      <c r="V951" s="90"/>
      <c r="W951" s="87"/>
      <c r="X951" s="91"/>
      <c r="Y951" s="84"/>
      <c r="Z951" s="97"/>
    </row>
    <row r="952" spans="1:26" s="98" customFormat="1" x14ac:dyDescent="0.35">
      <c r="A952" s="86">
        <v>949</v>
      </c>
      <c r="B952" s="85"/>
      <c r="C952" s="87"/>
      <c r="D952" s="85"/>
      <c r="E952" s="84"/>
      <c r="F952" s="85"/>
      <c r="G952" s="87"/>
      <c r="H952" s="87"/>
      <c r="I952" s="87"/>
      <c r="J952" s="101"/>
      <c r="K952" s="87"/>
      <c r="L952" s="91"/>
      <c r="M952" s="91"/>
      <c r="N952" s="88">
        <f>Goods_Receipt[[#This Row],[ Invoice. /
 Received Qty ]]-Goods_Receipt[[#This Row],[ Accepted Qty ]]</f>
        <v>0</v>
      </c>
      <c r="O952" s="87"/>
      <c r="P952" s="87"/>
      <c r="Q952" s="87"/>
      <c r="R952" s="87"/>
      <c r="S952" s="87"/>
      <c r="T952" s="85"/>
      <c r="U952" s="89"/>
      <c r="V952" s="90"/>
      <c r="W952" s="87"/>
      <c r="X952" s="91"/>
      <c r="Y952" s="84"/>
      <c r="Z952" s="97"/>
    </row>
    <row r="953" spans="1:26" s="98" customFormat="1" x14ac:dyDescent="0.35">
      <c r="A953" s="86">
        <v>950</v>
      </c>
      <c r="B953" s="85"/>
      <c r="C953" s="87"/>
      <c r="D953" s="85"/>
      <c r="E953" s="84"/>
      <c r="F953" s="85"/>
      <c r="G953" s="87"/>
      <c r="H953" s="87"/>
      <c r="I953" s="87"/>
      <c r="J953" s="101"/>
      <c r="K953" s="87"/>
      <c r="L953" s="91"/>
      <c r="M953" s="91"/>
      <c r="N953" s="88">
        <f>Goods_Receipt[[#This Row],[ Invoice. /
 Received Qty ]]-Goods_Receipt[[#This Row],[ Accepted Qty ]]</f>
        <v>0</v>
      </c>
      <c r="O953" s="87"/>
      <c r="P953" s="87"/>
      <c r="Q953" s="87"/>
      <c r="R953" s="87"/>
      <c r="S953" s="87"/>
      <c r="T953" s="85"/>
      <c r="U953" s="89"/>
      <c r="V953" s="90"/>
      <c r="W953" s="87"/>
      <c r="X953" s="91"/>
      <c r="Y953" s="84"/>
      <c r="Z953" s="97"/>
    </row>
    <row r="954" spans="1:26" s="98" customFormat="1" x14ac:dyDescent="0.35">
      <c r="A954" s="86">
        <v>951</v>
      </c>
      <c r="B954" s="85"/>
      <c r="C954" s="87"/>
      <c r="D954" s="85"/>
      <c r="E954" s="84"/>
      <c r="F954" s="85"/>
      <c r="G954" s="87"/>
      <c r="H954" s="87"/>
      <c r="I954" s="87"/>
      <c r="J954" s="101"/>
      <c r="K954" s="87"/>
      <c r="L954" s="91"/>
      <c r="M954" s="91"/>
      <c r="N954" s="88">
        <f>Goods_Receipt[[#This Row],[ Invoice. /
 Received Qty ]]-Goods_Receipt[[#This Row],[ Accepted Qty ]]</f>
        <v>0</v>
      </c>
      <c r="O954" s="87"/>
      <c r="P954" s="87"/>
      <c r="Q954" s="87"/>
      <c r="R954" s="87"/>
      <c r="S954" s="87"/>
      <c r="T954" s="85"/>
      <c r="U954" s="89"/>
      <c r="V954" s="90"/>
      <c r="W954" s="87"/>
      <c r="X954" s="91"/>
      <c r="Y954" s="84"/>
      <c r="Z954" s="97"/>
    </row>
    <row r="955" spans="1:26" s="98" customFormat="1" x14ac:dyDescent="0.35">
      <c r="A955" s="86">
        <v>952</v>
      </c>
      <c r="B955" s="85"/>
      <c r="C955" s="87"/>
      <c r="D955" s="85"/>
      <c r="E955" s="84"/>
      <c r="F955" s="85"/>
      <c r="G955" s="87"/>
      <c r="H955" s="87"/>
      <c r="I955" s="87"/>
      <c r="J955" s="101"/>
      <c r="K955" s="87"/>
      <c r="L955" s="91"/>
      <c r="M955" s="91"/>
      <c r="N955" s="88">
        <f>Goods_Receipt[[#This Row],[ Invoice. /
 Received Qty ]]-Goods_Receipt[[#This Row],[ Accepted Qty ]]</f>
        <v>0</v>
      </c>
      <c r="O955" s="87"/>
      <c r="P955" s="87"/>
      <c r="Q955" s="87"/>
      <c r="R955" s="87"/>
      <c r="S955" s="87"/>
      <c r="T955" s="85"/>
      <c r="U955" s="89"/>
      <c r="V955" s="90"/>
      <c r="W955" s="87"/>
      <c r="X955" s="91"/>
      <c r="Y955" s="84"/>
      <c r="Z955" s="97"/>
    </row>
    <row r="956" spans="1:26" s="98" customFormat="1" x14ac:dyDescent="0.35">
      <c r="A956" s="86">
        <v>953</v>
      </c>
      <c r="B956" s="85"/>
      <c r="C956" s="87"/>
      <c r="D956" s="85"/>
      <c r="E956" s="84"/>
      <c r="F956" s="85"/>
      <c r="G956" s="87"/>
      <c r="H956" s="87"/>
      <c r="I956" s="87"/>
      <c r="J956" s="101"/>
      <c r="K956" s="87"/>
      <c r="L956" s="91"/>
      <c r="M956" s="91"/>
      <c r="N956" s="88">
        <f>Goods_Receipt[[#This Row],[ Invoice. /
 Received Qty ]]-Goods_Receipt[[#This Row],[ Accepted Qty ]]</f>
        <v>0</v>
      </c>
      <c r="O956" s="87"/>
      <c r="P956" s="87"/>
      <c r="Q956" s="87"/>
      <c r="R956" s="87"/>
      <c r="S956" s="87"/>
      <c r="T956" s="85"/>
      <c r="U956" s="89"/>
      <c r="V956" s="90"/>
      <c r="W956" s="87"/>
      <c r="X956" s="91"/>
      <c r="Y956" s="84"/>
      <c r="Z956" s="97"/>
    </row>
    <row r="957" spans="1:26" s="98" customFormat="1" x14ac:dyDescent="0.35">
      <c r="A957" s="86">
        <v>954</v>
      </c>
      <c r="B957" s="85"/>
      <c r="C957" s="87"/>
      <c r="D957" s="85"/>
      <c r="E957" s="84"/>
      <c r="F957" s="85"/>
      <c r="G957" s="87"/>
      <c r="H957" s="87"/>
      <c r="I957" s="87"/>
      <c r="J957" s="101"/>
      <c r="K957" s="87"/>
      <c r="L957" s="91"/>
      <c r="M957" s="91"/>
      <c r="N957" s="88">
        <f>Goods_Receipt[[#This Row],[ Invoice. /
 Received Qty ]]-Goods_Receipt[[#This Row],[ Accepted Qty ]]</f>
        <v>0</v>
      </c>
      <c r="O957" s="87"/>
      <c r="P957" s="87"/>
      <c r="Q957" s="87"/>
      <c r="R957" s="87"/>
      <c r="S957" s="87"/>
      <c r="T957" s="85"/>
      <c r="U957" s="89"/>
      <c r="V957" s="90"/>
      <c r="W957" s="87"/>
      <c r="X957" s="91"/>
      <c r="Y957" s="84"/>
      <c r="Z957" s="97"/>
    </row>
    <row r="958" spans="1:26" s="98" customFormat="1" x14ac:dyDescent="0.35">
      <c r="A958" s="86">
        <v>955</v>
      </c>
      <c r="B958" s="85"/>
      <c r="C958" s="87"/>
      <c r="D958" s="85"/>
      <c r="E958" s="84"/>
      <c r="F958" s="85"/>
      <c r="G958" s="87"/>
      <c r="H958" s="87"/>
      <c r="I958" s="87"/>
      <c r="J958" s="101"/>
      <c r="K958" s="87"/>
      <c r="L958" s="91"/>
      <c r="M958" s="91"/>
      <c r="N958" s="88">
        <f>Goods_Receipt[[#This Row],[ Invoice. /
 Received Qty ]]-Goods_Receipt[[#This Row],[ Accepted Qty ]]</f>
        <v>0</v>
      </c>
      <c r="O958" s="87"/>
      <c r="P958" s="87"/>
      <c r="Q958" s="87"/>
      <c r="R958" s="87"/>
      <c r="S958" s="87"/>
      <c r="T958" s="85"/>
      <c r="U958" s="89"/>
      <c r="V958" s="90"/>
      <c r="W958" s="87"/>
      <c r="X958" s="91"/>
      <c r="Y958" s="84"/>
      <c r="Z958" s="97"/>
    </row>
    <row r="959" spans="1:26" s="98" customFormat="1" x14ac:dyDescent="0.35">
      <c r="A959" s="86">
        <v>956</v>
      </c>
      <c r="B959" s="85"/>
      <c r="C959" s="87"/>
      <c r="D959" s="85"/>
      <c r="E959" s="84"/>
      <c r="F959" s="85"/>
      <c r="G959" s="87"/>
      <c r="H959" s="87"/>
      <c r="I959" s="87"/>
      <c r="J959" s="101"/>
      <c r="K959" s="87"/>
      <c r="L959" s="91"/>
      <c r="M959" s="91"/>
      <c r="N959" s="88">
        <f>Goods_Receipt[[#This Row],[ Invoice. /
 Received Qty ]]-Goods_Receipt[[#This Row],[ Accepted Qty ]]</f>
        <v>0</v>
      </c>
      <c r="O959" s="87"/>
      <c r="P959" s="87"/>
      <c r="Q959" s="87"/>
      <c r="R959" s="87"/>
      <c r="S959" s="87"/>
      <c r="T959" s="85"/>
      <c r="U959" s="89"/>
      <c r="V959" s="90"/>
      <c r="W959" s="87"/>
      <c r="X959" s="91"/>
      <c r="Y959" s="84"/>
      <c r="Z959" s="97"/>
    </row>
    <row r="960" spans="1:26" s="98" customFormat="1" x14ac:dyDescent="0.35">
      <c r="A960" s="86">
        <v>957</v>
      </c>
      <c r="B960" s="85"/>
      <c r="C960" s="87"/>
      <c r="D960" s="85"/>
      <c r="E960" s="84"/>
      <c r="F960" s="85"/>
      <c r="G960" s="87"/>
      <c r="H960" s="87"/>
      <c r="I960" s="87"/>
      <c r="J960" s="101"/>
      <c r="K960" s="87"/>
      <c r="L960" s="91"/>
      <c r="M960" s="91"/>
      <c r="N960" s="88">
        <f>Goods_Receipt[[#This Row],[ Invoice. /
 Received Qty ]]-Goods_Receipt[[#This Row],[ Accepted Qty ]]</f>
        <v>0</v>
      </c>
      <c r="O960" s="87"/>
      <c r="P960" s="87"/>
      <c r="Q960" s="87"/>
      <c r="R960" s="87"/>
      <c r="S960" s="87"/>
      <c r="T960" s="85"/>
      <c r="U960" s="89"/>
      <c r="V960" s="90"/>
      <c r="W960" s="87"/>
      <c r="X960" s="91"/>
      <c r="Y960" s="84"/>
      <c r="Z960" s="97"/>
    </row>
    <row r="961" spans="1:26" s="98" customFormat="1" x14ac:dyDescent="0.35">
      <c r="A961" s="86">
        <v>958</v>
      </c>
      <c r="B961" s="85"/>
      <c r="C961" s="87"/>
      <c r="D961" s="85"/>
      <c r="E961" s="84"/>
      <c r="F961" s="85"/>
      <c r="G961" s="87"/>
      <c r="H961" s="87"/>
      <c r="I961" s="87"/>
      <c r="J961" s="101"/>
      <c r="K961" s="87"/>
      <c r="L961" s="91"/>
      <c r="M961" s="91"/>
      <c r="N961" s="88">
        <f>Goods_Receipt[[#This Row],[ Invoice. /
 Received Qty ]]-Goods_Receipt[[#This Row],[ Accepted Qty ]]</f>
        <v>0</v>
      </c>
      <c r="O961" s="87"/>
      <c r="P961" s="87"/>
      <c r="Q961" s="87"/>
      <c r="R961" s="87"/>
      <c r="S961" s="87"/>
      <c r="T961" s="85"/>
      <c r="U961" s="89"/>
      <c r="V961" s="90"/>
      <c r="W961" s="87"/>
      <c r="X961" s="91"/>
      <c r="Y961" s="84"/>
      <c r="Z961" s="97"/>
    </row>
    <row r="962" spans="1:26" s="98" customFormat="1" x14ac:dyDescent="0.35">
      <c r="A962" s="86">
        <v>959</v>
      </c>
      <c r="B962" s="85"/>
      <c r="C962" s="87"/>
      <c r="D962" s="85"/>
      <c r="E962" s="84"/>
      <c r="F962" s="85"/>
      <c r="G962" s="87"/>
      <c r="H962" s="87"/>
      <c r="I962" s="87"/>
      <c r="J962" s="101"/>
      <c r="K962" s="87"/>
      <c r="L962" s="91"/>
      <c r="M962" s="91"/>
      <c r="N962" s="88">
        <f>Goods_Receipt[[#This Row],[ Invoice. /
 Received Qty ]]-Goods_Receipt[[#This Row],[ Accepted Qty ]]</f>
        <v>0</v>
      </c>
      <c r="O962" s="87"/>
      <c r="P962" s="87"/>
      <c r="Q962" s="87"/>
      <c r="R962" s="87"/>
      <c r="S962" s="87"/>
      <c r="T962" s="85"/>
      <c r="U962" s="89"/>
      <c r="V962" s="90"/>
      <c r="W962" s="87"/>
      <c r="X962" s="91"/>
      <c r="Y962" s="84"/>
      <c r="Z962" s="97"/>
    </row>
    <row r="963" spans="1:26" s="98" customFormat="1" x14ac:dyDescent="0.35">
      <c r="A963" s="86">
        <v>960</v>
      </c>
      <c r="B963" s="85"/>
      <c r="C963" s="87"/>
      <c r="D963" s="85"/>
      <c r="E963" s="84"/>
      <c r="F963" s="85"/>
      <c r="G963" s="87"/>
      <c r="H963" s="87"/>
      <c r="I963" s="87"/>
      <c r="J963" s="101"/>
      <c r="K963" s="87"/>
      <c r="L963" s="91"/>
      <c r="M963" s="91"/>
      <c r="N963" s="88">
        <f>Goods_Receipt[[#This Row],[ Invoice. /
 Received Qty ]]-Goods_Receipt[[#This Row],[ Accepted Qty ]]</f>
        <v>0</v>
      </c>
      <c r="O963" s="87"/>
      <c r="P963" s="87"/>
      <c r="Q963" s="87"/>
      <c r="R963" s="87"/>
      <c r="S963" s="87"/>
      <c r="T963" s="85"/>
      <c r="U963" s="89"/>
      <c r="V963" s="90"/>
      <c r="W963" s="87"/>
      <c r="X963" s="91"/>
      <c r="Y963" s="84"/>
      <c r="Z963" s="97"/>
    </row>
    <row r="964" spans="1:26" s="98" customFormat="1" x14ac:dyDescent="0.35">
      <c r="A964" s="86">
        <v>961</v>
      </c>
      <c r="B964" s="85"/>
      <c r="C964" s="87"/>
      <c r="D964" s="85"/>
      <c r="E964" s="84"/>
      <c r="F964" s="85"/>
      <c r="G964" s="87"/>
      <c r="H964" s="87"/>
      <c r="I964" s="87"/>
      <c r="J964" s="101"/>
      <c r="K964" s="87"/>
      <c r="L964" s="91"/>
      <c r="M964" s="91"/>
      <c r="N964" s="88">
        <f>Goods_Receipt[[#This Row],[ Invoice. /
 Received Qty ]]-Goods_Receipt[[#This Row],[ Accepted Qty ]]</f>
        <v>0</v>
      </c>
      <c r="O964" s="87"/>
      <c r="P964" s="87"/>
      <c r="Q964" s="87"/>
      <c r="R964" s="87"/>
      <c r="S964" s="87"/>
      <c r="T964" s="85"/>
      <c r="U964" s="89"/>
      <c r="V964" s="90"/>
      <c r="W964" s="87"/>
      <c r="X964" s="91"/>
      <c r="Y964" s="84"/>
      <c r="Z964" s="97"/>
    </row>
    <row r="965" spans="1:26" s="98" customFormat="1" x14ac:dyDescent="0.35">
      <c r="A965" s="86">
        <v>962</v>
      </c>
      <c r="B965" s="85"/>
      <c r="C965" s="87"/>
      <c r="D965" s="85"/>
      <c r="E965" s="84"/>
      <c r="F965" s="85"/>
      <c r="G965" s="87"/>
      <c r="H965" s="87"/>
      <c r="I965" s="87"/>
      <c r="J965" s="101"/>
      <c r="K965" s="87"/>
      <c r="L965" s="91"/>
      <c r="M965" s="91"/>
      <c r="N965" s="88">
        <f>Goods_Receipt[[#This Row],[ Invoice. /
 Received Qty ]]-Goods_Receipt[[#This Row],[ Accepted Qty ]]</f>
        <v>0</v>
      </c>
      <c r="O965" s="87"/>
      <c r="P965" s="87"/>
      <c r="Q965" s="87"/>
      <c r="R965" s="87"/>
      <c r="S965" s="87"/>
      <c r="T965" s="85"/>
      <c r="U965" s="89"/>
      <c r="V965" s="90"/>
      <c r="W965" s="87"/>
      <c r="X965" s="91"/>
      <c r="Y965" s="84"/>
      <c r="Z965" s="97"/>
    </row>
    <row r="966" spans="1:26" s="98" customFormat="1" x14ac:dyDescent="0.35">
      <c r="A966" s="86">
        <v>963</v>
      </c>
      <c r="B966" s="85"/>
      <c r="C966" s="87"/>
      <c r="D966" s="85"/>
      <c r="E966" s="84"/>
      <c r="F966" s="85"/>
      <c r="G966" s="87"/>
      <c r="H966" s="87"/>
      <c r="I966" s="87"/>
      <c r="J966" s="101"/>
      <c r="K966" s="87"/>
      <c r="L966" s="91"/>
      <c r="M966" s="91"/>
      <c r="N966" s="88">
        <f>Goods_Receipt[[#This Row],[ Invoice. /
 Received Qty ]]-Goods_Receipt[[#This Row],[ Accepted Qty ]]</f>
        <v>0</v>
      </c>
      <c r="O966" s="87"/>
      <c r="P966" s="87"/>
      <c r="Q966" s="87"/>
      <c r="R966" s="87"/>
      <c r="S966" s="87"/>
      <c r="T966" s="85"/>
      <c r="U966" s="89"/>
      <c r="V966" s="90"/>
      <c r="W966" s="87"/>
      <c r="X966" s="91"/>
      <c r="Y966" s="84"/>
      <c r="Z966" s="97"/>
    </row>
    <row r="967" spans="1:26" s="98" customFormat="1" x14ac:dyDescent="0.35">
      <c r="A967" s="86">
        <v>964</v>
      </c>
      <c r="B967" s="85"/>
      <c r="C967" s="87"/>
      <c r="D967" s="85"/>
      <c r="E967" s="84"/>
      <c r="F967" s="85"/>
      <c r="G967" s="87"/>
      <c r="H967" s="87"/>
      <c r="I967" s="87"/>
      <c r="J967" s="101"/>
      <c r="K967" s="87"/>
      <c r="L967" s="91"/>
      <c r="M967" s="91"/>
      <c r="N967" s="88">
        <f>Goods_Receipt[[#This Row],[ Invoice. /
 Received Qty ]]-Goods_Receipt[[#This Row],[ Accepted Qty ]]</f>
        <v>0</v>
      </c>
      <c r="O967" s="87"/>
      <c r="P967" s="87"/>
      <c r="Q967" s="87"/>
      <c r="R967" s="87"/>
      <c r="S967" s="87"/>
      <c r="T967" s="85"/>
      <c r="U967" s="89"/>
      <c r="V967" s="90"/>
      <c r="W967" s="87"/>
      <c r="X967" s="91"/>
      <c r="Y967" s="84"/>
      <c r="Z967" s="97"/>
    </row>
    <row r="968" spans="1:26" s="98" customFormat="1" x14ac:dyDescent="0.35">
      <c r="A968" s="86">
        <v>965</v>
      </c>
      <c r="B968" s="85"/>
      <c r="C968" s="87"/>
      <c r="D968" s="85"/>
      <c r="E968" s="84"/>
      <c r="F968" s="85"/>
      <c r="G968" s="87"/>
      <c r="H968" s="87"/>
      <c r="I968" s="87"/>
      <c r="J968" s="101"/>
      <c r="K968" s="87"/>
      <c r="L968" s="91"/>
      <c r="M968" s="91"/>
      <c r="N968" s="88">
        <f>Goods_Receipt[[#This Row],[ Invoice. /
 Received Qty ]]-Goods_Receipt[[#This Row],[ Accepted Qty ]]</f>
        <v>0</v>
      </c>
      <c r="O968" s="87"/>
      <c r="P968" s="87"/>
      <c r="Q968" s="87"/>
      <c r="R968" s="87"/>
      <c r="S968" s="87"/>
      <c r="T968" s="85"/>
      <c r="U968" s="89"/>
      <c r="V968" s="90"/>
      <c r="W968" s="87"/>
      <c r="X968" s="91"/>
      <c r="Y968" s="84"/>
      <c r="Z968" s="97"/>
    </row>
    <row r="969" spans="1:26" s="98" customFormat="1" x14ac:dyDescent="0.35">
      <c r="A969" s="86">
        <v>966</v>
      </c>
      <c r="B969" s="85"/>
      <c r="C969" s="87"/>
      <c r="D969" s="85"/>
      <c r="E969" s="84"/>
      <c r="F969" s="85"/>
      <c r="G969" s="87"/>
      <c r="H969" s="87"/>
      <c r="I969" s="87"/>
      <c r="J969" s="101"/>
      <c r="K969" s="87"/>
      <c r="L969" s="91"/>
      <c r="M969" s="91"/>
      <c r="N969" s="88">
        <f>Goods_Receipt[[#This Row],[ Invoice. /
 Received Qty ]]-Goods_Receipt[[#This Row],[ Accepted Qty ]]</f>
        <v>0</v>
      </c>
      <c r="O969" s="87"/>
      <c r="P969" s="87"/>
      <c r="Q969" s="87"/>
      <c r="R969" s="87"/>
      <c r="S969" s="87"/>
      <c r="T969" s="85"/>
      <c r="U969" s="89"/>
      <c r="V969" s="90"/>
      <c r="W969" s="87"/>
      <c r="X969" s="91"/>
      <c r="Y969" s="84"/>
      <c r="Z969" s="97"/>
    </row>
    <row r="970" spans="1:26" s="98" customFormat="1" x14ac:dyDescent="0.35">
      <c r="A970" s="86">
        <v>967</v>
      </c>
      <c r="B970" s="85"/>
      <c r="C970" s="87"/>
      <c r="D970" s="85"/>
      <c r="E970" s="84"/>
      <c r="F970" s="85"/>
      <c r="G970" s="87"/>
      <c r="H970" s="87"/>
      <c r="I970" s="87"/>
      <c r="J970" s="101"/>
      <c r="K970" s="87"/>
      <c r="L970" s="91"/>
      <c r="M970" s="91"/>
      <c r="N970" s="88">
        <f>Goods_Receipt[[#This Row],[ Invoice. /
 Received Qty ]]-Goods_Receipt[[#This Row],[ Accepted Qty ]]</f>
        <v>0</v>
      </c>
      <c r="O970" s="87"/>
      <c r="P970" s="87"/>
      <c r="Q970" s="87"/>
      <c r="R970" s="87"/>
      <c r="S970" s="87"/>
      <c r="T970" s="85"/>
      <c r="U970" s="89"/>
      <c r="V970" s="90"/>
      <c r="W970" s="87"/>
      <c r="X970" s="91"/>
      <c r="Y970" s="84"/>
      <c r="Z970" s="97"/>
    </row>
    <row r="971" spans="1:26" s="98" customFormat="1" x14ac:dyDescent="0.35">
      <c r="A971" s="86">
        <v>968</v>
      </c>
      <c r="B971" s="85"/>
      <c r="C971" s="87"/>
      <c r="D971" s="85"/>
      <c r="E971" s="84"/>
      <c r="F971" s="85"/>
      <c r="G971" s="87"/>
      <c r="H971" s="87"/>
      <c r="I971" s="87"/>
      <c r="J971" s="101"/>
      <c r="K971" s="87"/>
      <c r="L971" s="91"/>
      <c r="M971" s="91"/>
      <c r="N971" s="88">
        <f>Goods_Receipt[[#This Row],[ Invoice. /
 Received Qty ]]-Goods_Receipt[[#This Row],[ Accepted Qty ]]</f>
        <v>0</v>
      </c>
      <c r="O971" s="87"/>
      <c r="P971" s="87"/>
      <c r="Q971" s="87"/>
      <c r="R971" s="87"/>
      <c r="S971" s="87"/>
      <c r="T971" s="85"/>
      <c r="U971" s="89"/>
      <c r="V971" s="90"/>
      <c r="W971" s="87"/>
      <c r="X971" s="91"/>
      <c r="Y971" s="84"/>
      <c r="Z971" s="97"/>
    </row>
    <row r="972" spans="1:26" s="98" customFormat="1" x14ac:dyDescent="0.35">
      <c r="A972" s="86">
        <v>969</v>
      </c>
      <c r="B972" s="85"/>
      <c r="C972" s="87"/>
      <c r="D972" s="85"/>
      <c r="E972" s="84"/>
      <c r="F972" s="85"/>
      <c r="G972" s="87"/>
      <c r="H972" s="87"/>
      <c r="I972" s="87"/>
      <c r="J972" s="101"/>
      <c r="K972" s="87"/>
      <c r="L972" s="91"/>
      <c r="M972" s="91"/>
      <c r="N972" s="88">
        <f>Goods_Receipt[[#This Row],[ Invoice. /
 Received Qty ]]-Goods_Receipt[[#This Row],[ Accepted Qty ]]</f>
        <v>0</v>
      </c>
      <c r="O972" s="87"/>
      <c r="P972" s="87"/>
      <c r="Q972" s="87"/>
      <c r="R972" s="87"/>
      <c r="S972" s="87"/>
      <c r="T972" s="85"/>
      <c r="U972" s="89"/>
      <c r="V972" s="90"/>
      <c r="W972" s="87"/>
      <c r="X972" s="91"/>
      <c r="Y972" s="84"/>
      <c r="Z972" s="97"/>
    </row>
    <row r="973" spans="1:26" s="98" customFormat="1" x14ac:dyDescent="0.35">
      <c r="A973" s="86">
        <v>970</v>
      </c>
      <c r="B973" s="85"/>
      <c r="C973" s="87"/>
      <c r="D973" s="85"/>
      <c r="E973" s="84"/>
      <c r="F973" s="85"/>
      <c r="G973" s="87"/>
      <c r="H973" s="87"/>
      <c r="I973" s="87"/>
      <c r="J973" s="101"/>
      <c r="K973" s="87"/>
      <c r="L973" s="91"/>
      <c r="M973" s="91"/>
      <c r="N973" s="88">
        <f>Goods_Receipt[[#This Row],[ Invoice. /
 Received Qty ]]-Goods_Receipt[[#This Row],[ Accepted Qty ]]</f>
        <v>0</v>
      </c>
      <c r="O973" s="87"/>
      <c r="P973" s="87"/>
      <c r="Q973" s="87"/>
      <c r="R973" s="87"/>
      <c r="S973" s="87"/>
      <c r="T973" s="85"/>
      <c r="U973" s="89"/>
      <c r="V973" s="90"/>
      <c r="W973" s="87"/>
      <c r="X973" s="91"/>
      <c r="Y973" s="84"/>
      <c r="Z973" s="97"/>
    </row>
    <row r="974" spans="1:26" s="98" customFormat="1" x14ac:dyDescent="0.35">
      <c r="A974" s="86">
        <v>971</v>
      </c>
      <c r="B974" s="85"/>
      <c r="C974" s="87"/>
      <c r="D974" s="85"/>
      <c r="E974" s="84"/>
      <c r="F974" s="85"/>
      <c r="G974" s="87"/>
      <c r="H974" s="87"/>
      <c r="I974" s="87"/>
      <c r="J974" s="101"/>
      <c r="K974" s="87"/>
      <c r="L974" s="91"/>
      <c r="M974" s="91"/>
      <c r="N974" s="88">
        <f>Goods_Receipt[[#This Row],[ Invoice. /
 Received Qty ]]-Goods_Receipt[[#This Row],[ Accepted Qty ]]</f>
        <v>0</v>
      </c>
      <c r="O974" s="87"/>
      <c r="P974" s="87"/>
      <c r="Q974" s="87"/>
      <c r="R974" s="87"/>
      <c r="S974" s="87"/>
      <c r="T974" s="85"/>
      <c r="U974" s="89"/>
      <c r="V974" s="90"/>
      <c r="W974" s="87"/>
      <c r="X974" s="91"/>
      <c r="Y974" s="84"/>
      <c r="Z974" s="97"/>
    </row>
    <row r="975" spans="1:26" s="98" customFormat="1" x14ac:dyDescent="0.35">
      <c r="A975" s="86">
        <v>972</v>
      </c>
      <c r="B975" s="85"/>
      <c r="C975" s="87"/>
      <c r="D975" s="85"/>
      <c r="E975" s="84"/>
      <c r="F975" s="85"/>
      <c r="G975" s="87"/>
      <c r="H975" s="87"/>
      <c r="I975" s="87"/>
      <c r="J975" s="101"/>
      <c r="K975" s="87"/>
      <c r="L975" s="91"/>
      <c r="M975" s="91"/>
      <c r="N975" s="88">
        <f>Goods_Receipt[[#This Row],[ Invoice. /
 Received Qty ]]-Goods_Receipt[[#This Row],[ Accepted Qty ]]</f>
        <v>0</v>
      </c>
      <c r="O975" s="87"/>
      <c r="P975" s="87"/>
      <c r="Q975" s="87"/>
      <c r="R975" s="87"/>
      <c r="S975" s="87"/>
      <c r="T975" s="85"/>
      <c r="U975" s="89"/>
      <c r="V975" s="90"/>
      <c r="W975" s="87"/>
      <c r="X975" s="91"/>
      <c r="Y975" s="84"/>
      <c r="Z975" s="97"/>
    </row>
    <row r="976" spans="1:26" s="98" customFormat="1" x14ac:dyDescent="0.35">
      <c r="A976" s="86">
        <v>973</v>
      </c>
      <c r="B976" s="85"/>
      <c r="C976" s="87"/>
      <c r="D976" s="85"/>
      <c r="E976" s="84"/>
      <c r="F976" s="85"/>
      <c r="G976" s="87"/>
      <c r="H976" s="87"/>
      <c r="I976" s="87"/>
      <c r="J976" s="101"/>
      <c r="K976" s="87"/>
      <c r="L976" s="91"/>
      <c r="M976" s="91"/>
      <c r="N976" s="88">
        <f>Goods_Receipt[[#This Row],[ Invoice. /
 Received Qty ]]-Goods_Receipt[[#This Row],[ Accepted Qty ]]</f>
        <v>0</v>
      </c>
      <c r="O976" s="87"/>
      <c r="P976" s="87"/>
      <c r="Q976" s="87"/>
      <c r="R976" s="87"/>
      <c r="S976" s="87"/>
      <c r="T976" s="85"/>
      <c r="U976" s="89"/>
      <c r="V976" s="90"/>
      <c r="W976" s="87"/>
      <c r="X976" s="91"/>
      <c r="Y976" s="84"/>
      <c r="Z976" s="97"/>
    </row>
    <row r="977" spans="1:26" s="98" customFormat="1" x14ac:dyDescent="0.35">
      <c r="A977" s="86">
        <v>974</v>
      </c>
      <c r="B977" s="85"/>
      <c r="C977" s="87"/>
      <c r="D977" s="85"/>
      <c r="E977" s="84"/>
      <c r="F977" s="85"/>
      <c r="G977" s="87"/>
      <c r="H977" s="87"/>
      <c r="I977" s="87"/>
      <c r="J977" s="101"/>
      <c r="K977" s="87"/>
      <c r="L977" s="91"/>
      <c r="M977" s="91"/>
      <c r="N977" s="88">
        <f>Goods_Receipt[[#This Row],[ Invoice. /
 Received Qty ]]-Goods_Receipt[[#This Row],[ Accepted Qty ]]</f>
        <v>0</v>
      </c>
      <c r="O977" s="87"/>
      <c r="P977" s="87"/>
      <c r="Q977" s="87"/>
      <c r="R977" s="87"/>
      <c r="S977" s="87"/>
      <c r="T977" s="85"/>
      <c r="U977" s="89"/>
      <c r="V977" s="90"/>
      <c r="W977" s="87"/>
      <c r="X977" s="91"/>
      <c r="Y977" s="84"/>
      <c r="Z977" s="97"/>
    </row>
    <row r="978" spans="1:26" s="98" customFormat="1" x14ac:dyDescent="0.35">
      <c r="A978" s="86">
        <v>975</v>
      </c>
      <c r="B978" s="85"/>
      <c r="C978" s="87"/>
      <c r="D978" s="85"/>
      <c r="E978" s="84"/>
      <c r="F978" s="85"/>
      <c r="G978" s="87"/>
      <c r="H978" s="87"/>
      <c r="I978" s="87"/>
      <c r="J978" s="101"/>
      <c r="K978" s="87"/>
      <c r="L978" s="91"/>
      <c r="M978" s="91"/>
      <c r="N978" s="88">
        <f>Goods_Receipt[[#This Row],[ Invoice. /
 Received Qty ]]-Goods_Receipt[[#This Row],[ Accepted Qty ]]</f>
        <v>0</v>
      </c>
      <c r="O978" s="87"/>
      <c r="P978" s="87"/>
      <c r="Q978" s="87"/>
      <c r="R978" s="87"/>
      <c r="S978" s="87"/>
      <c r="T978" s="85"/>
      <c r="U978" s="89"/>
      <c r="V978" s="90"/>
      <c r="W978" s="87"/>
      <c r="X978" s="91"/>
      <c r="Y978" s="84"/>
      <c r="Z978" s="97"/>
    </row>
    <row r="979" spans="1:26" s="98" customFormat="1" x14ac:dyDescent="0.35">
      <c r="A979" s="86">
        <v>976</v>
      </c>
      <c r="B979" s="85"/>
      <c r="C979" s="87"/>
      <c r="D979" s="85"/>
      <c r="E979" s="84"/>
      <c r="F979" s="85"/>
      <c r="G979" s="87"/>
      <c r="H979" s="87"/>
      <c r="I979" s="87"/>
      <c r="J979" s="101"/>
      <c r="K979" s="87"/>
      <c r="L979" s="91"/>
      <c r="M979" s="91"/>
      <c r="N979" s="88">
        <f>Goods_Receipt[[#This Row],[ Invoice. /
 Received Qty ]]-Goods_Receipt[[#This Row],[ Accepted Qty ]]</f>
        <v>0</v>
      </c>
      <c r="O979" s="87"/>
      <c r="P979" s="87"/>
      <c r="Q979" s="87"/>
      <c r="R979" s="87"/>
      <c r="S979" s="87"/>
      <c r="T979" s="85"/>
      <c r="U979" s="89"/>
      <c r="V979" s="90"/>
      <c r="W979" s="87"/>
      <c r="X979" s="91"/>
      <c r="Y979" s="84"/>
      <c r="Z979" s="97"/>
    </row>
    <row r="980" spans="1:26" s="98" customFormat="1" x14ac:dyDescent="0.35">
      <c r="A980" s="86">
        <v>977</v>
      </c>
      <c r="B980" s="85"/>
      <c r="C980" s="87"/>
      <c r="D980" s="85"/>
      <c r="E980" s="84"/>
      <c r="F980" s="85"/>
      <c r="G980" s="87"/>
      <c r="H980" s="87"/>
      <c r="I980" s="87"/>
      <c r="J980" s="101"/>
      <c r="K980" s="87"/>
      <c r="L980" s="91"/>
      <c r="M980" s="91"/>
      <c r="N980" s="88">
        <f>Goods_Receipt[[#This Row],[ Invoice. /
 Received Qty ]]-Goods_Receipt[[#This Row],[ Accepted Qty ]]</f>
        <v>0</v>
      </c>
      <c r="O980" s="87"/>
      <c r="P980" s="87"/>
      <c r="Q980" s="87"/>
      <c r="R980" s="87"/>
      <c r="S980" s="87"/>
      <c r="T980" s="85"/>
      <c r="U980" s="89"/>
      <c r="V980" s="90"/>
      <c r="W980" s="87"/>
      <c r="X980" s="91"/>
      <c r="Y980" s="84"/>
      <c r="Z980" s="97"/>
    </row>
    <row r="981" spans="1:26" s="98" customFormat="1" x14ac:dyDescent="0.35">
      <c r="A981" s="86">
        <v>978</v>
      </c>
      <c r="B981" s="85"/>
      <c r="C981" s="87"/>
      <c r="D981" s="85"/>
      <c r="E981" s="84"/>
      <c r="F981" s="85"/>
      <c r="G981" s="87"/>
      <c r="H981" s="87"/>
      <c r="I981" s="87"/>
      <c r="J981" s="101"/>
      <c r="K981" s="87"/>
      <c r="L981" s="91"/>
      <c r="M981" s="91"/>
      <c r="N981" s="88">
        <f>Goods_Receipt[[#This Row],[ Invoice. /
 Received Qty ]]-Goods_Receipt[[#This Row],[ Accepted Qty ]]</f>
        <v>0</v>
      </c>
      <c r="O981" s="87"/>
      <c r="P981" s="87"/>
      <c r="Q981" s="87"/>
      <c r="R981" s="87"/>
      <c r="S981" s="87"/>
      <c r="T981" s="85"/>
      <c r="U981" s="89"/>
      <c r="V981" s="90"/>
      <c r="W981" s="87"/>
      <c r="X981" s="91"/>
      <c r="Y981" s="84"/>
      <c r="Z981" s="97"/>
    </row>
    <row r="982" spans="1:26" s="98" customFormat="1" x14ac:dyDescent="0.35">
      <c r="A982" s="86">
        <v>979</v>
      </c>
      <c r="B982" s="85"/>
      <c r="C982" s="87"/>
      <c r="D982" s="85"/>
      <c r="E982" s="84"/>
      <c r="F982" s="85"/>
      <c r="G982" s="87"/>
      <c r="H982" s="87"/>
      <c r="I982" s="87"/>
      <c r="J982" s="101"/>
      <c r="K982" s="87"/>
      <c r="L982" s="91"/>
      <c r="M982" s="91"/>
      <c r="N982" s="88">
        <f>Goods_Receipt[[#This Row],[ Invoice. /
 Received Qty ]]-Goods_Receipt[[#This Row],[ Accepted Qty ]]</f>
        <v>0</v>
      </c>
      <c r="O982" s="87"/>
      <c r="P982" s="87"/>
      <c r="Q982" s="87"/>
      <c r="R982" s="87"/>
      <c r="S982" s="87"/>
      <c r="T982" s="85"/>
      <c r="U982" s="89"/>
      <c r="V982" s="90"/>
      <c r="W982" s="87"/>
      <c r="X982" s="91"/>
      <c r="Y982" s="84"/>
      <c r="Z982" s="97"/>
    </row>
    <row r="983" spans="1:26" s="98" customFormat="1" x14ac:dyDescent="0.35">
      <c r="A983" s="86">
        <v>980</v>
      </c>
      <c r="B983" s="85"/>
      <c r="C983" s="87"/>
      <c r="D983" s="85"/>
      <c r="E983" s="84"/>
      <c r="F983" s="85"/>
      <c r="G983" s="87"/>
      <c r="H983" s="87"/>
      <c r="I983" s="87"/>
      <c r="J983" s="101"/>
      <c r="K983" s="87"/>
      <c r="L983" s="91"/>
      <c r="M983" s="91"/>
      <c r="N983" s="88">
        <f>Goods_Receipt[[#This Row],[ Invoice. /
 Received Qty ]]-Goods_Receipt[[#This Row],[ Accepted Qty ]]</f>
        <v>0</v>
      </c>
      <c r="O983" s="87"/>
      <c r="P983" s="87"/>
      <c r="Q983" s="87"/>
      <c r="R983" s="87"/>
      <c r="S983" s="87"/>
      <c r="T983" s="85"/>
      <c r="U983" s="89"/>
      <c r="V983" s="90"/>
      <c r="W983" s="87"/>
      <c r="X983" s="91"/>
      <c r="Y983" s="84"/>
      <c r="Z983" s="97"/>
    </row>
    <row r="984" spans="1:26" s="98" customFormat="1" x14ac:dyDescent="0.35">
      <c r="A984" s="86">
        <v>981</v>
      </c>
      <c r="B984" s="85"/>
      <c r="C984" s="87"/>
      <c r="D984" s="85"/>
      <c r="E984" s="84"/>
      <c r="F984" s="85"/>
      <c r="G984" s="87"/>
      <c r="H984" s="87"/>
      <c r="I984" s="87"/>
      <c r="J984" s="101"/>
      <c r="K984" s="87"/>
      <c r="L984" s="91"/>
      <c r="M984" s="91"/>
      <c r="N984" s="88">
        <f>Goods_Receipt[[#This Row],[ Invoice. /
 Received Qty ]]-Goods_Receipt[[#This Row],[ Accepted Qty ]]</f>
        <v>0</v>
      </c>
      <c r="O984" s="87"/>
      <c r="P984" s="87"/>
      <c r="Q984" s="87"/>
      <c r="R984" s="87"/>
      <c r="S984" s="87"/>
      <c r="T984" s="85"/>
      <c r="U984" s="89"/>
      <c r="V984" s="90"/>
      <c r="W984" s="87"/>
      <c r="X984" s="91"/>
      <c r="Y984" s="84"/>
      <c r="Z984" s="97"/>
    </row>
    <row r="985" spans="1:26" s="98" customFormat="1" x14ac:dyDescent="0.35">
      <c r="A985" s="86">
        <v>982</v>
      </c>
      <c r="B985" s="85"/>
      <c r="C985" s="87"/>
      <c r="D985" s="85"/>
      <c r="E985" s="84"/>
      <c r="F985" s="85"/>
      <c r="G985" s="87"/>
      <c r="H985" s="87"/>
      <c r="I985" s="87"/>
      <c r="J985" s="101"/>
      <c r="K985" s="87"/>
      <c r="L985" s="91"/>
      <c r="M985" s="91"/>
      <c r="N985" s="88">
        <f>Goods_Receipt[[#This Row],[ Invoice. /
 Received Qty ]]-Goods_Receipt[[#This Row],[ Accepted Qty ]]</f>
        <v>0</v>
      </c>
      <c r="O985" s="87"/>
      <c r="P985" s="87"/>
      <c r="Q985" s="87"/>
      <c r="R985" s="87"/>
      <c r="S985" s="87"/>
      <c r="T985" s="85"/>
      <c r="U985" s="89"/>
      <c r="V985" s="90"/>
      <c r="W985" s="87"/>
      <c r="X985" s="91"/>
      <c r="Y985" s="84"/>
      <c r="Z985" s="97"/>
    </row>
    <row r="986" spans="1:26" s="98" customFormat="1" x14ac:dyDescent="0.35">
      <c r="A986" s="86">
        <v>983</v>
      </c>
      <c r="B986" s="85"/>
      <c r="C986" s="87"/>
      <c r="D986" s="85"/>
      <c r="E986" s="84"/>
      <c r="F986" s="85"/>
      <c r="G986" s="87"/>
      <c r="H986" s="87"/>
      <c r="I986" s="87"/>
      <c r="J986" s="101"/>
      <c r="K986" s="87"/>
      <c r="L986" s="91"/>
      <c r="M986" s="91"/>
      <c r="N986" s="88">
        <f>Goods_Receipt[[#This Row],[ Invoice. /
 Received Qty ]]-Goods_Receipt[[#This Row],[ Accepted Qty ]]</f>
        <v>0</v>
      </c>
      <c r="O986" s="87"/>
      <c r="P986" s="87"/>
      <c r="Q986" s="87"/>
      <c r="R986" s="87"/>
      <c r="S986" s="87"/>
      <c r="T986" s="85"/>
      <c r="U986" s="89"/>
      <c r="V986" s="90"/>
      <c r="W986" s="87"/>
      <c r="X986" s="91"/>
      <c r="Y986" s="84"/>
      <c r="Z986" s="97"/>
    </row>
    <row r="987" spans="1:26" s="98" customFormat="1" x14ac:dyDescent="0.35">
      <c r="A987" s="86">
        <v>984</v>
      </c>
      <c r="B987" s="85"/>
      <c r="C987" s="87"/>
      <c r="D987" s="85"/>
      <c r="E987" s="84"/>
      <c r="F987" s="85"/>
      <c r="G987" s="87"/>
      <c r="H987" s="87"/>
      <c r="I987" s="87"/>
      <c r="J987" s="101"/>
      <c r="K987" s="87"/>
      <c r="L987" s="91"/>
      <c r="M987" s="91"/>
      <c r="N987" s="88">
        <f>Goods_Receipt[[#This Row],[ Invoice. /
 Received Qty ]]-Goods_Receipt[[#This Row],[ Accepted Qty ]]</f>
        <v>0</v>
      </c>
      <c r="O987" s="87"/>
      <c r="P987" s="87"/>
      <c r="Q987" s="87"/>
      <c r="R987" s="87"/>
      <c r="S987" s="87"/>
      <c r="T987" s="85"/>
      <c r="U987" s="89"/>
      <c r="V987" s="90"/>
      <c r="W987" s="87"/>
      <c r="X987" s="91"/>
      <c r="Y987" s="84"/>
      <c r="Z987" s="97"/>
    </row>
    <row r="988" spans="1:26" s="98" customFormat="1" x14ac:dyDescent="0.35">
      <c r="A988" s="86">
        <v>985</v>
      </c>
      <c r="B988" s="85"/>
      <c r="C988" s="87"/>
      <c r="D988" s="85"/>
      <c r="E988" s="84"/>
      <c r="F988" s="85"/>
      <c r="G988" s="87"/>
      <c r="H988" s="87"/>
      <c r="I988" s="87"/>
      <c r="J988" s="101"/>
      <c r="K988" s="87"/>
      <c r="L988" s="91"/>
      <c r="M988" s="91"/>
      <c r="N988" s="88">
        <f>Goods_Receipt[[#This Row],[ Invoice. /
 Received Qty ]]-Goods_Receipt[[#This Row],[ Accepted Qty ]]</f>
        <v>0</v>
      </c>
      <c r="O988" s="87"/>
      <c r="P988" s="87"/>
      <c r="Q988" s="87"/>
      <c r="R988" s="87"/>
      <c r="S988" s="87"/>
      <c r="T988" s="85"/>
      <c r="U988" s="89"/>
      <c r="V988" s="90"/>
      <c r="W988" s="87"/>
      <c r="X988" s="91"/>
      <c r="Y988" s="84"/>
      <c r="Z988" s="97"/>
    </row>
    <row r="989" spans="1:26" s="98" customFormat="1" x14ac:dyDescent="0.35">
      <c r="A989" s="86">
        <v>986</v>
      </c>
      <c r="B989" s="85"/>
      <c r="C989" s="87"/>
      <c r="D989" s="85"/>
      <c r="E989" s="84"/>
      <c r="F989" s="85"/>
      <c r="G989" s="87"/>
      <c r="H989" s="87"/>
      <c r="I989" s="87"/>
      <c r="J989" s="101"/>
      <c r="K989" s="87"/>
      <c r="L989" s="91"/>
      <c r="M989" s="91"/>
      <c r="N989" s="88">
        <f>Goods_Receipt[[#This Row],[ Invoice. /
 Received Qty ]]-Goods_Receipt[[#This Row],[ Accepted Qty ]]</f>
        <v>0</v>
      </c>
      <c r="O989" s="87"/>
      <c r="P989" s="87"/>
      <c r="Q989" s="87"/>
      <c r="R989" s="87"/>
      <c r="S989" s="87"/>
      <c r="T989" s="85"/>
      <c r="U989" s="89"/>
      <c r="V989" s="90"/>
      <c r="W989" s="87"/>
      <c r="X989" s="91"/>
      <c r="Y989" s="84"/>
      <c r="Z989" s="97"/>
    </row>
    <row r="990" spans="1:26" s="98" customFormat="1" x14ac:dyDescent="0.35">
      <c r="A990" s="86">
        <v>987</v>
      </c>
      <c r="B990" s="85"/>
      <c r="C990" s="87"/>
      <c r="D990" s="85"/>
      <c r="E990" s="84"/>
      <c r="F990" s="85"/>
      <c r="G990" s="87"/>
      <c r="H990" s="87"/>
      <c r="I990" s="87"/>
      <c r="J990" s="101"/>
      <c r="K990" s="87"/>
      <c r="L990" s="91"/>
      <c r="M990" s="91"/>
      <c r="N990" s="88">
        <f>Goods_Receipt[[#This Row],[ Invoice. /
 Received Qty ]]-Goods_Receipt[[#This Row],[ Accepted Qty ]]</f>
        <v>0</v>
      </c>
      <c r="O990" s="87"/>
      <c r="P990" s="87"/>
      <c r="Q990" s="87"/>
      <c r="R990" s="87"/>
      <c r="S990" s="87"/>
      <c r="T990" s="85"/>
      <c r="U990" s="89"/>
      <c r="V990" s="90"/>
      <c r="W990" s="87"/>
      <c r="X990" s="91"/>
      <c r="Y990" s="84"/>
      <c r="Z990" s="97"/>
    </row>
    <row r="991" spans="1:26" s="98" customFormat="1" x14ac:dyDescent="0.35">
      <c r="A991" s="86">
        <v>988</v>
      </c>
      <c r="B991" s="85"/>
      <c r="C991" s="87"/>
      <c r="D991" s="85"/>
      <c r="E991" s="84"/>
      <c r="F991" s="85"/>
      <c r="G991" s="87"/>
      <c r="H991" s="87"/>
      <c r="I991" s="87"/>
      <c r="J991" s="101"/>
      <c r="K991" s="87"/>
      <c r="L991" s="91"/>
      <c r="M991" s="91"/>
      <c r="N991" s="88">
        <f>Goods_Receipt[[#This Row],[ Invoice. /
 Received Qty ]]-Goods_Receipt[[#This Row],[ Accepted Qty ]]</f>
        <v>0</v>
      </c>
      <c r="O991" s="87"/>
      <c r="P991" s="87"/>
      <c r="Q991" s="87"/>
      <c r="R991" s="87"/>
      <c r="S991" s="87"/>
      <c r="T991" s="85"/>
      <c r="U991" s="89"/>
      <c r="V991" s="90"/>
      <c r="W991" s="87"/>
      <c r="X991" s="91"/>
      <c r="Y991" s="84"/>
      <c r="Z991" s="97"/>
    </row>
    <row r="992" spans="1:26" s="98" customFormat="1" x14ac:dyDescent="0.35">
      <c r="A992" s="86">
        <v>989</v>
      </c>
      <c r="B992" s="85"/>
      <c r="C992" s="87"/>
      <c r="D992" s="85"/>
      <c r="E992" s="84"/>
      <c r="F992" s="85"/>
      <c r="G992" s="87"/>
      <c r="H992" s="87"/>
      <c r="I992" s="87"/>
      <c r="J992" s="101"/>
      <c r="K992" s="87"/>
      <c r="L992" s="91"/>
      <c r="M992" s="91"/>
      <c r="N992" s="88">
        <f>Goods_Receipt[[#This Row],[ Invoice. /
 Received Qty ]]-Goods_Receipt[[#This Row],[ Accepted Qty ]]</f>
        <v>0</v>
      </c>
      <c r="O992" s="87"/>
      <c r="P992" s="87"/>
      <c r="Q992" s="87"/>
      <c r="R992" s="87"/>
      <c r="S992" s="87"/>
      <c r="T992" s="85"/>
      <c r="U992" s="89"/>
      <c r="V992" s="90"/>
      <c r="W992" s="87"/>
      <c r="X992" s="91"/>
      <c r="Y992" s="84"/>
      <c r="Z992" s="97"/>
    </row>
    <row r="993" spans="1:26" s="98" customFormat="1" x14ac:dyDescent="0.35">
      <c r="A993" s="86">
        <v>990</v>
      </c>
      <c r="B993" s="85"/>
      <c r="C993" s="87"/>
      <c r="D993" s="85"/>
      <c r="E993" s="84"/>
      <c r="F993" s="85"/>
      <c r="G993" s="87"/>
      <c r="H993" s="87"/>
      <c r="I993" s="87"/>
      <c r="J993" s="101"/>
      <c r="K993" s="87"/>
      <c r="L993" s="91"/>
      <c r="M993" s="91"/>
      <c r="N993" s="88">
        <f>Goods_Receipt[[#This Row],[ Invoice. /
 Received Qty ]]-Goods_Receipt[[#This Row],[ Accepted Qty ]]</f>
        <v>0</v>
      </c>
      <c r="O993" s="87"/>
      <c r="P993" s="87"/>
      <c r="Q993" s="87"/>
      <c r="R993" s="87"/>
      <c r="S993" s="87"/>
      <c r="T993" s="85"/>
      <c r="U993" s="89"/>
      <c r="V993" s="90"/>
      <c r="W993" s="87"/>
      <c r="X993" s="91"/>
      <c r="Y993" s="84"/>
      <c r="Z993" s="97"/>
    </row>
    <row r="994" spans="1:26" s="98" customFormat="1" x14ac:dyDescent="0.35">
      <c r="A994" s="86">
        <v>991</v>
      </c>
      <c r="B994" s="85"/>
      <c r="C994" s="87"/>
      <c r="D994" s="85"/>
      <c r="E994" s="84"/>
      <c r="F994" s="85"/>
      <c r="G994" s="87"/>
      <c r="H994" s="87"/>
      <c r="I994" s="87"/>
      <c r="J994" s="101"/>
      <c r="K994" s="87"/>
      <c r="L994" s="91"/>
      <c r="M994" s="91"/>
      <c r="N994" s="88">
        <f>Goods_Receipt[[#This Row],[ Invoice. /
 Received Qty ]]-Goods_Receipt[[#This Row],[ Accepted Qty ]]</f>
        <v>0</v>
      </c>
      <c r="O994" s="87"/>
      <c r="P994" s="87"/>
      <c r="Q994" s="87"/>
      <c r="R994" s="87"/>
      <c r="S994" s="87"/>
      <c r="T994" s="85"/>
      <c r="U994" s="89"/>
      <c r="V994" s="90"/>
      <c r="W994" s="87"/>
      <c r="X994" s="91"/>
      <c r="Y994" s="84"/>
      <c r="Z994" s="97"/>
    </row>
    <row r="995" spans="1:26" s="98" customFormat="1" x14ac:dyDescent="0.35">
      <c r="A995" s="86">
        <v>992</v>
      </c>
      <c r="B995" s="85"/>
      <c r="C995" s="87"/>
      <c r="D995" s="85"/>
      <c r="E995" s="84"/>
      <c r="F995" s="85"/>
      <c r="G995" s="87"/>
      <c r="H995" s="87"/>
      <c r="I995" s="87"/>
      <c r="J995" s="101"/>
      <c r="K995" s="87"/>
      <c r="L995" s="91"/>
      <c r="M995" s="91"/>
      <c r="N995" s="88">
        <f>Goods_Receipt[[#This Row],[ Invoice. /
 Received Qty ]]-Goods_Receipt[[#This Row],[ Accepted Qty ]]</f>
        <v>0</v>
      </c>
      <c r="O995" s="87"/>
      <c r="P995" s="87"/>
      <c r="Q995" s="87"/>
      <c r="R995" s="87"/>
      <c r="S995" s="87"/>
      <c r="T995" s="85"/>
      <c r="U995" s="89"/>
      <c r="V995" s="90"/>
      <c r="W995" s="87"/>
      <c r="X995" s="91"/>
      <c r="Y995" s="84"/>
      <c r="Z995" s="97"/>
    </row>
    <row r="996" spans="1:26" s="98" customFormat="1" x14ac:dyDescent="0.35">
      <c r="A996" s="86">
        <v>993</v>
      </c>
      <c r="B996" s="85"/>
      <c r="C996" s="87"/>
      <c r="D996" s="85"/>
      <c r="E996" s="84"/>
      <c r="F996" s="85"/>
      <c r="G996" s="87"/>
      <c r="H996" s="87"/>
      <c r="I996" s="87"/>
      <c r="J996" s="101"/>
      <c r="K996" s="87"/>
      <c r="L996" s="91"/>
      <c r="M996" s="91"/>
      <c r="N996" s="88">
        <f>Goods_Receipt[[#This Row],[ Invoice. /
 Received Qty ]]-Goods_Receipt[[#This Row],[ Accepted Qty ]]</f>
        <v>0</v>
      </c>
      <c r="O996" s="87"/>
      <c r="P996" s="87"/>
      <c r="Q996" s="87"/>
      <c r="R996" s="87"/>
      <c r="S996" s="87"/>
      <c r="T996" s="85"/>
      <c r="U996" s="89"/>
      <c r="V996" s="90"/>
      <c r="W996" s="87"/>
      <c r="X996" s="91"/>
      <c r="Y996" s="84"/>
      <c r="Z996" s="97"/>
    </row>
    <row r="997" spans="1:26" s="98" customFormat="1" x14ac:dyDescent="0.35">
      <c r="A997" s="86">
        <v>994</v>
      </c>
      <c r="B997" s="85"/>
      <c r="C997" s="87"/>
      <c r="D997" s="85"/>
      <c r="E997" s="84"/>
      <c r="F997" s="85"/>
      <c r="G997" s="87"/>
      <c r="H997" s="87"/>
      <c r="I997" s="87"/>
      <c r="J997" s="101"/>
      <c r="K997" s="87"/>
      <c r="L997" s="91"/>
      <c r="M997" s="91"/>
      <c r="N997" s="88">
        <f>Goods_Receipt[[#This Row],[ Invoice. /
 Received Qty ]]-Goods_Receipt[[#This Row],[ Accepted Qty ]]</f>
        <v>0</v>
      </c>
      <c r="O997" s="87"/>
      <c r="P997" s="87"/>
      <c r="Q997" s="87"/>
      <c r="R997" s="87"/>
      <c r="S997" s="87"/>
      <c r="T997" s="85"/>
      <c r="U997" s="89"/>
      <c r="V997" s="90"/>
      <c r="W997" s="87"/>
      <c r="X997" s="91"/>
      <c r="Y997" s="84"/>
      <c r="Z997" s="97"/>
    </row>
    <row r="998" spans="1:26" s="98" customFormat="1" x14ac:dyDescent="0.35">
      <c r="A998" s="86">
        <v>995</v>
      </c>
      <c r="B998" s="85"/>
      <c r="C998" s="87"/>
      <c r="D998" s="85"/>
      <c r="E998" s="84"/>
      <c r="F998" s="85"/>
      <c r="G998" s="87"/>
      <c r="H998" s="87"/>
      <c r="I998" s="87"/>
      <c r="J998" s="101"/>
      <c r="K998" s="87"/>
      <c r="L998" s="91"/>
      <c r="M998" s="91"/>
      <c r="N998" s="88">
        <f>Goods_Receipt[[#This Row],[ Invoice. /
 Received Qty ]]-Goods_Receipt[[#This Row],[ Accepted Qty ]]</f>
        <v>0</v>
      </c>
      <c r="O998" s="87"/>
      <c r="P998" s="87"/>
      <c r="Q998" s="87"/>
      <c r="R998" s="87"/>
      <c r="S998" s="87"/>
      <c r="T998" s="85"/>
      <c r="U998" s="89"/>
      <c r="V998" s="90"/>
      <c r="W998" s="87"/>
      <c r="X998" s="91"/>
      <c r="Y998" s="84"/>
      <c r="Z998" s="97"/>
    </row>
    <row r="999" spans="1:26" s="98" customFormat="1" x14ac:dyDescent="0.35">
      <c r="A999" s="86">
        <v>996</v>
      </c>
      <c r="B999" s="85"/>
      <c r="C999" s="87"/>
      <c r="D999" s="85"/>
      <c r="E999" s="84"/>
      <c r="F999" s="85"/>
      <c r="G999" s="87"/>
      <c r="H999" s="87"/>
      <c r="I999" s="87"/>
      <c r="J999" s="101"/>
      <c r="K999" s="87"/>
      <c r="L999" s="91"/>
      <c r="M999" s="91"/>
      <c r="N999" s="88">
        <f>Goods_Receipt[[#This Row],[ Invoice. /
 Received Qty ]]-Goods_Receipt[[#This Row],[ Accepted Qty ]]</f>
        <v>0</v>
      </c>
      <c r="O999" s="87"/>
      <c r="P999" s="87"/>
      <c r="Q999" s="87"/>
      <c r="R999" s="87"/>
      <c r="S999" s="87"/>
      <c r="T999" s="85"/>
      <c r="U999" s="89"/>
      <c r="V999" s="90"/>
      <c r="W999" s="87"/>
      <c r="X999" s="91"/>
      <c r="Y999" s="84"/>
      <c r="Z999" s="97"/>
    </row>
    <row r="1000" spans="1:26" s="98" customFormat="1" x14ac:dyDescent="0.35">
      <c r="A1000" s="86">
        <v>997</v>
      </c>
      <c r="B1000" s="85"/>
      <c r="C1000" s="87"/>
      <c r="D1000" s="85"/>
      <c r="E1000" s="84"/>
      <c r="F1000" s="85"/>
      <c r="G1000" s="87"/>
      <c r="H1000" s="87"/>
      <c r="I1000" s="87"/>
      <c r="J1000" s="101"/>
      <c r="K1000" s="87"/>
      <c r="L1000" s="91"/>
      <c r="M1000" s="91"/>
      <c r="N1000" s="88">
        <f>Goods_Receipt[[#This Row],[ Invoice. /
 Received Qty ]]-Goods_Receipt[[#This Row],[ Accepted Qty ]]</f>
        <v>0</v>
      </c>
      <c r="O1000" s="87"/>
      <c r="P1000" s="87"/>
      <c r="Q1000" s="87"/>
      <c r="R1000" s="87"/>
      <c r="S1000" s="87"/>
      <c r="T1000" s="85"/>
      <c r="U1000" s="89"/>
      <c r="V1000" s="90"/>
      <c r="W1000" s="87"/>
      <c r="X1000" s="91"/>
      <c r="Y1000" s="84"/>
      <c r="Z1000" s="97"/>
    </row>
    <row r="1001" spans="1:26" s="98" customFormat="1" x14ac:dyDescent="0.35">
      <c r="A1001" s="86">
        <v>998</v>
      </c>
      <c r="B1001" s="85"/>
      <c r="C1001" s="87"/>
      <c r="D1001" s="85"/>
      <c r="E1001" s="84"/>
      <c r="F1001" s="85"/>
      <c r="G1001" s="87"/>
      <c r="H1001" s="87"/>
      <c r="I1001" s="87"/>
      <c r="J1001" s="101"/>
      <c r="K1001" s="87"/>
      <c r="L1001" s="91"/>
      <c r="M1001" s="91"/>
      <c r="N1001" s="88">
        <f>Goods_Receipt[[#This Row],[ Invoice. /
 Received Qty ]]-Goods_Receipt[[#This Row],[ Accepted Qty ]]</f>
        <v>0</v>
      </c>
      <c r="O1001" s="87"/>
      <c r="P1001" s="87"/>
      <c r="Q1001" s="87"/>
      <c r="R1001" s="87"/>
      <c r="S1001" s="87"/>
      <c r="T1001" s="85"/>
      <c r="U1001" s="89"/>
      <c r="V1001" s="90"/>
      <c r="W1001" s="87"/>
      <c r="X1001" s="91"/>
      <c r="Y1001" s="84"/>
      <c r="Z1001" s="97"/>
    </row>
    <row r="1002" spans="1:26" s="98" customFormat="1" x14ac:dyDescent="0.35">
      <c r="A1002" s="86">
        <v>999</v>
      </c>
      <c r="B1002" s="85"/>
      <c r="C1002" s="87"/>
      <c r="D1002" s="85"/>
      <c r="E1002" s="84"/>
      <c r="F1002" s="85"/>
      <c r="G1002" s="87"/>
      <c r="H1002" s="87"/>
      <c r="I1002" s="87"/>
      <c r="J1002" s="101"/>
      <c r="K1002" s="87"/>
      <c r="L1002" s="91"/>
      <c r="M1002" s="91"/>
      <c r="N1002" s="88">
        <f>Goods_Receipt[[#This Row],[ Invoice. /
 Received Qty ]]-Goods_Receipt[[#This Row],[ Accepted Qty ]]</f>
        <v>0</v>
      </c>
      <c r="O1002" s="87"/>
      <c r="P1002" s="87"/>
      <c r="Q1002" s="87"/>
      <c r="R1002" s="87"/>
      <c r="S1002" s="87"/>
      <c r="T1002" s="85"/>
      <c r="U1002" s="89"/>
      <c r="V1002" s="90"/>
      <c r="W1002" s="87"/>
      <c r="X1002" s="91"/>
      <c r="Y1002" s="84"/>
      <c r="Z1002" s="97"/>
    </row>
    <row r="1003" spans="1:26" s="98" customFormat="1" x14ac:dyDescent="0.35">
      <c r="A1003" s="86">
        <v>1000</v>
      </c>
      <c r="B1003" s="85"/>
      <c r="C1003" s="87"/>
      <c r="D1003" s="85"/>
      <c r="E1003" s="84"/>
      <c r="F1003" s="85"/>
      <c r="G1003" s="87"/>
      <c r="H1003" s="87"/>
      <c r="I1003" s="87"/>
      <c r="J1003" s="101"/>
      <c r="K1003" s="87"/>
      <c r="L1003" s="91"/>
      <c r="M1003" s="91"/>
      <c r="N1003" s="88">
        <f>Goods_Receipt[[#This Row],[ Invoice. /
 Received Qty ]]-Goods_Receipt[[#This Row],[ Accepted Qty ]]</f>
        <v>0</v>
      </c>
      <c r="O1003" s="87"/>
      <c r="P1003" s="87"/>
      <c r="Q1003" s="87"/>
      <c r="R1003" s="87"/>
      <c r="S1003" s="87"/>
      <c r="T1003" s="85"/>
      <c r="U1003" s="89"/>
      <c r="V1003" s="90"/>
      <c r="W1003" s="87"/>
      <c r="X1003" s="91"/>
      <c r="Y1003" s="84"/>
      <c r="Z1003" s="97"/>
    </row>
    <row r="1004" spans="1:26" s="98" customFormat="1" x14ac:dyDescent="0.35">
      <c r="A1004" s="86">
        <v>1001</v>
      </c>
      <c r="B1004" s="85"/>
      <c r="C1004" s="87"/>
      <c r="D1004" s="85"/>
      <c r="E1004" s="84"/>
      <c r="F1004" s="85"/>
      <c r="G1004" s="87"/>
      <c r="H1004" s="87"/>
      <c r="I1004" s="87"/>
      <c r="J1004" s="101"/>
      <c r="K1004" s="87"/>
      <c r="L1004" s="91"/>
      <c r="M1004" s="91"/>
      <c r="N1004" s="88">
        <f>Goods_Receipt[[#This Row],[ Invoice. /
 Received Qty ]]-Goods_Receipt[[#This Row],[ Accepted Qty ]]</f>
        <v>0</v>
      </c>
      <c r="O1004" s="87"/>
      <c r="P1004" s="87"/>
      <c r="Q1004" s="87"/>
      <c r="R1004" s="87"/>
      <c r="S1004" s="87"/>
      <c r="T1004" s="85"/>
      <c r="U1004" s="89"/>
      <c r="V1004" s="90"/>
      <c r="W1004" s="87"/>
      <c r="X1004" s="91"/>
      <c r="Y1004" s="84"/>
      <c r="Z1004" s="97"/>
    </row>
    <row r="1005" spans="1:26" s="98" customFormat="1" x14ac:dyDescent="0.35">
      <c r="A1005" s="86">
        <v>1002</v>
      </c>
      <c r="B1005" s="85"/>
      <c r="C1005" s="87"/>
      <c r="D1005" s="85"/>
      <c r="E1005" s="84"/>
      <c r="F1005" s="85"/>
      <c r="G1005" s="87"/>
      <c r="H1005" s="87"/>
      <c r="I1005" s="87"/>
      <c r="J1005" s="101"/>
      <c r="K1005" s="87"/>
      <c r="L1005" s="91"/>
      <c r="M1005" s="91"/>
      <c r="N1005" s="88">
        <f>Goods_Receipt[[#This Row],[ Invoice. /
 Received Qty ]]-Goods_Receipt[[#This Row],[ Accepted Qty ]]</f>
        <v>0</v>
      </c>
      <c r="O1005" s="87"/>
      <c r="P1005" s="87"/>
      <c r="Q1005" s="87"/>
      <c r="R1005" s="87"/>
      <c r="S1005" s="87"/>
      <c r="T1005" s="85"/>
      <c r="U1005" s="89"/>
      <c r="V1005" s="90"/>
      <c r="W1005" s="87"/>
      <c r="X1005" s="91"/>
      <c r="Y1005" s="84"/>
      <c r="Z1005" s="97"/>
    </row>
    <row r="1006" spans="1:26" s="98" customFormat="1" x14ac:dyDescent="0.35">
      <c r="A1006" s="86">
        <v>1003</v>
      </c>
      <c r="B1006" s="85"/>
      <c r="C1006" s="87"/>
      <c r="D1006" s="85"/>
      <c r="E1006" s="84"/>
      <c r="F1006" s="85"/>
      <c r="G1006" s="87"/>
      <c r="H1006" s="87"/>
      <c r="I1006" s="87"/>
      <c r="J1006" s="101"/>
      <c r="K1006" s="87"/>
      <c r="L1006" s="91"/>
      <c r="M1006" s="91"/>
      <c r="N1006" s="88">
        <f>Goods_Receipt[[#This Row],[ Invoice. /
 Received Qty ]]-Goods_Receipt[[#This Row],[ Accepted Qty ]]</f>
        <v>0</v>
      </c>
      <c r="O1006" s="87"/>
      <c r="P1006" s="87"/>
      <c r="Q1006" s="87"/>
      <c r="R1006" s="87"/>
      <c r="S1006" s="87"/>
      <c r="T1006" s="85"/>
      <c r="U1006" s="89"/>
      <c r="V1006" s="90"/>
      <c r="W1006" s="87"/>
      <c r="X1006" s="91"/>
      <c r="Y1006" s="84"/>
      <c r="Z1006" s="97"/>
    </row>
    <row r="1007" spans="1:26" s="98" customFormat="1" x14ac:dyDescent="0.35">
      <c r="A1007" s="86">
        <v>1004</v>
      </c>
      <c r="B1007" s="85"/>
      <c r="C1007" s="87"/>
      <c r="D1007" s="85"/>
      <c r="E1007" s="84"/>
      <c r="F1007" s="85"/>
      <c r="G1007" s="87"/>
      <c r="H1007" s="87"/>
      <c r="I1007" s="87"/>
      <c r="J1007" s="101"/>
      <c r="K1007" s="87"/>
      <c r="L1007" s="91"/>
      <c r="M1007" s="91"/>
      <c r="N1007" s="88">
        <f>Goods_Receipt[[#This Row],[ Invoice. /
 Received Qty ]]-Goods_Receipt[[#This Row],[ Accepted Qty ]]</f>
        <v>0</v>
      </c>
      <c r="O1007" s="87"/>
      <c r="P1007" s="87"/>
      <c r="Q1007" s="87"/>
      <c r="R1007" s="87"/>
      <c r="S1007" s="87"/>
      <c r="T1007" s="85"/>
      <c r="U1007" s="89"/>
      <c r="V1007" s="90"/>
      <c r="W1007" s="87"/>
      <c r="X1007" s="91"/>
      <c r="Y1007" s="84"/>
      <c r="Z1007" s="97"/>
    </row>
    <row r="1008" spans="1:26" s="98" customFormat="1" x14ac:dyDescent="0.35">
      <c r="A1008" s="86">
        <v>1005</v>
      </c>
      <c r="B1008" s="85"/>
      <c r="C1008" s="87"/>
      <c r="D1008" s="85"/>
      <c r="E1008" s="84"/>
      <c r="F1008" s="85"/>
      <c r="G1008" s="87"/>
      <c r="H1008" s="87"/>
      <c r="I1008" s="87"/>
      <c r="J1008" s="101"/>
      <c r="K1008" s="87"/>
      <c r="L1008" s="91"/>
      <c r="M1008" s="91"/>
      <c r="N1008" s="88">
        <f>Goods_Receipt[[#This Row],[ Invoice. /
 Received Qty ]]-Goods_Receipt[[#This Row],[ Accepted Qty ]]</f>
        <v>0</v>
      </c>
      <c r="O1008" s="87"/>
      <c r="P1008" s="87"/>
      <c r="Q1008" s="87"/>
      <c r="R1008" s="87"/>
      <c r="S1008" s="87"/>
      <c r="T1008" s="85"/>
      <c r="U1008" s="89"/>
      <c r="V1008" s="90"/>
      <c r="W1008" s="87"/>
      <c r="X1008" s="91"/>
      <c r="Y1008" s="84"/>
      <c r="Z1008" s="97"/>
    </row>
    <row r="1009" spans="1:26" s="98" customFormat="1" x14ac:dyDescent="0.35">
      <c r="A1009" s="86">
        <v>1006</v>
      </c>
      <c r="B1009" s="85"/>
      <c r="C1009" s="87"/>
      <c r="D1009" s="85"/>
      <c r="E1009" s="84"/>
      <c r="F1009" s="85"/>
      <c r="G1009" s="87"/>
      <c r="H1009" s="87"/>
      <c r="I1009" s="87"/>
      <c r="J1009" s="101"/>
      <c r="K1009" s="87"/>
      <c r="L1009" s="91"/>
      <c r="M1009" s="91"/>
      <c r="N1009" s="88">
        <f>Goods_Receipt[[#This Row],[ Invoice. /
 Received Qty ]]-Goods_Receipt[[#This Row],[ Accepted Qty ]]</f>
        <v>0</v>
      </c>
      <c r="O1009" s="87"/>
      <c r="P1009" s="87"/>
      <c r="Q1009" s="87"/>
      <c r="R1009" s="87"/>
      <c r="S1009" s="87"/>
      <c r="T1009" s="85"/>
      <c r="U1009" s="89"/>
      <c r="V1009" s="90"/>
      <c r="W1009" s="87"/>
      <c r="X1009" s="91"/>
      <c r="Y1009" s="84"/>
      <c r="Z1009" s="97"/>
    </row>
    <row r="1010" spans="1:26" s="98" customFormat="1" x14ac:dyDescent="0.35">
      <c r="A1010" s="86">
        <v>1007</v>
      </c>
      <c r="B1010" s="85"/>
      <c r="C1010" s="87"/>
      <c r="D1010" s="85"/>
      <c r="E1010" s="84"/>
      <c r="F1010" s="85"/>
      <c r="G1010" s="87"/>
      <c r="H1010" s="87"/>
      <c r="I1010" s="87"/>
      <c r="J1010" s="101"/>
      <c r="K1010" s="87"/>
      <c r="L1010" s="91"/>
      <c r="M1010" s="91"/>
      <c r="N1010" s="88">
        <f>Goods_Receipt[[#This Row],[ Invoice. /
 Received Qty ]]-Goods_Receipt[[#This Row],[ Accepted Qty ]]</f>
        <v>0</v>
      </c>
      <c r="O1010" s="87"/>
      <c r="P1010" s="87"/>
      <c r="Q1010" s="87"/>
      <c r="R1010" s="87"/>
      <c r="S1010" s="87"/>
      <c r="T1010" s="85"/>
      <c r="U1010" s="89"/>
      <c r="V1010" s="90"/>
      <c r="W1010" s="87"/>
      <c r="X1010" s="91"/>
      <c r="Y1010" s="84"/>
      <c r="Z1010" s="97"/>
    </row>
    <row r="1011" spans="1:26" s="98" customFormat="1" x14ac:dyDescent="0.35">
      <c r="A1011" s="86">
        <v>1008</v>
      </c>
      <c r="B1011" s="85"/>
      <c r="C1011" s="87"/>
      <c r="D1011" s="85"/>
      <c r="E1011" s="84"/>
      <c r="F1011" s="85"/>
      <c r="G1011" s="87"/>
      <c r="H1011" s="87"/>
      <c r="I1011" s="87"/>
      <c r="J1011" s="101"/>
      <c r="K1011" s="87"/>
      <c r="L1011" s="91"/>
      <c r="M1011" s="91"/>
      <c r="N1011" s="88">
        <f>Goods_Receipt[[#This Row],[ Invoice. /
 Received Qty ]]-Goods_Receipt[[#This Row],[ Accepted Qty ]]</f>
        <v>0</v>
      </c>
      <c r="O1011" s="87"/>
      <c r="P1011" s="87"/>
      <c r="Q1011" s="87"/>
      <c r="R1011" s="87"/>
      <c r="S1011" s="87"/>
      <c r="T1011" s="85"/>
      <c r="U1011" s="89"/>
      <c r="V1011" s="90"/>
      <c r="W1011" s="87"/>
      <c r="X1011" s="91"/>
      <c r="Y1011" s="84"/>
      <c r="Z1011" s="97"/>
    </row>
    <row r="1012" spans="1:26" s="98" customFormat="1" x14ac:dyDescent="0.35">
      <c r="A1012" s="86">
        <v>1009</v>
      </c>
      <c r="B1012" s="85"/>
      <c r="C1012" s="87"/>
      <c r="D1012" s="85"/>
      <c r="E1012" s="84"/>
      <c r="F1012" s="85"/>
      <c r="G1012" s="87"/>
      <c r="H1012" s="87"/>
      <c r="I1012" s="87"/>
      <c r="J1012" s="101"/>
      <c r="K1012" s="87"/>
      <c r="L1012" s="91"/>
      <c r="M1012" s="91"/>
      <c r="N1012" s="88">
        <f>Goods_Receipt[[#This Row],[ Invoice. /
 Received Qty ]]-Goods_Receipt[[#This Row],[ Accepted Qty ]]</f>
        <v>0</v>
      </c>
      <c r="O1012" s="87"/>
      <c r="P1012" s="87"/>
      <c r="Q1012" s="87"/>
      <c r="R1012" s="87"/>
      <c r="S1012" s="87"/>
      <c r="T1012" s="85"/>
      <c r="U1012" s="89"/>
      <c r="V1012" s="90"/>
      <c r="W1012" s="87"/>
      <c r="X1012" s="91"/>
      <c r="Y1012" s="84"/>
      <c r="Z1012" s="97"/>
    </row>
    <row r="1013" spans="1:26" s="98" customFormat="1" x14ac:dyDescent="0.35">
      <c r="A1013" s="86">
        <v>1010</v>
      </c>
      <c r="B1013" s="85"/>
      <c r="C1013" s="87"/>
      <c r="D1013" s="85"/>
      <c r="E1013" s="84"/>
      <c r="F1013" s="85"/>
      <c r="G1013" s="87"/>
      <c r="H1013" s="87"/>
      <c r="I1013" s="87"/>
      <c r="J1013" s="101"/>
      <c r="K1013" s="87"/>
      <c r="L1013" s="91"/>
      <c r="M1013" s="91"/>
      <c r="N1013" s="88">
        <f>Goods_Receipt[[#This Row],[ Invoice. /
 Received Qty ]]-Goods_Receipt[[#This Row],[ Accepted Qty ]]</f>
        <v>0</v>
      </c>
      <c r="O1013" s="87"/>
      <c r="P1013" s="87"/>
      <c r="Q1013" s="87"/>
      <c r="R1013" s="87"/>
      <c r="S1013" s="87"/>
      <c r="T1013" s="85"/>
      <c r="U1013" s="89"/>
      <c r="V1013" s="90"/>
      <c r="W1013" s="87"/>
      <c r="X1013" s="91"/>
      <c r="Y1013" s="84"/>
      <c r="Z1013" s="97"/>
    </row>
    <row r="1014" spans="1:26" s="98" customFormat="1" x14ac:dyDescent="0.35">
      <c r="A1014" s="86">
        <v>1011</v>
      </c>
      <c r="B1014" s="85"/>
      <c r="C1014" s="87"/>
      <c r="D1014" s="85"/>
      <c r="E1014" s="84"/>
      <c r="F1014" s="85"/>
      <c r="G1014" s="87"/>
      <c r="H1014" s="87"/>
      <c r="I1014" s="87"/>
      <c r="J1014" s="101"/>
      <c r="K1014" s="87"/>
      <c r="L1014" s="91"/>
      <c r="M1014" s="91"/>
      <c r="N1014" s="88">
        <f>Goods_Receipt[[#This Row],[ Invoice. /
 Received Qty ]]-Goods_Receipt[[#This Row],[ Accepted Qty ]]</f>
        <v>0</v>
      </c>
      <c r="O1014" s="87"/>
      <c r="P1014" s="87"/>
      <c r="Q1014" s="87"/>
      <c r="R1014" s="87"/>
      <c r="S1014" s="87"/>
      <c r="T1014" s="85"/>
      <c r="U1014" s="89"/>
      <c r="V1014" s="90"/>
      <c r="W1014" s="87"/>
      <c r="X1014" s="91"/>
      <c r="Y1014" s="84"/>
      <c r="Z1014" s="97"/>
    </row>
    <row r="1015" spans="1:26" s="98" customFormat="1" x14ac:dyDescent="0.35">
      <c r="A1015" s="86">
        <v>1012</v>
      </c>
      <c r="B1015" s="85"/>
      <c r="C1015" s="87"/>
      <c r="D1015" s="85"/>
      <c r="E1015" s="84"/>
      <c r="F1015" s="85"/>
      <c r="G1015" s="87"/>
      <c r="H1015" s="87"/>
      <c r="I1015" s="87"/>
      <c r="J1015" s="101"/>
      <c r="K1015" s="87"/>
      <c r="L1015" s="91"/>
      <c r="M1015" s="91"/>
      <c r="N1015" s="88">
        <f>Goods_Receipt[[#This Row],[ Invoice. /
 Received Qty ]]-Goods_Receipt[[#This Row],[ Accepted Qty ]]</f>
        <v>0</v>
      </c>
      <c r="O1015" s="87"/>
      <c r="P1015" s="87"/>
      <c r="Q1015" s="87"/>
      <c r="R1015" s="87"/>
      <c r="S1015" s="87"/>
      <c r="T1015" s="85"/>
      <c r="U1015" s="89"/>
      <c r="V1015" s="90"/>
      <c r="W1015" s="87"/>
      <c r="X1015" s="91"/>
      <c r="Y1015" s="84"/>
      <c r="Z1015" s="97"/>
    </row>
    <row r="1016" spans="1:26" s="98" customFormat="1" x14ac:dyDescent="0.35">
      <c r="A1016" s="86">
        <v>1013</v>
      </c>
      <c r="B1016" s="85"/>
      <c r="C1016" s="87"/>
      <c r="D1016" s="85"/>
      <c r="E1016" s="84"/>
      <c r="F1016" s="85"/>
      <c r="G1016" s="87"/>
      <c r="H1016" s="87"/>
      <c r="I1016" s="87"/>
      <c r="J1016" s="101"/>
      <c r="K1016" s="87"/>
      <c r="L1016" s="91"/>
      <c r="M1016" s="91"/>
      <c r="N1016" s="88">
        <f>Goods_Receipt[[#This Row],[ Invoice. /
 Received Qty ]]-Goods_Receipt[[#This Row],[ Accepted Qty ]]</f>
        <v>0</v>
      </c>
      <c r="O1016" s="87"/>
      <c r="P1016" s="87"/>
      <c r="Q1016" s="87"/>
      <c r="R1016" s="87"/>
      <c r="S1016" s="87"/>
      <c r="T1016" s="85"/>
      <c r="U1016" s="89"/>
      <c r="V1016" s="90"/>
      <c r="W1016" s="87"/>
      <c r="X1016" s="91"/>
      <c r="Y1016" s="84"/>
      <c r="Z1016" s="97"/>
    </row>
    <row r="1017" spans="1:26" s="98" customFormat="1" x14ac:dyDescent="0.35">
      <c r="A1017" s="86">
        <v>1014</v>
      </c>
      <c r="B1017" s="85"/>
      <c r="C1017" s="87"/>
      <c r="D1017" s="85"/>
      <c r="E1017" s="84"/>
      <c r="F1017" s="85"/>
      <c r="G1017" s="87"/>
      <c r="H1017" s="87"/>
      <c r="I1017" s="87"/>
      <c r="J1017" s="101"/>
      <c r="K1017" s="87"/>
      <c r="L1017" s="91"/>
      <c r="M1017" s="91"/>
      <c r="N1017" s="88">
        <f>Goods_Receipt[[#This Row],[ Invoice. /
 Received Qty ]]-Goods_Receipt[[#This Row],[ Accepted Qty ]]</f>
        <v>0</v>
      </c>
      <c r="O1017" s="87"/>
      <c r="P1017" s="87"/>
      <c r="Q1017" s="87"/>
      <c r="R1017" s="87"/>
      <c r="S1017" s="87"/>
      <c r="T1017" s="85"/>
      <c r="U1017" s="89"/>
      <c r="V1017" s="90"/>
      <c r="W1017" s="87"/>
      <c r="X1017" s="91"/>
      <c r="Y1017" s="84"/>
      <c r="Z1017" s="97"/>
    </row>
    <row r="1018" spans="1:26" s="98" customFormat="1" x14ac:dyDescent="0.35">
      <c r="A1018" s="86">
        <v>1015</v>
      </c>
      <c r="B1018" s="85"/>
      <c r="C1018" s="87"/>
      <c r="D1018" s="85"/>
      <c r="E1018" s="84"/>
      <c r="F1018" s="85"/>
      <c r="G1018" s="87"/>
      <c r="H1018" s="87"/>
      <c r="I1018" s="87"/>
      <c r="J1018" s="101"/>
      <c r="K1018" s="87"/>
      <c r="L1018" s="91"/>
      <c r="M1018" s="91"/>
      <c r="N1018" s="88">
        <f>Goods_Receipt[[#This Row],[ Invoice. /
 Received Qty ]]-Goods_Receipt[[#This Row],[ Accepted Qty ]]</f>
        <v>0</v>
      </c>
      <c r="O1018" s="87"/>
      <c r="P1018" s="87"/>
      <c r="Q1018" s="87"/>
      <c r="R1018" s="87"/>
      <c r="S1018" s="87"/>
      <c r="T1018" s="85"/>
      <c r="U1018" s="89"/>
      <c r="V1018" s="90"/>
      <c r="W1018" s="87"/>
      <c r="X1018" s="91"/>
      <c r="Y1018" s="84"/>
      <c r="Z1018" s="97"/>
    </row>
    <row r="1019" spans="1:26" s="98" customFormat="1" x14ac:dyDescent="0.35">
      <c r="A1019" s="86">
        <v>1016</v>
      </c>
      <c r="B1019" s="85"/>
      <c r="C1019" s="87"/>
      <c r="D1019" s="85"/>
      <c r="E1019" s="84"/>
      <c r="F1019" s="85"/>
      <c r="G1019" s="87"/>
      <c r="H1019" s="87"/>
      <c r="I1019" s="87"/>
      <c r="J1019" s="101"/>
      <c r="K1019" s="87"/>
      <c r="L1019" s="91"/>
      <c r="M1019" s="91"/>
      <c r="N1019" s="88">
        <f>Goods_Receipt[[#This Row],[ Invoice. /
 Received Qty ]]-Goods_Receipt[[#This Row],[ Accepted Qty ]]</f>
        <v>0</v>
      </c>
      <c r="O1019" s="87"/>
      <c r="P1019" s="87"/>
      <c r="Q1019" s="87"/>
      <c r="R1019" s="87"/>
      <c r="S1019" s="87"/>
      <c r="T1019" s="85"/>
      <c r="U1019" s="89"/>
      <c r="V1019" s="90"/>
      <c r="W1019" s="87"/>
      <c r="X1019" s="91"/>
      <c r="Y1019" s="84"/>
      <c r="Z1019" s="97"/>
    </row>
    <row r="1020" spans="1:26" s="98" customFormat="1" x14ac:dyDescent="0.35">
      <c r="A1020" s="86">
        <v>1017</v>
      </c>
      <c r="B1020" s="85"/>
      <c r="C1020" s="87"/>
      <c r="D1020" s="85"/>
      <c r="E1020" s="84"/>
      <c r="F1020" s="85"/>
      <c r="G1020" s="87"/>
      <c r="H1020" s="87"/>
      <c r="I1020" s="87"/>
      <c r="J1020" s="101"/>
      <c r="K1020" s="87"/>
      <c r="L1020" s="91"/>
      <c r="M1020" s="91"/>
      <c r="N1020" s="88">
        <f>Goods_Receipt[[#This Row],[ Invoice. /
 Received Qty ]]-Goods_Receipt[[#This Row],[ Accepted Qty ]]</f>
        <v>0</v>
      </c>
      <c r="O1020" s="87"/>
      <c r="P1020" s="87"/>
      <c r="Q1020" s="87"/>
      <c r="R1020" s="87"/>
      <c r="S1020" s="87"/>
      <c r="T1020" s="85"/>
      <c r="U1020" s="89"/>
      <c r="V1020" s="90"/>
      <c r="W1020" s="87"/>
      <c r="X1020" s="91"/>
      <c r="Y1020" s="84"/>
      <c r="Z1020" s="97"/>
    </row>
    <row r="1021" spans="1:26" s="98" customFormat="1" x14ac:dyDescent="0.35">
      <c r="A1021" s="86">
        <v>1018</v>
      </c>
      <c r="B1021" s="85"/>
      <c r="C1021" s="87"/>
      <c r="D1021" s="85"/>
      <c r="E1021" s="84"/>
      <c r="F1021" s="85"/>
      <c r="G1021" s="87"/>
      <c r="H1021" s="87"/>
      <c r="I1021" s="87"/>
      <c r="J1021" s="101"/>
      <c r="K1021" s="87"/>
      <c r="L1021" s="91"/>
      <c r="M1021" s="91"/>
      <c r="N1021" s="88">
        <f>Goods_Receipt[[#This Row],[ Invoice. /
 Received Qty ]]-Goods_Receipt[[#This Row],[ Accepted Qty ]]</f>
        <v>0</v>
      </c>
      <c r="O1021" s="87"/>
      <c r="P1021" s="87"/>
      <c r="Q1021" s="87"/>
      <c r="R1021" s="87"/>
      <c r="S1021" s="87"/>
      <c r="T1021" s="85"/>
      <c r="U1021" s="89"/>
      <c r="V1021" s="90"/>
      <c r="W1021" s="87"/>
      <c r="X1021" s="91"/>
      <c r="Y1021" s="84"/>
      <c r="Z1021" s="97"/>
    </row>
    <row r="1022" spans="1:26" s="98" customFormat="1" x14ac:dyDescent="0.35">
      <c r="A1022" s="86">
        <v>1019</v>
      </c>
      <c r="B1022" s="85"/>
      <c r="C1022" s="87"/>
      <c r="D1022" s="85"/>
      <c r="E1022" s="84"/>
      <c r="F1022" s="85"/>
      <c r="G1022" s="87"/>
      <c r="H1022" s="87"/>
      <c r="I1022" s="87"/>
      <c r="J1022" s="101"/>
      <c r="K1022" s="87"/>
      <c r="L1022" s="91"/>
      <c r="M1022" s="91"/>
      <c r="N1022" s="88">
        <f>Goods_Receipt[[#This Row],[ Invoice. /
 Received Qty ]]-Goods_Receipt[[#This Row],[ Accepted Qty ]]</f>
        <v>0</v>
      </c>
      <c r="O1022" s="87"/>
      <c r="P1022" s="87"/>
      <c r="Q1022" s="87"/>
      <c r="R1022" s="87"/>
      <c r="S1022" s="87"/>
      <c r="T1022" s="85"/>
      <c r="U1022" s="89"/>
      <c r="V1022" s="90"/>
      <c r="W1022" s="87"/>
      <c r="X1022" s="91"/>
      <c r="Y1022" s="84"/>
      <c r="Z1022" s="97"/>
    </row>
    <row r="1023" spans="1:26" s="98" customFormat="1" x14ac:dyDescent="0.35">
      <c r="A1023" s="86">
        <v>1020</v>
      </c>
      <c r="B1023" s="85"/>
      <c r="C1023" s="87"/>
      <c r="D1023" s="85"/>
      <c r="E1023" s="84"/>
      <c r="F1023" s="85"/>
      <c r="G1023" s="87"/>
      <c r="H1023" s="87"/>
      <c r="I1023" s="87"/>
      <c r="J1023" s="101"/>
      <c r="K1023" s="87"/>
      <c r="L1023" s="91"/>
      <c r="M1023" s="91"/>
      <c r="N1023" s="88">
        <f>Goods_Receipt[[#This Row],[ Invoice. /
 Received Qty ]]-Goods_Receipt[[#This Row],[ Accepted Qty ]]</f>
        <v>0</v>
      </c>
      <c r="O1023" s="87"/>
      <c r="P1023" s="87"/>
      <c r="Q1023" s="87"/>
      <c r="R1023" s="87"/>
      <c r="S1023" s="87"/>
      <c r="T1023" s="85"/>
      <c r="U1023" s="89"/>
      <c r="V1023" s="90"/>
      <c r="W1023" s="87"/>
      <c r="X1023" s="91"/>
      <c r="Y1023" s="84"/>
      <c r="Z1023" s="97"/>
    </row>
    <row r="1024" spans="1:26" s="98" customFormat="1" x14ac:dyDescent="0.35">
      <c r="A1024" s="86">
        <v>1021</v>
      </c>
      <c r="B1024" s="85"/>
      <c r="C1024" s="87"/>
      <c r="D1024" s="85"/>
      <c r="E1024" s="84"/>
      <c r="F1024" s="85"/>
      <c r="G1024" s="87"/>
      <c r="H1024" s="87"/>
      <c r="I1024" s="87"/>
      <c r="J1024" s="101"/>
      <c r="K1024" s="87"/>
      <c r="L1024" s="91"/>
      <c r="M1024" s="91"/>
      <c r="N1024" s="88">
        <f>Goods_Receipt[[#This Row],[ Invoice. /
 Received Qty ]]-Goods_Receipt[[#This Row],[ Accepted Qty ]]</f>
        <v>0</v>
      </c>
      <c r="O1024" s="87"/>
      <c r="P1024" s="87"/>
      <c r="Q1024" s="87"/>
      <c r="R1024" s="87"/>
      <c r="S1024" s="87"/>
      <c r="T1024" s="85"/>
      <c r="U1024" s="89"/>
      <c r="V1024" s="90"/>
      <c r="W1024" s="87"/>
      <c r="X1024" s="91"/>
      <c r="Y1024" s="84"/>
      <c r="Z1024" s="97"/>
    </row>
    <row r="1025" spans="1:26" s="98" customFormat="1" x14ac:dyDescent="0.35">
      <c r="A1025" s="86">
        <v>1022</v>
      </c>
      <c r="B1025" s="85"/>
      <c r="C1025" s="87"/>
      <c r="D1025" s="85"/>
      <c r="E1025" s="84"/>
      <c r="F1025" s="85"/>
      <c r="G1025" s="87"/>
      <c r="H1025" s="87"/>
      <c r="I1025" s="87"/>
      <c r="J1025" s="101"/>
      <c r="K1025" s="87"/>
      <c r="L1025" s="91"/>
      <c r="M1025" s="91"/>
      <c r="N1025" s="88">
        <f>Goods_Receipt[[#This Row],[ Invoice. /
 Received Qty ]]-Goods_Receipt[[#This Row],[ Accepted Qty ]]</f>
        <v>0</v>
      </c>
      <c r="O1025" s="87"/>
      <c r="P1025" s="87"/>
      <c r="Q1025" s="87"/>
      <c r="R1025" s="87"/>
      <c r="S1025" s="87"/>
      <c r="T1025" s="85"/>
      <c r="U1025" s="89"/>
      <c r="V1025" s="90"/>
      <c r="W1025" s="87"/>
      <c r="X1025" s="91"/>
      <c r="Y1025" s="84"/>
      <c r="Z1025" s="97"/>
    </row>
    <row r="1026" spans="1:26" s="98" customFormat="1" x14ac:dyDescent="0.35">
      <c r="A1026" s="86">
        <v>1023</v>
      </c>
      <c r="B1026" s="85"/>
      <c r="C1026" s="87"/>
      <c r="D1026" s="85"/>
      <c r="E1026" s="84"/>
      <c r="F1026" s="85"/>
      <c r="G1026" s="87"/>
      <c r="H1026" s="87"/>
      <c r="I1026" s="87"/>
      <c r="J1026" s="101"/>
      <c r="K1026" s="87"/>
      <c r="L1026" s="91"/>
      <c r="M1026" s="91"/>
      <c r="N1026" s="88">
        <f>Goods_Receipt[[#This Row],[ Invoice. /
 Received Qty ]]-Goods_Receipt[[#This Row],[ Accepted Qty ]]</f>
        <v>0</v>
      </c>
      <c r="O1026" s="87"/>
      <c r="P1026" s="87"/>
      <c r="Q1026" s="87"/>
      <c r="R1026" s="87"/>
      <c r="S1026" s="87"/>
      <c r="T1026" s="85"/>
      <c r="U1026" s="89"/>
      <c r="V1026" s="90"/>
      <c r="W1026" s="87"/>
      <c r="X1026" s="91"/>
      <c r="Y1026" s="84"/>
      <c r="Z1026" s="97"/>
    </row>
    <row r="1027" spans="1:26" s="98" customFormat="1" x14ac:dyDescent="0.35">
      <c r="A1027" s="86">
        <v>1024</v>
      </c>
      <c r="B1027" s="85"/>
      <c r="C1027" s="87"/>
      <c r="D1027" s="85"/>
      <c r="E1027" s="84"/>
      <c r="F1027" s="85"/>
      <c r="G1027" s="87"/>
      <c r="H1027" s="87"/>
      <c r="I1027" s="87"/>
      <c r="J1027" s="101"/>
      <c r="K1027" s="87"/>
      <c r="L1027" s="91"/>
      <c r="M1027" s="91"/>
      <c r="N1027" s="88">
        <f>Goods_Receipt[[#This Row],[ Invoice. /
 Received Qty ]]-Goods_Receipt[[#This Row],[ Accepted Qty ]]</f>
        <v>0</v>
      </c>
      <c r="O1027" s="87"/>
      <c r="P1027" s="87"/>
      <c r="Q1027" s="87"/>
      <c r="R1027" s="87"/>
      <c r="S1027" s="87"/>
      <c r="T1027" s="85"/>
      <c r="U1027" s="89"/>
      <c r="V1027" s="90"/>
      <c r="W1027" s="87"/>
      <c r="X1027" s="91"/>
      <c r="Y1027" s="84"/>
      <c r="Z1027" s="97"/>
    </row>
    <row r="1028" spans="1:26" s="98" customFormat="1" x14ac:dyDescent="0.35">
      <c r="A1028" s="86">
        <v>1025</v>
      </c>
      <c r="B1028" s="85"/>
      <c r="C1028" s="87"/>
      <c r="D1028" s="85"/>
      <c r="E1028" s="84"/>
      <c r="F1028" s="85"/>
      <c r="G1028" s="87"/>
      <c r="H1028" s="87"/>
      <c r="I1028" s="87"/>
      <c r="J1028" s="101"/>
      <c r="K1028" s="87"/>
      <c r="L1028" s="91"/>
      <c r="M1028" s="91"/>
      <c r="N1028" s="88">
        <f>Goods_Receipt[[#This Row],[ Invoice. /
 Received Qty ]]-Goods_Receipt[[#This Row],[ Accepted Qty ]]</f>
        <v>0</v>
      </c>
      <c r="O1028" s="87"/>
      <c r="P1028" s="87"/>
      <c r="Q1028" s="87"/>
      <c r="R1028" s="87"/>
      <c r="S1028" s="87"/>
      <c r="T1028" s="85"/>
      <c r="U1028" s="89"/>
      <c r="V1028" s="90"/>
      <c r="W1028" s="87"/>
      <c r="X1028" s="91"/>
      <c r="Y1028" s="84"/>
      <c r="Z1028" s="97"/>
    </row>
    <row r="1029" spans="1:26" s="98" customFormat="1" x14ac:dyDescent="0.35">
      <c r="A1029" s="86">
        <v>1026</v>
      </c>
      <c r="B1029" s="85"/>
      <c r="C1029" s="87"/>
      <c r="D1029" s="85"/>
      <c r="E1029" s="84"/>
      <c r="F1029" s="85"/>
      <c r="G1029" s="87"/>
      <c r="H1029" s="87"/>
      <c r="I1029" s="87"/>
      <c r="J1029" s="101"/>
      <c r="K1029" s="87"/>
      <c r="L1029" s="91"/>
      <c r="M1029" s="91"/>
      <c r="N1029" s="88">
        <f>Goods_Receipt[[#This Row],[ Invoice. /
 Received Qty ]]-Goods_Receipt[[#This Row],[ Accepted Qty ]]</f>
        <v>0</v>
      </c>
      <c r="O1029" s="87"/>
      <c r="P1029" s="87"/>
      <c r="Q1029" s="87"/>
      <c r="R1029" s="87"/>
      <c r="S1029" s="87"/>
      <c r="T1029" s="85"/>
      <c r="U1029" s="89"/>
      <c r="V1029" s="90"/>
      <c r="W1029" s="87"/>
      <c r="X1029" s="91"/>
      <c r="Y1029" s="84"/>
      <c r="Z1029" s="97"/>
    </row>
    <row r="1030" spans="1:26" s="98" customFormat="1" x14ac:dyDescent="0.35">
      <c r="A1030" s="86">
        <v>1027</v>
      </c>
      <c r="B1030" s="85"/>
      <c r="C1030" s="87"/>
      <c r="D1030" s="85"/>
      <c r="E1030" s="84"/>
      <c r="F1030" s="85"/>
      <c r="G1030" s="87"/>
      <c r="H1030" s="87"/>
      <c r="I1030" s="87"/>
      <c r="J1030" s="101"/>
      <c r="K1030" s="87"/>
      <c r="L1030" s="91"/>
      <c r="M1030" s="91"/>
      <c r="N1030" s="88">
        <f>Goods_Receipt[[#This Row],[ Invoice. /
 Received Qty ]]-Goods_Receipt[[#This Row],[ Accepted Qty ]]</f>
        <v>0</v>
      </c>
      <c r="O1030" s="87"/>
      <c r="P1030" s="87"/>
      <c r="Q1030" s="87"/>
      <c r="R1030" s="87"/>
      <c r="S1030" s="87"/>
      <c r="T1030" s="85"/>
      <c r="U1030" s="89"/>
      <c r="V1030" s="90"/>
      <c r="W1030" s="87"/>
      <c r="X1030" s="91"/>
      <c r="Y1030" s="84"/>
      <c r="Z1030" s="97"/>
    </row>
    <row r="1031" spans="1:26" s="98" customFormat="1" x14ac:dyDescent="0.35">
      <c r="A1031" s="86">
        <v>1028</v>
      </c>
      <c r="B1031" s="85"/>
      <c r="C1031" s="87"/>
      <c r="D1031" s="85"/>
      <c r="E1031" s="84"/>
      <c r="F1031" s="85"/>
      <c r="G1031" s="87"/>
      <c r="H1031" s="87"/>
      <c r="I1031" s="87"/>
      <c r="J1031" s="101"/>
      <c r="K1031" s="87"/>
      <c r="L1031" s="91"/>
      <c r="M1031" s="91"/>
      <c r="N1031" s="88">
        <f>Goods_Receipt[[#This Row],[ Invoice. /
 Received Qty ]]-Goods_Receipt[[#This Row],[ Accepted Qty ]]</f>
        <v>0</v>
      </c>
      <c r="O1031" s="87"/>
      <c r="P1031" s="87"/>
      <c r="Q1031" s="87"/>
      <c r="R1031" s="87"/>
      <c r="S1031" s="87"/>
      <c r="T1031" s="85"/>
      <c r="U1031" s="89"/>
      <c r="V1031" s="90"/>
      <c r="W1031" s="87"/>
      <c r="X1031" s="91"/>
      <c r="Y1031" s="84"/>
      <c r="Z1031" s="97"/>
    </row>
    <row r="1032" spans="1:26" s="98" customFormat="1" x14ac:dyDescent="0.35">
      <c r="A1032" s="86">
        <v>1029</v>
      </c>
      <c r="B1032" s="85"/>
      <c r="C1032" s="87"/>
      <c r="D1032" s="85"/>
      <c r="E1032" s="84"/>
      <c r="F1032" s="85"/>
      <c r="G1032" s="87"/>
      <c r="H1032" s="87"/>
      <c r="I1032" s="87"/>
      <c r="J1032" s="101"/>
      <c r="K1032" s="87"/>
      <c r="L1032" s="91"/>
      <c r="M1032" s="91"/>
      <c r="N1032" s="88">
        <f>Goods_Receipt[[#This Row],[ Invoice. /
 Received Qty ]]-Goods_Receipt[[#This Row],[ Accepted Qty ]]</f>
        <v>0</v>
      </c>
      <c r="O1032" s="87"/>
      <c r="P1032" s="87"/>
      <c r="Q1032" s="87"/>
      <c r="R1032" s="87"/>
      <c r="S1032" s="87"/>
      <c r="T1032" s="85"/>
      <c r="U1032" s="89"/>
      <c r="V1032" s="90"/>
      <c r="W1032" s="87"/>
      <c r="X1032" s="91"/>
      <c r="Y1032" s="84"/>
      <c r="Z1032" s="97"/>
    </row>
    <row r="1033" spans="1:26" s="98" customFormat="1" x14ac:dyDescent="0.35">
      <c r="A1033" s="86">
        <v>1030</v>
      </c>
      <c r="B1033" s="85"/>
      <c r="C1033" s="87"/>
      <c r="D1033" s="85"/>
      <c r="E1033" s="84"/>
      <c r="F1033" s="85"/>
      <c r="G1033" s="87"/>
      <c r="H1033" s="87"/>
      <c r="I1033" s="87"/>
      <c r="J1033" s="101"/>
      <c r="K1033" s="87"/>
      <c r="L1033" s="91"/>
      <c r="M1033" s="91"/>
      <c r="N1033" s="88">
        <f>Goods_Receipt[[#This Row],[ Invoice. /
 Received Qty ]]-Goods_Receipt[[#This Row],[ Accepted Qty ]]</f>
        <v>0</v>
      </c>
      <c r="O1033" s="87"/>
      <c r="P1033" s="87"/>
      <c r="Q1033" s="87"/>
      <c r="R1033" s="87"/>
      <c r="S1033" s="87"/>
      <c r="T1033" s="85"/>
      <c r="U1033" s="89"/>
      <c r="V1033" s="90"/>
      <c r="W1033" s="87"/>
      <c r="X1033" s="91"/>
      <c r="Y1033" s="84"/>
      <c r="Z1033" s="97"/>
    </row>
    <row r="1034" spans="1:26" s="98" customFormat="1" x14ac:dyDescent="0.35">
      <c r="A1034" s="86">
        <v>1031</v>
      </c>
      <c r="B1034" s="85"/>
      <c r="C1034" s="87"/>
      <c r="D1034" s="85"/>
      <c r="E1034" s="84"/>
      <c r="F1034" s="85"/>
      <c r="G1034" s="87"/>
      <c r="H1034" s="87"/>
      <c r="I1034" s="87"/>
      <c r="J1034" s="101"/>
      <c r="K1034" s="87"/>
      <c r="L1034" s="91"/>
      <c r="M1034" s="91"/>
      <c r="N1034" s="88">
        <f>Goods_Receipt[[#This Row],[ Invoice. /
 Received Qty ]]-Goods_Receipt[[#This Row],[ Accepted Qty ]]</f>
        <v>0</v>
      </c>
      <c r="O1034" s="87"/>
      <c r="P1034" s="87"/>
      <c r="Q1034" s="87"/>
      <c r="R1034" s="87"/>
      <c r="S1034" s="87"/>
      <c r="T1034" s="85"/>
      <c r="U1034" s="89"/>
      <c r="V1034" s="90"/>
      <c r="W1034" s="87"/>
      <c r="X1034" s="91"/>
      <c r="Y1034" s="84"/>
      <c r="Z1034" s="97"/>
    </row>
    <row r="1035" spans="1:26" s="98" customFormat="1" x14ac:dyDescent="0.35">
      <c r="A1035" s="86">
        <v>1032</v>
      </c>
      <c r="B1035" s="85"/>
      <c r="C1035" s="87"/>
      <c r="D1035" s="85"/>
      <c r="E1035" s="84"/>
      <c r="F1035" s="85"/>
      <c r="G1035" s="87"/>
      <c r="H1035" s="87"/>
      <c r="I1035" s="87"/>
      <c r="J1035" s="101"/>
      <c r="K1035" s="87"/>
      <c r="L1035" s="91"/>
      <c r="M1035" s="91"/>
      <c r="N1035" s="88">
        <f>Goods_Receipt[[#This Row],[ Invoice. /
 Received Qty ]]-Goods_Receipt[[#This Row],[ Accepted Qty ]]</f>
        <v>0</v>
      </c>
      <c r="O1035" s="87"/>
      <c r="P1035" s="87"/>
      <c r="Q1035" s="87"/>
      <c r="R1035" s="87"/>
      <c r="S1035" s="87"/>
      <c r="T1035" s="85"/>
      <c r="U1035" s="89"/>
      <c r="V1035" s="90"/>
      <c r="W1035" s="87"/>
      <c r="X1035" s="91"/>
      <c r="Y1035" s="84"/>
      <c r="Z1035" s="97"/>
    </row>
    <row r="1036" spans="1:26" s="98" customFormat="1" x14ac:dyDescent="0.35">
      <c r="A1036" s="86">
        <v>1033</v>
      </c>
      <c r="B1036" s="85"/>
      <c r="C1036" s="87"/>
      <c r="D1036" s="85"/>
      <c r="E1036" s="84"/>
      <c r="F1036" s="85"/>
      <c r="G1036" s="87"/>
      <c r="H1036" s="87"/>
      <c r="I1036" s="87"/>
      <c r="J1036" s="101"/>
      <c r="K1036" s="87"/>
      <c r="L1036" s="91"/>
      <c r="M1036" s="91"/>
      <c r="N1036" s="88">
        <f>Goods_Receipt[[#This Row],[ Invoice. /
 Received Qty ]]-Goods_Receipt[[#This Row],[ Accepted Qty ]]</f>
        <v>0</v>
      </c>
      <c r="O1036" s="87"/>
      <c r="P1036" s="87"/>
      <c r="Q1036" s="87"/>
      <c r="R1036" s="87"/>
      <c r="S1036" s="87"/>
      <c r="T1036" s="85"/>
      <c r="U1036" s="89"/>
      <c r="V1036" s="90"/>
      <c r="W1036" s="87"/>
      <c r="X1036" s="91"/>
      <c r="Y1036" s="84"/>
      <c r="Z1036" s="97"/>
    </row>
    <row r="1037" spans="1:26" s="98" customFormat="1" x14ac:dyDescent="0.35">
      <c r="A1037" s="86">
        <v>1034</v>
      </c>
      <c r="B1037" s="85"/>
      <c r="C1037" s="87"/>
      <c r="D1037" s="85"/>
      <c r="E1037" s="84"/>
      <c r="F1037" s="85"/>
      <c r="G1037" s="87"/>
      <c r="H1037" s="87"/>
      <c r="I1037" s="87"/>
      <c r="J1037" s="101"/>
      <c r="K1037" s="87"/>
      <c r="L1037" s="91"/>
      <c r="M1037" s="91"/>
      <c r="N1037" s="88">
        <f>Goods_Receipt[[#This Row],[ Invoice. /
 Received Qty ]]-Goods_Receipt[[#This Row],[ Accepted Qty ]]</f>
        <v>0</v>
      </c>
      <c r="O1037" s="87"/>
      <c r="P1037" s="87"/>
      <c r="Q1037" s="87"/>
      <c r="R1037" s="87"/>
      <c r="S1037" s="87"/>
      <c r="T1037" s="85"/>
      <c r="U1037" s="89"/>
      <c r="V1037" s="90"/>
      <c r="W1037" s="87"/>
      <c r="X1037" s="91"/>
      <c r="Y1037" s="84"/>
      <c r="Z1037" s="97"/>
    </row>
    <row r="1038" spans="1:26" s="98" customFormat="1" x14ac:dyDescent="0.35">
      <c r="A1038" s="86">
        <v>1035</v>
      </c>
      <c r="B1038" s="85"/>
      <c r="C1038" s="87"/>
      <c r="D1038" s="85"/>
      <c r="E1038" s="84"/>
      <c r="F1038" s="85"/>
      <c r="G1038" s="87"/>
      <c r="H1038" s="87"/>
      <c r="I1038" s="87"/>
      <c r="J1038" s="101"/>
      <c r="K1038" s="87"/>
      <c r="L1038" s="91"/>
      <c r="M1038" s="91"/>
      <c r="N1038" s="88">
        <f>Goods_Receipt[[#This Row],[ Invoice. /
 Received Qty ]]-Goods_Receipt[[#This Row],[ Accepted Qty ]]</f>
        <v>0</v>
      </c>
      <c r="O1038" s="87"/>
      <c r="P1038" s="87"/>
      <c r="Q1038" s="87"/>
      <c r="R1038" s="87"/>
      <c r="S1038" s="87"/>
      <c r="T1038" s="85"/>
      <c r="U1038" s="89"/>
      <c r="V1038" s="90"/>
      <c r="W1038" s="87"/>
      <c r="X1038" s="91"/>
      <c r="Y1038" s="84"/>
      <c r="Z1038" s="97"/>
    </row>
    <row r="1039" spans="1:26" s="98" customFormat="1" x14ac:dyDescent="0.35">
      <c r="A1039" s="86">
        <v>1036</v>
      </c>
      <c r="B1039" s="85"/>
      <c r="C1039" s="87"/>
      <c r="D1039" s="85"/>
      <c r="E1039" s="84"/>
      <c r="F1039" s="85"/>
      <c r="G1039" s="87"/>
      <c r="H1039" s="87"/>
      <c r="I1039" s="87"/>
      <c r="J1039" s="101"/>
      <c r="K1039" s="87"/>
      <c r="L1039" s="91"/>
      <c r="M1039" s="91"/>
      <c r="N1039" s="88">
        <f>Goods_Receipt[[#This Row],[ Invoice. /
 Received Qty ]]-Goods_Receipt[[#This Row],[ Accepted Qty ]]</f>
        <v>0</v>
      </c>
      <c r="O1039" s="87"/>
      <c r="P1039" s="87"/>
      <c r="Q1039" s="87"/>
      <c r="R1039" s="87"/>
      <c r="S1039" s="87"/>
      <c r="T1039" s="85"/>
      <c r="U1039" s="89"/>
      <c r="V1039" s="90"/>
      <c r="W1039" s="87"/>
      <c r="X1039" s="91"/>
      <c r="Y1039" s="84"/>
      <c r="Z1039" s="97"/>
    </row>
    <row r="1040" spans="1:26" s="98" customFormat="1" x14ac:dyDescent="0.35">
      <c r="A1040" s="86">
        <v>1037</v>
      </c>
      <c r="B1040" s="85"/>
      <c r="C1040" s="87"/>
      <c r="D1040" s="85"/>
      <c r="E1040" s="84"/>
      <c r="F1040" s="85"/>
      <c r="G1040" s="87"/>
      <c r="H1040" s="87"/>
      <c r="I1040" s="87"/>
      <c r="J1040" s="101"/>
      <c r="K1040" s="87"/>
      <c r="L1040" s="91"/>
      <c r="M1040" s="91"/>
      <c r="N1040" s="88">
        <f>Goods_Receipt[[#This Row],[ Invoice. /
 Received Qty ]]-Goods_Receipt[[#This Row],[ Accepted Qty ]]</f>
        <v>0</v>
      </c>
      <c r="O1040" s="87"/>
      <c r="P1040" s="87"/>
      <c r="Q1040" s="87"/>
      <c r="R1040" s="87"/>
      <c r="S1040" s="87"/>
      <c r="T1040" s="85"/>
      <c r="U1040" s="89"/>
      <c r="V1040" s="90"/>
      <c r="W1040" s="87"/>
      <c r="X1040" s="91"/>
      <c r="Y1040" s="84"/>
      <c r="Z1040" s="97"/>
    </row>
    <row r="1041" spans="1:26" s="98" customFormat="1" x14ac:dyDescent="0.35">
      <c r="A1041" s="86">
        <v>1038</v>
      </c>
      <c r="B1041" s="85"/>
      <c r="C1041" s="87"/>
      <c r="D1041" s="85"/>
      <c r="E1041" s="84"/>
      <c r="F1041" s="85"/>
      <c r="G1041" s="87"/>
      <c r="H1041" s="87"/>
      <c r="I1041" s="87"/>
      <c r="J1041" s="101"/>
      <c r="K1041" s="87"/>
      <c r="L1041" s="91"/>
      <c r="M1041" s="91"/>
      <c r="N1041" s="88">
        <f>Goods_Receipt[[#This Row],[ Invoice. /
 Received Qty ]]-Goods_Receipt[[#This Row],[ Accepted Qty ]]</f>
        <v>0</v>
      </c>
      <c r="O1041" s="87"/>
      <c r="P1041" s="87"/>
      <c r="Q1041" s="87"/>
      <c r="R1041" s="87"/>
      <c r="S1041" s="87"/>
      <c r="T1041" s="85"/>
      <c r="U1041" s="89"/>
      <c r="V1041" s="90"/>
      <c r="W1041" s="87"/>
      <c r="X1041" s="91"/>
      <c r="Y1041" s="84"/>
      <c r="Z1041" s="97"/>
    </row>
    <row r="1042" spans="1:26" s="98" customFormat="1" x14ac:dyDescent="0.35">
      <c r="A1042" s="86">
        <v>1039</v>
      </c>
      <c r="B1042" s="85"/>
      <c r="C1042" s="87"/>
      <c r="D1042" s="85"/>
      <c r="E1042" s="84"/>
      <c r="F1042" s="85"/>
      <c r="G1042" s="87"/>
      <c r="H1042" s="87"/>
      <c r="I1042" s="87"/>
      <c r="J1042" s="101"/>
      <c r="K1042" s="87"/>
      <c r="L1042" s="91"/>
      <c r="M1042" s="91"/>
      <c r="N1042" s="88">
        <f>Goods_Receipt[[#This Row],[ Invoice. /
 Received Qty ]]-Goods_Receipt[[#This Row],[ Accepted Qty ]]</f>
        <v>0</v>
      </c>
      <c r="O1042" s="87"/>
      <c r="P1042" s="87"/>
      <c r="Q1042" s="87"/>
      <c r="R1042" s="87"/>
      <c r="S1042" s="87"/>
      <c r="T1042" s="85"/>
      <c r="U1042" s="89"/>
      <c r="V1042" s="90"/>
      <c r="W1042" s="87"/>
      <c r="X1042" s="91"/>
      <c r="Y1042" s="84"/>
      <c r="Z1042" s="97"/>
    </row>
    <row r="1043" spans="1:26" s="98" customFormat="1" x14ac:dyDescent="0.35">
      <c r="A1043" s="86">
        <v>1040</v>
      </c>
      <c r="B1043" s="85"/>
      <c r="C1043" s="87"/>
      <c r="D1043" s="85"/>
      <c r="E1043" s="84"/>
      <c r="F1043" s="85"/>
      <c r="G1043" s="87"/>
      <c r="H1043" s="87"/>
      <c r="I1043" s="87"/>
      <c r="J1043" s="101"/>
      <c r="K1043" s="87"/>
      <c r="L1043" s="91"/>
      <c r="M1043" s="91"/>
      <c r="N1043" s="88">
        <f>Goods_Receipt[[#This Row],[ Invoice. /
 Received Qty ]]-Goods_Receipt[[#This Row],[ Accepted Qty ]]</f>
        <v>0</v>
      </c>
      <c r="O1043" s="87"/>
      <c r="P1043" s="87"/>
      <c r="Q1043" s="87"/>
      <c r="R1043" s="87"/>
      <c r="S1043" s="87"/>
      <c r="T1043" s="85"/>
      <c r="U1043" s="89"/>
      <c r="V1043" s="90"/>
      <c r="W1043" s="87"/>
      <c r="X1043" s="91"/>
      <c r="Y1043" s="84"/>
      <c r="Z1043" s="97"/>
    </row>
    <row r="1044" spans="1:26" s="98" customFormat="1" x14ac:dyDescent="0.35">
      <c r="A1044" s="86">
        <v>1041</v>
      </c>
      <c r="B1044" s="85"/>
      <c r="C1044" s="87"/>
      <c r="D1044" s="85"/>
      <c r="E1044" s="84"/>
      <c r="F1044" s="85"/>
      <c r="G1044" s="87"/>
      <c r="H1044" s="87"/>
      <c r="I1044" s="87"/>
      <c r="J1044" s="101"/>
      <c r="K1044" s="87"/>
      <c r="L1044" s="91"/>
      <c r="M1044" s="91"/>
      <c r="N1044" s="88">
        <f>Goods_Receipt[[#This Row],[ Invoice. /
 Received Qty ]]-Goods_Receipt[[#This Row],[ Accepted Qty ]]</f>
        <v>0</v>
      </c>
      <c r="O1044" s="87"/>
      <c r="P1044" s="87"/>
      <c r="Q1044" s="87"/>
      <c r="R1044" s="87"/>
      <c r="S1044" s="87"/>
      <c r="T1044" s="85"/>
      <c r="U1044" s="89"/>
      <c r="V1044" s="90"/>
      <c r="W1044" s="87"/>
      <c r="X1044" s="91"/>
      <c r="Y1044" s="84"/>
      <c r="Z1044" s="97"/>
    </row>
    <row r="1045" spans="1:26" s="98" customFormat="1" x14ac:dyDescent="0.35">
      <c r="A1045" s="86">
        <v>1042</v>
      </c>
      <c r="B1045" s="85"/>
      <c r="C1045" s="87"/>
      <c r="D1045" s="85"/>
      <c r="E1045" s="84"/>
      <c r="F1045" s="85"/>
      <c r="G1045" s="87"/>
      <c r="H1045" s="87"/>
      <c r="I1045" s="87"/>
      <c r="J1045" s="101"/>
      <c r="K1045" s="87"/>
      <c r="L1045" s="91"/>
      <c r="M1045" s="91"/>
      <c r="N1045" s="88">
        <f>Goods_Receipt[[#This Row],[ Invoice. /
 Received Qty ]]-Goods_Receipt[[#This Row],[ Accepted Qty ]]</f>
        <v>0</v>
      </c>
      <c r="O1045" s="87"/>
      <c r="P1045" s="87"/>
      <c r="Q1045" s="87"/>
      <c r="R1045" s="87"/>
      <c r="S1045" s="87"/>
      <c r="T1045" s="85"/>
      <c r="U1045" s="89"/>
      <c r="V1045" s="90"/>
      <c r="W1045" s="87"/>
      <c r="X1045" s="91"/>
      <c r="Y1045" s="84"/>
      <c r="Z1045" s="97"/>
    </row>
    <row r="1046" spans="1:26" s="98" customFormat="1" x14ac:dyDescent="0.35">
      <c r="A1046" s="86">
        <v>1043</v>
      </c>
      <c r="B1046" s="85"/>
      <c r="C1046" s="87"/>
      <c r="D1046" s="85"/>
      <c r="E1046" s="84"/>
      <c r="F1046" s="85"/>
      <c r="G1046" s="87"/>
      <c r="H1046" s="87"/>
      <c r="I1046" s="87"/>
      <c r="J1046" s="101"/>
      <c r="K1046" s="87"/>
      <c r="L1046" s="91"/>
      <c r="M1046" s="91"/>
      <c r="N1046" s="88">
        <f>Goods_Receipt[[#This Row],[ Invoice. /
 Received Qty ]]-Goods_Receipt[[#This Row],[ Accepted Qty ]]</f>
        <v>0</v>
      </c>
      <c r="O1046" s="87"/>
      <c r="P1046" s="87"/>
      <c r="Q1046" s="87"/>
      <c r="R1046" s="87"/>
      <c r="S1046" s="87"/>
      <c r="T1046" s="85"/>
      <c r="U1046" s="89"/>
      <c r="V1046" s="90"/>
      <c r="W1046" s="87"/>
      <c r="X1046" s="91"/>
      <c r="Y1046" s="84"/>
      <c r="Z1046" s="97"/>
    </row>
    <row r="1047" spans="1:26" s="98" customFormat="1" x14ac:dyDescent="0.35">
      <c r="A1047" s="86">
        <v>1044</v>
      </c>
      <c r="B1047" s="85"/>
      <c r="C1047" s="87"/>
      <c r="D1047" s="85"/>
      <c r="E1047" s="84"/>
      <c r="F1047" s="85"/>
      <c r="G1047" s="87"/>
      <c r="H1047" s="87"/>
      <c r="I1047" s="87"/>
      <c r="J1047" s="101"/>
      <c r="K1047" s="87"/>
      <c r="L1047" s="91"/>
      <c r="M1047" s="91"/>
      <c r="N1047" s="88">
        <f>Goods_Receipt[[#This Row],[ Invoice. /
 Received Qty ]]-Goods_Receipt[[#This Row],[ Accepted Qty ]]</f>
        <v>0</v>
      </c>
      <c r="O1047" s="87"/>
      <c r="P1047" s="87"/>
      <c r="Q1047" s="87"/>
      <c r="R1047" s="87"/>
      <c r="S1047" s="87"/>
      <c r="T1047" s="85"/>
      <c r="U1047" s="89"/>
      <c r="V1047" s="90"/>
      <c r="W1047" s="87"/>
      <c r="X1047" s="91"/>
      <c r="Y1047" s="84"/>
      <c r="Z1047" s="97"/>
    </row>
    <row r="1048" spans="1:26" s="98" customFormat="1" x14ac:dyDescent="0.35">
      <c r="A1048" s="86">
        <v>1045</v>
      </c>
      <c r="B1048" s="85"/>
      <c r="C1048" s="87"/>
      <c r="D1048" s="85"/>
      <c r="E1048" s="84"/>
      <c r="F1048" s="85"/>
      <c r="G1048" s="87"/>
      <c r="H1048" s="87"/>
      <c r="I1048" s="87"/>
      <c r="J1048" s="101"/>
      <c r="K1048" s="87"/>
      <c r="L1048" s="91"/>
      <c r="M1048" s="91"/>
      <c r="N1048" s="88">
        <f>Goods_Receipt[[#This Row],[ Invoice. /
 Received Qty ]]-Goods_Receipt[[#This Row],[ Accepted Qty ]]</f>
        <v>0</v>
      </c>
      <c r="O1048" s="87"/>
      <c r="P1048" s="87"/>
      <c r="Q1048" s="87"/>
      <c r="R1048" s="87"/>
      <c r="S1048" s="87"/>
      <c r="T1048" s="85"/>
      <c r="U1048" s="89"/>
      <c r="V1048" s="90"/>
      <c r="W1048" s="87"/>
      <c r="X1048" s="91"/>
      <c r="Y1048" s="84"/>
      <c r="Z1048" s="97"/>
    </row>
    <row r="1049" spans="1:26" s="98" customFormat="1" x14ac:dyDescent="0.35">
      <c r="A1049" s="86">
        <v>1046</v>
      </c>
      <c r="B1049" s="85"/>
      <c r="C1049" s="87"/>
      <c r="D1049" s="85"/>
      <c r="E1049" s="84"/>
      <c r="F1049" s="85"/>
      <c r="G1049" s="87"/>
      <c r="H1049" s="87"/>
      <c r="I1049" s="87"/>
      <c r="J1049" s="101"/>
      <c r="K1049" s="87"/>
      <c r="L1049" s="91"/>
      <c r="M1049" s="91"/>
      <c r="N1049" s="88">
        <f>Goods_Receipt[[#This Row],[ Invoice. /
 Received Qty ]]-Goods_Receipt[[#This Row],[ Accepted Qty ]]</f>
        <v>0</v>
      </c>
      <c r="O1049" s="87"/>
      <c r="P1049" s="87"/>
      <c r="Q1049" s="87"/>
      <c r="R1049" s="87"/>
      <c r="S1049" s="87"/>
      <c r="T1049" s="85"/>
      <c r="U1049" s="89"/>
      <c r="V1049" s="90"/>
      <c r="W1049" s="87"/>
      <c r="X1049" s="91"/>
      <c r="Y1049" s="84"/>
      <c r="Z1049" s="97"/>
    </row>
    <row r="1050" spans="1:26" s="98" customFormat="1" x14ac:dyDescent="0.35">
      <c r="A1050" s="86">
        <v>1047</v>
      </c>
      <c r="B1050" s="85"/>
      <c r="C1050" s="87"/>
      <c r="D1050" s="85"/>
      <c r="E1050" s="84"/>
      <c r="F1050" s="85"/>
      <c r="G1050" s="87"/>
      <c r="H1050" s="87"/>
      <c r="I1050" s="87"/>
      <c r="J1050" s="101"/>
      <c r="K1050" s="87"/>
      <c r="L1050" s="91"/>
      <c r="M1050" s="91"/>
      <c r="N1050" s="88">
        <f>Goods_Receipt[[#This Row],[ Invoice. /
 Received Qty ]]-Goods_Receipt[[#This Row],[ Accepted Qty ]]</f>
        <v>0</v>
      </c>
      <c r="O1050" s="87"/>
      <c r="P1050" s="87"/>
      <c r="Q1050" s="87"/>
      <c r="R1050" s="87"/>
      <c r="S1050" s="87"/>
      <c r="T1050" s="85"/>
      <c r="U1050" s="89"/>
      <c r="V1050" s="90"/>
      <c r="W1050" s="87"/>
      <c r="X1050" s="91"/>
      <c r="Y1050" s="84"/>
      <c r="Z1050" s="97"/>
    </row>
    <row r="1051" spans="1:26" s="98" customFormat="1" x14ac:dyDescent="0.35">
      <c r="A1051" s="86">
        <v>1048</v>
      </c>
      <c r="B1051" s="85"/>
      <c r="C1051" s="87"/>
      <c r="D1051" s="85"/>
      <c r="E1051" s="84"/>
      <c r="F1051" s="85"/>
      <c r="G1051" s="87"/>
      <c r="H1051" s="87"/>
      <c r="I1051" s="87"/>
      <c r="J1051" s="101"/>
      <c r="K1051" s="87"/>
      <c r="L1051" s="91"/>
      <c r="M1051" s="91"/>
      <c r="N1051" s="88">
        <f>Goods_Receipt[[#This Row],[ Invoice. /
 Received Qty ]]-Goods_Receipt[[#This Row],[ Accepted Qty ]]</f>
        <v>0</v>
      </c>
      <c r="O1051" s="87"/>
      <c r="P1051" s="87"/>
      <c r="Q1051" s="87"/>
      <c r="R1051" s="87"/>
      <c r="S1051" s="87"/>
      <c r="T1051" s="85"/>
      <c r="U1051" s="89"/>
      <c r="V1051" s="90"/>
      <c r="W1051" s="87"/>
      <c r="X1051" s="91"/>
      <c r="Y1051" s="84"/>
      <c r="Z1051" s="97"/>
    </row>
    <row r="1052" spans="1:26" s="98" customFormat="1" x14ac:dyDescent="0.35">
      <c r="A1052" s="86">
        <v>1049</v>
      </c>
      <c r="B1052" s="85"/>
      <c r="C1052" s="87"/>
      <c r="D1052" s="85"/>
      <c r="E1052" s="84"/>
      <c r="F1052" s="85"/>
      <c r="G1052" s="87"/>
      <c r="H1052" s="87"/>
      <c r="I1052" s="87"/>
      <c r="J1052" s="101"/>
      <c r="K1052" s="87"/>
      <c r="L1052" s="91"/>
      <c r="M1052" s="91"/>
      <c r="N1052" s="88">
        <f>Goods_Receipt[[#This Row],[ Invoice. /
 Received Qty ]]-Goods_Receipt[[#This Row],[ Accepted Qty ]]</f>
        <v>0</v>
      </c>
      <c r="O1052" s="87"/>
      <c r="P1052" s="87"/>
      <c r="Q1052" s="87"/>
      <c r="R1052" s="87"/>
      <c r="S1052" s="87"/>
      <c r="T1052" s="85"/>
      <c r="U1052" s="89"/>
      <c r="V1052" s="90"/>
      <c r="W1052" s="87"/>
      <c r="X1052" s="91"/>
      <c r="Y1052" s="84"/>
      <c r="Z1052" s="97"/>
    </row>
    <row r="1053" spans="1:26" s="98" customFormat="1" x14ac:dyDescent="0.35">
      <c r="A1053" s="86">
        <v>1050</v>
      </c>
      <c r="B1053" s="85"/>
      <c r="C1053" s="87"/>
      <c r="D1053" s="85"/>
      <c r="E1053" s="84"/>
      <c r="F1053" s="85"/>
      <c r="G1053" s="87"/>
      <c r="H1053" s="87"/>
      <c r="I1053" s="87"/>
      <c r="J1053" s="101"/>
      <c r="K1053" s="87"/>
      <c r="L1053" s="91"/>
      <c r="M1053" s="91"/>
      <c r="N1053" s="88">
        <f>Goods_Receipt[[#This Row],[ Invoice. /
 Received Qty ]]-Goods_Receipt[[#This Row],[ Accepted Qty ]]</f>
        <v>0</v>
      </c>
      <c r="O1053" s="87"/>
      <c r="P1053" s="87"/>
      <c r="Q1053" s="87"/>
      <c r="R1053" s="87"/>
      <c r="S1053" s="87"/>
      <c r="T1053" s="85"/>
      <c r="U1053" s="89"/>
      <c r="V1053" s="90"/>
      <c r="W1053" s="87"/>
      <c r="X1053" s="91"/>
      <c r="Y1053" s="84"/>
      <c r="Z1053" s="97"/>
    </row>
    <row r="1054" spans="1:26" s="98" customFormat="1" x14ac:dyDescent="0.35">
      <c r="A1054" s="86">
        <v>1051</v>
      </c>
      <c r="B1054" s="85"/>
      <c r="C1054" s="87"/>
      <c r="D1054" s="85"/>
      <c r="E1054" s="84"/>
      <c r="F1054" s="85"/>
      <c r="G1054" s="87"/>
      <c r="H1054" s="87"/>
      <c r="I1054" s="87"/>
      <c r="J1054" s="101"/>
      <c r="K1054" s="87"/>
      <c r="L1054" s="91"/>
      <c r="M1054" s="91"/>
      <c r="N1054" s="88">
        <f>Goods_Receipt[[#This Row],[ Invoice. /
 Received Qty ]]-Goods_Receipt[[#This Row],[ Accepted Qty ]]</f>
        <v>0</v>
      </c>
      <c r="O1054" s="87"/>
      <c r="P1054" s="87"/>
      <c r="Q1054" s="87"/>
      <c r="R1054" s="87"/>
      <c r="S1054" s="87"/>
      <c r="T1054" s="85"/>
      <c r="U1054" s="89"/>
      <c r="V1054" s="90"/>
      <c r="W1054" s="87"/>
      <c r="X1054" s="91"/>
      <c r="Y1054" s="84"/>
      <c r="Z1054" s="97"/>
    </row>
    <row r="1055" spans="1:26" s="98" customFormat="1" x14ac:dyDescent="0.35">
      <c r="A1055" s="86">
        <v>1052</v>
      </c>
      <c r="B1055" s="85"/>
      <c r="C1055" s="87"/>
      <c r="D1055" s="85"/>
      <c r="E1055" s="84"/>
      <c r="F1055" s="85"/>
      <c r="G1055" s="87"/>
      <c r="H1055" s="87"/>
      <c r="I1055" s="87"/>
      <c r="J1055" s="101"/>
      <c r="K1055" s="87"/>
      <c r="L1055" s="91"/>
      <c r="M1055" s="91"/>
      <c r="N1055" s="88">
        <f>Goods_Receipt[[#This Row],[ Invoice. /
 Received Qty ]]-Goods_Receipt[[#This Row],[ Accepted Qty ]]</f>
        <v>0</v>
      </c>
      <c r="O1055" s="87"/>
      <c r="P1055" s="87"/>
      <c r="Q1055" s="87"/>
      <c r="R1055" s="87"/>
      <c r="S1055" s="87"/>
      <c r="T1055" s="85"/>
      <c r="U1055" s="89"/>
      <c r="V1055" s="90"/>
      <c r="W1055" s="87"/>
      <c r="X1055" s="91"/>
      <c r="Y1055" s="84"/>
      <c r="Z1055" s="97"/>
    </row>
    <row r="1056" spans="1:26" s="98" customFormat="1" x14ac:dyDescent="0.35">
      <c r="A1056" s="86">
        <v>1053</v>
      </c>
      <c r="B1056" s="85"/>
      <c r="C1056" s="87"/>
      <c r="D1056" s="85"/>
      <c r="E1056" s="84"/>
      <c r="F1056" s="85"/>
      <c r="G1056" s="87"/>
      <c r="H1056" s="87"/>
      <c r="I1056" s="87"/>
      <c r="J1056" s="101"/>
      <c r="K1056" s="87"/>
      <c r="L1056" s="91"/>
      <c r="M1056" s="91"/>
      <c r="N1056" s="88">
        <f>Goods_Receipt[[#This Row],[ Invoice. /
 Received Qty ]]-Goods_Receipt[[#This Row],[ Accepted Qty ]]</f>
        <v>0</v>
      </c>
      <c r="O1056" s="87"/>
      <c r="P1056" s="87"/>
      <c r="Q1056" s="87"/>
      <c r="R1056" s="87"/>
      <c r="S1056" s="87"/>
      <c r="T1056" s="85"/>
      <c r="U1056" s="89"/>
      <c r="V1056" s="90"/>
      <c r="W1056" s="87"/>
      <c r="X1056" s="91"/>
      <c r="Y1056" s="84"/>
      <c r="Z1056" s="97"/>
    </row>
    <row r="1057" spans="1:26" s="98" customFormat="1" x14ac:dyDescent="0.35">
      <c r="A1057" s="86">
        <v>1054</v>
      </c>
      <c r="B1057" s="85"/>
      <c r="C1057" s="87"/>
      <c r="D1057" s="85"/>
      <c r="E1057" s="84"/>
      <c r="F1057" s="85"/>
      <c r="G1057" s="87"/>
      <c r="H1057" s="87"/>
      <c r="I1057" s="87"/>
      <c r="J1057" s="101"/>
      <c r="K1057" s="87"/>
      <c r="L1057" s="91"/>
      <c r="M1057" s="91"/>
      <c r="N1057" s="88">
        <f>Goods_Receipt[[#This Row],[ Invoice. /
 Received Qty ]]-Goods_Receipt[[#This Row],[ Accepted Qty ]]</f>
        <v>0</v>
      </c>
      <c r="O1057" s="87"/>
      <c r="P1057" s="87"/>
      <c r="Q1057" s="87"/>
      <c r="R1057" s="87"/>
      <c r="S1057" s="87"/>
      <c r="T1057" s="85"/>
      <c r="U1057" s="89"/>
      <c r="V1057" s="90"/>
      <c r="W1057" s="87"/>
      <c r="X1057" s="91"/>
      <c r="Y1057" s="84"/>
      <c r="Z1057" s="97"/>
    </row>
    <row r="1058" spans="1:26" s="98" customFormat="1" x14ac:dyDescent="0.35">
      <c r="A1058" s="86">
        <v>1055</v>
      </c>
      <c r="B1058" s="85"/>
      <c r="C1058" s="87"/>
      <c r="D1058" s="85"/>
      <c r="E1058" s="84"/>
      <c r="F1058" s="85"/>
      <c r="G1058" s="87"/>
      <c r="H1058" s="87"/>
      <c r="I1058" s="87"/>
      <c r="J1058" s="101"/>
      <c r="K1058" s="87"/>
      <c r="L1058" s="91"/>
      <c r="M1058" s="91"/>
      <c r="N1058" s="88">
        <f>Goods_Receipt[[#This Row],[ Invoice. /
 Received Qty ]]-Goods_Receipt[[#This Row],[ Accepted Qty ]]</f>
        <v>0</v>
      </c>
      <c r="O1058" s="87"/>
      <c r="P1058" s="87"/>
      <c r="Q1058" s="87"/>
      <c r="R1058" s="87"/>
      <c r="S1058" s="87"/>
      <c r="T1058" s="85"/>
      <c r="U1058" s="89"/>
      <c r="V1058" s="90"/>
      <c r="W1058" s="87"/>
      <c r="X1058" s="91"/>
      <c r="Y1058" s="84"/>
      <c r="Z1058" s="97"/>
    </row>
    <row r="1059" spans="1:26" s="98" customFormat="1" x14ac:dyDescent="0.35">
      <c r="A1059" s="86">
        <v>1056</v>
      </c>
      <c r="B1059" s="85"/>
      <c r="C1059" s="87"/>
      <c r="D1059" s="85"/>
      <c r="E1059" s="84"/>
      <c r="F1059" s="85"/>
      <c r="G1059" s="87"/>
      <c r="H1059" s="87"/>
      <c r="I1059" s="87"/>
      <c r="J1059" s="101"/>
      <c r="K1059" s="87"/>
      <c r="L1059" s="91"/>
      <c r="M1059" s="91"/>
      <c r="N1059" s="88">
        <f>Goods_Receipt[[#This Row],[ Invoice. /
 Received Qty ]]-Goods_Receipt[[#This Row],[ Accepted Qty ]]</f>
        <v>0</v>
      </c>
      <c r="O1059" s="87"/>
      <c r="P1059" s="87"/>
      <c r="Q1059" s="87"/>
      <c r="R1059" s="87"/>
      <c r="S1059" s="87"/>
      <c r="T1059" s="85"/>
      <c r="U1059" s="89"/>
      <c r="V1059" s="90"/>
      <c r="W1059" s="87"/>
      <c r="X1059" s="91"/>
      <c r="Y1059" s="84"/>
      <c r="Z1059" s="97"/>
    </row>
    <row r="1060" spans="1:26" s="98" customFormat="1" x14ac:dyDescent="0.35">
      <c r="A1060" s="86">
        <v>1057</v>
      </c>
      <c r="B1060" s="85"/>
      <c r="C1060" s="87"/>
      <c r="D1060" s="85"/>
      <c r="E1060" s="84"/>
      <c r="F1060" s="85"/>
      <c r="G1060" s="87"/>
      <c r="H1060" s="87"/>
      <c r="I1060" s="87"/>
      <c r="J1060" s="101"/>
      <c r="K1060" s="87"/>
      <c r="L1060" s="91"/>
      <c r="M1060" s="91"/>
      <c r="N1060" s="88">
        <f>Goods_Receipt[[#This Row],[ Invoice. /
 Received Qty ]]-Goods_Receipt[[#This Row],[ Accepted Qty ]]</f>
        <v>0</v>
      </c>
      <c r="O1060" s="87"/>
      <c r="P1060" s="87"/>
      <c r="Q1060" s="87"/>
      <c r="R1060" s="87"/>
      <c r="S1060" s="87"/>
      <c r="T1060" s="85"/>
      <c r="U1060" s="89"/>
      <c r="V1060" s="90"/>
      <c r="W1060" s="87"/>
      <c r="X1060" s="91"/>
      <c r="Y1060" s="84"/>
      <c r="Z1060" s="97"/>
    </row>
    <row r="1061" spans="1:26" s="98" customFormat="1" x14ac:dyDescent="0.35">
      <c r="A1061" s="86">
        <v>1058</v>
      </c>
      <c r="B1061" s="85"/>
      <c r="C1061" s="87"/>
      <c r="D1061" s="85"/>
      <c r="E1061" s="84"/>
      <c r="F1061" s="85"/>
      <c r="G1061" s="87"/>
      <c r="H1061" s="87"/>
      <c r="I1061" s="87"/>
      <c r="J1061" s="101"/>
      <c r="K1061" s="87"/>
      <c r="L1061" s="91"/>
      <c r="M1061" s="91"/>
      <c r="N1061" s="88">
        <f>Goods_Receipt[[#This Row],[ Invoice. /
 Received Qty ]]-Goods_Receipt[[#This Row],[ Accepted Qty ]]</f>
        <v>0</v>
      </c>
      <c r="O1061" s="87"/>
      <c r="P1061" s="87"/>
      <c r="Q1061" s="87"/>
      <c r="R1061" s="87"/>
      <c r="S1061" s="87"/>
      <c r="T1061" s="85"/>
      <c r="U1061" s="89"/>
      <c r="V1061" s="90"/>
      <c r="W1061" s="87"/>
      <c r="X1061" s="91"/>
      <c r="Y1061" s="84"/>
      <c r="Z1061" s="97"/>
    </row>
    <row r="1062" spans="1:26" s="98" customFormat="1" x14ac:dyDescent="0.35">
      <c r="A1062" s="86">
        <v>1059</v>
      </c>
      <c r="B1062" s="85"/>
      <c r="C1062" s="87"/>
      <c r="D1062" s="85"/>
      <c r="E1062" s="84"/>
      <c r="F1062" s="85"/>
      <c r="G1062" s="87"/>
      <c r="H1062" s="87"/>
      <c r="I1062" s="87"/>
      <c r="J1062" s="101"/>
      <c r="K1062" s="87"/>
      <c r="L1062" s="91"/>
      <c r="M1062" s="91"/>
      <c r="N1062" s="88">
        <f>Goods_Receipt[[#This Row],[ Invoice. /
 Received Qty ]]-Goods_Receipt[[#This Row],[ Accepted Qty ]]</f>
        <v>0</v>
      </c>
      <c r="O1062" s="87"/>
      <c r="P1062" s="87"/>
      <c r="Q1062" s="87"/>
      <c r="R1062" s="87"/>
      <c r="S1062" s="87"/>
      <c r="T1062" s="85"/>
      <c r="U1062" s="89"/>
      <c r="V1062" s="90"/>
      <c r="W1062" s="87"/>
      <c r="X1062" s="91"/>
      <c r="Y1062" s="84"/>
      <c r="Z1062" s="97"/>
    </row>
    <row r="1063" spans="1:26" s="98" customFormat="1" x14ac:dyDescent="0.35">
      <c r="A1063" s="86">
        <v>1060</v>
      </c>
      <c r="B1063" s="85"/>
      <c r="C1063" s="87"/>
      <c r="D1063" s="85"/>
      <c r="E1063" s="84"/>
      <c r="F1063" s="85"/>
      <c r="G1063" s="87"/>
      <c r="H1063" s="87"/>
      <c r="I1063" s="87"/>
      <c r="J1063" s="101"/>
      <c r="K1063" s="87"/>
      <c r="L1063" s="91"/>
      <c r="M1063" s="91"/>
      <c r="N1063" s="88">
        <f>Goods_Receipt[[#This Row],[ Invoice. /
 Received Qty ]]-Goods_Receipt[[#This Row],[ Accepted Qty ]]</f>
        <v>0</v>
      </c>
      <c r="O1063" s="87"/>
      <c r="P1063" s="87"/>
      <c r="Q1063" s="87"/>
      <c r="R1063" s="87"/>
      <c r="S1063" s="87"/>
      <c r="T1063" s="85"/>
      <c r="U1063" s="89"/>
      <c r="V1063" s="90"/>
      <c r="W1063" s="87"/>
      <c r="X1063" s="91"/>
      <c r="Y1063" s="84"/>
      <c r="Z1063" s="97"/>
    </row>
    <row r="1064" spans="1:26" s="98" customFormat="1" x14ac:dyDescent="0.35">
      <c r="A1064" s="86">
        <v>1061</v>
      </c>
      <c r="B1064" s="85"/>
      <c r="C1064" s="87"/>
      <c r="D1064" s="85"/>
      <c r="E1064" s="84"/>
      <c r="F1064" s="85"/>
      <c r="G1064" s="87"/>
      <c r="H1064" s="87"/>
      <c r="I1064" s="87"/>
      <c r="J1064" s="101"/>
      <c r="K1064" s="87"/>
      <c r="L1064" s="91"/>
      <c r="M1064" s="91"/>
      <c r="N1064" s="88">
        <f>Goods_Receipt[[#This Row],[ Invoice. /
 Received Qty ]]-Goods_Receipt[[#This Row],[ Accepted Qty ]]</f>
        <v>0</v>
      </c>
      <c r="O1064" s="87"/>
      <c r="P1064" s="87"/>
      <c r="Q1064" s="87"/>
      <c r="R1064" s="87"/>
      <c r="S1064" s="87"/>
      <c r="T1064" s="85"/>
      <c r="U1064" s="89"/>
      <c r="V1064" s="90"/>
      <c r="W1064" s="87"/>
      <c r="X1064" s="91"/>
      <c r="Y1064" s="84"/>
      <c r="Z1064" s="97"/>
    </row>
    <row r="1065" spans="1:26" s="98" customFormat="1" x14ac:dyDescent="0.35">
      <c r="A1065" s="86">
        <v>1062</v>
      </c>
      <c r="B1065" s="85"/>
      <c r="C1065" s="87"/>
      <c r="D1065" s="85"/>
      <c r="E1065" s="84"/>
      <c r="F1065" s="85"/>
      <c r="G1065" s="87"/>
      <c r="H1065" s="87"/>
      <c r="I1065" s="87"/>
      <c r="J1065" s="101"/>
      <c r="K1065" s="87"/>
      <c r="L1065" s="91"/>
      <c r="M1065" s="91"/>
      <c r="N1065" s="88">
        <f>Goods_Receipt[[#This Row],[ Invoice. /
 Received Qty ]]-Goods_Receipt[[#This Row],[ Accepted Qty ]]</f>
        <v>0</v>
      </c>
      <c r="O1065" s="87"/>
      <c r="P1065" s="87"/>
      <c r="Q1065" s="87"/>
      <c r="R1065" s="87"/>
      <c r="S1065" s="87"/>
      <c r="T1065" s="85"/>
      <c r="U1065" s="89"/>
      <c r="V1065" s="90"/>
      <c r="W1065" s="87"/>
      <c r="X1065" s="91"/>
      <c r="Y1065" s="84"/>
      <c r="Z1065" s="97"/>
    </row>
    <row r="1066" spans="1:26" s="98" customFormat="1" x14ac:dyDescent="0.35">
      <c r="A1066" s="86">
        <v>1063</v>
      </c>
      <c r="B1066" s="85"/>
      <c r="C1066" s="87"/>
      <c r="D1066" s="85"/>
      <c r="E1066" s="84"/>
      <c r="F1066" s="85"/>
      <c r="G1066" s="87"/>
      <c r="H1066" s="87"/>
      <c r="I1066" s="87"/>
      <c r="J1066" s="101"/>
      <c r="K1066" s="87"/>
      <c r="L1066" s="91"/>
      <c r="M1066" s="91"/>
      <c r="N1066" s="88">
        <f>Goods_Receipt[[#This Row],[ Invoice. /
 Received Qty ]]-Goods_Receipt[[#This Row],[ Accepted Qty ]]</f>
        <v>0</v>
      </c>
      <c r="O1066" s="87"/>
      <c r="P1066" s="87"/>
      <c r="Q1066" s="87"/>
      <c r="R1066" s="87"/>
      <c r="S1066" s="87"/>
      <c r="T1066" s="85"/>
      <c r="U1066" s="89"/>
      <c r="V1066" s="90"/>
      <c r="W1066" s="87"/>
      <c r="X1066" s="91"/>
      <c r="Y1066" s="84"/>
      <c r="Z1066" s="97"/>
    </row>
    <row r="1067" spans="1:26" s="98" customFormat="1" x14ac:dyDescent="0.35">
      <c r="A1067" s="86">
        <v>1064</v>
      </c>
      <c r="B1067" s="85"/>
      <c r="C1067" s="87"/>
      <c r="D1067" s="85"/>
      <c r="E1067" s="84"/>
      <c r="F1067" s="85"/>
      <c r="G1067" s="87"/>
      <c r="H1067" s="87"/>
      <c r="I1067" s="87"/>
      <c r="J1067" s="101"/>
      <c r="K1067" s="87"/>
      <c r="L1067" s="91"/>
      <c r="M1067" s="91"/>
      <c r="N1067" s="88">
        <f>Goods_Receipt[[#This Row],[ Invoice. /
 Received Qty ]]-Goods_Receipt[[#This Row],[ Accepted Qty ]]</f>
        <v>0</v>
      </c>
      <c r="O1067" s="87"/>
      <c r="P1067" s="87"/>
      <c r="Q1067" s="87"/>
      <c r="R1067" s="87"/>
      <c r="S1067" s="87"/>
      <c r="T1067" s="85"/>
      <c r="U1067" s="89"/>
      <c r="V1067" s="90"/>
      <c r="W1067" s="87"/>
      <c r="X1067" s="91"/>
      <c r="Y1067" s="84"/>
      <c r="Z1067" s="97"/>
    </row>
    <row r="1068" spans="1:26" s="98" customFormat="1" x14ac:dyDescent="0.35">
      <c r="A1068" s="86">
        <v>1065</v>
      </c>
      <c r="B1068" s="85"/>
      <c r="C1068" s="87"/>
      <c r="D1068" s="85"/>
      <c r="E1068" s="84"/>
      <c r="F1068" s="85"/>
      <c r="G1068" s="87"/>
      <c r="H1068" s="87"/>
      <c r="I1068" s="87"/>
      <c r="J1068" s="101"/>
      <c r="K1068" s="87"/>
      <c r="L1068" s="91"/>
      <c r="M1068" s="91"/>
      <c r="N1068" s="88">
        <f>Goods_Receipt[[#This Row],[ Invoice. /
 Received Qty ]]-Goods_Receipt[[#This Row],[ Accepted Qty ]]</f>
        <v>0</v>
      </c>
      <c r="O1068" s="87"/>
      <c r="P1068" s="87"/>
      <c r="Q1068" s="87"/>
      <c r="R1068" s="87"/>
      <c r="S1068" s="87"/>
      <c r="T1068" s="85"/>
      <c r="U1068" s="89"/>
      <c r="V1068" s="90"/>
      <c r="W1068" s="87"/>
      <c r="X1068" s="91"/>
      <c r="Y1068" s="84"/>
      <c r="Z1068" s="97"/>
    </row>
    <row r="1069" spans="1:26" s="98" customFormat="1" x14ac:dyDescent="0.35">
      <c r="A1069" s="86">
        <v>1066</v>
      </c>
      <c r="B1069" s="85"/>
      <c r="C1069" s="87"/>
      <c r="D1069" s="85"/>
      <c r="E1069" s="84"/>
      <c r="F1069" s="85"/>
      <c r="G1069" s="87"/>
      <c r="H1069" s="87"/>
      <c r="I1069" s="87"/>
      <c r="J1069" s="101"/>
      <c r="K1069" s="87"/>
      <c r="L1069" s="91"/>
      <c r="M1069" s="91"/>
      <c r="N1069" s="88">
        <f>Goods_Receipt[[#This Row],[ Invoice. /
 Received Qty ]]-Goods_Receipt[[#This Row],[ Accepted Qty ]]</f>
        <v>0</v>
      </c>
      <c r="O1069" s="87"/>
      <c r="P1069" s="87"/>
      <c r="Q1069" s="87"/>
      <c r="R1069" s="87"/>
      <c r="S1069" s="87"/>
      <c r="T1069" s="85"/>
      <c r="U1069" s="89"/>
      <c r="V1069" s="90"/>
      <c r="W1069" s="87"/>
      <c r="X1069" s="91"/>
      <c r="Y1069" s="84"/>
      <c r="Z1069" s="97"/>
    </row>
    <row r="1070" spans="1:26" s="98" customFormat="1" x14ac:dyDescent="0.35">
      <c r="A1070" s="86">
        <v>1067</v>
      </c>
      <c r="B1070" s="85"/>
      <c r="C1070" s="87"/>
      <c r="D1070" s="85"/>
      <c r="E1070" s="84"/>
      <c r="F1070" s="85"/>
      <c r="G1070" s="87"/>
      <c r="H1070" s="87"/>
      <c r="I1070" s="87"/>
      <c r="J1070" s="101"/>
      <c r="K1070" s="87"/>
      <c r="L1070" s="91"/>
      <c r="M1070" s="91"/>
      <c r="N1070" s="88">
        <f>Goods_Receipt[[#This Row],[ Invoice. /
 Received Qty ]]-Goods_Receipt[[#This Row],[ Accepted Qty ]]</f>
        <v>0</v>
      </c>
      <c r="O1070" s="87"/>
      <c r="P1070" s="87"/>
      <c r="Q1070" s="87"/>
      <c r="R1070" s="87"/>
      <c r="S1070" s="87"/>
      <c r="T1070" s="85"/>
      <c r="U1070" s="89"/>
      <c r="V1070" s="90"/>
      <c r="W1070" s="87"/>
      <c r="X1070" s="91"/>
      <c r="Y1070" s="84"/>
      <c r="Z1070" s="97"/>
    </row>
    <row r="1071" spans="1:26" s="98" customFormat="1" x14ac:dyDescent="0.35">
      <c r="A1071" s="86">
        <v>1068</v>
      </c>
      <c r="B1071" s="85"/>
      <c r="C1071" s="87"/>
      <c r="D1071" s="85"/>
      <c r="E1071" s="84"/>
      <c r="F1071" s="85"/>
      <c r="G1071" s="87"/>
      <c r="H1071" s="87"/>
      <c r="I1071" s="87"/>
      <c r="J1071" s="101"/>
      <c r="K1071" s="87"/>
      <c r="L1071" s="91"/>
      <c r="M1071" s="91"/>
      <c r="N1071" s="88">
        <f>Goods_Receipt[[#This Row],[ Invoice. /
 Received Qty ]]-Goods_Receipt[[#This Row],[ Accepted Qty ]]</f>
        <v>0</v>
      </c>
      <c r="O1071" s="87"/>
      <c r="P1071" s="87"/>
      <c r="Q1071" s="87"/>
      <c r="R1071" s="87"/>
      <c r="S1071" s="87"/>
      <c r="T1071" s="85"/>
      <c r="U1071" s="89"/>
      <c r="V1071" s="90"/>
      <c r="W1071" s="87"/>
      <c r="X1071" s="91"/>
      <c r="Y1071" s="84"/>
      <c r="Z1071" s="97"/>
    </row>
    <row r="1072" spans="1:26" s="98" customFormat="1" x14ac:dyDescent="0.35">
      <c r="A1072" s="86">
        <v>1069</v>
      </c>
      <c r="B1072" s="85"/>
      <c r="C1072" s="87"/>
      <c r="D1072" s="85"/>
      <c r="E1072" s="84"/>
      <c r="F1072" s="85"/>
      <c r="G1072" s="87"/>
      <c r="H1072" s="87"/>
      <c r="I1072" s="87"/>
      <c r="J1072" s="101"/>
      <c r="K1072" s="87"/>
      <c r="L1072" s="91"/>
      <c r="M1072" s="91"/>
      <c r="N1072" s="88">
        <f>Goods_Receipt[[#This Row],[ Invoice. /
 Received Qty ]]-Goods_Receipt[[#This Row],[ Accepted Qty ]]</f>
        <v>0</v>
      </c>
      <c r="O1072" s="87"/>
      <c r="P1072" s="87"/>
      <c r="Q1072" s="87"/>
      <c r="R1072" s="87"/>
      <c r="S1072" s="87"/>
      <c r="T1072" s="85"/>
      <c r="U1072" s="89"/>
      <c r="V1072" s="90"/>
      <c r="W1072" s="87"/>
      <c r="X1072" s="91"/>
      <c r="Y1072" s="84"/>
      <c r="Z1072" s="97"/>
    </row>
    <row r="1073" spans="1:26" s="98" customFormat="1" x14ac:dyDescent="0.35">
      <c r="A1073" s="86">
        <v>1070</v>
      </c>
      <c r="B1073" s="85"/>
      <c r="C1073" s="87"/>
      <c r="D1073" s="85"/>
      <c r="E1073" s="84"/>
      <c r="F1073" s="85"/>
      <c r="G1073" s="87"/>
      <c r="H1073" s="87"/>
      <c r="I1073" s="87"/>
      <c r="J1073" s="101"/>
      <c r="K1073" s="87"/>
      <c r="L1073" s="91"/>
      <c r="M1073" s="91"/>
      <c r="N1073" s="88">
        <f>Goods_Receipt[[#This Row],[ Invoice. /
 Received Qty ]]-Goods_Receipt[[#This Row],[ Accepted Qty ]]</f>
        <v>0</v>
      </c>
      <c r="O1073" s="87"/>
      <c r="P1073" s="87"/>
      <c r="Q1073" s="87"/>
      <c r="R1073" s="87"/>
      <c r="S1073" s="87"/>
      <c r="T1073" s="85"/>
      <c r="U1073" s="89"/>
      <c r="V1073" s="90"/>
      <c r="W1073" s="87"/>
      <c r="X1073" s="91"/>
      <c r="Y1073" s="84"/>
      <c r="Z1073" s="97"/>
    </row>
    <row r="1074" spans="1:26" s="98" customFormat="1" x14ac:dyDescent="0.35">
      <c r="A1074" s="86">
        <v>1071</v>
      </c>
      <c r="B1074" s="85"/>
      <c r="C1074" s="87"/>
      <c r="D1074" s="85"/>
      <c r="E1074" s="84"/>
      <c r="F1074" s="85"/>
      <c r="G1074" s="87"/>
      <c r="H1074" s="87"/>
      <c r="I1074" s="87"/>
      <c r="J1074" s="101"/>
      <c r="K1074" s="87"/>
      <c r="L1074" s="91"/>
      <c r="M1074" s="91"/>
      <c r="N1074" s="88">
        <f>Goods_Receipt[[#This Row],[ Invoice. /
 Received Qty ]]-Goods_Receipt[[#This Row],[ Accepted Qty ]]</f>
        <v>0</v>
      </c>
      <c r="O1074" s="87"/>
      <c r="P1074" s="87"/>
      <c r="Q1074" s="87"/>
      <c r="R1074" s="87"/>
      <c r="S1074" s="87"/>
      <c r="T1074" s="85"/>
      <c r="U1074" s="89"/>
      <c r="V1074" s="90"/>
      <c r="W1074" s="87"/>
      <c r="X1074" s="91"/>
      <c r="Y1074" s="84"/>
      <c r="Z1074" s="97"/>
    </row>
    <row r="1075" spans="1:26" s="98" customFormat="1" x14ac:dyDescent="0.35">
      <c r="A1075" s="86">
        <v>1072</v>
      </c>
      <c r="B1075" s="85"/>
      <c r="C1075" s="87"/>
      <c r="D1075" s="85"/>
      <c r="E1075" s="84"/>
      <c r="F1075" s="85"/>
      <c r="G1075" s="87"/>
      <c r="H1075" s="87"/>
      <c r="I1075" s="87"/>
      <c r="J1075" s="101"/>
      <c r="K1075" s="87"/>
      <c r="L1075" s="91"/>
      <c r="M1075" s="91"/>
      <c r="N1075" s="88">
        <f>Goods_Receipt[[#This Row],[ Invoice. /
 Received Qty ]]-Goods_Receipt[[#This Row],[ Accepted Qty ]]</f>
        <v>0</v>
      </c>
      <c r="O1075" s="87"/>
      <c r="P1075" s="87"/>
      <c r="Q1075" s="87"/>
      <c r="R1075" s="87"/>
      <c r="S1075" s="87"/>
      <c r="T1075" s="85"/>
      <c r="U1075" s="89"/>
      <c r="V1075" s="90"/>
      <c r="W1075" s="87"/>
      <c r="X1075" s="91"/>
      <c r="Y1075" s="84"/>
      <c r="Z1075" s="97"/>
    </row>
    <row r="1076" spans="1:26" s="98" customFormat="1" x14ac:dyDescent="0.35">
      <c r="A1076" s="86">
        <v>1073</v>
      </c>
      <c r="B1076" s="85"/>
      <c r="C1076" s="87"/>
      <c r="D1076" s="85"/>
      <c r="E1076" s="84"/>
      <c r="F1076" s="85"/>
      <c r="G1076" s="87"/>
      <c r="H1076" s="87"/>
      <c r="I1076" s="87"/>
      <c r="J1076" s="101"/>
      <c r="K1076" s="87"/>
      <c r="L1076" s="91"/>
      <c r="M1076" s="91"/>
      <c r="N1076" s="88">
        <f>Goods_Receipt[[#This Row],[ Invoice. /
 Received Qty ]]-Goods_Receipt[[#This Row],[ Accepted Qty ]]</f>
        <v>0</v>
      </c>
      <c r="O1076" s="87"/>
      <c r="P1076" s="87"/>
      <c r="Q1076" s="87"/>
      <c r="R1076" s="87"/>
      <c r="S1076" s="87"/>
      <c r="T1076" s="85"/>
      <c r="U1076" s="89"/>
      <c r="V1076" s="90"/>
      <c r="W1076" s="87"/>
      <c r="X1076" s="91"/>
      <c r="Y1076" s="84"/>
      <c r="Z1076" s="97"/>
    </row>
    <row r="1077" spans="1:26" s="98" customFormat="1" x14ac:dyDescent="0.35">
      <c r="A1077" s="86">
        <v>1074</v>
      </c>
      <c r="B1077" s="85"/>
      <c r="C1077" s="87"/>
      <c r="D1077" s="85"/>
      <c r="E1077" s="84"/>
      <c r="F1077" s="85"/>
      <c r="G1077" s="87"/>
      <c r="H1077" s="87"/>
      <c r="I1077" s="87"/>
      <c r="J1077" s="101"/>
      <c r="K1077" s="87"/>
      <c r="L1077" s="91"/>
      <c r="M1077" s="91"/>
      <c r="N1077" s="88">
        <f>Goods_Receipt[[#This Row],[ Invoice. /
 Received Qty ]]-Goods_Receipt[[#This Row],[ Accepted Qty ]]</f>
        <v>0</v>
      </c>
      <c r="O1077" s="87"/>
      <c r="P1077" s="87"/>
      <c r="Q1077" s="87"/>
      <c r="R1077" s="87"/>
      <c r="S1077" s="87"/>
      <c r="T1077" s="85"/>
      <c r="U1077" s="89"/>
      <c r="V1077" s="90"/>
      <c r="W1077" s="87"/>
      <c r="X1077" s="91"/>
      <c r="Y1077" s="84"/>
      <c r="Z1077" s="97"/>
    </row>
    <row r="1078" spans="1:26" s="98" customFormat="1" x14ac:dyDescent="0.35">
      <c r="A1078" s="86">
        <v>1075</v>
      </c>
      <c r="B1078" s="85"/>
      <c r="C1078" s="87"/>
      <c r="D1078" s="85"/>
      <c r="E1078" s="84"/>
      <c r="F1078" s="85"/>
      <c r="G1078" s="87"/>
      <c r="H1078" s="87"/>
      <c r="I1078" s="87"/>
      <c r="J1078" s="101"/>
      <c r="K1078" s="87"/>
      <c r="L1078" s="91"/>
      <c r="M1078" s="91"/>
      <c r="N1078" s="88">
        <f>Goods_Receipt[[#This Row],[ Invoice. /
 Received Qty ]]-Goods_Receipt[[#This Row],[ Accepted Qty ]]</f>
        <v>0</v>
      </c>
      <c r="O1078" s="87"/>
      <c r="P1078" s="87"/>
      <c r="Q1078" s="87"/>
      <c r="R1078" s="87"/>
      <c r="S1078" s="87"/>
      <c r="T1078" s="85"/>
      <c r="U1078" s="89"/>
      <c r="V1078" s="90"/>
      <c r="W1078" s="87"/>
      <c r="X1078" s="91"/>
      <c r="Y1078" s="84"/>
      <c r="Z1078" s="97"/>
    </row>
    <row r="1079" spans="1:26" s="98" customFormat="1" x14ac:dyDescent="0.35">
      <c r="A1079" s="86">
        <v>1076</v>
      </c>
      <c r="B1079" s="85"/>
      <c r="C1079" s="87"/>
      <c r="D1079" s="85"/>
      <c r="E1079" s="84"/>
      <c r="F1079" s="85"/>
      <c r="G1079" s="87"/>
      <c r="H1079" s="87"/>
      <c r="I1079" s="87"/>
      <c r="J1079" s="101"/>
      <c r="K1079" s="87"/>
      <c r="L1079" s="91"/>
      <c r="M1079" s="91"/>
      <c r="N1079" s="88">
        <f>Goods_Receipt[[#This Row],[ Invoice. /
 Received Qty ]]-Goods_Receipt[[#This Row],[ Accepted Qty ]]</f>
        <v>0</v>
      </c>
      <c r="O1079" s="87"/>
      <c r="P1079" s="87"/>
      <c r="Q1079" s="87"/>
      <c r="R1079" s="87"/>
      <c r="S1079" s="87"/>
      <c r="T1079" s="85"/>
      <c r="U1079" s="89"/>
      <c r="V1079" s="90"/>
      <c r="W1079" s="87"/>
      <c r="X1079" s="91"/>
      <c r="Y1079" s="84"/>
      <c r="Z1079" s="97"/>
    </row>
    <row r="1080" spans="1:26" s="98" customFormat="1" x14ac:dyDescent="0.35">
      <c r="A1080" s="86">
        <v>1077</v>
      </c>
      <c r="B1080" s="85"/>
      <c r="C1080" s="87"/>
      <c r="D1080" s="85"/>
      <c r="E1080" s="84"/>
      <c r="F1080" s="85"/>
      <c r="G1080" s="87"/>
      <c r="H1080" s="87"/>
      <c r="I1080" s="87"/>
      <c r="J1080" s="101"/>
      <c r="K1080" s="87"/>
      <c r="L1080" s="91"/>
      <c r="M1080" s="91"/>
      <c r="N1080" s="88">
        <f>Goods_Receipt[[#This Row],[ Invoice. /
 Received Qty ]]-Goods_Receipt[[#This Row],[ Accepted Qty ]]</f>
        <v>0</v>
      </c>
      <c r="O1080" s="87"/>
      <c r="P1080" s="87"/>
      <c r="Q1080" s="87"/>
      <c r="R1080" s="87"/>
      <c r="S1080" s="87"/>
      <c r="T1080" s="85"/>
      <c r="U1080" s="89"/>
      <c r="V1080" s="90"/>
      <c r="W1080" s="87"/>
      <c r="X1080" s="91"/>
      <c r="Y1080" s="84"/>
      <c r="Z1080" s="97"/>
    </row>
    <row r="1081" spans="1:26" s="98" customFormat="1" x14ac:dyDescent="0.35">
      <c r="A1081" s="86">
        <v>1078</v>
      </c>
      <c r="B1081" s="85"/>
      <c r="C1081" s="87"/>
      <c r="D1081" s="85"/>
      <c r="E1081" s="84"/>
      <c r="F1081" s="85"/>
      <c r="G1081" s="87"/>
      <c r="H1081" s="87"/>
      <c r="I1081" s="87"/>
      <c r="J1081" s="101"/>
      <c r="K1081" s="87"/>
      <c r="L1081" s="91"/>
      <c r="M1081" s="91"/>
      <c r="N1081" s="88">
        <f>Goods_Receipt[[#This Row],[ Invoice. /
 Received Qty ]]-Goods_Receipt[[#This Row],[ Accepted Qty ]]</f>
        <v>0</v>
      </c>
      <c r="O1081" s="87"/>
      <c r="P1081" s="87"/>
      <c r="Q1081" s="87"/>
      <c r="R1081" s="87"/>
      <c r="S1081" s="87"/>
      <c r="T1081" s="85"/>
      <c r="U1081" s="89"/>
      <c r="V1081" s="90"/>
      <c r="W1081" s="87"/>
      <c r="X1081" s="91"/>
      <c r="Y1081" s="84"/>
      <c r="Z1081" s="97"/>
    </row>
    <row r="1082" spans="1:26" s="98" customFormat="1" x14ac:dyDescent="0.35">
      <c r="A1082" s="86">
        <v>1079</v>
      </c>
      <c r="B1082" s="85"/>
      <c r="C1082" s="87"/>
      <c r="D1082" s="85"/>
      <c r="E1082" s="84"/>
      <c r="F1082" s="85"/>
      <c r="G1082" s="87"/>
      <c r="H1082" s="87"/>
      <c r="I1082" s="87"/>
      <c r="J1082" s="101"/>
      <c r="K1082" s="87"/>
      <c r="L1082" s="91"/>
      <c r="M1082" s="91"/>
      <c r="N1082" s="88">
        <f>Goods_Receipt[[#This Row],[ Invoice. /
 Received Qty ]]-Goods_Receipt[[#This Row],[ Accepted Qty ]]</f>
        <v>0</v>
      </c>
      <c r="O1082" s="87"/>
      <c r="P1082" s="87"/>
      <c r="Q1082" s="87"/>
      <c r="R1082" s="87"/>
      <c r="S1082" s="87"/>
      <c r="T1082" s="85"/>
      <c r="U1082" s="89"/>
      <c r="V1082" s="90"/>
      <c r="W1082" s="87"/>
      <c r="X1082" s="91"/>
      <c r="Y1082" s="84"/>
      <c r="Z1082" s="97"/>
    </row>
    <row r="1083" spans="1:26" s="98" customFormat="1" x14ac:dyDescent="0.35">
      <c r="A1083" s="86">
        <v>1080</v>
      </c>
      <c r="B1083" s="85"/>
      <c r="C1083" s="87"/>
      <c r="D1083" s="85"/>
      <c r="E1083" s="84"/>
      <c r="F1083" s="85"/>
      <c r="G1083" s="87"/>
      <c r="H1083" s="87"/>
      <c r="I1083" s="87"/>
      <c r="J1083" s="101"/>
      <c r="K1083" s="87"/>
      <c r="L1083" s="91"/>
      <c r="M1083" s="91"/>
      <c r="N1083" s="88">
        <f>Goods_Receipt[[#This Row],[ Invoice. /
 Received Qty ]]-Goods_Receipt[[#This Row],[ Accepted Qty ]]</f>
        <v>0</v>
      </c>
      <c r="O1083" s="87"/>
      <c r="P1083" s="87"/>
      <c r="Q1083" s="87"/>
      <c r="R1083" s="87"/>
      <c r="S1083" s="87"/>
      <c r="T1083" s="85"/>
      <c r="U1083" s="89"/>
      <c r="V1083" s="90"/>
      <c r="W1083" s="87"/>
      <c r="X1083" s="91"/>
      <c r="Y1083" s="84"/>
      <c r="Z1083" s="97"/>
    </row>
    <row r="1084" spans="1:26" s="98" customFormat="1" x14ac:dyDescent="0.35">
      <c r="A1084" s="86">
        <v>1081</v>
      </c>
      <c r="B1084" s="85"/>
      <c r="C1084" s="87"/>
      <c r="D1084" s="85"/>
      <c r="E1084" s="84"/>
      <c r="F1084" s="85"/>
      <c r="G1084" s="87"/>
      <c r="H1084" s="87"/>
      <c r="I1084" s="87"/>
      <c r="J1084" s="101"/>
      <c r="K1084" s="87"/>
      <c r="L1084" s="91"/>
      <c r="M1084" s="91"/>
      <c r="N1084" s="88">
        <f>Goods_Receipt[[#This Row],[ Invoice. /
 Received Qty ]]-Goods_Receipt[[#This Row],[ Accepted Qty ]]</f>
        <v>0</v>
      </c>
      <c r="O1084" s="87"/>
      <c r="P1084" s="87"/>
      <c r="Q1084" s="87"/>
      <c r="R1084" s="87"/>
      <c r="S1084" s="87"/>
      <c r="T1084" s="85"/>
      <c r="U1084" s="89"/>
      <c r="V1084" s="90"/>
      <c r="W1084" s="87"/>
      <c r="X1084" s="91"/>
      <c r="Y1084" s="84"/>
      <c r="Z1084" s="97"/>
    </row>
    <row r="1085" spans="1:26" s="98" customFormat="1" x14ac:dyDescent="0.35">
      <c r="A1085" s="86">
        <v>1082</v>
      </c>
      <c r="B1085" s="85"/>
      <c r="C1085" s="87"/>
      <c r="D1085" s="85"/>
      <c r="E1085" s="84"/>
      <c r="F1085" s="85"/>
      <c r="G1085" s="87"/>
      <c r="H1085" s="87"/>
      <c r="I1085" s="87"/>
      <c r="J1085" s="101"/>
      <c r="K1085" s="87"/>
      <c r="L1085" s="91"/>
      <c r="M1085" s="91"/>
      <c r="N1085" s="88">
        <f>Goods_Receipt[[#This Row],[ Invoice. /
 Received Qty ]]-Goods_Receipt[[#This Row],[ Accepted Qty ]]</f>
        <v>0</v>
      </c>
      <c r="O1085" s="87"/>
      <c r="P1085" s="87"/>
      <c r="Q1085" s="87"/>
      <c r="R1085" s="87"/>
      <c r="S1085" s="87"/>
      <c r="T1085" s="85"/>
      <c r="U1085" s="89"/>
      <c r="V1085" s="90"/>
      <c r="W1085" s="87"/>
      <c r="X1085" s="91"/>
      <c r="Y1085" s="84"/>
      <c r="Z1085" s="97"/>
    </row>
    <row r="1086" spans="1:26" s="98" customFormat="1" x14ac:dyDescent="0.35">
      <c r="A1086" s="86">
        <v>1083</v>
      </c>
      <c r="B1086" s="85"/>
      <c r="C1086" s="87"/>
      <c r="D1086" s="85"/>
      <c r="E1086" s="84"/>
      <c r="F1086" s="85"/>
      <c r="G1086" s="87"/>
      <c r="H1086" s="87"/>
      <c r="I1086" s="87"/>
      <c r="J1086" s="101"/>
      <c r="K1086" s="87"/>
      <c r="L1086" s="91"/>
      <c r="M1086" s="91"/>
      <c r="N1086" s="88">
        <f>Goods_Receipt[[#This Row],[ Invoice. /
 Received Qty ]]-Goods_Receipt[[#This Row],[ Accepted Qty ]]</f>
        <v>0</v>
      </c>
      <c r="O1086" s="87"/>
      <c r="P1086" s="87"/>
      <c r="Q1086" s="87"/>
      <c r="R1086" s="87"/>
      <c r="S1086" s="87"/>
      <c r="T1086" s="85"/>
      <c r="U1086" s="89"/>
      <c r="V1086" s="90"/>
      <c r="W1086" s="87"/>
      <c r="X1086" s="91"/>
      <c r="Y1086" s="84"/>
      <c r="Z1086" s="97"/>
    </row>
    <row r="1087" spans="1:26" s="98" customFormat="1" x14ac:dyDescent="0.35">
      <c r="A1087" s="86">
        <v>1084</v>
      </c>
      <c r="B1087" s="85"/>
      <c r="C1087" s="87"/>
      <c r="D1087" s="85"/>
      <c r="E1087" s="84"/>
      <c r="F1087" s="85"/>
      <c r="G1087" s="87"/>
      <c r="H1087" s="87"/>
      <c r="I1087" s="87"/>
      <c r="J1087" s="101"/>
      <c r="K1087" s="87"/>
      <c r="L1087" s="91"/>
      <c r="M1087" s="91"/>
      <c r="N1087" s="88">
        <f>Goods_Receipt[[#This Row],[ Invoice. /
 Received Qty ]]-Goods_Receipt[[#This Row],[ Accepted Qty ]]</f>
        <v>0</v>
      </c>
      <c r="O1087" s="87"/>
      <c r="P1087" s="87"/>
      <c r="Q1087" s="87"/>
      <c r="R1087" s="87"/>
      <c r="S1087" s="87"/>
      <c r="T1087" s="85"/>
      <c r="U1087" s="89"/>
      <c r="V1087" s="90"/>
      <c r="W1087" s="87"/>
      <c r="X1087" s="91"/>
      <c r="Y1087" s="84"/>
      <c r="Z1087" s="97"/>
    </row>
    <row r="1088" spans="1:26" s="98" customFormat="1" x14ac:dyDescent="0.35">
      <c r="A1088" s="86">
        <v>1085</v>
      </c>
      <c r="B1088" s="85"/>
      <c r="C1088" s="87"/>
      <c r="D1088" s="85"/>
      <c r="E1088" s="84"/>
      <c r="F1088" s="85"/>
      <c r="G1088" s="87"/>
      <c r="H1088" s="87"/>
      <c r="I1088" s="87"/>
      <c r="J1088" s="101"/>
      <c r="K1088" s="87"/>
      <c r="L1088" s="91"/>
      <c r="M1088" s="91"/>
      <c r="N1088" s="88">
        <f>Goods_Receipt[[#This Row],[ Invoice. /
 Received Qty ]]-Goods_Receipt[[#This Row],[ Accepted Qty ]]</f>
        <v>0</v>
      </c>
      <c r="O1088" s="87"/>
      <c r="P1088" s="87"/>
      <c r="Q1088" s="87"/>
      <c r="R1088" s="87"/>
      <c r="S1088" s="87"/>
      <c r="T1088" s="85"/>
      <c r="U1088" s="89"/>
      <c r="V1088" s="90"/>
      <c r="W1088" s="87"/>
      <c r="X1088" s="91"/>
      <c r="Y1088" s="84"/>
      <c r="Z1088" s="97"/>
    </row>
    <row r="1089" spans="1:26" s="98" customFormat="1" x14ac:dyDescent="0.35">
      <c r="A1089" s="86">
        <v>1086</v>
      </c>
      <c r="B1089" s="85"/>
      <c r="C1089" s="87"/>
      <c r="D1089" s="85"/>
      <c r="E1089" s="84"/>
      <c r="F1089" s="85"/>
      <c r="G1089" s="87"/>
      <c r="H1089" s="87"/>
      <c r="I1089" s="87"/>
      <c r="J1089" s="101"/>
      <c r="K1089" s="87"/>
      <c r="L1089" s="91"/>
      <c r="M1089" s="91"/>
      <c r="N1089" s="88">
        <f>Goods_Receipt[[#This Row],[ Invoice. /
 Received Qty ]]-Goods_Receipt[[#This Row],[ Accepted Qty ]]</f>
        <v>0</v>
      </c>
      <c r="O1089" s="87"/>
      <c r="P1089" s="87"/>
      <c r="Q1089" s="87"/>
      <c r="R1089" s="87"/>
      <c r="S1089" s="87"/>
      <c r="T1089" s="85"/>
      <c r="U1089" s="89"/>
      <c r="V1089" s="90"/>
      <c r="W1089" s="87"/>
      <c r="X1089" s="91"/>
      <c r="Y1089" s="84"/>
      <c r="Z1089" s="97"/>
    </row>
    <row r="1090" spans="1:26" s="98" customFormat="1" x14ac:dyDescent="0.35">
      <c r="A1090" s="86">
        <v>1087</v>
      </c>
      <c r="B1090" s="85"/>
      <c r="C1090" s="87"/>
      <c r="D1090" s="85"/>
      <c r="E1090" s="84"/>
      <c r="F1090" s="85"/>
      <c r="G1090" s="87"/>
      <c r="H1090" s="87"/>
      <c r="I1090" s="87"/>
      <c r="J1090" s="101"/>
      <c r="K1090" s="87"/>
      <c r="L1090" s="91"/>
      <c r="M1090" s="91"/>
      <c r="N1090" s="88">
        <f>Goods_Receipt[[#This Row],[ Invoice. /
 Received Qty ]]-Goods_Receipt[[#This Row],[ Accepted Qty ]]</f>
        <v>0</v>
      </c>
      <c r="O1090" s="87"/>
      <c r="P1090" s="87"/>
      <c r="Q1090" s="87"/>
      <c r="R1090" s="87"/>
      <c r="S1090" s="87"/>
      <c r="T1090" s="85"/>
      <c r="U1090" s="89"/>
      <c r="V1090" s="90"/>
      <c r="W1090" s="87"/>
      <c r="X1090" s="91"/>
      <c r="Y1090" s="84"/>
      <c r="Z1090" s="97"/>
    </row>
    <row r="1091" spans="1:26" s="98" customFormat="1" x14ac:dyDescent="0.35">
      <c r="A1091" s="86">
        <v>1088</v>
      </c>
      <c r="B1091" s="85"/>
      <c r="C1091" s="87"/>
      <c r="D1091" s="85"/>
      <c r="E1091" s="84"/>
      <c r="F1091" s="85"/>
      <c r="G1091" s="87"/>
      <c r="H1091" s="87"/>
      <c r="I1091" s="87"/>
      <c r="J1091" s="101"/>
      <c r="K1091" s="87"/>
      <c r="L1091" s="91"/>
      <c r="M1091" s="91"/>
      <c r="N1091" s="88">
        <f>Goods_Receipt[[#This Row],[ Invoice. /
 Received Qty ]]-Goods_Receipt[[#This Row],[ Accepted Qty ]]</f>
        <v>0</v>
      </c>
      <c r="O1091" s="87"/>
      <c r="P1091" s="87"/>
      <c r="Q1091" s="87"/>
      <c r="R1091" s="87"/>
      <c r="S1091" s="87"/>
      <c r="T1091" s="85"/>
      <c r="U1091" s="89"/>
      <c r="V1091" s="90"/>
      <c r="W1091" s="87"/>
      <c r="X1091" s="91"/>
      <c r="Y1091" s="84"/>
      <c r="Z1091" s="97"/>
    </row>
    <row r="1092" spans="1:26" s="98" customFormat="1" x14ac:dyDescent="0.35">
      <c r="A1092" s="86">
        <v>1089</v>
      </c>
      <c r="B1092" s="85"/>
      <c r="C1092" s="87"/>
      <c r="D1092" s="85"/>
      <c r="E1092" s="84"/>
      <c r="F1092" s="85"/>
      <c r="G1092" s="87"/>
      <c r="H1092" s="87"/>
      <c r="I1092" s="87"/>
      <c r="J1092" s="101"/>
      <c r="K1092" s="87"/>
      <c r="L1092" s="91"/>
      <c r="M1092" s="91"/>
      <c r="N1092" s="88">
        <f>Goods_Receipt[[#This Row],[ Invoice. /
 Received Qty ]]-Goods_Receipt[[#This Row],[ Accepted Qty ]]</f>
        <v>0</v>
      </c>
      <c r="O1092" s="87"/>
      <c r="P1092" s="87"/>
      <c r="Q1092" s="87"/>
      <c r="R1092" s="87"/>
      <c r="S1092" s="87"/>
      <c r="T1092" s="85"/>
      <c r="U1092" s="89"/>
      <c r="V1092" s="90"/>
      <c r="W1092" s="87"/>
      <c r="X1092" s="91"/>
      <c r="Y1092" s="84"/>
      <c r="Z1092" s="97"/>
    </row>
    <row r="1093" spans="1:26" s="98" customFormat="1" x14ac:dyDescent="0.35">
      <c r="A1093" s="86">
        <v>1090</v>
      </c>
      <c r="B1093" s="85"/>
      <c r="C1093" s="87"/>
      <c r="D1093" s="85"/>
      <c r="E1093" s="84"/>
      <c r="F1093" s="85"/>
      <c r="G1093" s="87"/>
      <c r="H1093" s="87"/>
      <c r="I1093" s="87"/>
      <c r="J1093" s="101"/>
      <c r="K1093" s="87"/>
      <c r="L1093" s="91"/>
      <c r="M1093" s="91"/>
      <c r="N1093" s="88">
        <f>Goods_Receipt[[#This Row],[ Invoice. /
 Received Qty ]]-Goods_Receipt[[#This Row],[ Accepted Qty ]]</f>
        <v>0</v>
      </c>
      <c r="O1093" s="87"/>
      <c r="P1093" s="87"/>
      <c r="Q1093" s="87"/>
      <c r="R1093" s="87"/>
      <c r="S1093" s="87"/>
      <c r="T1093" s="85"/>
      <c r="U1093" s="89"/>
      <c r="V1093" s="90"/>
      <c r="W1093" s="87"/>
      <c r="X1093" s="91"/>
      <c r="Y1093" s="84"/>
      <c r="Z1093" s="97"/>
    </row>
    <row r="1094" spans="1:26" s="98" customFormat="1" x14ac:dyDescent="0.35">
      <c r="A1094" s="86">
        <v>1091</v>
      </c>
      <c r="B1094" s="85"/>
      <c r="C1094" s="87"/>
      <c r="D1094" s="85"/>
      <c r="E1094" s="84"/>
      <c r="F1094" s="85"/>
      <c r="G1094" s="87"/>
      <c r="H1094" s="87"/>
      <c r="I1094" s="87"/>
      <c r="J1094" s="101"/>
      <c r="K1094" s="87"/>
      <c r="L1094" s="91"/>
      <c r="M1094" s="91"/>
      <c r="N1094" s="88">
        <f>Goods_Receipt[[#This Row],[ Invoice. /
 Received Qty ]]-Goods_Receipt[[#This Row],[ Accepted Qty ]]</f>
        <v>0</v>
      </c>
      <c r="O1094" s="87"/>
      <c r="P1094" s="87"/>
      <c r="Q1094" s="87"/>
      <c r="R1094" s="87"/>
      <c r="S1094" s="87"/>
      <c r="T1094" s="85"/>
      <c r="U1094" s="89"/>
      <c r="V1094" s="90"/>
      <c r="W1094" s="87"/>
      <c r="X1094" s="91"/>
      <c r="Y1094" s="84"/>
      <c r="Z1094" s="97"/>
    </row>
    <row r="1095" spans="1:26" s="98" customFormat="1" x14ac:dyDescent="0.35">
      <c r="A1095" s="86">
        <v>1092</v>
      </c>
      <c r="B1095" s="85"/>
      <c r="C1095" s="87"/>
      <c r="D1095" s="85"/>
      <c r="E1095" s="84"/>
      <c r="F1095" s="85"/>
      <c r="G1095" s="87"/>
      <c r="H1095" s="87"/>
      <c r="I1095" s="87"/>
      <c r="J1095" s="101"/>
      <c r="K1095" s="87"/>
      <c r="L1095" s="91"/>
      <c r="M1095" s="91"/>
      <c r="N1095" s="88">
        <f>Goods_Receipt[[#This Row],[ Invoice. /
 Received Qty ]]-Goods_Receipt[[#This Row],[ Accepted Qty ]]</f>
        <v>0</v>
      </c>
      <c r="O1095" s="87"/>
      <c r="P1095" s="87"/>
      <c r="Q1095" s="87"/>
      <c r="R1095" s="87"/>
      <c r="S1095" s="87"/>
      <c r="T1095" s="85"/>
      <c r="U1095" s="89"/>
      <c r="V1095" s="90"/>
      <c r="W1095" s="87"/>
      <c r="X1095" s="91"/>
      <c r="Y1095" s="84"/>
      <c r="Z1095" s="97"/>
    </row>
    <row r="1096" spans="1:26" s="98" customFormat="1" x14ac:dyDescent="0.35">
      <c r="A1096" s="86">
        <v>1093</v>
      </c>
      <c r="B1096" s="85"/>
      <c r="C1096" s="87"/>
      <c r="D1096" s="85"/>
      <c r="E1096" s="84"/>
      <c r="F1096" s="85"/>
      <c r="G1096" s="87"/>
      <c r="H1096" s="87"/>
      <c r="I1096" s="87"/>
      <c r="J1096" s="101"/>
      <c r="K1096" s="87"/>
      <c r="L1096" s="91"/>
      <c r="M1096" s="91"/>
      <c r="N1096" s="88">
        <f>Goods_Receipt[[#This Row],[ Invoice. /
 Received Qty ]]-Goods_Receipt[[#This Row],[ Accepted Qty ]]</f>
        <v>0</v>
      </c>
      <c r="O1096" s="87"/>
      <c r="P1096" s="87"/>
      <c r="Q1096" s="87"/>
      <c r="R1096" s="87"/>
      <c r="S1096" s="87"/>
      <c r="T1096" s="85"/>
      <c r="U1096" s="89"/>
      <c r="V1096" s="90"/>
      <c r="W1096" s="87"/>
      <c r="X1096" s="91"/>
      <c r="Y1096" s="84"/>
      <c r="Z1096" s="97"/>
    </row>
    <row r="1097" spans="1:26" s="98" customFormat="1" x14ac:dyDescent="0.35">
      <c r="A1097" s="86">
        <v>1094</v>
      </c>
      <c r="B1097" s="85"/>
      <c r="C1097" s="87"/>
      <c r="D1097" s="85"/>
      <c r="E1097" s="84"/>
      <c r="F1097" s="85"/>
      <c r="G1097" s="87"/>
      <c r="H1097" s="87"/>
      <c r="I1097" s="87"/>
      <c r="J1097" s="101"/>
      <c r="K1097" s="87"/>
      <c r="L1097" s="91"/>
      <c r="M1097" s="91"/>
      <c r="N1097" s="88">
        <f>Goods_Receipt[[#This Row],[ Invoice. /
 Received Qty ]]-Goods_Receipt[[#This Row],[ Accepted Qty ]]</f>
        <v>0</v>
      </c>
      <c r="O1097" s="87"/>
      <c r="P1097" s="87"/>
      <c r="Q1097" s="87"/>
      <c r="R1097" s="87"/>
      <c r="S1097" s="87"/>
      <c r="T1097" s="85"/>
      <c r="U1097" s="89"/>
      <c r="V1097" s="90"/>
      <c r="W1097" s="87"/>
      <c r="X1097" s="91"/>
      <c r="Y1097" s="84"/>
      <c r="Z1097" s="97"/>
    </row>
    <row r="1098" spans="1:26" s="98" customFormat="1" x14ac:dyDescent="0.35">
      <c r="A1098" s="86">
        <v>1095</v>
      </c>
      <c r="B1098" s="85"/>
      <c r="C1098" s="87"/>
      <c r="D1098" s="85"/>
      <c r="E1098" s="84"/>
      <c r="F1098" s="85"/>
      <c r="G1098" s="87"/>
      <c r="H1098" s="87"/>
      <c r="I1098" s="87"/>
      <c r="J1098" s="101"/>
      <c r="K1098" s="87"/>
      <c r="L1098" s="91"/>
      <c r="M1098" s="91"/>
      <c r="N1098" s="88">
        <f>Goods_Receipt[[#This Row],[ Invoice. /
 Received Qty ]]-Goods_Receipt[[#This Row],[ Accepted Qty ]]</f>
        <v>0</v>
      </c>
      <c r="O1098" s="87"/>
      <c r="P1098" s="87"/>
      <c r="Q1098" s="87"/>
      <c r="R1098" s="87"/>
      <c r="S1098" s="87"/>
      <c r="T1098" s="85"/>
      <c r="U1098" s="89"/>
      <c r="V1098" s="90"/>
      <c r="W1098" s="87"/>
      <c r="X1098" s="91"/>
      <c r="Y1098" s="84"/>
      <c r="Z1098" s="97"/>
    </row>
    <row r="1099" spans="1:26" s="98" customFormat="1" x14ac:dyDescent="0.35">
      <c r="A1099" s="86">
        <v>1096</v>
      </c>
      <c r="B1099" s="85"/>
      <c r="C1099" s="87"/>
      <c r="D1099" s="85"/>
      <c r="E1099" s="84"/>
      <c r="F1099" s="85"/>
      <c r="G1099" s="87"/>
      <c r="H1099" s="87"/>
      <c r="I1099" s="87"/>
      <c r="J1099" s="101"/>
      <c r="K1099" s="87"/>
      <c r="L1099" s="91"/>
      <c r="M1099" s="91"/>
      <c r="N1099" s="88">
        <f>Goods_Receipt[[#This Row],[ Invoice. /
 Received Qty ]]-Goods_Receipt[[#This Row],[ Accepted Qty ]]</f>
        <v>0</v>
      </c>
      <c r="O1099" s="87"/>
      <c r="P1099" s="87"/>
      <c r="Q1099" s="87"/>
      <c r="R1099" s="87"/>
      <c r="S1099" s="87"/>
      <c r="T1099" s="85"/>
      <c r="U1099" s="89"/>
      <c r="V1099" s="90"/>
      <c r="W1099" s="87"/>
      <c r="X1099" s="91"/>
      <c r="Y1099" s="84"/>
      <c r="Z1099" s="97"/>
    </row>
    <row r="1100" spans="1:26" s="98" customFormat="1" x14ac:dyDescent="0.35">
      <c r="A1100" s="86">
        <v>1097</v>
      </c>
      <c r="B1100" s="85"/>
      <c r="C1100" s="87"/>
      <c r="D1100" s="85"/>
      <c r="E1100" s="84"/>
      <c r="F1100" s="85"/>
      <c r="G1100" s="87"/>
      <c r="H1100" s="87"/>
      <c r="I1100" s="87"/>
      <c r="J1100" s="101"/>
      <c r="K1100" s="87"/>
      <c r="L1100" s="91"/>
      <c r="M1100" s="91"/>
      <c r="N1100" s="88">
        <f>Goods_Receipt[[#This Row],[ Invoice. /
 Received Qty ]]-Goods_Receipt[[#This Row],[ Accepted Qty ]]</f>
        <v>0</v>
      </c>
      <c r="O1100" s="87"/>
      <c r="P1100" s="87"/>
      <c r="Q1100" s="87"/>
      <c r="R1100" s="87"/>
      <c r="S1100" s="87"/>
      <c r="T1100" s="85"/>
      <c r="U1100" s="89"/>
      <c r="V1100" s="90"/>
      <c r="W1100" s="87"/>
      <c r="X1100" s="91"/>
      <c r="Y1100" s="84"/>
      <c r="Z1100" s="97"/>
    </row>
    <row r="1101" spans="1:26" s="98" customFormat="1" x14ac:dyDescent="0.35">
      <c r="A1101" s="86">
        <v>1098</v>
      </c>
      <c r="B1101" s="85"/>
      <c r="C1101" s="87"/>
      <c r="D1101" s="85"/>
      <c r="E1101" s="84"/>
      <c r="F1101" s="85"/>
      <c r="G1101" s="87"/>
      <c r="H1101" s="87"/>
      <c r="I1101" s="87"/>
      <c r="J1101" s="101"/>
      <c r="K1101" s="87"/>
      <c r="L1101" s="91"/>
      <c r="M1101" s="91"/>
      <c r="N1101" s="88">
        <f>Goods_Receipt[[#This Row],[ Invoice. /
 Received Qty ]]-Goods_Receipt[[#This Row],[ Accepted Qty ]]</f>
        <v>0</v>
      </c>
      <c r="O1101" s="87"/>
      <c r="P1101" s="87"/>
      <c r="Q1101" s="87"/>
      <c r="R1101" s="87"/>
      <c r="S1101" s="87"/>
      <c r="T1101" s="85"/>
      <c r="U1101" s="89"/>
      <c r="V1101" s="90"/>
      <c r="W1101" s="87"/>
      <c r="X1101" s="91"/>
      <c r="Y1101" s="84"/>
      <c r="Z1101" s="97"/>
    </row>
    <row r="1102" spans="1:26" s="98" customFormat="1" x14ac:dyDescent="0.35">
      <c r="A1102" s="86">
        <v>1099</v>
      </c>
      <c r="B1102" s="85"/>
      <c r="C1102" s="87"/>
      <c r="D1102" s="85"/>
      <c r="E1102" s="84"/>
      <c r="F1102" s="85"/>
      <c r="G1102" s="87"/>
      <c r="H1102" s="87"/>
      <c r="I1102" s="87"/>
      <c r="J1102" s="101"/>
      <c r="K1102" s="87"/>
      <c r="L1102" s="91"/>
      <c r="M1102" s="91"/>
      <c r="N1102" s="88">
        <f>Goods_Receipt[[#This Row],[ Invoice. /
 Received Qty ]]-Goods_Receipt[[#This Row],[ Accepted Qty ]]</f>
        <v>0</v>
      </c>
      <c r="O1102" s="87"/>
      <c r="P1102" s="87"/>
      <c r="Q1102" s="87"/>
      <c r="R1102" s="87"/>
      <c r="S1102" s="87"/>
      <c r="T1102" s="85"/>
      <c r="U1102" s="89"/>
      <c r="V1102" s="90"/>
      <c r="W1102" s="87"/>
      <c r="X1102" s="91"/>
      <c r="Y1102" s="84"/>
      <c r="Z1102" s="97"/>
    </row>
    <row r="1103" spans="1:26" s="98" customFormat="1" x14ac:dyDescent="0.35">
      <c r="A1103" s="86">
        <v>1100</v>
      </c>
      <c r="B1103" s="85"/>
      <c r="C1103" s="87"/>
      <c r="D1103" s="85"/>
      <c r="E1103" s="84"/>
      <c r="F1103" s="85"/>
      <c r="G1103" s="87"/>
      <c r="H1103" s="87"/>
      <c r="I1103" s="87"/>
      <c r="J1103" s="101"/>
      <c r="K1103" s="87"/>
      <c r="L1103" s="91"/>
      <c r="M1103" s="91"/>
      <c r="N1103" s="88">
        <f>Goods_Receipt[[#This Row],[ Invoice. /
 Received Qty ]]-Goods_Receipt[[#This Row],[ Accepted Qty ]]</f>
        <v>0</v>
      </c>
      <c r="O1103" s="87"/>
      <c r="P1103" s="87"/>
      <c r="Q1103" s="87"/>
      <c r="R1103" s="87"/>
      <c r="S1103" s="87"/>
      <c r="T1103" s="85"/>
      <c r="U1103" s="89"/>
      <c r="V1103" s="90"/>
      <c r="W1103" s="87"/>
      <c r="X1103" s="91"/>
      <c r="Y1103" s="84"/>
      <c r="Z1103" s="97"/>
    </row>
    <row r="1104" spans="1:26" s="98" customFormat="1" x14ac:dyDescent="0.35">
      <c r="A1104" s="86">
        <v>1101</v>
      </c>
      <c r="B1104" s="85"/>
      <c r="C1104" s="87"/>
      <c r="D1104" s="85"/>
      <c r="E1104" s="84"/>
      <c r="F1104" s="85"/>
      <c r="G1104" s="87"/>
      <c r="H1104" s="87"/>
      <c r="I1104" s="87"/>
      <c r="J1104" s="101"/>
      <c r="K1104" s="87"/>
      <c r="L1104" s="91"/>
      <c r="M1104" s="91"/>
      <c r="N1104" s="88">
        <f>Goods_Receipt[[#This Row],[ Invoice. /
 Received Qty ]]-Goods_Receipt[[#This Row],[ Accepted Qty ]]</f>
        <v>0</v>
      </c>
      <c r="O1104" s="87"/>
      <c r="P1104" s="87"/>
      <c r="Q1104" s="87"/>
      <c r="R1104" s="87"/>
      <c r="S1104" s="87"/>
      <c r="T1104" s="85"/>
      <c r="U1104" s="89"/>
      <c r="V1104" s="90"/>
      <c r="W1104" s="87"/>
      <c r="X1104" s="91"/>
      <c r="Y1104" s="84"/>
      <c r="Z1104" s="97"/>
    </row>
    <row r="1105" spans="1:26" s="98" customFormat="1" x14ac:dyDescent="0.35">
      <c r="A1105" s="86">
        <v>1102</v>
      </c>
      <c r="B1105" s="85"/>
      <c r="C1105" s="87"/>
      <c r="D1105" s="85"/>
      <c r="E1105" s="84"/>
      <c r="F1105" s="85"/>
      <c r="G1105" s="87"/>
      <c r="H1105" s="87"/>
      <c r="I1105" s="87"/>
      <c r="J1105" s="101"/>
      <c r="K1105" s="87"/>
      <c r="L1105" s="91"/>
      <c r="M1105" s="91"/>
      <c r="N1105" s="88">
        <f>Goods_Receipt[[#This Row],[ Invoice. /
 Received Qty ]]-Goods_Receipt[[#This Row],[ Accepted Qty ]]</f>
        <v>0</v>
      </c>
      <c r="O1105" s="87"/>
      <c r="P1105" s="87"/>
      <c r="Q1105" s="87"/>
      <c r="R1105" s="87"/>
      <c r="S1105" s="87"/>
      <c r="T1105" s="85"/>
      <c r="U1105" s="89"/>
      <c r="V1105" s="90"/>
      <c r="W1105" s="87"/>
      <c r="X1105" s="91"/>
      <c r="Y1105" s="84"/>
      <c r="Z1105" s="97"/>
    </row>
    <row r="1106" spans="1:26" s="98" customFormat="1" x14ac:dyDescent="0.35">
      <c r="A1106" s="86">
        <v>1103</v>
      </c>
      <c r="B1106" s="85"/>
      <c r="C1106" s="87"/>
      <c r="D1106" s="85"/>
      <c r="E1106" s="84"/>
      <c r="F1106" s="85"/>
      <c r="G1106" s="87"/>
      <c r="H1106" s="87"/>
      <c r="I1106" s="87"/>
      <c r="J1106" s="101"/>
      <c r="K1106" s="87"/>
      <c r="L1106" s="91"/>
      <c r="M1106" s="91"/>
      <c r="N1106" s="88">
        <f>Goods_Receipt[[#This Row],[ Invoice. /
 Received Qty ]]-Goods_Receipt[[#This Row],[ Accepted Qty ]]</f>
        <v>0</v>
      </c>
      <c r="O1106" s="87"/>
      <c r="P1106" s="87"/>
      <c r="Q1106" s="87"/>
      <c r="R1106" s="87"/>
      <c r="S1106" s="87"/>
      <c r="T1106" s="85"/>
      <c r="U1106" s="89"/>
      <c r="V1106" s="90"/>
      <c r="W1106" s="87"/>
      <c r="X1106" s="91"/>
      <c r="Y1106" s="84"/>
      <c r="Z1106" s="97"/>
    </row>
    <row r="1107" spans="1:26" s="98" customFormat="1" x14ac:dyDescent="0.35">
      <c r="A1107" s="86">
        <v>1104</v>
      </c>
      <c r="B1107" s="85"/>
      <c r="C1107" s="87"/>
      <c r="D1107" s="85"/>
      <c r="E1107" s="84"/>
      <c r="F1107" s="85"/>
      <c r="G1107" s="87"/>
      <c r="H1107" s="87"/>
      <c r="I1107" s="87"/>
      <c r="J1107" s="101"/>
      <c r="K1107" s="87"/>
      <c r="L1107" s="91"/>
      <c r="M1107" s="91"/>
      <c r="N1107" s="88">
        <f>Goods_Receipt[[#This Row],[ Invoice. /
 Received Qty ]]-Goods_Receipt[[#This Row],[ Accepted Qty ]]</f>
        <v>0</v>
      </c>
      <c r="O1107" s="87"/>
      <c r="P1107" s="87"/>
      <c r="Q1107" s="87"/>
      <c r="R1107" s="87"/>
      <c r="S1107" s="87"/>
      <c r="T1107" s="85"/>
      <c r="U1107" s="89"/>
      <c r="V1107" s="90"/>
      <c r="W1107" s="87"/>
      <c r="X1107" s="91"/>
      <c r="Y1107" s="84"/>
      <c r="Z1107" s="97"/>
    </row>
    <row r="1108" spans="1:26" s="98" customFormat="1" x14ac:dyDescent="0.35">
      <c r="A1108" s="86">
        <v>1105</v>
      </c>
      <c r="B1108" s="85"/>
      <c r="C1108" s="87"/>
      <c r="D1108" s="85"/>
      <c r="E1108" s="84"/>
      <c r="F1108" s="85"/>
      <c r="G1108" s="87"/>
      <c r="H1108" s="87"/>
      <c r="I1108" s="87"/>
      <c r="J1108" s="101"/>
      <c r="K1108" s="87"/>
      <c r="L1108" s="91"/>
      <c r="M1108" s="91"/>
      <c r="N1108" s="88">
        <f>Goods_Receipt[[#This Row],[ Invoice. /
 Received Qty ]]-Goods_Receipt[[#This Row],[ Accepted Qty ]]</f>
        <v>0</v>
      </c>
      <c r="O1108" s="87"/>
      <c r="P1108" s="87"/>
      <c r="Q1108" s="87"/>
      <c r="R1108" s="87"/>
      <c r="S1108" s="87"/>
      <c r="T1108" s="85"/>
      <c r="U1108" s="89"/>
      <c r="V1108" s="90"/>
      <c r="W1108" s="87"/>
      <c r="X1108" s="91"/>
      <c r="Y1108" s="84"/>
      <c r="Z1108" s="97"/>
    </row>
    <row r="1109" spans="1:26" s="98" customFormat="1" x14ac:dyDescent="0.35">
      <c r="A1109" s="86">
        <v>1106</v>
      </c>
      <c r="B1109" s="85"/>
      <c r="C1109" s="87"/>
      <c r="D1109" s="85"/>
      <c r="E1109" s="84"/>
      <c r="F1109" s="85"/>
      <c r="G1109" s="87"/>
      <c r="H1109" s="87"/>
      <c r="I1109" s="87"/>
      <c r="J1109" s="101"/>
      <c r="K1109" s="87"/>
      <c r="L1109" s="91"/>
      <c r="M1109" s="91"/>
      <c r="N1109" s="88">
        <f>Goods_Receipt[[#This Row],[ Invoice. /
 Received Qty ]]-Goods_Receipt[[#This Row],[ Accepted Qty ]]</f>
        <v>0</v>
      </c>
      <c r="O1109" s="87"/>
      <c r="P1109" s="87"/>
      <c r="Q1109" s="87"/>
      <c r="R1109" s="87"/>
      <c r="S1109" s="87"/>
      <c r="T1109" s="85"/>
      <c r="U1109" s="89"/>
      <c r="V1109" s="90"/>
      <c r="W1109" s="87"/>
      <c r="X1109" s="91"/>
      <c r="Y1109" s="84"/>
      <c r="Z1109" s="97"/>
    </row>
    <row r="1110" spans="1:26" s="98" customFormat="1" x14ac:dyDescent="0.35">
      <c r="A1110" s="86">
        <v>1107</v>
      </c>
      <c r="B1110" s="85"/>
      <c r="C1110" s="87"/>
      <c r="D1110" s="85"/>
      <c r="E1110" s="84"/>
      <c r="F1110" s="85"/>
      <c r="G1110" s="87"/>
      <c r="H1110" s="87"/>
      <c r="I1110" s="87"/>
      <c r="J1110" s="101"/>
      <c r="K1110" s="87"/>
      <c r="L1110" s="91"/>
      <c r="M1110" s="91"/>
      <c r="N1110" s="88">
        <f>Goods_Receipt[[#This Row],[ Invoice. /
 Received Qty ]]-Goods_Receipt[[#This Row],[ Accepted Qty ]]</f>
        <v>0</v>
      </c>
      <c r="O1110" s="87"/>
      <c r="P1110" s="87"/>
      <c r="Q1110" s="87"/>
      <c r="R1110" s="87"/>
      <c r="S1110" s="87"/>
      <c r="T1110" s="85"/>
      <c r="U1110" s="89"/>
      <c r="V1110" s="90"/>
      <c r="W1110" s="87"/>
      <c r="X1110" s="91"/>
      <c r="Y1110" s="84"/>
      <c r="Z1110" s="97"/>
    </row>
    <row r="1111" spans="1:26" s="98" customFormat="1" x14ac:dyDescent="0.35">
      <c r="A1111" s="86">
        <v>1108</v>
      </c>
      <c r="B1111" s="85"/>
      <c r="C1111" s="87"/>
      <c r="D1111" s="85"/>
      <c r="E1111" s="84"/>
      <c r="F1111" s="85"/>
      <c r="G1111" s="87"/>
      <c r="H1111" s="87"/>
      <c r="I1111" s="87"/>
      <c r="J1111" s="101"/>
      <c r="K1111" s="87"/>
      <c r="L1111" s="91"/>
      <c r="M1111" s="91"/>
      <c r="N1111" s="88">
        <f>Goods_Receipt[[#This Row],[ Invoice. /
 Received Qty ]]-Goods_Receipt[[#This Row],[ Accepted Qty ]]</f>
        <v>0</v>
      </c>
      <c r="O1111" s="87"/>
      <c r="P1111" s="87"/>
      <c r="Q1111" s="87"/>
      <c r="R1111" s="87"/>
      <c r="S1111" s="87"/>
      <c r="T1111" s="85"/>
      <c r="U1111" s="89"/>
      <c r="V1111" s="90"/>
      <c r="W1111" s="87"/>
      <c r="X1111" s="91"/>
      <c r="Y1111" s="84"/>
      <c r="Z1111" s="97"/>
    </row>
    <row r="1112" spans="1:26" s="98" customFormat="1" x14ac:dyDescent="0.35">
      <c r="A1112" s="86">
        <v>1109</v>
      </c>
      <c r="B1112" s="85"/>
      <c r="C1112" s="87"/>
      <c r="D1112" s="85"/>
      <c r="E1112" s="84"/>
      <c r="F1112" s="85"/>
      <c r="G1112" s="87"/>
      <c r="H1112" s="87"/>
      <c r="I1112" s="87"/>
      <c r="J1112" s="101"/>
      <c r="K1112" s="87"/>
      <c r="L1112" s="91"/>
      <c r="M1112" s="91"/>
      <c r="N1112" s="88">
        <f>Goods_Receipt[[#This Row],[ Invoice. /
 Received Qty ]]-Goods_Receipt[[#This Row],[ Accepted Qty ]]</f>
        <v>0</v>
      </c>
      <c r="O1112" s="87"/>
      <c r="P1112" s="87"/>
      <c r="Q1112" s="87"/>
      <c r="R1112" s="87"/>
      <c r="S1112" s="87"/>
      <c r="T1112" s="85"/>
      <c r="U1112" s="89"/>
      <c r="V1112" s="90"/>
      <c r="W1112" s="87"/>
      <c r="X1112" s="91"/>
      <c r="Y1112" s="84"/>
      <c r="Z1112" s="97"/>
    </row>
    <row r="1113" spans="1:26" s="98" customFormat="1" x14ac:dyDescent="0.35">
      <c r="A1113" s="86">
        <v>1110</v>
      </c>
      <c r="B1113" s="85"/>
      <c r="C1113" s="87"/>
      <c r="D1113" s="85"/>
      <c r="E1113" s="84"/>
      <c r="F1113" s="85"/>
      <c r="G1113" s="87"/>
      <c r="H1113" s="87"/>
      <c r="I1113" s="87"/>
      <c r="J1113" s="101"/>
      <c r="K1113" s="87"/>
      <c r="L1113" s="91"/>
      <c r="M1113" s="91"/>
      <c r="N1113" s="88">
        <f>Goods_Receipt[[#This Row],[ Invoice. /
 Received Qty ]]-Goods_Receipt[[#This Row],[ Accepted Qty ]]</f>
        <v>0</v>
      </c>
      <c r="O1113" s="87"/>
      <c r="P1113" s="87"/>
      <c r="Q1113" s="87"/>
      <c r="R1113" s="87"/>
      <c r="S1113" s="87"/>
      <c r="T1113" s="85"/>
      <c r="U1113" s="89"/>
      <c r="V1113" s="90"/>
      <c r="W1113" s="87"/>
      <c r="X1113" s="91"/>
      <c r="Y1113" s="84"/>
      <c r="Z1113" s="97"/>
    </row>
    <row r="1114" spans="1:26" s="98" customFormat="1" x14ac:dyDescent="0.35">
      <c r="A1114" s="86">
        <v>1111</v>
      </c>
      <c r="B1114" s="85"/>
      <c r="C1114" s="87"/>
      <c r="D1114" s="85"/>
      <c r="E1114" s="84"/>
      <c r="F1114" s="85"/>
      <c r="G1114" s="87"/>
      <c r="H1114" s="87"/>
      <c r="I1114" s="87"/>
      <c r="J1114" s="101"/>
      <c r="K1114" s="87"/>
      <c r="L1114" s="91"/>
      <c r="M1114" s="91"/>
      <c r="N1114" s="88">
        <f>Goods_Receipt[[#This Row],[ Invoice. /
 Received Qty ]]-Goods_Receipt[[#This Row],[ Accepted Qty ]]</f>
        <v>0</v>
      </c>
      <c r="O1114" s="87"/>
      <c r="P1114" s="87"/>
      <c r="Q1114" s="87"/>
      <c r="R1114" s="87"/>
      <c r="S1114" s="87"/>
      <c r="T1114" s="85"/>
      <c r="U1114" s="89"/>
      <c r="V1114" s="90"/>
      <c r="W1114" s="87"/>
      <c r="X1114" s="91"/>
      <c r="Y1114" s="84"/>
      <c r="Z1114" s="97"/>
    </row>
    <row r="1115" spans="1:26" s="98" customFormat="1" x14ac:dyDescent="0.35">
      <c r="A1115" s="86">
        <v>1112</v>
      </c>
      <c r="B1115" s="85"/>
      <c r="C1115" s="87"/>
      <c r="D1115" s="85"/>
      <c r="E1115" s="84"/>
      <c r="F1115" s="85"/>
      <c r="G1115" s="87"/>
      <c r="H1115" s="87"/>
      <c r="I1115" s="87"/>
      <c r="J1115" s="101"/>
      <c r="K1115" s="87"/>
      <c r="L1115" s="91"/>
      <c r="M1115" s="91"/>
      <c r="N1115" s="88">
        <f>Goods_Receipt[[#This Row],[ Invoice. /
 Received Qty ]]-Goods_Receipt[[#This Row],[ Accepted Qty ]]</f>
        <v>0</v>
      </c>
      <c r="O1115" s="87"/>
      <c r="P1115" s="87"/>
      <c r="Q1115" s="87"/>
      <c r="R1115" s="87"/>
      <c r="S1115" s="87"/>
      <c r="T1115" s="85"/>
      <c r="U1115" s="89"/>
      <c r="V1115" s="90"/>
      <c r="W1115" s="87"/>
      <c r="X1115" s="91"/>
      <c r="Y1115" s="84"/>
      <c r="Z1115" s="97"/>
    </row>
    <row r="1116" spans="1:26" s="98" customFormat="1" x14ac:dyDescent="0.35">
      <c r="A1116" s="86">
        <v>1113</v>
      </c>
      <c r="B1116" s="85"/>
      <c r="C1116" s="87"/>
      <c r="D1116" s="85"/>
      <c r="E1116" s="84"/>
      <c r="F1116" s="85"/>
      <c r="G1116" s="87"/>
      <c r="H1116" s="87"/>
      <c r="I1116" s="87"/>
      <c r="J1116" s="101"/>
      <c r="K1116" s="87"/>
      <c r="L1116" s="91"/>
      <c r="M1116" s="91"/>
      <c r="N1116" s="88">
        <f>Goods_Receipt[[#This Row],[ Invoice. /
 Received Qty ]]-Goods_Receipt[[#This Row],[ Accepted Qty ]]</f>
        <v>0</v>
      </c>
      <c r="O1116" s="87"/>
      <c r="P1116" s="87"/>
      <c r="Q1116" s="87"/>
      <c r="R1116" s="87"/>
      <c r="S1116" s="87"/>
      <c r="T1116" s="85"/>
      <c r="U1116" s="89"/>
      <c r="V1116" s="90"/>
      <c r="W1116" s="87"/>
      <c r="X1116" s="91"/>
      <c r="Y1116" s="84"/>
      <c r="Z1116" s="97"/>
    </row>
    <row r="1117" spans="1:26" s="98" customFormat="1" x14ac:dyDescent="0.35">
      <c r="A1117" s="86">
        <v>1114</v>
      </c>
      <c r="B1117" s="85"/>
      <c r="C1117" s="87"/>
      <c r="D1117" s="85"/>
      <c r="E1117" s="84"/>
      <c r="F1117" s="85"/>
      <c r="G1117" s="87"/>
      <c r="H1117" s="87"/>
      <c r="I1117" s="87"/>
      <c r="J1117" s="101"/>
      <c r="K1117" s="87"/>
      <c r="L1117" s="91"/>
      <c r="M1117" s="91"/>
      <c r="N1117" s="88">
        <f>Goods_Receipt[[#This Row],[ Invoice. /
 Received Qty ]]-Goods_Receipt[[#This Row],[ Accepted Qty ]]</f>
        <v>0</v>
      </c>
      <c r="O1117" s="87"/>
      <c r="P1117" s="87"/>
      <c r="Q1117" s="87"/>
      <c r="R1117" s="87"/>
      <c r="S1117" s="87"/>
      <c r="T1117" s="85"/>
      <c r="U1117" s="89"/>
      <c r="V1117" s="90"/>
      <c r="W1117" s="87"/>
      <c r="X1117" s="91"/>
      <c r="Y1117" s="84"/>
      <c r="Z1117" s="97"/>
    </row>
    <row r="1118" spans="1:26" s="98" customFormat="1" x14ac:dyDescent="0.35">
      <c r="A1118" s="86">
        <v>1115</v>
      </c>
      <c r="B1118" s="85"/>
      <c r="C1118" s="87"/>
      <c r="D1118" s="85"/>
      <c r="E1118" s="84"/>
      <c r="F1118" s="85"/>
      <c r="G1118" s="87"/>
      <c r="H1118" s="87"/>
      <c r="I1118" s="87"/>
      <c r="J1118" s="101"/>
      <c r="K1118" s="87"/>
      <c r="L1118" s="91"/>
      <c r="M1118" s="91"/>
      <c r="N1118" s="88">
        <f>Goods_Receipt[[#This Row],[ Invoice. /
 Received Qty ]]-Goods_Receipt[[#This Row],[ Accepted Qty ]]</f>
        <v>0</v>
      </c>
      <c r="O1118" s="87"/>
      <c r="P1118" s="87"/>
      <c r="Q1118" s="87"/>
      <c r="R1118" s="87"/>
      <c r="S1118" s="87"/>
      <c r="T1118" s="85"/>
      <c r="U1118" s="89"/>
      <c r="V1118" s="90"/>
      <c r="W1118" s="87"/>
      <c r="X1118" s="91"/>
      <c r="Y1118" s="84"/>
      <c r="Z1118" s="97"/>
    </row>
    <row r="1119" spans="1:26" s="98" customFormat="1" x14ac:dyDescent="0.35">
      <c r="A1119" s="86">
        <v>1116</v>
      </c>
      <c r="B1119" s="85"/>
      <c r="C1119" s="87"/>
      <c r="D1119" s="85"/>
      <c r="E1119" s="84"/>
      <c r="F1119" s="85"/>
      <c r="G1119" s="87"/>
      <c r="H1119" s="87"/>
      <c r="I1119" s="87"/>
      <c r="J1119" s="101"/>
      <c r="K1119" s="87"/>
      <c r="L1119" s="91"/>
      <c r="M1119" s="91"/>
      <c r="N1119" s="88">
        <f>Goods_Receipt[[#This Row],[ Invoice. /
 Received Qty ]]-Goods_Receipt[[#This Row],[ Accepted Qty ]]</f>
        <v>0</v>
      </c>
      <c r="O1119" s="87"/>
      <c r="P1119" s="87"/>
      <c r="Q1119" s="87"/>
      <c r="R1119" s="87"/>
      <c r="S1119" s="87"/>
      <c r="T1119" s="85"/>
      <c r="U1119" s="89"/>
      <c r="V1119" s="90"/>
      <c r="W1119" s="87"/>
      <c r="X1119" s="91"/>
      <c r="Y1119" s="84"/>
      <c r="Z1119" s="97"/>
    </row>
    <row r="1120" spans="1:26" s="98" customFormat="1" x14ac:dyDescent="0.35">
      <c r="A1120" s="86">
        <v>1117</v>
      </c>
      <c r="B1120" s="85"/>
      <c r="C1120" s="87"/>
      <c r="D1120" s="85"/>
      <c r="E1120" s="84"/>
      <c r="F1120" s="85"/>
      <c r="G1120" s="87"/>
      <c r="H1120" s="87"/>
      <c r="I1120" s="87"/>
      <c r="J1120" s="101"/>
      <c r="K1120" s="87"/>
      <c r="L1120" s="91"/>
      <c r="M1120" s="91"/>
      <c r="N1120" s="88">
        <f>Goods_Receipt[[#This Row],[ Invoice. /
 Received Qty ]]-Goods_Receipt[[#This Row],[ Accepted Qty ]]</f>
        <v>0</v>
      </c>
      <c r="O1120" s="87"/>
      <c r="P1120" s="87"/>
      <c r="Q1120" s="87"/>
      <c r="R1120" s="87"/>
      <c r="S1120" s="87"/>
      <c r="T1120" s="85"/>
      <c r="U1120" s="89"/>
      <c r="V1120" s="90"/>
      <c r="W1120" s="87"/>
      <c r="X1120" s="91"/>
      <c r="Y1120" s="84"/>
      <c r="Z1120" s="97"/>
    </row>
    <row r="1121" spans="1:26" s="98" customFormat="1" x14ac:dyDescent="0.35">
      <c r="A1121" s="86">
        <v>1118</v>
      </c>
      <c r="B1121" s="85"/>
      <c r="C1121" s="87"/>
      <c r="D1121" s="85"/>
      <c r="E1121" s="84"/>
      <c r="F1121" s="85"/>
      <c r="G1121" s="87"/>
      <c r="H1121" s="87"/>
      <c r="I1121" s="87"/>
      <c r="J1121" s="101"/>
      <c r="K1121" s="87"/>
      <c r="L1121" s="91"/>
      <c r="M1121" s="91"/>
      <c r="N1121" s="88">
        <f>Goods_Receipt[[#This Row],[ Invoice. /
 Received Qty ]]-Goods_Receipt[[#This Row],[ Accepted Qty ]]</f>
        <v>0</v>
      </c>
      <c r="O1121" s="87"/>
      <c r="P1121" s="87"/>
      <c r="Q1121" s="87"/>
      <c r="R1121" s="87"/>
      <c r="S1121" s="87"/>
      <c r="T1121" s="85"/>
      <c r="U1121" s="89"/>
      <c r="V1121" s="90"/>
      <c r="W1121" s="87"/>
      <c r="X1121" s="91"/>
      <c r="Y1121" s="84"/>
      <c r="Z1121" s="97"/>
    </row>
    <row r="1122" spans="1:26" s="98" customFormat="1" x14ac:dyDescent="0.35">
      <c r="A1122" s="86">
        <v>1119</v>
      </c>
      <c r="B1122" s="85"/>
      <c r="C1122" s="87"/>
      <c r="D1122" s="85"/>
      <c r="E1122" s="84"/>
      <c r="F1122" s="85"/>
      <c r="G1122" s="87"/>
      <c r="H1122" s="87"/>
      <c r="I1122" s="87"/>
      <c r="J1122" s="101"/>
      <c r="K1122" s="87"/>
      <c r="L1122" s="91"/>
      <c r="M1122" s="91"/>
      <c r="N1122" s="88">
        <f>Goods_Receipt[[#This Row],[ Invoice. /
 Received Qty ]]-Goods_Receipt[[#This Row],[ Accepted Qty ]]</f>
        <v>0</v>
      </c>
      <c r="O1122" s="87"/>
      <c r="P1122" s="87"/>
      <c r="Q1122" s="87"/>
      <c r="R1122" s="87"/>
      <c r="S1122" s="87"/>
      <c r="T1122" s="85"/>
      <c r="U1122" s="89"/>
      <c r="V1122" s="90"/>
      <c r="W1122" s="87"/>
      <c r="X1122" s="91"/>
      <c r="Y1122" s="84"/>
      <c r="Z1122" s="97"/>
    </row>
    <row r="1123" spans="1:26" s="98" customFormat="1" x14ac:dyDescent="0.35">
      <c r="A1123" s="86">
        <v>1120</v>
      </c>
      <c r="B1123" s="85"/>
      <c r="C1123" s="87"/>
      <c r="D1123" s="85"/>
      <c r="E1123" s="84"/>
      <c r="F1123" s="85"/>
      <c r="G1123" s="87"/>
      <c r="H1123" s="87"/>
      <c r="I1123" s="87"/>
      <c r="J1123" s="101"/>
      <c r="K1123" s="87"/>
      <c r="L1123" s="91"/>
      <c r="M1123" s="91"/>
      <c r="N1123" s="88">
        <f>Goods_Receipt[[#This Row],[ Invoice. /
 Received Qty ]]-Goods_Receipt[[#This Row],[ Accepted Qty ]]</f>
        <v>0</v>
      </c>
      <c r="O1123" s="87"/>
      <c r="P1123" s="87"/>
      <c r="Q1123" s="87"/>
      <c r="R1123" s="87"/>
      <c r="S1123" s="87"/>
      <c r="T1123" s="85"/>
      <c r="U1123" s="89"/>
      <c r="V1123" s="90"/>
      <c r="W1123" s="87"/>
      <c r="X1123" s="91"/>
      <c r="Y1123" s="84"/>
      <c r="Z1123" s="97"/>
    </row>
    <row r="1124" spans="1:26" s="98" customFormat="1" x14ac:dyDescent="0.35">
      <c r="A1124" s="86">
        <v>1121</v>
      </c>
      <c r="B1124" s="85"/>
      <c r="C1124" s="87"/>
      <c r="D1124" s="85"/>
      <c r="E1124" s="84"/>
      <c r="F1124" s="85"/>
      <c r="G1124" s="87"/>
      <c r="H1124" s="87"/>
      <c r="I1124" s="87"/>
      <c r="J1124" s="101"/>
      <c r="K1124" s="87"/>
      <c r="L1124" s="91"/>
      <c r="M1124" s="91"/>
      <c r="N1124" s="88">
        <f>Goods_Receipt[[#This Row],[ Invoice. /
 Received Qty ]]-Goods_Receipt[[#This Row],[ Accepted Qty ]]</f>
        <v>0</v>
      </c>
      <c r="O1124" s="87"/>
      <c r="P1124" s="87"/>
      <c r="Q1124" s="87"/>
      <c r="R1124" s="87"/>
      <c r="S1124" s="87"/>
      <c r="T1124" s="85"/>
      <c r="U1124" s="89"/>
      <c r="V1124" s="90"/>
      <c r="W1124" s="87"/>
      <c r="X1124" s="91"/>
      <c r="Y1124" s="84"/>
      <c r="Z1124" s="97"/>
    </row>
    <row r="1125" spans="1:26" s="98" customFormat="1" x14ac:dyDescent="0.35">
      <c r="A1125" s="86">
        <v>1122</v>
      </c>
      <c r="B1125" s="85"/>
      <c r="C1125" s="87"/>
      <c r="D1125" s="85"/>
      <c r="E1125" s="84"/>
      <c r="F1125" s="85"/>
      <c r="G1125" s="87"/>
      <c r="H1125" s="87"/>
      <c r="I1125" s="87"/>
      <c r="J1125" s="101"/>
      <c r="K1125" s="87"/>
      <c r="L1125" s="91"/>
      <c r="M1125" s="91"/>
      <c r="N1125" s="88">
        <f>Goods_Receipt[[#This Row],[ Invoice. /
 Received Qty ]]-Goods_Receipt[[#This Row],[ Accepted Qty ]]</f>
        <v>0</v>
      </c>
      <c r="O1125" s="87"/>
      <c r="P1125" s="87"/>
      <c r="Q1125" s="87"/>
      <c r="R1125" s="87"/>
      <c r="S1125" s="87"/>
      <c r="T1125" s="85"/>
      <c r="U1125" s="89"/>
      <c r="V1125" s="90"/>
      <c r="W1125" s="87"/>
      <c r="X1125" s="91"/>
      <c r="Y1125" s="84"/>
      <c r="Z1125" s="97"/>
    </row>
    <row r="1126" spans="1:26" s="98" customFormat="1" x14ac:dyDescent="0.35">
      <c r="A1126" s="86">
        <v>1123</v>
      </c>
      <c r="B1126" s="85"/>
      <c r="C1126" s="87"/>
      <c r="D1126" s="85"/>
      <c r="E1126" s="84"/>
      <c r="F1126" s="85"/>
      <c r="G1126" s="87"/>
      <c r="H1126" s="87"/>
      <c r="I1126" s="87"/>
      <c r="J1126" s="101"/>
      <c r="K1126" s="87"/>
      <c r="L1126" s="91"/>
      <c r="M1126" s="91"/>
      <c r="N1126" s="88">
        <f>Goods_Receipt[[#This Row],[ Invoice. /
 Received Qty ]]-Goods_Receipt[[#This Row],[ Accepted Qty ]]</f>
        <v>0</v>
      </c>
      <c r="O1126" s="87"/>
      <c r="P1126" s="87"/>
      <c r="Q1126" s="87"/>
      <c r="R1126" s="87"/>
      <c r="S1126" s="87"/>
      <c r="T1126" s="85"/>
      <c r="U1126" s="89"/>
      <c r="V1126" s="90"/>
      <c r="W1126" s="87"/>
      <c r="X1126" s="91"/>
      <c r="Y1126" s="84"/>
      <c r="Z1126" s="97"/>
    </row>
    <row r="1127" spans="1:26" s="98" customFormat="1" x14ac:dyDescent="0.35">
      <c r="A1127" s="86">
        <v>1124</v>
      </c>
      <c r="B1127" s="85"/>
      <c r="C1127" s="87"/>
      <c r="D1127" s="85"/>
      <c r="E1127" s="84"/>
      <c r="F1127" s="85"/>
      <c r="G1127" s="87"/>
      <c r="H1127" s="87"/>
      <c r="I1127" s="87"/>
      <c r="J1127" s="101"/>
      <c r="K1127" s="87"/>
      <c r="L1127" s="91"/>
      <c r="M1127" s="91"/>
      <c r="N1127" s="88">
        <f>Goods_Receipt[[#This Row],[ Invoice. /
 Received Qty ]]-Goods_Receipt[[#This Row],[ Accepted Qty ]]</f>
        <v>0</v>
      </c>
      <c r="O1127" s="87"/>
      <c r="P1127" s="87"/>
      <c r="Q1127" s="87"/>
      <c r="R1127" s="87"/>
      <c r="S1127" s="87"/>
      <c r="T1127" s="85"/>
      <c r="U1127" s="89"/>
      <c r="V1127" s="90"/>
      <c r="W1127" s="87"/>
      <c r="X1127" s="91"/>
      <c r="Y1127" s="84"/>
      <c r="Z1127" s="97"/>
    </row>
    <row r="1128" spans="1:26" s="98" customFormat="1" x14ac:dyDescent="0.35">
      <c r="A1128" s="86">
        <v>1125</v>
      </c>
      <c r="B1128" s="85"/>
      <c r="C1128" s="87"/>
      <c r="D1128" s="85"/>
      <c r="E1128" s="84"/>
      <c r="F1128" s="85"/>
      <c r="G1128" s="87"/>
      <c r="H1128" s="87"/>
      <c r="I1128" s="87"/>
      <c r="J1128" s="101"/>
      <c r="K1128" s="87"/>
      <c r="L1128" s="91"/>
      <c r="M1128" s="91"/>
      <c r="N1128" s="88">
        <f>Goods_Receipt[[#This Row],[ Invoice. /
 Received Qty ]]-Goods_Receipt[[#This Row],[ Accepted Qty ]]</f>
        <v>0</v>
      </c>
      <c r="O1128" s="87"/>
      <c r="P1128" s="87"/>
      <c r="Q1128" s="87"/>
      <c r="R1128" s="87"/>
      <c r="S1128" s="87"/>
      <c r="T1128" s="85"/>
      <c r="U1128" s="89"/>
      <c r="V1128" s="90"/>
      <c r="W1128" s="87"/>
      <c r="X1128" s="91"/>
      <c r="Y1128" s="84"/>
      <c r="Z1128" s="97"/>
    </row>
    <row r="1129" spans="1:26" s="98" customFormat="1" x14ac:dyDescent="0.35">
      <c r="A1129" s="86">
        <v>1126</v>
      </c>
      <c r="B1129" s="85"/>
      <c r="C1129" s="87"/>
      <c r="D1129" s="85"/>
      <c r="E1129" s="84"/>
      <c r="F1129" s="85"/>
      <c r="G1129" s="87"/>
      <c r="H1129" s="87"/>
      <c r="I1129" s="87"/>
      <c r="J1129" s="101"/>
      <c r="K1129" s="87"/>
      <c r="L1129" s="91"/>
      <c r="M1129" s="91"/>
      <c r="N1129" s="88">
        <f>Goods_Receipt[[#This Row],[ Invoice. /
 Received Qty ]]-Goods_Receipt[[#This Row],[ Accepted Qty ]]</f>
        <v>0</v>
      </c>
      <c r="O1129" s="87"/>
      <c r="P1129" s="87"/>
      <c r="Q1129" s="87"/>
      <c r="R1129" s="87"/>
      <c r="S1129" s="87"/>
      <c r="T1129" s="85"/>
      <c r="U1129" s="89"/>
      <c r="V1129" s="90"/>
      <c r="W1129" s="87"/>
      <c r="X1129" s="91"/>
      <c r="Y1129" s="84"/>
      <c r="Z1129" s="97"/>
    </row>
    <row r="1130" spans="1:26" s="98" customFormat="1" x14ac:dyDescent="0.35">
      <c r="A1130" s="86">
        <v>1127</v>
      </c>
      <c r="B1130" s="85"/>
      <c r="C1130" s="87"/>
      <c r="D1130" s="85"/>
      <c r="E1130" s="84"/>
      <c r="F1130" s="85"/>
      <c r="G1130" s="87"/>
      <c r="H1130" s="87"/>
      <c r="I1130" s="87"/>
      <c r="J1130" s="101"/>
      <c r="K1130" s="87"/>
      <c r="L1130" s="91"/>
      <c r="M1130" s="91"/>
      <c r="N1130" s="88">
        <f>Goods_Receipt[[#This Row],[ Invoice. /
 Received Qty ]]-Goods_Receipt[[#This Row],[ Accepted Qty ]]</f>
        <v>0</v>
      </c>
      <c r="O1130" s="87"/>
      <c r="P1130" s="87"/>
      <c r="Q1130" s="87"/>
      <c r="R1130" s="87"/>
      <c r="S1130" s="87"/>
      <c r="T1130" s="85"/>
      <c r="U1130" s="89"/>
      <c r="V1130" s="90"/>
      <c r="W1130" s="87"/>
      <c r="X1130" s="91"/>
      <c r="Y1130" s="84"/>
      <c r="Z1130" s="97"/>
    </row>
    <row r="1131" spans="1:26" s="98" customFormat="1" x14ac:dyDescent="0.35">
      <c r="A1131" s="86">
        <v>1128</v>
      </c>
      <c r="B1131" s="85"/>
      <c r="C1131" s="87"/>
      <c r="D1131" s="85"/>
      <c r="E1131" s="84"/>
      <c r="F1131" s="85"/>
      <c r="G1131" s="87"/>
      <c r="H1131" s="87"/>
      <c r="I1131" s="87"/>
      <c r="J1131" s="101"/>
      <c r="K1131" s="87"/>
      <c r="L1131" s="91"/>
      <c r="M1131" s="91"/>
      <c r="N1131" s="88">
        <f>Goods_Receipt[[#This Row],[ Invoice. /
 Received Qty ]]-Goods_Receipt[[#This Row],[ Accepted Qty ]]</f>
        <v>0</v>
      </c>
      <c r="O1131" s="87"/>
      <c r="P1131" s="87"/>
      <c r="Q1131" s="87"/>
      <c r="R1131" s="87"/>
      <c r="S1131" s="87"/>
      <c r="T1131" s="85"/>
      <c r="U1131" s="89"/>
      <c r="V1131" s="90"/>
      <c r="W1131" s="87"/>
      <c r="X1131" s="91"/>
      <c r="Y1131" s="84"/>
      <c r="Z1131" s="97"/>
    </row>
    <row r="1132" spans="1:26" s="98" customFormat="1" x14ac:dyDescent="0.35">
      <c r="A1132" s="86">
        <v>1129</v>
      </c>
      <c r="B1132" s="85"/>
      <c r="C1132" s="87"/>
      <c r="D1132" s="85"/>
      <c r="E1132" s="84"/>
      <c r="F1132" s="85"/>
      <c r="G1132" s="87"/>
      <c r="H1132" s="87"/>
      <c r="I1132" s="87"/>
      <c r="J1132" s="101"/>
      <c r="K1132" s="87"/>
      <c r="L1132" s="91"/>
      <c r="M1132" s="91"/>
      <c r="N1132" s="88">
        <f>Goods_Receipt[[#This Row],[ Invoice. /
 Received Qty ]]-Goods_Receipt[[#This Row],[ Accepted Qty ]]</f>
        <v>0</v>
      </c>
      <c r="O1132" s="87"/>
      <c r="P1132" s="87"/>
      <c r="Q1132" s="87"/>
      <c r="R1132" s="87"/>
      <c r="S1132" s="87"/>
      <c r="T1132" s="85"/>
      <c r="U1132" s="89"/>
      <c r="V1132" s="90"/>
      <c r="W1132" s="87"/>
      <c r="X1132" s="91"/>
      <c r="Y1132" s="84"/>
      <c r="Z1132" s="97"/>
    </row>
    <row r="1133" spans="1:26" s="98" customFormat="1" x14ac:dyDescent="0.35">
      <c r="A1133" s="86">
        <v>1130</v>
      </c>
      <c r="B1133" s="85"/>
      <c r="C1133" s="87"/>
      <c r="D1133" s="85"/>
      <c r="E1133" s="84"/>
      <c r="F1133" s="85"/>
      <c r="G1133" s="87"/>
      <c r="H1133" s="87"/>
      <c r="I1133" s="87"/>
      <c r="J1133" s="101"/>
      <c r="K1133" s="87"/>
      <c r="L1133" s="91"/>
      <c r="M1133" s="91"/>
      <c r="N1133" s="88">
        <f>Goods_Receipt[[#This Row],[ Invoice. /
 Received Qty ]]-Goods_Receipt[[#This Row],[ Accepted Qty ]]</f>
        <v>0</v>
      </c>
      <c r="O1133" s="87"/>
      <c r="P1133" s="87"/>
      <c r="Q1133" s="87"/>
      <c r="R1133" s="87"/>
      <c r="S1133" s="87"/>
      <c r="T1133" s="85"/>
      <c r="U1133" s="89"/>
      <c r="V1133" s="90"/>
      <c r="W1133" s="87"/>
      <c r="X1133" s="91"/>
      <c r="Y1133" s="84"/>
      <c r="Z1133" s="97"/>
    </row>
    <row r="1134" spans="1:26" s="98" customFormat="1" x14ac:dyDescent="0.35">
      <c r="A1134" s="86">
        <v>1131</v>
      </c>
      <c r="B1134" s="85"/>
      <c r="C1134" s="87"/>
      <c r="D1134" s="85"/>
      <c r="E1134" s="84"/>
      <c r="F1134" s="85"/>
      <c r="G1134" s="87"/>
      <c r="H1134" s="87"/>
      <c r="I1134" s="87"/>
      <c r="J1134" s="101"/>
      <c r="K1134" s="87"/>
      <c r="L1134" s="91"/>
      <c r="M1134" s="91"/>
      <c r="N1134" s="88">
        <f>Goods_Receipt[[#This Row],[ Invoice. /
 Received Qty ]]-Goods_Receipt[[#This Row],[ Accepted Qty ]]</f>
        <v>0</v>
      </c>
      <c r="O1134" s="87"/>
      <c r="P1134" s="87"/>
      <c r="Q1134" s="87"/>
      <c r="R1134" s="87"/>
      <c r="S1134" s="87"/>
      <c r="T1134" s="85"/>
      <c r="U1134" s="89"/>
      <c r="V1134" s="90"/>
      <c r="W1134" s="87"/>
      <c r="X1134" s="91"/>
      <c r="Y1134" s="84"/>
      <c r="Z1134" s="97"/>
    </row>
    <row r="1135" spans="1:26" s="98" customFormat="1" x14ac:dyDescent="0.35">
      <c r="A1135" s="86">
        <v>1132</v>
      </c>
      <c r="B1135" s="85"/>
      <c r="C1135" s="87"/>
      <c r="D1135" s="85"/>
      <c r="E1135" s="84"/>
      <c r="F1135" s="85"/>
      <c r="G1135" s="87"/>
      <c r="H1135" s="87"/>
      <c r="I1135" s="87"/>
      <c r="J1135" s="101"/>
      <c r="K1135" s="87"/>
      <c r="L1135" s="91"/>
      <c r="M1135" s="91"/>
      <c r="N1135" s="88">
        <f>Goods_Receipt[[#This Row],[ Invoice. /
 Received Qty ]]-Goods_Receipt[[#This Row],[ Accepted Qty ]]</f>
        <v>0</v>
      </c>
      <c r="O1135" s="87"/>
      <c r="P1135" s="87"/>
      <c r="Q1135" s="87"/>
      <c r="R1135" s="87"/>
      <c r="S1135" s="87"/>
      <c r="T1135" s="85"/>
      <c r="U1135" s="89"/>
      <c r="V1135" s="90"/>
      <c r="W1135" s="87"/>
      <c r="X1135" s="91"/>
      <c r="Y1135" s="84"/>
      <c r="Z1135" s="97"/>
    </row>
    <row r="1136" spans="1:26" s="98" customFormat="1" x14ac:dyDescent="0.35">
      <c r="A1136" s="86">
        <v>1133</v>
      </c>
      <c r="B1136" s="85"/>
      <c r="C1136" s="87"/>
      <c r="D1136" s="85"/>
      <c r="E1136" s="84"/>
      <c r="F1136" s="85"/>
      <c r="G1136" s="87"/>
      <c r="H1136" s="87"/>
      <c r="I1136" s="87"/>
      <c r="J1136" s="101"/>
      <c r="K1136" s="87"/>
      <c r="L1136" s="91"/>
      <c r="M1136" s="91"/>
      <c r="N1136" s="88">
        <f>Goods_Receipt[[#This Row],[ Invoice. /
 Received Qty ]]-Goods_Receipt[[#This Row],[ Accepted Qty ]]</f>
        <v>0</v>
      </c>
      <c r="O1136" s="87"/>
      <c r="P1136" s="87"/>
      <c r="Q1136" s="87"/>
      <c r="R1136" s="87"/>
      <c r="S1136" s="87"/>
      <c r="T1136" s="85"/>
      <c r="U1136" s="89"/>
      <c r="V1136" s="90"/>
      <c r="W1136" s="87"/>
      <c r="X1136" s="91"/>
      <c r="Y1136" s="84"/>
      <c r="Z1136" s="97"/>
    </row>
    <row r="1137" spans="1:26" s="98" customFormat="1" x14ac:dyDescent="0.35">
      <c r="A1137" s="86">
        <v>1134</v>
      </c>
      <c r="B1137" s="85"/>
      <c r="C1137" s="87"/>
      <c r="D1137" s="85"/>
      <c r="E1137" s="84"/>
      <c r="F1137" s="85"/>
      <c r="G1137" s="87"/>
      <c r="H1137" s="87"/>
      <c r="I1137" s="87"/>
      <c r="J1137" s="101"/>
      <c r="K1137" s="87"/>
      <c r="L1137" s="91"/>
      <c r="M1137" s="91"/>
      <c r="N1137" s="88">
        <f>Goods_Receipt[[#This Row],[ Invoice. /
 Received Qty ]]-Goods_Receipt[[#This Row],[ Accepted Qty ]]</f>
        <v>0</v>
      </c>
      <c r="O1137" s="87"/>
      <c r="P1137" s="87"/>
      <c r="Q1137" s="87"/>
      <c r="R1137" s="87"/>
      <c r="S1137" s="87"/>
      <c r="T1137" s="85"/>
      <c r="U1137" s="89"/>
      <c r="V1137" s="90"/>
      <c r="W1137" s="87"/>
      <c r="X1137" s="91"/>
      <c r="Y1137" s="84"/>
      <c r="Z1137" s="97"/>
    </row>
    <row r="1138" spans="1:26" s="98" customFormat="1" x14ac:dyDescent="0.35">
      <c r="A1138" s="86">
        <v>1135</v>
      </c>
      <c r="B1138" s="85"/>
      <c r="C1138" s="87"/>
      <c r="D1138" s="85"/>
      <c r="E1138" s="84"/>
      <c r="F1138" s="85"/>
      <c r="G1138" s="87"/>
      <c r="H1138" s="87"/>
      <c r="I1138" s="87"/>
      <c r="J1138" s="101"/>
      <c r="K1138" s="87"/>
      <c r="L1138" s="91"/>
      <c r="M1138" s="91"/>
      <c r="N1138" s="88">
        <f>Goods_Receipt[[#This Row],[ Invoice. /
 Received Qty ]]-Goods_Receipt[[#This Row],[ Accepted Qty ]]</f>
        <v>0</v>
      </c>
      <c r="O1138" s="87"/>
      <c r="P1138" s="87"/>
      <c r="Q1138" s="87"/>
      <c r="R1138" s="87"/>
      <c r="S1138" s="87"/>
      <c r="T1138" s="85"/>
      <c r="U1138" s="89"/>
      <c r="V1138" s="90"/>
      <c r="W1138" s="87"/>
      <c r="X1138" s="91"/>
      <c r="Y1138" s="84"/>
      <c r="Z1138" s="97"/>
    </row>
    <row r="1139" spans="1:26" s="98" customFormat="1" x14ac:dyDescent="0.35">
      <c r="A1139" s="86">
        <v>1136</v>
      </c>
      <c r="B1139" s="85"/>
      <c r="C1139" s="87"/>
      <c r="D1139" s="85"/>
      <c r="E1139" s="84"/>
      <c r="F1139" s="85"/>
      <c r="G1139" s="87"/>
      <c r="H1139" s="87"/>
      <c r="I1139" s="87"/>
      <c r="J1139" s="101"/>
      <c r="K1139" s="87"/>
      <c r="L1139" s="91"/>
      <c r="M1139" s="91"/>
      <c r="N1139" s="88">
        <f>Goods_Receipt[[#This Row],[ Invoice. /
 Received Qty ]]-Goods_Receipt[[#This Row],[ Accepted Qty ]]</f>
        <v>0</v>
      </c>
      <c r="O1139" s="87"/>
      <c r="P1139" s="87"/>
      <c r="Q1139" s="87"/>
      <c r="R1139" s="87"/>
      <c r="S1139" s="87"/>
      <c r="T1139" s="85"/>
      <c r="U1139" s="89"/>
      <c r="V1139" s="90"/>
      <c r="W1139" s="87"/>
      <c r="X1139" s="91"/>
      <c r="Y1139" s="84"/>
      <c r="Z1139" s="97"/>
    </row>
    <row r="1140" spans="1:26" s="98" customFormat="1" x14ac:dyDescent="0.35">
      <c r="A1140" s="86">
        <v>1137</v>
      </c>
      <c r="B1140" s="85"/>
      <c r="C1140" s="87"/>
      <c r="D1140" s="85"/>
      <c r="E1140" s="84"/>
      <c r="F1140" s="85"/>
      <c r="G1140" s="87"/>
      <c r="H1140" s="87"/>
      <c r="I1140" s="87"/>
      <c r="J1140" s="101"/>
      <c r="K1140" s="87"/>
      <c r="L1140" s="91"/>
      <c r="M1140" s="91"/>
      <c r="N1140" s="88">
        <f>Goods_Receipt[[#This Row],[ Invoice. /
 Received Qty ]]-Goods_Receipt[[#This Row],[ Accepted Qty ]]</f>
        <v>0</v>
      </c>
      <c r="O1140" s="87"/>
      <c r="P1140" s="87"/>
      <c r="Q1140" s="87"/>
      <c r="R1140" s="87"/>
      <c r="S1140" s="87"/>
      <c r="T1140" s="85"/>
      <c r="U1140" s="89"/>
      <c r="V1140" s="90"/>
      <c r="W1140" s="87"/>
      <c r="X1140" s="91"/>
      <c r="Y1140" s="84"/>
      <c r="Z1140" s="97"/>
    </row>
    <row r="1141" spans="1:26" s="98" customFormat="1" x14ac:dyDescent="0.35">
      <c r="A1141" s="86">
        <v>1138</v>
      </c>
      <c r="B1141" s="85"/>
      <c r="C1141" s="87"/>
      <c r="D1141" s="85"/>
      <c r="E1141" s="84"/>
      <c r="F1141" s="85"/>
      <c r="G1141" s="87"/>
      <c r="H1141" s="87"/>
      <c r="I1141" s="87"/>
      <c r="J1141" s="101"/>
      <c r="K1141" s="87"/>
      <c r="L1141" s="91"/>
      <c r="M1141" s="91"/>
      <c r="N1141" s="88">
        <f>Goods_Receipt[[#This Row],[ Invoice. /
 Received Qty ]]-Goods_Receipt[[#This Row],[ Accepted Qty ]]</f>
        <v>0</v>
      </c>
      <c r="O1141" s="87"/>
      <c r="P1141" s="87"/>
      <c r="Q1141" s="87"/>
      <c r="R1141" s="87"/>
      <c r="S1141" s="87"/>
      <c r="T1141" s="85"/>
      <c r="U1141" s="89"/>
      <c r="V1141" s="90"/>
      <c r="W1141" s="87"/>
      <c r="X1141" s="91"/>
      <c r="Y1141" s="84"/>
      <c r="Z1141" s="97"/>
    </row>
    <row r="1142" spans="1:26" s="98" customFormat="1" x14ac:dyDescent="0.35">
      <c r="A1142" s="86">
        <v>1139</v>
      </c>
      <c r="B1142" s="85"/>
      <c r="C1142" s="87"/>
      <c r="D1142" s="85"/>
      <c r="E1142" s="84"/>
      <c r="F1142" s="85"/>
      <c r="G1142" s="87"/>
      <c r="H1142" s="87"/>
      <c r="I1142" s="87"/>
      <c r="J1142" s="101"/>
      <c r="K1142" s="87"/>
      <c r="L1142" s="91"/>
      <c r="M1142" s="91"/>
      <c r="N1142" s="88">
        <f>Goods_Receipt[[#This Row],[ Invoice. /
 Received Qty ]]-Goods_Receipt[[#This Row],[ Accepted Qty ]]</f>
        <v>0</v>
      </c>
      <c r="O1142" s="87"/>
      <c r="P1142" s="87"/>
      <c r="Q1142" s="87"/>
      <c r="R1142" s="87"/>
      <c r="S1142" s="87"/>
      <c r="T1142" s="85"/>
      <c r="U1142" s="89"/>
      <c r="V1142" s="90"/>
      <c r="W1142" s="87"/>
      <c r="X1142" s="91"/>
      <c r="Y1142" s="84"/>
      <c r="Z1142" s="97"/>
    </row>
    <row r="1143" spans="1:26" s="98" customFormat="1" x14ac:dyDescent="0.35">
      <c r="A1143" s="86">
        <v>1140</v>
      </c>
      <c r="B1143" s="85"/>
      <c r="C1143" s="87"/>
      <c r="D1143" s="85"/>
      <c r="E1143" s="84"/>
      <c r="F1143" s="85"/>
      <c r="G1143" s="87"/>
      <c r="H1143" s="87"/>
      <c r="I1143" s="87"/>
      <c r="J1143" s="101"/>
      <c r="K1143" s="87"/>
      <c r="L1143" s="91"/>
      <c r="M1143" s="91"/>
      <c r="N1143" s="88">
        <f>Goods_Receipt[[#This Row],[ Invoice. /
 Received Qty ]]-Goods_Receipt[[#This Row],[ Accepted Qty ]]</f>
        <v>0</v>
      </c>
      <c r="O1143" s="87"/>
      <c r="P1143" s="87"/>
      <c r="Q1143" s="87"/>
      <c r="R1143" s="87"/>
      <c r="S1143" s="87"/>
      <c r="T1143" s="85"/>
      <c r="U1143" s="89"/>
      <c r="V1143" s="90"/>
      <c r="W1143" s="87"/>
      <c r="X1143" s="91"/>
      <c r="Y1143" s="84"/>
      <c r="Z1143" s="97"/>
    </row>
    <row r="1144" spans="1:26" s="98" customFormat="1" x14ac:dyDescent="0.35">
      <c r="A1144" s="86">
        <v>1141</v>
      </c>
      <c r="B1144" s="85"/>
      <c r="C1144" s="87"/>
      <c r="D1144" s="85"/>
      <c r="E1144" s="84"/>
      <c r="F1144" s="85"/>
      <c r="G1144" s="87"/>
      <c r="H1144" s="87"/>
      <c r="I1144" s="87"/>
      <c r="J1144" s="101"/>
      <c r="K1144" s="87"/>
      <c r="L1144" s="91"/>
      <c r="M1144" s="91"/>
      <c r="N1144" s="88">
        <f>Goods_Receipt[[#This Row],[ Invoice. /
 Received Qty ]]-Goods_Receipt[[#This Row],[ Accepted Qty ]]</f>
        <v>0</v>
      </c>
      <c r="O1144" s="87"/>
      <c r="P1144" s="87"/>
      <c r="Q1144" s="87"/>
      <c r="R1144" s="87"/>
      <c r="S1144" s="87"/>
      <c r="T1144" s="85"/>
      <c r="U1144" s="89"/>
      <c r="V1144" s="90"/>
      <c r="W1144" s="87"/>
      <c r="X1144" s="91"/>
      <c r="Y1144" s="84"/>
      <c r="Z1144" s="97"/>
    </row>
    <row r="1145" spans="1:26" s="98" customFormat="1" x14ac:dyDescent="0.35">
      <c r="A1145" s="86">
        <v>1142</v>
      </c>
      <c r="B1145" s="85"/>
      <c r="C1145" s="87"/>
      <c r="D1145" s="85"/>
      <c r="E1145" s="84"/>
      <c r="F1145" s="85"/>
      <c r="G1145" s="87"/>
      <c r="H1145" s="87"/>
      <c r="I1145" s="87"/>
      <c r="J1145" s="101"/>
      <c r="K1145" s="87"/>
      <c r="L1145" s="91"/>
      <c r="M1145" s="91"/>
      <c r="N1145" s="88">
        <f>Goods_Receipt[[#This Row],[ Invoice. /
 Received Qty ]]-Goods_Receipt[[#This Row],[ Accepted Qty ]]</f>
        <v>0</v>
      </c>
      <c r="O1145" s="87"/>
      <c r="P1145" s="87"/>
      <c r="Q1145" s="87"/>
      <c r="R1145" s="87"/>
      <c r="S1145" s="87"/>
      <c r="T1145" s="85"/>
      <c r="U1145" s="89"/>
      <c r="V1145" s="90"/>
      <c r="W1145" s="87"/>
      <c r="X1145" s="91"/>
      <c r="Y1145" s="84"/>
      <c r="Z1145" s="97"/>
    </row>
    <row r="1146" spans="1:26" s="98" customFormat="1" x14ac:dyDescent="0.35">
      <c r="A1146" s="86">
        <v>1143</v>
      </c>
      <c r="B1146" s="85"/>
      <c r="C1146" s="87"/>
      <c r="D1146" s="85"/>
      <c r="E1146" s="84"/>
      <c r="F1146" s="85"/>
      <c r="G1146" s="87"/>
      <c r="H1146" s="87"/>
      <c r="I1146" s="87"/>
      <c r="J1146" s="101"/>
      <c r="K1146" s="87"/>
      <c r="L1146" s="91"/>
      <c r="M1146" s="91"/>
      <c r="N1146" s="88">
        <f>Goods_Receipt[[#This Row],[ Invoice. /
 Received Qty ]]-Goods_Receipt[[#This Row],[ Accepted Qty ]]</f>
        <v>0</v>
      </c>
      <c r="O1146" s="87"/>
      <c r="P1146" s="87"/>
      <c r="Q1146" s="87"/>
      <c r="R1146" s="87"/>
      <c r="S1146" s="87"/>
      <c r="T1146" s="85"/>
      <c r="U1146" s="89"/>
      <c r="V1146" s="90"/>
      <c r="W1146" s="87"/>
      <c r="X1146" s="91"/>
      <c r="Y1146" s="84"/>
      <c r="Z1146" s="97"/>
    </row>
    <row r="1147" spans="1:26" s="98" customFormat="1" x14ac:dyDescent="0.35">
      <c r="A1147" s="86">
        <v>1144</v>
      </c>
      <c r="B1147" s="85"/>
      <c r="C1147" s="87"/>
      <c r="D1147" s="85"/>
      <c r="E1147" s="84"/>
      <c r="F1147" s="85"/>
      <c r="G1147" s="87"/>
      <c r="H1147" s="87"/>
      <c r="I1147" s="87"/>
      <c r="J1147" s="101"/>
      <c r="K1147" s="87"/>
      <c r="L1147" s="91"/>
      <c r="M1147" s="91"/>
      <c r="N1147" s="88">
        <f>Goods_Receipt[[#This Row],[ Invoice. /
 Received Qty ]]-Goods_Receipt[[#This Row],[ Accepted Qty ]]</f>
        <v>0</v>
      </c>
      <c r="O1147" s="87"/>
      <c r="P1147" s="87"/>
      <c r="Q1147" s="87"/>
      <c r="R1147" s="87"/>
      <c r="S1147" s="87"/>
      <c r="T1147" s="85"/>
      <c r="U1147" s="89"/>
      <c r="V1147" s="90"/>
      <c r="W1147" s="87"/>
      <c r="X1147" s="91"/>
      <c r="Y1147" s="84"/>
      <c r="Z1147" s="97"/>
    </row>
    <row r="1148" spans="1:26" s="98" customFormat="1" x14ac:dyDescent="0.35">
      <c r="A1148" s="86">
        <v>1145</v>
      </c>
      <c r="B1148" s="85"/>
      <c r="C1148" s="87"/>
      <c r="D1148" s="85"/>
      <c r="E1148" s="84"/>
      <c r="F1148" s="85"/>
      <c r="G1148" s="87"/>
      <c r="H1148" s="87"/>
      <c r="I1148" s="87"/>
      <c r="J1148" s="101"/>
      <c r="K1148" s="87"/>
      <c r="L1148" s="91"/>
      <c r="M1148" s="91"/>
      <c r="N1148" s="88">
        <f>Goods_Receipt[[#This Row],[ Invoice. /
 Received Qty ]]-Goods_Receipt[[#This Row],[ Accepted Qty ]]</f>
        <v>0</v>
      </c>
      <c r="O1148" s="87"/>
      <c r="P1148" s="87"/>
      <c r="Q1148" s="87"/>
      <c r="R1148" s="87"/>
      <c r="S1148" s="87"/>
      <c r="T1148" s="85"/>
      <c r="U1148" s="89"/>
      <c r="V1148" s="90"/>
      <c r="W1148" s="87"/>
      <c r="X1148" s="91"/>
      <c r="Y1148" s="84"/>
      <c r="Z1148" s="97"/>
    </row>
    <row r="1149" spans="1:26" s="98" customFormat="1" x14ac:dyDescent="0.35">
      <c r="A1149" s="86">
        <v>1146</v>
      </c>
      <c r="B1149" s="85"/>
      <c r="C1149" s="87"/>
      <c r="D1149" s="85"/>
      <c r="E1149" s="84"/>
      <c r="F1149" s="85"/>
      <c r="G1149" s="87"/>
      <c r="H1149" s="87"/>
      <c r="I1149" s="87"/>
      <c r="J1149" s="101"/>
      <c r="K1149" s="87"/>
      <c r="L1149" s="91"/>
      <c r="M1149" s="91"/>
      <c r="N1149" s="88">
        <f>Goods_Receipt[[#This Row],[ Invoice. /
 Received Qty ]]-Goods_Receipt[[#This Row],[ Accepted Qty ]]</f>
        <v>0</v>
      </c>
      <c r="O1149" s="87"/>
      <c r="P1149" s="87"/>
      <c r="Q1149" s="87"/>
      <c r="R1149" s="87"/>
      <c r="S1149" s="87"/>
      <c r="T1149" s="85"/>
      <c r="U1149" s="89"/>
      <c r="V1149" s="90"/>
      <c r="W1149" s="87"/>
      <c r="X1149" s="91"/>
      <c r="Y1149" s="84"/>
      <c r="Z1149" s="97"/>
    </row>
    <row r="1150" spans="1:26" s="98" customFormat="1" x14ac:dyDescent="0.35">
      <c r="A1150" s="86">
        <v>1147</v>
      </c>
      <c r="B1150" s="85"/>
      <c r="C1150" s="87"/>
      <c r="D1150" s="85"/>
      <c r="E1150" s="84"/>
      <c r="F1150" s="85"/>
      <c r="G1150" s="87"/>
      <c r="H1150" s="87"/>
      <c r="I1150" s="87"/>
      <c r="J1150" s="101"/>
      <c r="K1150" s="87"/>
      <c r="L1150" s="91"/>
      <c r="M1150" s="91"/>
      <c r="N1150" s="88">
        <f>Goods_Receipt[[#This Row],[ Invoice. /
 Received Qty ]]-Goods_Receipt[[#This Row],[ Accepted Qty ]]</f>
        <v>0</v>
      </c>
      <c r="O1150" s="87"/>
      <c r="P1150" s="87"/>
      <c r="Q1150" s="87"/>
      <c r="R1150" s="87"/>
      <c r="S1150" s="87"/>
      <c r="T1150" s="85"/>
      <c r="U1150" s="89"/>
      <c r="V1150" s="90"/>
      <c r="W1150" s="87"/>
      <c r="X1150" s="91"/>
      <c r="Y1150" s="84"/>
      <c r="Z1150" s="97"/>
    </row>
    <row r="1151" spans="1:26" s="98" customFormat="1" x14ac:dyDescent="0.35">
      <c r="A1151" s="86">
        <v>1148</v>
      </c>
      <c r="B1151" s="85"/>
      <c r="C1151" s="87"/>
      <c r="D1151" s="85"/>
      <c r="E1151" s="84"/>
      <c r="F1151" s="85"/>
      <c r="G1151" s="87"/>
      <c r="H1151" s="87"/>
      <c r="I1151" s="87"/>
      <c r="J1151" s="101"/>
      <c r="K1151" s="87"/>
      <c r="L1151" s="91"/>
      <c r="M1151" s="91"/>
      <c r="N1151" s="88">
        <f>Goods_Receipt[[#This Row],[ Invoice. /
 Received Qty ]]-Goods_Receipt[[#This Row],[ Accepted Qty ]]</f>
        <v>0</v>
      </c>
      <c r="O1151" s="87"/>
      <c r="P1151" s="87"/>
      <c r="Q1151" s="87"/>
      <c r="R1151" s="87"/>
      <c r="S1151" s="87"/>
      <c r="T1151" s="85"/>
      <c r="U1151" s="89"/>
      <c r="V1151" s="90"/>
      <c r="W1151" s="87"/>
      <c r="X1151" s="91"/>
      <c r="Y1151" s="84"/>
      <c r="Z1151" s="97"/>
    </row>
    <row r="1152" spans="1:26" s="98" customFormat="1" x14ac:dyDescent="0.35">
      <c r="A1152" s="86">
        <v>1149</v>
      </c>
      <c r="B1152" s="85"/>
      <c r="C1152" s="87"/>
      <c r="D1152" s="85"/>
      <c r="E1152" s="84"/>
      <c r="F1152" s="85"/>
      <c r="G1152" s="87"/>
      <c r="H1152" s="87"/>
      <c r="I1152" s="87"/>
      <c r="J1152" s="101"/>
      <c r="K1152" s="87"/>
      <c r="L1152" s="91"/>
      <c r="M1152" s="91"/>
      <c r="N1152" s="88">
        <f>Goods_Receipt[[#This Row],[ Invoice. /
 Received Qty ]]-Goods_Receipt[[#This Row],[ Accepted Qty ]]</f>
        <v>0</v>
      </c>
      <c r="O1152" s="87"/>
      <c r="P1152" s="87"/>
      <c r="Q1152" s="87"/>
      <c r="R1152" s="87"/>
      <c r="S1152" s="87"/>
      <c r="T1152" s="85"/>
      <c r="U1152" s="89"/>
      <c r="V1152" s="90"/>
      <c r="W1152" s="87"/>
      <c r="X1152" s="91"/>
      <c r="Y1152" s="84"/>
      <c r="Z1152" s="97"/>
    </row>
    <row r="1153" spans="1:26" s="98" customFormat="1" x14ac:dyDescent="0.35">
      <c r="A1153" s="86">
        <v>1150</v>
      </c>
      <c r="B1153" s="85"/>
      <c r="C1153" s="87"/>
      <c r="D1153" s="85"/>
      <c r="E1153" s="84"/>
      <c r="F1153" s="85"/>
      <c r="G1153" s="87"/>
      <c r="H1153" s="87"/>
      <c r="I1153" s="87"/>
      <c r="J1153" s="101"/>
      <c r="K1153" s="87"/>
      <c r="L1153" s="91"/>
      <c r="M1153" s="91"/>
      <c r="N1153" s="88">
        <f>Goods_Receipt[[#This Row],[ Invoice. /
 Received Qty ]]-Goods_Receipt[[#This Row],[ Accepted Qty ]]</f>
        <v>0</v>
      </c>
      <c r="O1153" s="87"/>
      <c r="P1153" s="87"/>
      <c r="Q1153" s="87"/>
      <c r="R1153" s="87"/>
      <c r="S1153" s="87"/>
      <c r="T1153" s="85"/>
      <c r="U1153" s="89"/>
      <c r="V1153" s="90"/>
      <c r="W1153" s="87"/>
      <c r="X1153" s="91"/>
      <c r="Y1153" s="84"/>
      <c r="Z1153" s="97"/>
    </row>
    <row r="1154" spans="1:26" s="98" customFormat="1" x14ac:dyDescent="0.35">
      <c r="A1154" s="86">
        <v>1151</v>
      </c>
      <c r="B1154" s="85"/>
      <c r="C1154" s="87"/>
      <c r="D1154" s="85"/>
      <c r="E1154" s="84"/>
      <c r="F1154" s="85"/>
      <c r="G1154" s="87"/>
      <c r="H1154" s="87"/>
      <c r="I1154" s="87"/>
      <c r="J1154" s="101"/>
      <c r="K1154" s="87"/>
      <c r="L1154" s="91"/>
      <c r="M1154" s="91"/>
      <c r="N1154" s="88">
        <f>Goods_Receipt[[#This Row],[ Invoice. /
 Received Qty ]]-Goods_Receipt[[#This Row],[ Accepted Qty ]]</f>
        <v>0</v>
      </c>
      <c r="O1154" s="87"/>
      <c r="P1154" s="87"/>
      <c r="Q1154" s="87"/>
      <c r="R1154" s="87"/>
      <c r="S1154" s="87"/>
      <c r="T1154" s="85"/>
      <c r="U1154" s="89"/>
      <c r="V1154" s="90"/>
      <c r="W1154" s="87"/>
      <c r="X1154" s="91"/>
      <c r="Y1154" s="84"/>
      <c r="Z1154" s="97"/>
    </row>
    <row r="1155" spans="1:26" s="98" customFormat="1" x14ac:dyDescent="0.35">
      <c r="A1155" s="86">
        <v>1152</v>
      </c>
      <c r="B1155" s="85"/>
      <c r="C1155" s="87"/>
      <c r="D1155" s="85"/>
      <c r="E1155" s="84"/>
      <c r="F1155" s="85"/>
      <c r="G1155" s="87"/>
      <c r="H1155" s="87"/>
      <c r="I1155" s="87"/>
      <c r="J1155" s="101"/>
      <c r="K1155" s="87"/>
      <c r="L1155" s="91"/>
      <c r="M1155" s="91"/>
      <c r="N1155" s="88">
        <f>Goods_Receipt[[#This Row],[ Invoice. /
 Received Qty ]]-Goods_Receipt[[#This Row],[ Accepted Qty ]]</f>
        <v>0</v>
      </c>
      <c r="O1155" s="87"/>
      <c r="P1155" s="87"/>
      <c r="Q1155" s="87"/>
      <c r="R1155" s="87"/>
      <c r="S1155" s="87"/>
      <c r="T1155" s="85"/>
      <c r="U1155" s="89"/>
      <c r="V1155" s="90"/>
      <c r="W1155" s="87"/>
      <c r="X1155" s="91"/>
      <c r="Y1155" s="84"/>
      <c r="Z1155" s="97"/>
    </row>
    <row r="1156" spans="1:26" s="98" customFormat="1" x14ac:dyDescent="0.35">
      <c r="A1156" s="86">
        <v>1153</v>
      </c>
      <c r="B1156" s="85"/>
      <c r="C1156" s="87"/>
      <c r="D1156" s="85"/>
      <c r="E1156" s="84"/>
      <c r="F1156" s="85"/>
      <c r="G1156" s="87"/>
      <c r="H1156" s="87"/>
      <c r="I1156" s="87"/>
      <c r="J1156" s="101"/>
      <c r="K1156" s="87"/>
      <c r="L1156" s="91"/>
      <c r="M1156" s="91"/>
      <c r="N1156" s="88">
        <f>Goods_Receipt[[#This Row],[ Invoice. /
 Received Qty ]]-Goods_Receipt[[#This Row],[ Accepted Qty ]]</f>
        <v>0</v>
      </c>
      <c r="O1156" s="87"/>
      <c r="P1156" s="87"/>
      <c r="Q1156" s="87"/>
      <c r="R1156" s="87"/>
      <c r="S1156" s="87"/>
      <c r="T1156" s="85"/>
      <c r="U1156" s="89"/>
      <c r="V1156" s="90"/>
      <c r="W1156" s="87"/>
      <c r="X1156" s="91"/>
      <c r="Y1156" s="84"/>
      <c r="Z1156" s="97"/>
    </row>
    <row r="1157" spans="1:26" s="98" customFormat="1" x14ac:dyDescent="0.35">
      <c r="A1157" s="86">
        <v>1154</v>
      </c>
      <c r="B1157" s="85"/>
      <c r="C1157" s="87"/>
      <c r="D1157" s="85"/>
      <c r="E1157" s="84"/>
      <c r="F1157" s="85"/>
      <c r="G1157" s="87"/>
      <c r="H1157" s="87"/>
      <c r="I1157" s="87"/>
      <c r="J1157" s="101"/>
      <c r="K1157" s="87"/>
      <c r="L1157" s="91"/>
      <c r="M1157" s="91"/>
      <c r="N1157" s="88">
        <f>Goods_Receipt[[#This Row],[ Invoice. /
 Received Qty ]]-Goods_Receipt[[#This Row],[ Accepted Qty ]]</f>
        <v>0</v>
      </c>
      <c r="O1157" s="87"/>
      <c r="P1157" s="87"/>
      <c r="Q1157" s="87"/>
      <c r="R1157" s="87"/>
      <c r="S1157" s="87"/>
      <c r="T1157" s="85"/>
      <c r="U1157" s="89"/>
      <c r="V1157" s="90"/>
      <c r="W1157" s="87"/>
      <c r="X1157" s="91"/>
      <c r="Y1157" s="84"/>
      <c r="Z1157" s="97"/>
    </row>
    <row r="1158" spans="1:26" s="98" customFormat="1" x14ac:dyDescent="0.35">
      <c r="A1158" s="86">
        <v>1155</v>
      </c>
      <c r="B1158" s="85"/>
      <c r="C1158" s="87"/>
      <c r="D1158" s="85"/>
      <c r="E1158" s="84"/>
      <c r="F1158" s="85"/>
      <c r="G1158" s="87"/>
      <c r="H1158" s="87"/>
      <c r="I1158" s="87"/>
      <c r="J1158" s="101"/>
      <c r="K1158" s="87"/>
      <c r="L1158" s="91"/>
      <c r="M1158" s="91"/>
      <c r="N1158" s="88">
        <f>Goods_Receipt[[#This Row],[ Invoice. /
 Received Qty ]]-Goods_Receipt[[#This Row],[ Accepted Qty ]]</f>
        <v>0</v>
      </c>
      <c r="O1158" s="87"/>
      <c r="P1158" s="87"/>
      <c r="Q1158" s="87"/>
      <c r="R1158" s="87"/>
      <c r="S1158" s="87"/>
      <c r="T1158" s="85"/>
      <c r="U1158" s="89"/>
      <c r="V1158" s="90"/>
      <c r="W1158" s="87"/>
      <c r="X1158" s="91"/>
      <c r="Y1158" s="84"/>
      <c r="Z1158" s="97"/>
    </row>
    <row r="1159" spans="1:26" s="98" customFormat="1" x14ac:dyDescent="0.35">
      <c r="A1159" s="86">
        <v>1156</v>
      </c>
      <c r="B1159" s="85"/>
      <c r="C1159" s="87"/>
      <c r="D1159" s="85"/>
      <c r="E1159" s="84"/>
      <c r="F1159" s="85"/>
      <c r="G1159" s="87"/>
      <c r="H1159" s="87"/>
      <c r="I1159" s="87"/>
      <c r="J1159" s="101"/>
      <c r="K1159" s="87"/>
      <c r="L1159" s="91"/>
      <c r="M1159" s="91"/>
      <c r="N1159" s="88">
        <f>Goods_Receipt[[#This Row],[ Invoice. /
 Received Qty ]]-Goods_Receipt[[#This Row],[ Accepted Qty ]]</f>
        <v>0</v>
      </c>
      <c r="O1159" s="87"/>
      <c r="P1159" s="87"/>
      <c r="Q1159" s="87"/>
      <c r="R1159" s="87"/>
      <c r="S1159" s="87"/>
      <c r="T1159" s="85"/>
      <c r="U1159" s="89"/>
      <c r="V1159" s="90"/>
      <c r="W1159" s="87"/>
      <c r="X1159" s="91"/>
      <c r="Y1159" s="84"/>
      <c r="Z1159" s="97"/>
    </row>
    <row r="1160" spans="1:26" s="98" customFormat="1" x14ac:dyDescent="0.35">
      <c r="A1160" s="86">
        <v>1157</v>
      </c>
      <c r="B1160" s="85"/>
      <c r="C1160" s="87"/>
      <c r="D1160" s="85"/>
      <c r="E1160" s="84"/>
      <c r="F1160" s="85"/>
      <c r="G1160" s="87"/>
      <c r="H1160" s="87"/>
      <c r="I1160" s="87"/>
      <c r="J1160" s="101"/>
      <c r="K1160" s="87"/>
      <c r="L1160" s="91"/>
      <c r="M1160" s="91"/>
      <c r="N1160" s="88">
        <f>Goods_Receipt[[#This Row],[ Invoice. /
 Received Qty ]]-Goods_Receipt[[#This Row],[ Accepted Qty ]]</f>
        <v>0</v>
      </c>
      <c r="O1160" s="87"/>
      <c r="P1160" s="87"/>
      <c r="Q1160" s="87"/>
      <c r="R1160" s="87"/>
      <c r="S1160" s="87"/>
      <c r="T1160" s="85"/>
      <c r="U1160" s="89"/>
      <c r="V1160" s="90"/>
      <c r="W1160" s="87"/>
      <c r="X1160" s="91"/>
      <c r="Y1160" s="84"/>
      <c r="Z1160" s="97"/>
    </row>
    <row r="1161" spans="1:26" s="98" customFormat="1" x14ac:dyDescent="0.35">
      <c r="A1161" s="86">
        <v>1158</v>
      </c>
      <c r="B1161" s="85"/>
      <c r="C1161" s="87"/>
      <c r="D1161" s="85"/>
      <c r="E1161" s="84"/>
      <c r="F1161" s="85"/>
      <c r="G1161" s="87"/>
      <c r="H1161" s="87"/>
      <c r="I1161" s="87"/>
      <c r="J1161" s="101"/>
      <c r="K1161" s="87"/>
      <c r="L1161" s="91"/>
      <c r="M1161" s="91"/>
      <c r="N1161" s="88">
        <f>Goods_Receipt[[#This Row],[ Invoice. /
 Received Qty ]]-Goods_Receipt[[#This Row],[ Accepted Qty ]]</f>
        <v>0</v>
      </c>
      <c r="O1161" s="87"/>
      <c r="P1161" s="87"/>
      <c r="Q1161" s="87"/>
      <c r="R1161" s="87"/>
      <c r="S1161" s="87"/>
      <c r="T1161" s="85"/>
      <c r="U1161" s="89"/>
      <c r="V1161" s="90"/>
      <c r="W1161" s="87"/>
      <c r="X1161" s="91"/>
      <c r="Y1161" s="84"/>
      <c r="Z1161" s="97"/>
    </row>
    <row r="1162" spans="1:26" s="98" customFormat="1" x14ac:dyDescent="0.35">
      <c r="A1162" s="86">
        <v>1159</v>
      </c>
      <c r="B1162" s="85"/>
      <c r="C1162" s="87"/>
      <c r="D1162" s="85"/>
      <c r="E1162" s="84"/>
      <c r="F1162" s="85"/>
      <c r="G1162" s="87"/>
      <c r="H1162" s="87"/>
      <c r="I1162" s="87"/>
      <c r="J1162" s="101"/>
      <c r="K1162" s="87"/>
      <c r="L1162" s="91"/>
      <c r="M1162" s="91"/>
      <c r="N1162" s="88">
        <f>Goods_Receipt[[#This Row],[ Invoice. /
 Received Qty ]]-Goods_Receipt[[#This Row],[ Accepted Qty ]]</f>
        <v>0</v>
      </c>
      <c r="O1162" s="87"/>
      <c r="P1162" s="87"/>
      <c r="Q1162" s="87"/>
      <c r="R1162" s="87"/>
      <c r="S1162" s="87"/>
      <c r="T1162" s="85"/>
      <c r="U1162" s="89"/>
      <c r="V1162" s="90"/>
      <c r="W1162" s="87"/>
      <c r="X1162" s="91"/>
      <c r="Y1162" s="84"/>
      <c r="Z1162" s="97"/>
    </row>
    <row r="1163" spans="1:26" s="98" customFormat="1" x14ac:dyDescent="0.35">
      <c r="A1163" s="86">
        <v>1160</v>
      </c>
      <c r="B1163" s="85"/>
      <c r="C1163" s="87"/>
      <c r="D1163" s="85"/>
      <c r="E1163" s="84"/>
      <c r="F1163" s="85"/>
      <c r="G1163" s="87"/>
      <c r="H1163" s="87"/>
      <c r="I1163" s="87"/>
      <c r="J1163" s="101"/>
      <c r="K1163" s="87"/>
      <c r="L1163" s="91"/>
      <c r="M1163" s="91"/>
      <c r="N1163" s="88">
        <f>Goods_Receipt[[#This Row],[ Invoice. /
 Received Qty ]]-Goods_Receipt[[#This Row],[ Accepted Qty ]]</f>
        <v>0</v>
      </c>
      <c r="O1163" s="87"/>
      <c r="P1163" s="87"/>
      <c r="Q1163" s="87"/>
      <c r="R1163" s="87"/>
      <c r="S1163" s="87"/>
      <c r="T1163" s="85"/>
      <c r="U1163" s="89"/>
      <c r="V1163" s="90"/>
      <c r="W1163" s="87"/>
      <c r="X1163" s="91"/>
      <c r="Y1163" s="84"/>
      <c r="Z1163" s="97"/>
    </row>
    <row r="1164" spans="1:26" s="98" customFormat="1" x14ac:dyDescent="0.35">
      <c r="A1164" s="86">
        <v>1161</v>
      </c>
      <c r="B1164" s="85"/>
      <c r="C1164" s="87"/>
      <c r="D1164" s="85"/>
      <c r="E1164" s="84"/>
      <c r="F1164" s="85"/>
      <c r="G1164" s="87"/>
      <c r="H1164" s="87"/>
      <c r="I1164" s="87"/>
      <c r="J1164" s="101"/>
      <c r="K1164" s="87"/>
      <c r="L1164" s="91"/>
      <c r="M1164" s="91"/>
      <c r="N1164" s="88">
        <f>Goods_Receipt[[#This Row],[ Invoice. /
 Received Qty ]]-Goods_Receipt[[#This Row],[ Accepted Qty ]]</f>
        <v>0</v>
      </c>
      <c r="O1164" s="87"/>
      <c r="P1164" s="87"/>
      <c r="Q1164" s="87"/>
      <c r="R1164" s="87"/>
      <c r="S1164" s="87"/>
      <c r="T1164" s="85"/>
      <c r="U1164" s="89"/>
      <c r="V1164" s="90"/>
      <c r="W1164" s="87"/>
      <c r="X1164" s="91"/>
      <c r="Y1164" s="84"/>
      <c r="Z1164" s="97"/>
    </row>
    <row r="1165" spans="1:26" s="98" customFormat="1" x14ac:dyDescent="0.35">
      <c r="A1165" s="86">
        <v>1162</v>
      </c>
      <c r="B1165" s="85"/>
      <c r="C1165" s="87"/>
      <c r="D1165" s="85"/>
      <c r="E1165" s="84"/>
      <c r="F1165" s="85"/>
      <c r="G1165" s="87"/>
      <c r="H1165" s="87"/>
      <c r="I1165" s="87"/>
      <c r="J1165" s="101"/>
      <c r="K1165" s="87"/>
      <c r="L1165" s="91"/>
      <c r="M1165" s="91"/>
      <c r="N1165" s="88">
        <f>Goods_Receipt[[#This Row],[ Invoice. /
 Received Qty ]]-Goods_Receipt[[#This Row],[ Accepted Qty ]]</f>
        <v>0</v>
      </c>
      <c r="O1165" s="87"/>
      <c r="P1165" s="87"/>
      <c r="Q1165" s="87"/>
      <c r="R1165" s="87"/>
      <c r="S1165" s="87"/>
      <c r="T1165" s="85"/>
      <c r="U1165" s="89"/>
      <c r="V1165" s="90"/>
      <c r="W1165" s="87"/>
      <c r="X1165" s="91"/>
      <c r="Y1165" s="84"/>
      <c r="Z1165" s="97"/>
    </row>
    <row r="1166" spans="1:26" s="98" customFormat="1" x14ac:dyDescent="0.35">
      <c r="A1166" s="86">
        <v>1163</v>
      </c>
      <c r="B1166" s="85"/>
      <c r="C1166" s="87"/>
      <c r="D1166" s="85"/>
      <c r="E1166" s="84"/>
      <c r="F1166" s="85"/>
      <c r="G1166" s="87"/>
      <c r="H1166" s="87"/>
      <c r="I1166" s="87"/>
      <c r="J1166" s="101"/>
      <c r="K1166" s="87"/>
      <c r="L1166" s="91"/>
      <c r="M1166" s="91"/>
      <c r="N1166" s="88">
        <f>Goods_Receipt[[#This Row],[ Invoice. /
 Received Qty ]]-Goods_Receipt[[#This Row],[ Accepted Qty ]]</f>
        <v>0</v>
      </c>
      <c r="O1166" s="87"/>
      <c r="P1166" s="87"/>
      <c r="Q1166" s="87"/>
      <c r="R1166" s="87"/>
      <c r="S1166" s="87"/>
      <c r="T1166" s="85"/>
      <c r="U1166" s="89"/>
      <c r="V1166" s="90"/>
      <c r="W1166" s="87"/>
      <c r="X1166" s="91"/>
      <c r="Y1166" s="84"/>
      <c r="Z1166" s="97"/>
    </row>
    <row r="1167" spans="1:26" s="98" customFormat="1" x14ac:dyDescent="0.35">
      <c r="A1167" s="86">
        <v>1164</v>
      </c>
      <c r="B1167" s="85"/>
      <c r="C1167" s="87"/>
      <c r="D1167" s="85"/>
      <c r="E1167" s="84"/>
      <c r="F1167" s="85"/>
      <c r="G1167" s="87"/>
      <c r="H1167" s="87"/>
      <c r="I1167" s="87"/>
      <c r="J1167" s="101"/>
      <c r="K1167" s="87"/>
      <c r="L1167" s="91"/>
      <c r="M1167" s="91"/>
      <c r="N1167" s="88">
        <f>Goods_Receipt[[#This Row],[ Invoice. /
 Received Qty ]]-Goods_Receipt[[#This Row],[ Accepted Qty ]]</f>
        <v>0</v>
      </c>
      <c r="O1167" s="87"/>
      <c r="P1167" s="87"/>
      <c r="Q1167" s="87"/>
      <c r="R1167" s="87"/>
      <c r="S1167" s="87"/>
      <c r="T1167" s="85"/>
      <c r="U1167" s="89"/>
      <c r="V1167" s="90"/>
      <c r="W1167" s="87"/>
      <c r="X1167" s="91"/>
      <c r="Y1167" s="84"/>
      <c r="Z1167" s="97"/>
    </row>
    <row r="1168" spans="1:26" s="98" customFormat="1" x14ac:dyDescent="0.35">
      <c r="A1168" s="86">
        <v>1165</v>
      </c>
      <c r="B1168" s="85"/>
      <c r="C1168" s="87"/>
      <c r="D1168" s="85"/>
      <c r="E1168" s="84"/>
      <c r="F1168" s="85"/>
      <c r="G1168" s="87"/>
      <c r="H1168" s="87"/>
      <c r="I1168" s="87"/>
      <c r="J1168" s="101"/>
      <c r="K1168" s="87"/>
      <c r="L1168" s="91"/>
      <c r="M1168" s="91"/>
      <c r="N1168" s="88">
        <f>Goods_Receipt[[#This Row],[ Invoice. /
 Received Qty ]]-Goods_Receipt[[#This Row],[ Accepted Qty ]]</f>
        <v>0</v>
      </c>
      <c r="O1168" s="87"/>
      <c r="P1168" s="87"/>
      <c r="Q1168" s="87"/>
      <c r="R1168" s="87"/>
      <c r="S1168" s="87"/>
      <c r="T1168" s="85"/>
      <c r="U1168" s="89"/>
      <c r="V1168" s="90"/>
      <c r="W1168" s="87"/>
      <c r="X1168" s="91"/>
      <c r="Y1168" s="84"/>
      <c r="Z1168" s="97"/>
    </row>
    <row r="1169" spans="1:26" s="98" customFormat="1" x14ac:dyDescent="0.35">
      <c r="A1169" s="86">
        <v>1166</v>
      </c>
      <c r="B1169" s="85"/>
      <c r="C1169" s="87"/>
      <c r="D1169" s="85"/>
      <c r="E1169" s="84"/>
      <c r="F1169" s="85"/>
      <c r="G1169" s="87"/>
      <c r="H1169" s="87"/>
      <c r="I1169" s="87"/>
      <c r="J1169" s="101"/>
      <c r="K1169" s="87"/>
      <c r="L1169" s="91"/>
      <c r="M1169" s="91"/>
      <c r="N1169" s="88">
        <f>Goods_Receipt[[#This Row],[ Invoice. /
 Received Qty ]]-Goods_Receipt[[#This Row],[ Accepted Qty ]]</f>
        <v>0</v>
      </c>
      <c r="O1169" s="87"/>
      <c r="P1169" s="87"/>
      <c r="Q1169" s="87"/>
      <c r="R1169" s="87"/>
      <c r="S1169" s="87"/>
      <c r="T1169" s="85"/>
      <c r="U1169" s="89"/>
      <c r="V1169" s="90"/>
      <c r="W1169" s="87"/>
      <c r="X1169" s="91"/>
      <c r="Y1169" s="84"/>
      <c r="Z1169" s="97"/>
    </row>
    <row r="1170" spans="1:26" s="98" customFormat="1" x14ac:dyDescent="0.35">
      <c r="A1170" s="86">
        <v>1167</v>
      </c>
      <c r="B1170" s="85"/>
      <c r="C1170" s="87"/>
      <c r="D1170" s="85"/>
      <c r="E1170" s="84"/>
      <c r="F1170" s="85"/>
      <c r="G1170" s="87"/>
      <c r="H1170" s="87"/>
      <c r="I1170" s="87"/>
      <c r="J1170" s="101"/>
      <c r="K1170" s="87"/>
      <c r="L1170" s="91"/>
      <c r="M1170" s="91"/>
      <c r="N1170" s="88">
        <f>Goods_Receipt[[#This Row],[ Invoice. /
 Received Qty ]]-Goods_Receipt[[#This Row],[ Accepted Qty ]]</f>
        <v>0</v>
      </c>
      <c r="O1170" s="87"/>
      <c r="P1170" s="87"/>
      <c r="Q1170" s="87"/>
      <c r="R1170" s="87"/>
      <c r="S1170" s="87"/>
      <c r="T1170" s="85"/>
      <c r="U1170" s="89"/>
      <c r="V1170" s="90"/>
      <c r="W1170" s="87"/>
      <c r="X1170" s="91"/>
      <c r="Y1170" s="84"/>
      <c r="Z1170" s="97"/>
    </row>
    <row r="1171" spans="1:26" s="98" customFormat="1" x14ac:dyDescent="0.35">
      <c r="A1171" s="86">
        <v>1168</v>
      </c>
      <c r="B1171" s="85"/>
      <c r="C1171" s="87"/>
      <c r="D1171" s="85"/>
      <c r="E1171" s="84"/>
      <c r="F1171" s="85"/>
      <c r="G1171" s="87"/>
      <c r="H1171" s="87"/>
      <c r="I1171" s="87"/>
      <c r="J1171" s="101"/>
      <c r="K1171" s="87"/>
      <c r="L1171" s="91"/>
      <c r="M1171" s="91"/>
      <c r="N1171" s="88">
        <f>Goods_Receipt[[#This Row],[ Invoice. /
 Received Qty ]]-Goods_Receipt[[#This Row],[ Accepted Qty ]]</f>
        <v>0</v>
      </c>
      <c r="O1171" s="87"/>
      <c r="P1171" s="87"/>
      <c r="Q1171" s="87"/>
      <c r="R1171" s="87"/>
      <c r="S1171" s="87"/>
      <c r="T1171" s="85"/>
      <c r="U1171" s="89"/>
      <c r="V1171" s="90"/>
      <c r="W1171" s="87"/>
      <c r="X1171" s="91"/>
      <c r="Y1171" s="84"/>
      <c r="Z1171" s="97"/>
    </row>
    <row r="1172" spans="1:26" s="98" customFormat="1" x14ac:dyDescent="0.35">
      <c r="A1172" s="86">
        <v>1169</v>
      </c>
      <c r="B1172" s="85"/>
      <c r="C1172" s="87"/>
      <c r="D1172" s="85"/>
      <c r="E1172" s="84"/>
      <c r="F1172" s="85"/>
      <c r="G1172" s="87"/>
      <c r="H1172" s="87"/>
      <c r="I1172" s="87"/>
      <c r="J1172" s="101"/>
      <c r="K1172" s="87"/>
      <c r="L1172" s="91"/>
      <c r="M1172" s="91"/>
      <c r="N1172" s="88">
        <f>Goods_Receipt[[#This Row],[ Invoice. /
 Received Qty ]]-Goods_Receipt[[#This Row],[ Accepted Qty ]]</f>
        <v>0</v>
      </c>
      <c r="O1172" s="87"/>
      <c r="P1172" s="87"/>
      <c r="Q1172" s="87"/>
      <c r="R1172" s="87"/>
      <c r="S1172" s="87"/>
      <c r="T1172" s="85"/>
      <c r="U1172" s="89"/>
      <c r="V1172" s="90"/>
      <c r="W1172" s="87"/>
      <c r="X1172" s="91"/>
      <c r="Y1172" s="84"/>
      <c r="Z1172" s="97"/>
    </row>
    <row r="1173" spans="1:26" s="98" customFormat="1" x14ac:dyDescent="0.35">
      <c r="A1173" s="86">
        <v>1170</v>
      </c>
      <c r="B1173" s="85"/>
      <c r="C1173" s="87"/>
      <c r="D1173" s="85"/>
      <c r="E1173" s="84"/>
      <c r="F1173" s="85"/>
      <c r="G1173" s="87"/>
      <c r="H1173" s="87"/>
      <c r="I1173" s="87"/>
      <c r="J1173" s="101"/>
      <c r="K1173" s="87"/>
      <c r="L1173" s="91"/>
      <c r="M1173" s="91"/>
      <c r="N1173" s="88">
        <f>Goods_Receipt[[#This Row],[ Invoice. /
 Received Qty ]]-Goods_Receipt[[#This Row],[ Accepted Qty ]]</f>
        <v>0</v>
      </c>
      <c r="O1173" s="87"/>
      <c r="P1173" s="87"/>
      <c r="Q1173" s="87"/>
      <c r="R1173" s="87"/>
      <c r="S1173" s="87"/>
      <c r="T1173" s="85"/>
      <c r="U1173" s="89"/>
      <c r="V1173" s="90"/>
      <c r="W1173" s="87"/>
      <c r="X1173" s="91"/>
      <c r="Y1173" s="84"/>
      <c r="Z1173" s="97"/>
    </row>
    <row r="1174" spans="1:26" s="98" customFormat="1" x14ac:dyDescent="0.35">
      <c r="A1174" s="86">
        <v>1171</v>
      </c>
      <c r="B1174" s="85"/>
      <c r="C1174" s="87"/>
      <c r="D1174" s="85"/>
      <c r="E1174" s="84"/>
      <c r="F1174" s="85"/>
      <c r="G1174" s="87"/>
      <c r="H1174" s="87"/>
      <c r="I1174" s="87"/>
      <c r="J1174" s="101"/>
      <c r="K1174" s="87"/>
      <c r="L1174" s="91"/>
      <c r="M1174" s="91"/>
      <c r="N1174" s="88">
        <f>Goods_Receipt[[#This Row],[ Invoice. /
 Received Qty ]]-Goods_Receipt[[#This Row],[ Accepted Qty ]]</f>
        <v>0</v>
      </c>
      <c r="O1174" s="87"/>
      <c r="P1174" s="87"/>
      <c r="Q1174" s="87"/>
      <c r="R1174" s="87"/>
      <c r="S1174" s="87"/>
      <c r="T1174" s="85"/>
      <c r="U1174" s="89"/>
      <c r="V1174" s="90"/>
      <c r="W1174" s="87"/>
      <c r="X1174" s="91"/>
      <c r="Y1174" s="84"/>
      <c r="Z1174" s="97"/>
    </row>
    <row r="1175" spans="1:26" s="98" customFormat="1" x14ac:dyDescent="0.35">
      <c r="A1175" s="86">
        <v>1172</v>
      </c>
      <c r="B1175" s="85"/>
      <c r="C1175" s="87"/>
      <c r="D1175" s="85"/>
      <c r="E1175" s="84"/>
      <c r="F1175" s="85"/>
      <c r="G1175" s="87"/>
      <c r="H1175" s="87"/>
      <c r="I1175" s="87"/>
      <c r="J1175" s="101"/>
      <c r="K1175" s="87"/>
      <c r="L1175" s="91"/>
      <c r="M1175" s="91"/>
      <c r="N1175" s="88">
        <f>Goods_Receipt[[#This Row],[ Invoice. /
 Received Qty ]]-Goods_Receipt[[#This Row],[ Accepted Qty ]]</f>
        <v>0</v>
      </c>
      <c r="O1175" s="87"/>
      <c r="P1175" s="87"/>
      <c r="Q1175" s="87"/>
      <c r="R1175" s="87"/>
      <c r="S1175" s="87"/>
      <c r="T1175" s="85"/>
      <c r="U1175" s="89"/>
      <c r="V1175" s="90"/>
      <c r="W1175" s="87"/>
      <c r="X1175" s="91"/>
      <c r="Y1175" s="84"/>
      <c r="Z1175" s="97"/>
    </row>
    <row r="1176" spans="1:26" s="98" customFormat="1" x14ac:dyDescent="0.35">
      <c r="A1176" s="86">
        <v>1173</v>
      </c>
      <c r="B1176" s="85"/>
      <c r="C1176" s="87"/>
      <c r="D1176" s="85"/>
      <c r="E1176" s="84"/>
      <c r="F1176" s="85"/>
      <c r="G1176" s="87"/>
      <c r="H1176" s="87"/>
      <c r="I1176" s="87"/>
      <c r="J1176" s="101"/>
      <c r="K1176" s="87"/>
      <c r="L1176" s="91"/>
      <c r="M1176" s="91"/>
      <c r="N1176" s="88">
        <f>Goods_Receipt[[#This Row],[ Invoice. /
 Received Qty ]]-Goods_Receipt[[#This Row],[ Accepted Qty ]]</f>
        <v>0</v>
      </c>
      <c r="O1176" s="87"/>
      <c r="P1176" s="87"/>
      <c r="Q1176" s="87"/>
      <c r="R1176" s="87"/>
      <c r="S1176" s="87"/>
      <c r="T1176" s="85"/>
      <c r="U1176" s="89"/>
      <c r="V1176" s="90"/>
      <c r="W1176" s="87"/>
      <c r="X1176" s="91"/>
      <c r="Y1176" s="84"/>
      <c r="Z1176" s="97"/>
    </row>
    <row r="1177" spans="1:26" s="98" customFormat="1" x14ac:dyDescent="0.35">
      <c r="A1177" s="86">
        <v>1174</v>
      </c>
      <c r="B1177" s="85"/>
      <c r="C1177" s="87"/>
      <c r="D1177" s="85"/>
      <c r="E1177" s="84"/>
      <c r="F1177" s="85"/>
      <c r="G1177" s="87"/>
      <c r="H1177" s="87"/>
      <c r="I1177" s="87"/>
      <c r="J1177" s="101"/>
      <c r="K1177" s="87"/>
      <c r="L1177" s="91"/>
      <c r="M1177" s="91"/>
      <c r="N1177" s="88">
        <f>Goods_Receipt[[#This Row],[ Invoice. /
 Received Qty ]]-Goods_Receipt[[#This Row],[ Accepted Qty ]]</f>
        <v>0</v>
      </c>
      <c r="O1177" s="87"/>
      <c r="P1177" s="87"/>
      <c r="Q1177" s="87"/>
      <c r="R1177" s="87"/>
      <c r="S1177" s="87"/>
      <c r="T1177" s="85"/>
      <c r="U1177" s="89"/>
      <c r="V1177" s="90"/>
      <c r="W1177" s="87"/>
      <c r="X1177" s="91"/>
      <c r="Y1177" s="84"/>
      <c r="Z1177" s="97"/>
    </row>
    <row r="1178" spans="1:26" s="98" customFormat="1" x14ac:dyDescent="0.35">
      <c r="A1178" s="86">
        <v>1175</v>
      </c>
      <c r="B1178" s="85"/>
      <c r="C1178" s="87"/>
      <c r="D1178" s="85"/>
      <c r="E1178" s="84"/>
      <c r="F1178" s="85"/>
      <c r="G1178" s="87"/>
      <c r="H1178" s="87"/>
      <c r="I1178" s="87"/>
      <c r="J1178" s="101"/>
      <c r="K1178" s="87"/>
      <c r="L1178" s="91"/>
      <c r="M1178" s="91"/>
      <c r="N1178" s="88">
        <f>Goods_Receipt[[#This Row],[ Invoice. /
 Received Qty ]]-Goods_Receipt[[#This Row],[ Accepted Qty ]]</f>
        <v>0</v>
      </c>
      <c r="O1178" s="87"/>
      <c r="P1178" s="87"/>
      <c r="Q1178" s="87"/>
      <c r="R1178" s="87"/>
      <c r="S1178" s="87"/>
      <c r="T1178" s="85"/>
      <c r="U1178" s="89"/>
      <c r="V1178" s="90"/>
      <c r="W1178" s="87"/>
      <c r="X1178" s="91"/>
      <c r="Y1178" s="84"/>
      <c r="Z1178" s="97"/>
    </row>
    <row r="1179" spans="1:26" s="98" customFormat="1" x14ac:dyDescent="0.35">
      <c r="A1179" s="86">
        <v>1176</v>
      </c>
      <c r="B1179" s="85"/>
      <c r="C1179" s="87"/>
      <c r="D1179" s="85"/>
      <c r="E1179" s="84"/>
      <c r="F1179" s="85"/>
      <c r="G1179" s="87"/>
      <c r="H1179" s="87"/>
      <c r="I1179" s="87"/>
      <c r="J1179" s="101"/>
      <c r="K1179" s="87"/>
      <c r="L1179" s="91"/>
      <c r="M1179" s="91"/>
      <c r="N1179" s="88">
        <f>Goods_Receipt[[#This Row],[ Invoice. /
 Received Qty ]]-Goods_Receipt[[#This Row],[ Accepted Qty ]]</f>
        <v>0</v>
      </c>
      <c r="O1179" s="87"/>
      <c r="P1179" s="87"/>
      <c r="Q1179" s="87"/>
      <c r="R1179" s="87"/>
      <c r="S1179" s="87"/>
      <c r="T1179" s="85"/>
      <c r="U1179" s="89"/>
      <c r="V1179" s="90"/>
      <c r="W1179" s="87"/>
      <c r="X1179" s="91"/>
      <c r="Y1179" s="84"/>
      <c r="Z1179" s="97"/>
    </row>
    <row r="1180" spans="1:26" s="98" customFormat="1" x14ac:dyDescent="0.35">
      <c r="A1180" s="86">
        <v>1177</v>
      </c>
      <c r="B1180" s="85"/>
      <c r="C1180" s="87"/>
      <c r="D1180" s="85"/>
      <c r="E1180" s="84"/>
      <c r="F1180" s="85"/>
      <c r="G1180" s="87"/>
      <c r="H1180" s="87"/>
      <c r="I1180" s="87"/>
      <c r="J1180" s="101"/>
      <c r="K1180" s="87"/>
      <c r="L1180" s="91"/>
      <c r="M1180" s="91"/>
      <c r="N1180" s="88">
        <f>Goods_Receipt[[#This Row],[ Invoice. /
 Received Qty ]]-Goods_Receipt[[#This Row],[ Accepted Qty ]]</f>
        <v>0</v>
      </c>
      <c r="O1180" s="87"/>
      <c r="P1180" s="87"/>
      <c r="Q1180" s="87"/>
      <c r="R1180" s="87"/>
      <c r="S1180" s="87"/>
      <c r="T1180" s="85"/>
      <c r="U1180" s="89"/>
      <c r="V1180" s="90"/>
      <c r="W1180" s="87"/>
      <c r="X1180" s="91"/>
      <c r="Y1180" s="84"/>
      <c r="Z1180" s="97"/>
    </row>
    <row r="1181" spans="1:26" s="98" customFormat="1" x14ac:dyDescent="0.35">
      <c r="A1181" s="86">
        <v>1178</v>
      </c>
      <c r="B1181" s="85"/>
      <c r="C1181" s="87"/>
      <c r="D1181" s="85"/>
      <c r="E1181" s="84"/>
      <c r="F1181" s="85"/>
      <c r="G1181" s="87"/>
      <c r="H1181" s="87"/>
      <c r="I1181" s="87"/>
      <c r="J1181" s="101"/>
      <c r="K1181" s="87"/>
      <c r="L1181" s="91"/>
      <c r="M1181" s="91"/>
      <c r="N1181" s="88">
        <f>Goods_Receipt[[#This Row],[ Invoice. /
 Received Qty ]]-Goods_Receipt[[#This Row],[ Accepted Qty ]]</f>
        <v>0</v>
      </c>
      <c r="O1181" s="87"/>
      <c r="P1181" s="87"/>
      <c r="Q1181" s="87"/>
      <c r="R1181" s="87"/>
      <c r="S1181" s="87"/>
      <c r="T1181" s="85"/>
      <c r="U1181" s="89"/>
      <c r="V1181" s="90"/>
      <c r="W1181" s="87"/>
      <c r="X1181" s="91"/>
      <c r="Y1181" s="84"/>
      <c r="Z1181" s="97"/>
    </row>
    <row r="1182" spans="1:26" s="98" customFormat="1" x14ac:dyDescent="0.35">
      <c r="A1182" s="86">
        <v>1179</v>
      </c>
      <c r="B1182" s="85"/>
      <c r="C1182" s="87"/>
      <c r="D1182" s="85"/>
      <c r="E1182" s="84"/>
      <c r="F1182" s="85"/>
      <c r="G1182" s="87"/>
      <c r="H1182" s="87"/>
      <c r="I1182" s="87"/>
      <c r="J1182" s="101"/>
      <c r="K1182" s="87"/>
      <c r="L1182" s="91"/>
      <c r="M1182" s="91"/>
      <c r="N1182" s="88">
        <f>Goods_Receipt[[#This Row],[ Invoice. /
 Received Qty ]]-Goods_Receipt[[#This Row],[ Accepted Qty ]]</f>
        <v>0</v>
      </c>
      <c r="O1182" s="87"/>
      <c r="P1182" s="87"/>
      <c r="Q1182" s="87"/>
      <c r="R1182" s="87"/>
      <c r="S1182" s="87"/>
      <c r="T1182" s="85"/>
      <c r="U1182" s="89"/>
      <c r="V1182" s="90"/>
      <c r="W1182" s="87"/>
      <c r="X1182" s="91"/>
      <c r="Y1182" s="84"/>
      <c r="Z1182" s="97"/>
    </row>
    <row r="1183" spans="1:26" s="98" customFormat="1" x14ac:dyDescent="0.35">
      <c r="A1183" s="86">
        <v>1180</v>
      </c>
      <c r="B1183" s="85"/>
      <c r="C1183" s="87"/>
      <c r="D1183" s="85"/>
      <c r="E1183" s="84"/>
      <c r="F1183" s="85"/>
      <c r="G1183" s="87"/>
      <c r="H1183" s="87"/>
      <c r="I1183" s="87"/>
      <c r="J1183" s="101"/>
      <c r="K1183" s="87"/>
      <c r="L1183" s="91"/>
      <c r="M1183" s="91"/>
      <c r="N1183" s="88">
        <f>Goods_Receipt[[#This Row],[ Invoice. /
 Received Qty ]]-Goods_Receipt[[#This Row],[ Accepted Qty ]]</f>
        <v>0</v>
      </c>
      <c r="O1183" s="87"/>
      <c r="P1183" s="87"/>
      <c r="Q1183" s="87"/>
      <c r="R1183" s="87"/>
      <c r="S1183" s="87"/>
      <c r="T1183" s="85"/>
      <c r="U1183" s="89"/>
      <c r="V1183" s="90"/>
      <c r="W1183" s="87"/>
      <c r="X1183" s="91"/>
      <c r="Y1183" s="84"/>
      <c r="Z1183" s="97"/>
    </row>
    <row r="1184" spans="1:26" s="98" customFormat="1" x14ac:dyDescent="0.35">
      <c r="A1184" s="86">
        <v>1181</v>
      </c>
      <c r="B1184" s="85"/>
      <c r="C1184" s="87"/>
      <c r="D1184" s="85"/>
      <c r="E1184" s="84"/>
      <c r="F1184" s="85"/>
      <c r="G1184" s="87"/>
      <c r="H1184" s="87"/>
      <c r="I1184" s="87"/>
      <c r="J1184" s="101"/>
      <c r="K1184" s="87"/>
      <c r="L1184" s="91"/>
      <c r="M1184" s="91"/>
      <c r="N1184" s="88">
        <f>Goods_Receipt[[#This Row],[ Invoice. /
 Received Qty ]]-Goods_Receipt[[#This Row],[ Accepted Qty ]]</f>
        <v>0</v>
      </c>
      <c r="O1184" s="87"/>
      <c r="P1184" s="87"/>
      <c r="Q1184" s="87"/>
      <c r="R1184" s="87"/>
      <c r="S1184" s="87"/>
      <c r="T1184" s="85"/>
      <c r="U1184" s="89"/>
      <c r="V1184" s="90"/>
      <c r="W1184" s="87"/>
      <c r="X1184" s="91"/>
      <c r="Y1184" s="84"/>
      <c r="Z1184" s="97"/>
    </row>
    <row r="1185" spans="1:26" s="98" customFormat="1" x14ac:dyDescent="0.35">
      <c r="A1185" s="86">
        <v>1182</v>
      </c>
      <c r="B1185" s="85"/>
      <c r="C1185" s="87"/>
      <c r="D1185" s="85"/>
      <c r="E1185" s="84"/>
      <c r="F1185" s="85"/>
      <c r="G1185" s="87"/>
      <c r="H1185" s="87"/>
      <c r="I1185" s="87"/>
      <c r="J1185" s="101"/>
      <c r="K1185" s="87"/>
      <c r="L1185" s="91"/>
      <c r="M1185" s="91"/>
      <c r="N1185" s="88">
        <f>Goods_Receipt[[#This Row],[ Invoice. /
 Received Qty ]]-Goods_Receipt[[#This Row],[ Accepted Qty ]]</f>
        <v>0</v>
      </c>
      <c r="O1185" s="87"/>
      <c r="P1185" s="87"/>
      <c r="Q1185" s="87"/>
      <c r="R1185" s="87"/>
      <c r="S1185" s="87"/>
      <c r="T1185" s="85"/>
      <c r="U1185" s="89"/>
      <c r="V1185" s="90"/>
      <c r="W1185" s="87"/>
      <c r="X1185" s="91"/>
      <c r="Y1185" s="84"/>
      <c r="Z1185" s="97"/>
    </row>
    <row r="1186" spans="1:26" s="98" customFormat="1" x14ac:dyDescent="0.35">
      <c r="A1186" s="86">
        <v>1183</v>
      </c>
      <c r="B1186" s="85"/>
      <c r="C1186" s="87"/>
      <c r="D1186" s="85"/>
      <c r="E1186" s="84"/>
      <c r="F1186" s="85"/>
      <c r="G1186" s="87"/>
      <c r="H1186" s="87"/>
      <c r="I1186" s="87"/>
      <c r="J1186" s="101"/>
      <c r="K1186" s="87"/>
      <c r="L1186" s="91"/>
      <c r="M1186" s="91"/>
      <c r="N1186" s="88">
        <f>Goods_Receipt[[#This Row],[ Invoice. /
 Received Qty ]]-Goods_Receipt[[#This Row],[ Accepted Qty ]]</f>
        <v>0</v>
      </c>
      <c r="O1186" s="87"/>
      <c r="P1186" s="87"/>
      <c r="Q1186" s="87"/>
      <c r="R1186" s="87"/>
      <c r="S1186" s="87"/>
      <c r="T1186" s="85"/>
      <c r="U1186" s="89"/>
      <c r="V1186" s="90"/>
      <c r="W1186" s="87"/>
      <c r="X1186" s="91"/>
      <c r="Y1186" s="84"/>
      <c r="Z1186" s="97"/>
    </row>
    <row r="1187" spans="1:26" s="98" customFormat="1" x14ac:dyDescent="0.35">
      <c r="A1187" s="86">
        <v>1184</v>
      </c>
      <c r="B1187" s="85"/>
      <c r="C1187" s="87"/>
      <c r="D1187" s="85"/>
      <c r="E1187" s="84"/>
      <c r="F1187" s="85"/>
      <c r="G1187" s="87"/>
      <c r="H1187" s="87"/>
      <c r="I1187" s="87"/>
      <c r="J1187" s="101"/>
      <c r="K1187" s="87"/>
      <c r="L1187" s="91"/>
      <c r="M1187" s="91"/>
      <c r="N1187" s="88">
        <f>Goods_Receipt[[#This Row],[ Invoice. /
 Received Qty ]]-Goods_Receipt[[#This Row],[ Accepted Qty ]]</f>
        <v>0</v>
      </c>
      <c r="O1187" s="87"/>
      <c r="P1187" s="87"/>
      <c r="Q1187" s="87"/>
      <c r="R1187" s="87"/>
      <c r="S1187" s="87"/>
      <c r="T1187" s="85"/>
      <c r="U1187" s="89"/>
      <c r="V1187" s="90"/>
      <c r="W1187" s="87"/>
      <c r="X1187" s="91"/>
      <c r="Y1187" s="84"/>
      <c r="Z1187" s="97"/>
    </row>
    <row r="1188" spans="1:26" s="98" customFormat="1" x14ac:dyDescent="0.35">
      <c r="A1188" s="86">
        <v>1185</v>
      </c>
      <c r="B1188" s="85"/>
      <c r="C1188" s="87"/>
      <c r="D1188" s="85"/>
      <c r="E1188" s="84"/>
      <c r="F1188" s="85"/>
      <c r="G1188" s="87"/>
      <c r="H1188" s="87"/>
      <c r="I1188" s="87"/>
      <c r="J1188" s="101"/>
      <c r="K1188" s="87"/>
      <c r="L1188" s="91"/>
      <c r="M1188" s="91"/>
      <c r="N1188" s="88">
        <f>Goods_Receipt[[#This Row],[ Invoice. /
 Received Qty ]]-Goods_Receipt[[#This Row],[ Accepted Qty ]]</f>
        <v>0</v>
      </c>
      <c r="O1188" s="87"/>
      <c r="P1188" s="87"/>
      <c r="Q1188" s="87"/>
      <c r="R1188" s="87"/>
      <c r="S1188" s="87"/>
      <c r="T1188" s="85"/>
      <c r="U1188" s="89"/>
      <c r="V1188" s="90"/>
      <c r="W1188" s="87"/>
      <c r="X1188" s="91"/>
      <c r="Y1188" s="84"/>
      <c r="Z1188" s="97"/>
    </row>
    <row r="1189" spans="1:26" s="98" customFormat="1" x14ac:dyDescent="0.35">
      <c r="A1189" s="86">
        <v>1186</v>
      </c>
      <c r="B1189" s="85"/>
      <c r="C1189" s="87"/>
      <c r="D1189" s="85"/>
      <c r="E1189" s="84"/>
      <c r="F1189" s="85"/>
      <c r="G1189" s="87"/>
      <c r="H1189" s="87"/>
      <c r="I1189" s="87"/>
      <c r="J1189" s="101"/>
      <c r="K1189" s="87"/>
      <c r="L1189" s="91"/>
      <c r="M1189" s="91"/>
      <c r="N1189" s="88">
        <f>Goods_Receipt[[#This Row],[ Invoice. /
 Received Qty ]]-Goods_Receipt[[#This Row],[ Accepted Qty ]]</f>
        <v>0</v>
      </c>
      <c r="O1189" s="87"/>
      <c r="P1189" s="87"/>
      <c r="Q1189" s="87"/>
      <c r="R1189" s="87"/>
      <c r="S1189" s="87"/>
      <c r="T1189" s="85"/>
      <c r="U1189" s="89"/>
      <c r="V1189" s="90"/>
      <c r="W1189" s="87"/>
      <c r="X1189" s="91"/>
      <c r="Y1189" s="84"/>
      <c r="Z1189" s="97"/>
    </row>
    <row r="1190" spans="1:26" s="98" customFormat="1" x14ac:dyDescent="0.35">
      <c r="A1190" s="86">
        <v>1187</v>
      </c>
      <c r="B1190" s="85"/>
      <c r="C1190" s="87"/>
      <c r="D1190" s="85"/>
      <c r="E1190" s="84"/>
      <c r="F1190" s="85"/>
      <c r="G1190" s="87"/>
      <c r="H1190" s="87"/>
      <c r="I1190" s="87"/>
      <c r="J1190" s="101"/>
      <c r="K1190" s="87"/>
      <c r="L1190" s="91"/>
      <c r="M1190" s="91"/>
      <c r="N1190" s="88">
        <f>Goods_Receipt[[#This Row],[ Invoice. /
 Received Qty ]]-Goods_Receipt[[#This Row],[ Accepted Qty ]]</f>
        <v>0</v>
      </c>
      <c r="O1190" s="87"/>
      <c r="P1190" s="87"/>
      <c r="Q1190" s="87"/>
      <c r="R1190" s="87"/>
      <c r="S1190" s="87"/>
      <c r="T1190" s="85"/>
      <c r="U1190" s="89"/>
      <c r="V1190" s="90"/>
      <c r="W1190" s="87"/>
      <c r="X1190" s="91"/>
      <c r="Y1190" s="84"/>
      <c r="Z1190" s="97"/>
    </row>
    <row r="1191" spans="1:26" s="98" customFormat="1" x14ac:dyDescent="0.35">
      <c r="A1191" s="86">
        <v>1188</v>
      </c>
      <c r="B1191" s="85"/>
      <c r="C1191" s="87"/>
      <c r="D1191" s="85"/>
      <c r="E1191" s="84"/>
      <c r="F1191" s="85"/>
      <c r="G1191" s="87"/>
      <c r="H1191" s="87"/>
      <c r="I1191" s="87"/>
      <c r="J1191" s="101"/>
      <c r="K1191" s="87"/>
      <c r="L1191" s="91"/>
      <c r="M1191" s="91"/>
      <c r="N1191" s="88">
        <f>Goods_Receipt[[#This Row],[ Invoice. /
 Received Qty ]]-Goods_Receipt[[#This Row],[ Accepted Qty ]]</f>
        <v>0</v>
      </c>
      <c r="O1191" s="87"/>
      <c r="P1191" s="87"/>
      <c r="Q1191" s="87"/>
      <c r="R1191" s="87"/>
      <c r="S1191" s="87"/>
      <c r="T1191" s="85"/>
      <c r="U1191" s="89"/>
      <c r="V1191" s="90"/>
      <c r="W1191" s="87"/>
      <c r="X1191" s="91"/>
      <c r="Y1191" s="84"/>
      <c r="Z1191" s="97"/>
    </row>
    <row r="1192" spans="1:26" s="98" customFormat="1" x14ac:dyDescent="0.35">
      <c r="A1192" s="86">
        <v>1189</v>
      </c>
      <c r="B1192" s="85"/>
      <c r="C1192" s="87"/>
      <c r="D1192" s="85"/>
      <c r="E1192" s="84"/>
      <c r="F1192" s="85"/>
      <c r="G1192" s="87"/>
      <c r="H1192" s="87"/>
      <c r="I1192" s="87"/>
      <c r="J1192" s="101"/>
      <c r="K1192" s="87"/>
      <c r="L1192" s="91"/>
      <c r="M1192" s="91"/>
      <c r="N1192" s="88">
        <f>Goods_Receipt[[#This Row],[ Invoice. /
 Received Qty ]]-Goods_Receipt[[#This Row],[ Accepted Qty ]]</f>
        <v>0</v>
      </c>
      <c r="O1192" s="87"/>
      <c r="P1192" s="87"/>
      <c r="Q1192" s="87"/>
      <c r="R1192" s="87"/>
      <c r="S1192" s="87"/>
      <c r="T1192" s="85"/>
      <c r="U1192" s="89"/>
      <c r="V1192" s="90"/>
      <c r="W1192" s="87"/>
      <c r="X1192" s="91"/>
      <c r="Y1192" s="84"/>
      <c r="Z1192" s="97"/>
    </row>
    <row r="1193" spans="1:26" s="98" customFormat="1" x14ac:dyDescent="0.35">
      <c r="A1193" s="86">
        <v>1190</v>
      </c>
      <c r="B1193" s="85"/>
      <c r="C1193" s="87"/>
      <c r="D1193" s="85"/>
      <c r="E1193" s="84"/>
      <c r="F1193" s="85"/>
      <c r="G1193" s="87"/>
      <c r="H1193" s="87"/>
      <c r="I1193" s="87"/>
      <c r="J1193" s="101"/>
      <c r="K1193" s="87"/>
      <c r="L1193" s="91"/>
      <c r="M1193" s="91"/>
      <c r="N1193" s="88">
        <f>Goods_Receipt[[#This Row],[ Invoice. /
 Received Qty ]]-Goods_Receipt[[#This Row],[ Accepted Qty ]]</f>
        <v>0</v>
      </c>
      <c r="O1193" s="87"/>
      <c r="P1193" s="87"/>
      <c r="Q1193" s="87"/>
      <c r="R1193" s="87"/>
      <c r="S1193" s="87"/>
      <c r="T1193" s="85"/>
      <c r="U1193" s="89"/>
      <c r="V1193" s="90"/>
      <c r="W1193" s="87"/>
      <c r="X1193" s="91"/>
      <c r="Y1193" s="84"/>
      <c r="Z1193" s="97"/>
    </row>
    <row r="1194" spans="1:26" s="98" customFormat="1" x14ac:dyDescent="0.35">
      <c r="A1194" s="86">
        <v>1191</v>
      </c>
      <c r="B1194" s="85"/>
      <c r="C1194" s="87"/>
      <c r="D1194" s="85"/>
      <c r="E1194" s="84"/>
      <c r="F1194" s="85"/>
      <c r="G1194" s="87"/>
      <c r="H1194" s="87"/>
      <c r="I1194" s="87"/>
      <c r="J1194" s="101"/>
      <c r="K1194" s="87"/>
      <c r="L1194" s="91"/>
      <c r="M1194" s="91"/>
      <c r="N1194" s="88">
        <f>Goods_Receipt[[#This Row],[ Invoice. /
 Received Qty ]]-Goods_Receipt[[#This Row],[ Accepted Qty ]]</f>
        <v>0</v>
      </c>
      <c r="O1194" s="87"/>
      <c r="P1194" s="87"/>
      <c r="Q1194" s="87"/>
      <c r="R1194" s="87"/>
      <c r="S1194" s="87"/>
      <c r="T1194" s="85"/>
      <c r="U1194" s="89"/>
      <c r="V1194" s="90"/>
      <c r="W1194" s="87"/>
      <c r="X1194" s="91"/>
      <c r="Y1194" s="84"/>
      <c r="Z1194" s="97"/>
    </row>
    <row r="1195" spans="1:26" s="98" customFormat="1" x14ac:dyDescent="0.35">
      <c r="A1195" s="86">
        <v>1192</v>
      </c>
      <c r="B1195" s="85"/>
      <c r="C1195" s="87"/>
      <c r="D1195" s="85"/>
      <c r="E1195" s="84"/>
      <c r="F1195" s="85"/>
      <c r="G1195" s="87"/>
      <c r="H1195" s="87"/>
      <c r="I1195" s="87"/>
      <c r="J1195" s="101"/>
      <c r="K1195" s="87"/>
      <c r="L1195" s="91"/>
      <c r="M1195" s="91"/>
      <c r="N1195" s="88">
        <f>Goods_Receipt[[#This Row],[ Invoice. /
 Received Qty ]]-Goods_Receipt[[#This Row],[ Accepted Qty ]]</f>
        <v>0</v>
      </c>
      <c r="O1195" s="87"/>
      <c r="P1195" s="87"/>
      <c r="Q1195" s="87"/>
      <c r="R1195" s="87"/>
      <c r="S1195" s="87"/>
      <c r="T1195" s="85"/>
      <c r="U1195" s="89"/>
      <c r="V1195" s="90"/>
      <c r="W1195" s="87"/>
      <c r="X1195" s="91"/>
      <c r="Y1195" s="84"/>
      <c r="Z1195" s="97"/>
    </row>
    <row r="1196" spans="1:26" s="98" customFormat="1" x14ac:dyDescent="0.35">
      <c r="A1196" s="86">
        <v>1193</v>
      </c>
      <c r="B1196" s="85"/>
      <c r="C1196" s="87"/>
      <c r="D1196" s="85"/>
      <c r="E1196" s="84"/>
      <c r="F1196" s="85"/>
      <c r="G1196" s="87"/>
      <c r="H1196" s="87"/>
      <c r="I1196" s="87"/>
      <c r="J1196" s="101"/>
      <c r="K1196" s="87"/>
      <c r="L1196" s="91"/>
      <c r="M1196" s="91"/>
      <c r="N1196" s="88">
        <f>Goods_Receipt[[#This Row],[ Invoice. /
 Received Qty ]]-Goods_Receipt[[#This Row],[ Accepted Qty ]]</f>
        <v>0</v>
      </c>
      <c r="O1196" s="87"/>
      <c r="P1196" s="87"/>
      <c r="Q1196" s="87"/>
      <c r="R1196" s="87"/>
      <c r="S1196" s="87"/>
      <c r="T1196" s="85"/>
      <c r="U1196" s="89"/>
      <c r="V1196" s="90"/>
      <c r="W1196" s="87"/>
      <c r="X1196" s="91"/>
      <c r="Y1196" s="84"/>
      <c r="Z1196" s="97"/>
    </row>
    <row r="1197" spans="1:26" s="98" customFormat="1" x14ac:dyDescent="0.35">
      <c r="A1197" s="86">
        <v>1194</v>
      </c>
      <c r="B1197" s="85"/>
      <c r="C1197" s="87"/>
      <c r="D1197" s="85"/>
      <c r="E1197" s="84"/>
      <c r="F1197" s="85"/>
      <c r="G1197" s="87"/>
      <c r="H1197" s="87"/>
      <c r="I1197" s="87"/>
      <c r="J1197" s="101"/>
      <c r="K1197" s="87"/>
      <c r="L1197" s="91"/>
      <c r="M1197" s="91"/>
      <c r="N1197" s="88">
        <f>Goods_Receipt[[#This Row],[ Invoice. /
 Received Qty ]]-Goods_Receipt[[#This Row],[ Accepted Qty ]]</f>
        <v>0</v>
      </c>
      <c r="O1197" s="87"/>
      <c r="P1197" s="87"/>
      <c r="Q1197" s="87"/>
      <c r="R1197" s="87"/>
      <c r="S1197" s="87"/>
      <c r="T1197" s="85"/>
      <c r="U1197" s="89"/>
      <c r="V1197" s="90"/>
      <c r="W1197" s="87"/>
      <c r="X1197" s="91"/>
      <c r="Y1197" s="84"/>
      <c r="Z1197" s="97"/>
    </row>
    <row r="1198" spans="1:26" s="98" customFormat="1" x14ac:dyDescent="0.35">
      <c r="A1198" s="86">
        <v>1195</v>
      </c>
      <c r="B1198" s="85"/>
      <c r="C1198" s="87"/>
      <c r="D1198" s="85"/>
      <c r="E1198" s="84"/>
      <c r="F1198" s="85"/>
      <c r="G1198" s="87"/>
      <c r="H1198" s="87"/>
      <c r="I1198" s="87"/>
      <c r="J1198" s="101"/>
      <c r="K1198" s="87"/>
      <c r="L1198" s="91"/>
      <c r="M1198" s="91"/>
      <c r="N1198" s="88">
        <f>Goods_Receipt[[#This Row],[ Invoice. /
 Received Qty ]]-Goods_Receipt[[#This Row],[ Accepted Qty ]]</f>
        <v>0</v>
      </c>
      <c r="O1198" s="87"/>
      <c r="P1198" s="87"/>
      <c r="Q1198" s="87"/>
      <c r="R1198" s="87"/>
      <c r="S1198" s="87"/>
      <c r="T1198" s="85"/>
      <c r="U1198" s="89"/>
      <c r="V1198" s="90"/>
      <c r="W1198" s="87"/>
      <c r="X1198" s="91"/>
      <c r="Y1198" s="84"/>
      <c r="Z1198" s="97"/>
    </row>
    <row r="1199" spans="1:26" s="98" customFormat="1" x14ac:dyDescent="0.35">
      <c r="A1199" s="86">
        <v>1196</v>
      </c>
      <c r="B1199" s="85"/>
      <c r="C1199" s="87"/>
      <c r="D1199" s="85"/>
      <c r="E1199" s="84"/>
      <c r="F1199" s="85"/>
      <c r="G1199" s="87"/>
      <c r="H1199" s="87"/>
      <c r="I1199" s="87"/>
      <c r="J1199" s="101"/>
      <c r="K1199" s="87"/>
      <c r="L1199" s="91"/>
      <c r="M1199" s="91"/>
      <c r="N1199" s="88">
        <f>Goods_Receipt[[#This Row],[ Invoice. /
 Received Qty ]]-Goods_Receipt[[#This Row],[ Accepted Qty ]]</f>
        <v>0</v>
      </c>
      <c r="O1199" s="87"/>
      <c r="P1199" s="87"/>
      <c r="Q1199" s="87"/>
      <c r="R1199" s="87"/>
      <c r="S1199" s="87"/>
      <c r="T1199" s="85"/>
      <c r="U1199" s="89"/>
      <c r="V1199" s="90"/>
      <c r="W1199" s="87"/>
      <c r="X1199" s="91"/>
      <c r="Y1199" s="84"/>
      <c r="Z1199" s="97"/>
    </row>
    <row r="1200" spans="1:26" s="98" customFormat="1" x14ac:dyDescent="0.35">
      <c r="A1200" s="86">
        <v>1197</v>
      </c>
      <c r="B1200" s="85"/>
      <c r="C1200" s="87"/>
      <c r="D1200" s="85"/>
      <c r="E1200" s="84"/>
      <c r="F1200" s="85"/>
      <c r="G1200" s="87"/>
      <c r="H1200" s="87"/>
      <c r="I1200" s="87"/>
      <c r="J1200" s="101"/>
      <c r="K1200" s="87"/>
      <c r="L1200" s="91"/>
      <c r="M1200" s="91"/>
      <c r="N1200" s="88">
        <f>Goods_Receipt[[#This Row],[ Invoice. /
 Received Qty ]]-Goods_Receipt[[#This Row],[ Accepted Qty ]]</f>
        <v>0</v>
      </c>
      <c r="O1200" s="87"/>
      <c r="P1200" s="87"/>
      <c r="Q1200" s="87"/>
      <c r="R1200" s="87"/>
      <c r="S1200" s="87"/>
      <c r="T1200" s="85"/>
      <c r="U1200" s="89"/>
      <c r="V1200" s="90"/>
      <c r="W1200" s="87"/>
      <c r="X1200" s="91"/>
      <c r="Y1200" s="84"/>
      <c r="Z1200" s="97"/>
    </row>
    <row r="1201" spans="1:26" s="98" customFormat="1" x14ac:dyDescent="0.35">
      <c r="A1201" s="86">
        <v>1198</v>
      </c>
      <c r="B1201" s="85"/>
      <c r="C1201" s="87"/>
      <c r="D1201" s="85"/>
      <c r="E1201" s="84"/>
      <c r="F1201" s="85"/>
      <c r="G1201" s="87"/>
      <c r="H1201" s="87"/>
      <c r="I1201" s="87"/>
      <c r="J1201" s="101"/>
      <c r="K1201" s="87"/>
      <c r="L1201" s="91"/>
      <c r="M1201" s="91"/>
      <c r="N1201" s="88">
        <f>Goods_Receipt[[#This Row],[ Invoice. /
 Received Qty ]]-Goods_Receipt[[#This Row],[ Accepted Qty ]]</f>
        <v>0</v>
      </c>
      <c r="O1201" s="87"/>
      <c r="P1201" s="87"/>
      <c r="Q1201" s="87"/>
      <c r="R1201" s="87"/>
      <c r="S1201" s="87"/>
      <c r="T1201" s="85"/>
      <c r="U1201" s="89"/>
      <c r="V1201" s="90"/>
      <c r="W1201" s="87"/>
      <c r="X1201" s="91"/>
      <c r="Y1201" s="84"/>
      <c r="Z1201" s="97"/>
    </row>
    <row r="1202" spans="1:26" s="98" customFormat="1" x14ac:dyDescent="0.35">
      <c r="A1202" s="86">
        <v>1199</v>
      </c>
      <c r="B1202" s="85"/>
      <c r="C1202" s="87"/>
      <c r="D1202" s="85"/>
      <c r="E1202" s="84"/>
      <c r="F1202" s="85"/>
      <c r="G1202" s="87"/>
      <c r="H1202" s="87"/>
      <c r="I1202" s="87"/>
      <c r="J1202" s="101"/>
      <c r="K1202" s="87"/>
      <c r="L1202" s="91"/>
      <c r="M1202" s="91"/>
      <c r="N1202" s="88">
        <f>Goods_Receipt[[#This Row],[ Invoice. /
 Received Qty ]]-Goods_Receipt[[#This Row],[ Accepted Qty ]]</f>
        <v>0</v>
      </c>
      <c r="O1202" s="87"/>
      <c r="P1202" s="87"/>
      <c r="Q1202" s="87"/>
      <c r="R1202" s="87"/>
      <c r="S1202" s="87"/>
      <c r="T1202" s="85"/>
      <c r="U1202" s="89"/>
      <c r="V1202" s="90"/>
      <c r="W1202" s="87"/>
      <c r="X1202" s="91"/>
      <c r="Y1202" s="84"/>
      <c r="Z1202" s="97"/>
    </row>
    <row r="1203" spans="1:26" s="98" customFormat="1" x14ac:dyDescent="0.35">
      <c r="A1203" s="86">
        <v>1200</v>
      </c>
      <c r="B1203" s="85"/>
      <c r="C1203" s="87"/>
      <c r="D1203" s="85"/>
      <c r="E1203" s="84"/>
      <c r="F1203" s="85"/>
      <c r="G1203" s="87"/>
      <c r="H1203" s="87"/>
      <c r="I1203" s="87"/>
      <c r="J1203" s="101"/>
      <c r="K1203" s="87"/>
      <c r="L1203" s="91"/>
      <c r="M1203" s="91"/>
      <c r="N1203" s="88">
        <f>Goods_Receipt[[#This Row],[ Invoice. /
 Received Qty ]]-Goods_Receipt[[#This Row],[ Accepted Qty ]]</f>
        <v>0</v>
      </c>
      <c r="O1203" s="87"/>
      <c r="P1203" s="87"/>
      <c r="Q1203" s="87"/>
      <c r="R1203" s="87"/>
      <c r="S1203" s="87"/>
      <c r="T1203" s="85"/>
      <c r="U1203" s="89"/>
      <c r="V1203" s="90"/>
      <c r="W1203" s="87"/>
      <c r="X1203" s="91"/>
      <c r="Y1203" s="84"/>
      <c r="Z1203" s="97"/>
    </row>
    <row r="1204" spans="1:26" s="98" customFormat="1" x14ac:dyDescent="0.35">
      <c r="A1204" s="86">
        <v>1201</v>
      </c>
      <c r="B1204" s="85"/>
      <c r="C1204" s="87"/>
      <c r="D1204" s="85"/>
      <c r="E1204" s="84"/>
      <c r="F1204" s="85"/>
      <c r="G1204" s="87"/>
      <c r="H1204" s="87"/>
      <c r="I1204" s="87"/>
      <c r="J1204" s="101"/>
      <c r="K1204" s="87"/>
      <c r="L1204" s="91"/>
      <c r="M1204" s="91"/>
      <c r="N1204" s="88">
        <f>Goods_Receipt[[#This Row],[ Invoice. /
 Received Qty ]]-Goods_Receipt[[#This Row],[ Accepted Qty ]]</f>
        <v>0</v>
      </c>
      <c r="O1204" s="87"/>
      <c r="P1204" s="87"/>
      <c r="Q1204" s="87"/>
      <c r="R1204" s="87"/>
      <c r="S1204" s="87"/>
      <c r="T1204" s="85"/>
      <c r="U1204" s="89"/>
      <c r="V1204" s="90"/>
      <c r="W1204" s="87"/>
      <c r="X1204" s="91"/>
      <c r="Y1204" s="84"/>
      <c r="Z1204" s="97"/>
    </row>
    <row r="1205" spans="1:26" s="98" customFormat="1" x14ac:dyDescent="0.35">
      <c r="A1205" s="86">
        <v>1202</v>
      </c>
      <c r="B1205" s="85"/>
      <c r="C1205" s="87"/>
      <c r="D1205" s="85"/>
      <c r="E1205" s="84"/>
      <c r="F1205" s="85"/>
      <c r="G1205" s="87"/>
      <c r="H1205" s="87"/>
      <c r="I1205" s="87"/>
      <c r="J1205" s="101"/>
      <c r="K1205" s="87"/>
      <c r="L1205" s="91"/>
      <c r="M1205" s="91"/>
      <c r="N1205" s="88">
        <f>Goods_Receipt[[#This Row],[ Invoice. /
 Received Qty ]]-Goods_Receipt[[#This Row],[ Accepted Qty ]]</f>
        <v>0</v>
      </c>
      <c r="O1205" s="87"/>
      <c r="P1205" s="87"/>
      <c r="Q1205" s="87"/>
      <c r="R1205" s="87"/>
      <c r="S1205" s="87"/>
      <c r="T1205" s="85"/>
      <c r="U1205" s="89"/>
      <c r="V1205" s="90"/>
      <c r="W1205" s="87"/>
      <c r="X1205" s="91"/>
      <c r="Y1205" s="84"/>
      <c r="Z1205" s="97"/>
    </row>
    <row r="1206" spans="1:26" s="98" customFormat="1" x14ac:dyDescent="0.35">
      <c r="A1206" s="86">
        <v>1203</v>
      </c>
      <c r="B1206" s="85"/>
      <c r="C1206" s="87"/>
      <c r="D1206" s="85"/>
      <c r="E1206" s="84"/>
      <c r="F1206" s="85"/>
      <c r="G1206" s="87"/>
      <c r="H1206" s="87"/>
      <c r="I1206" s="87"/>
      <c r="J1206" s="101"/>
      <c r="K1206" s="87"/>
      <c r="L1206" s="91"/>
      <c r="M1206" s="91"/>
      <c r="N1206" s="88">
        <f>Goods_Receipt[[#This Row],[ Invoice. /
 Received Qty ]]-Goods_Receipt[[#This Row],[ Accepted Qty ]]</f>
        <v>0</v>
      </c>
      <c r="O1206" s="87"/>
      <c r="P1206" s="87"/>
      <c r="Q1206" s="87"/>
      <c r="R1206" s="87"/>
      <c r="S1206" s="87"/>
      <c r="T1206" s="85"/>
      <c r="U1206" s="89"/>
      <c r="V1206" s="90"/>
      <c r="W1206" s="87"/>
      <c r="X1206" s="91"/>
      <c r="Y1206" s="84"/>
      <c r="Z1206" s="97"/>
    </row>
    <row r="1207" spans="1:26" s="98" customFormat="1" x14ac:dyDescent="0.35">
      <c r="A1207" s="86">
        <v>1204</v>
      </c>
      <c r="B1207" s="85"/>
      <c r="C1207" s="87"/>
      <c r="D1207" s="85"/>
      <c r="E1207" s="84"/>
      <c r="F1207" s="85"/>
      <c r="G1207" s="87"/>
      <c r="H1207" s="87"/>
      <c r="I1207" s="87"/>
      <c r="J1207" s="101"/>
      <c r="K1207" s="87"/>
      <c r="L1207" s="91"/>
      <c r="M1207" s="91"/>
      <c r="N1207" s="88">
        <f>Goods_Receipt[[#This Row],[ Invoice. /
 Received Qty ]]-Goods_Receipt[[#This Row],[ Accepted Qty ]]</f>
        <v>0</v>
      </c>
      <c r="O1207" s="87"/>
      <c r="P1207" s="87"/>
      <c r="Q1207" s="87"/>
      <c r="R1207" s="87"/>
      <c r="S1207" s="87"/>
      <c r="T1207" s="85"/>
      <c r="U1207" s="89"/>
      <c r="V1207" s="90"/>
      <c r="W1207" s="87"/>
      <c r="X1207" s="91"/>
      <c r="Y1207" s="84"/>
      <c r="Z1207" s="97"/>
    </row>
    <row r="1208" spans="1:26" s="98" customFormat="1" x14ac:dyDescent="0.35">
      <c r="A1208" s="86">
        <v>1205</v>
      </c>
      <c r="B1208" s="85"/>
      <c r="C1208" s="87"/>
      <c r="D1208" s="85"/>
      <c r="E1208" s="84"/>
      <c r="F1208" s="85"/>
      <c r="G1208" s="87"/>
      <c r="H1208" s="87"/>
      <c r="I1208" s="87"/>
      <c r="J1208" s="101"/>
      <c r="K1208" s="87"/>
      <c r="L1208" s="91"/>
      <c r="M1208" s="91"/>
      <c r="N1208" s="88">
        <f>Goods_Receipt[[#This Row],[ Invoice. /
 Received Qty ]]-Goods_Receipt[[#This Row],[ Accepted Qty ]]</f>
        <v>0</v>
      </c>
      <c r="O1208" s="87"/>
      <c r="P1208" s="87"/>
      <c r="Q1208" s="87"/>
      <c r="R1208" s="87"/>
      <c r="S1208" s="87"/>
      <c r="T1208" s="85"/>
      <c r="U1208" s="89"/>
      <c r="V1208" s="90"/>
      <c r="W1208" s="87"/>
      <c r="X1208" s="91"/>
      <c r="Y1208" s="84"/>
      <c r="Z1208" s="97"/>
    </row>
    <row r="1209" spans="1:26" s="98" customFormat="1" x14ac:dyDescent="0.35">
      <c r="A1209" s="86">
        <v>1206</v>
      </c>
      <c r="B1209" s="85"/>
      <c r="C1209" s="87"/>
      <c r="D1209" s="85"/>
      <c r="E1209" s="84"/>
      <c r="F1209" s="85"/>
      <c r="G1209" s="87"/>
      <c r="H1209" s="87"/>
      <c r="I1209" s="87"/>
      <c r="J1209" s="101"/>
      <c r="K1209" s="87"/>
      <c r="L1209" s="91"/>
      <c r="M1209" s="91"/>
      <c r="N1209" s="88">
        <f>Goods_Receipt[[#This Row],[ Invoice. /
 Received Qty ]]-Goods_Receipt[[#This Row],[ Accepted Qty ]]</f>
        <v>0</v>
      </c>
      <c r="O1209" s="87"/>
      <c r="P1209" s="87"/>
      <c r="Q1209" s="87"/>
      <c r="R1209" s="87"/>
      <c r="S1209" s="87"/>
      <c r="T1209" s="85"/>
      <c r="U1209" s="89"/>
      <c r="V1209" s="90"/>
      <c r="W1209" s="87"/>
      <c r="X1209" s="91"/>
      <c r="Y1209" s="84"/>
      <c r="Z1209" s="97"/>
    </row>
    <row r="1210" spans="1:26" s="98" customFormat="1" x14ac:dyDescent="0.35">
      <c r="A1210" s="86">
        <v>1207</v>
      </c>
      <c r="B1210" s="85"/>
      <c r="C1210" s="87"/>
      <c r="D1210" s="85"/>
      <c r="E1210" s="84"/>
      <c r="F1210" s="85"/>
      <c r="G1210" s="87"/>
      <c r="H1210" s="87"/>
      <c r="I1210" s="87"/>
      <c r="J1210" s="101"/>
      <c r="K1210" s="87"/>
      <c r="L1210" s="91"/>
      <c r="M1210" s="91"/>
      <c r="N1210" s="88">
        <f>Goods_Receipt[[#This Row],[ Invoice. /
 Received Qty ]]-Goods_Receipt[[#This Row],[ Accepted Qty ]]</f>
        <v>0</v>
      </c>
      <c r="O1210" s="87"/>
      <c r="P1210" s="87"/>
      <c r="Q1210" s="87"/>
      <c r="R1210" s="87"/>
      <c r="S1210" s="87"/>
      <c r="T1210" s="85"/>
      <c r="U1210" s="89"/>
      <c r="V1210" s="90"/>
      <c r="W1210" s="87"/>
      <c r="X1210" s="91"/>
      <c r="Y1210" s="84"/>
      <c r="Z1210" s="97"/>
    </row>
    <row r="1211" spans="1:26" s="98" customFormat="1" x14ac:dyDescent="0.35">
      <c r="A1211" s="86">
        <v>1208</v>
      </c>
      <c r="B1211" s="85"/>
      <c r="C1211" s="87"/>
      <c r="D1211" s="85"/>
      <c r="E1211" s="84"/>
      <c r="F1211" s="85"/>
      <c r="G1211" s="87"/>
      <c r="H1211" s="87"/>
      <c r="I1211" s="87"/>
      <c r="J1211" s="101"/>
      <c r="K1211" s="87"/>
      <c r="L1211" s="91"/>
      <c r="M1211" s="91"/>
      <c r="N1211" s="88">
        <f>Goods_Receipt[[#This Row],[ Invoice. /
 Received Qty ]]-Goods_Receipt[[#This Row],[ Accepted Qty ]]</f>
        <v>0</v>
      </c>
      <c r="O1211" s="87"/>
      <c r="P1211" s="87"/>
      <c r="Q1211" s="87"/>
      <c r="R1211" s="87"/>
      <c r="S1211" s="87"/>
      <c r="T1211" s="85"/>
      <c r="U1211" s="89"/>
      <c r="V1211" s="90"/>
      <c r="W1211" s="87"/>
      <c r="X1211" s="91"/>
      <c r="Y1211" s="84"/>
      <c r="Z1211" s="97"/>
    </row>
    <row r="1212" spans="1:26" s="98" customFormat="1" x14ac:dyDescent="0.35">
      <c r="A1212" s="86">
        <v>1209</v>
      </c>
      <c r="B1212" s="85"/>
      <c r="C1212" s="87"/>
      <c r="D1212" s="85"/>
      <c r="E1212" s="84"/>
      <c r="F1212" s="85"/>
      <c r="G1212" s="87"/>
      <c r="H1212" s="87"/>
      <c r="I1212" s="87"/>
      <c r="J1212" s="101"/>
      <c r="K1212" s="87"/>
      <c r="L1212" s="91"/>
      <c r="M1212" s="91"/>
      <c r="N1212" s="88">
        <f>Goods_Receipt[[#This Row],[ Invoice. /
 Received Qty ]]-Goods_Receipt[[#This Row],[ Accepted Qty ]]</f>
        <v>0</v>
      </c>
      <c r="O1212" s="87"/>
      <c r="P1212" s="87"/>
      <c r="Q1212" s="87"/>
      <c r="R1212" s="87"/>
      <c r="S1212" s="87"/>
      <c r="T1212" s="85"/>
      <c r="U1212" s="89"/>
      <c r="V1212" s="90"/>
      <c r="W1212" s="87"/>
      <c r="X1212" s="91"/>
      <c r="Y1212" s="84"/>
      <c r="Z1212" s="97"/>
    </row>
    <row r="1213" spans="1:26" s="98" customFormat="1" x14ac:dyDescent="0.35">
      <c r="A1213" s="86">
        <v>1210</v>
      </c>
      <c r="B1213" s="85"/>
      <c r="C1213" s="87"/>
      <c r="D1213" s="85"/>
      <c r="E1213" s="84"/>
      <c r="F1213" s="85"/>
      <c r="G1213" s="87"/>
      <c r="H1213" s="87"/>
      <c r="I1213" s="87"/>
      <c r="J1213" s="101"/>
      <c r="K1213" s="87"/>
      <c r="L1213" s="91"/>
      <c r="M1213" s="91"/>
      <c r="N1213" s="88">
        <f>Goods_Receipt[[#This Row],[ Invoice. /
 Received Qty ]]-Goods_Receipt[[#This Row],[ Accepted Qty ]]</f>
        <v>0</v>
      </c>
      <c r="O1213" s="87"/>
      <c r="P1213" s="87"/>
      <c r="Q1213" s="87"/>
      <c r="R1213" s="87"/>
      <c r="S1213" s="87"/>
      <c r="T1213" s="85"/>
      <c r="U1213" s="89"/>
      <c r="V1213" s="90"/>
      <c r="W1213" s="87"/>
      <c r="X1213" s="91"/>
      <c r="Y1213" s="84"/>
      <c r="Z1213" s="97"/>
    </row>
    <row r="1214" spans="1:26" s="98" customFormat="1" x14ac:dyDescent="0.35">
      <c r="A1214" s="86">
        <v>1211</v>
      </c>
      <c r="B1214" s="85"/>
      <c r="C1214" s="87"/>
      <c r="D1214" s="85"/>
      <c r="E1214" s="84"/>
      <c r="F1214" s="85"/>
      <c r="G1214" s="87"/>
      <c r="H1214" s="87"/>
      <c r="I1214" s="87"/>
      <c r="J1214" s="101"/>
      <c r="K1214" s="87"/>
      <c r="L1214" s="91"/>
      <c r="M1214" s="91"/>
      <c r="N1214" s="88">
        <f>Goods_Receipt[[#This Row],[ Invoice. /
 Received Qty ]]-Goods_Receipt[[#This Row],[ Accepted Qty ]]</f>
        <v>0</v>
      </c>
      <c r="O1214" s="87"/>
      <c r="P1214" s="87"/>
      <c r="Q1214" s="87"/>
      <c r="R1214" s="87"/>
      <c r="S1214" s="87"/>
      <c r="T1214" s="85"/>
      <c r="U1214" s="89"/>
      <c r="V1214" s="90"/>
      <c r="W1214" s="87"/>
      <c r="X1214" s="91"/>
      <c r="Y1214" s="84"/>
      <c r="Z1214" s="97"/>
    </row>
    <row r="1215" spans="1:26" s="98" customFormat="1" x14ac:dyDescent="0.35">
      <c r="A1215" s="86">
        <v>1212</v>
      </c>
      <c r="B1215" s="85"/>
      <c r="C1215" s="87"/>
      <c r="D1215" s="85"/>
      <c r="E1215" s="84"/>
      <c r="F1215" s="85"/>
      <c r="G1215" s="87"/>
      <c r="H1215" s="87"/>
      <c r="I1215" s="87"/>
      <c r="J1215" s="101"/>
      <c r="K1215" s="87"/>
      <c r="L1215" s="91"/>
      <c r="M1215" s="91"/>
      <c r="N1215" s="88">
        <f>Goods_Receipt[[#This Row],[ Invoice. /
 Received Qty ]]-Goods_Receipt[[#This Row],[ Accepted Qty ]]</f>
        <v>0</v>
      </c>
      <c r="O1215" s="87"/>
      <c r="P1215" s="87"/>
      <c r="Q1215" s="87"/>
      <c r="R1215" s="87"/>
      <c r="S1215" s="87"/>
      <c r="T1215" s="85"/>
      <c r="U1215" s="89"/>
      <c r="V1215" s="90"/>
      <c r="W1215" s="87"/>
      <c r="X1215" s="91"/>
      <c r="Y1215" s="84"/>
      <c r="Z1215" s="97"/>
    </row>
    <row r="1216" spans="1:26" s="98" customFormat="1" x14ac:dyDescent="0.35">
      <c r="A1216" s="86">
        <v>1213</v>
      </c>
      <c r="B1216" s="85"/>
      <c r="C1216" s="87"/>
      <c r="D1216" s="85"/>
      <c r="E1216" s="84"/>
      <c r="F1216" s="85"/>
      <c r="G1216" s="87"/>
      <c r="H1216" s="87"/>
      <c r="I1216" s="87"/>
      <c r="J1216" s="101"/>
      <c r="K1216" s="87"/>
      <c r="L1216" s="91"/>
      <c r="M1216" s="91"/>
      <c r="N1216" s="88">
        <f>Goods_Receipt[[#This Row],[ Invoice. /
 Received Qty ]]-Goods_Receipt[[#This Row],[ Accepted Qty ]]</f>
        <v>0</v>
      </c>
      <c r="O1216" s="87"/>
      <c r="P1216" s="87"/>
      <c r="Q1216" s="87"/>
      <c r="R1216" s="87"/>
      <c r="S1216" s="87"/>
      <c r="T1216" s="85"/>
      <c r="U1216" s="89"/>
      <c r="V1216" s="90"/>
      <c r="W1216" s="87"/>
      <c r="X1216" s="91"/>
      <c r="Y1216" s="84"/>
      <c r="Z1216" s="97"/>
    </row>
    <row r="1217" spans="1:26" s="98" customFormat="1" x14ac:dyDescent="0.35">
      <c r="A1217" s="86">
        <v>1214</v>
      </c>
      <c r="B1217" s="85"/>
      <c r="C1217" s="87"/>
      <c r="D1217" s="85"/>
      <c r="E1217" s="84"/>
      <c r="F1217" s="85"/>
      <c r="G1217" s="87"/>
      <c r="H1217" s="87"/>
      <c r="I1217" s="87"/>
      <c r="J1217" s="101"/>
      <c r="K1217" s="87"/>
      <c r="L1217" s="91"/>
      <c r="M1217" s="91"/>
      <c r="N1217" s="88">
        <f>Goods_Receipt[[#This Row],[ Invoice. /
 Received Qty ]]-Goods_Receipt[[#This Row],[ Accepted Qty ]]</f>
        <v>0</v>
      </c>
      <c r="O1217" s="87"/>
      <c r="P1217" s="87"/>
      <c r="Q1217" s="87"/>
      <c r="R1217" s="87"/>
      <c r="S1217" s="87"/>
      <c r="T1217" s="85"/>
      <c r="U1217" s="89"/>
      <c r="V1217" s="90"/>
      <c r="W1217" s="87"/>
      <c r="X1217" s="91"/>
      <c r="Y1217" s="84"/>
      <c r="Z1217" s="97"/>
    </row>
    <row r="1218" spans="1:26" s="98" customFormat="1" x14ac:dyDescent="0.35">
      <c r="A1218" s="86">
        <v>1215</v>
      </c>
      <c r="B1218" s="85"/>
      <c r="C1218" s="87"/>
      <c r="D1218" s="85"/>
      <c r="E1218" s="84"/>
      <c r="F1218" s="85"/>
      <c r="G1218" s="87"/>
      <c r="H1218" s="87"/>
      <c r="I1218" s="87"/>
      <c r="J1218" s="101"/>
      <c r="K1218" s="87"/>
      <c r="L1218" s="91"/>
      <c r="M1218" s="91"/>
      <c r="N1218" s="88">
        <f>Goods_Receipt[[#This Row],[ Invoice. /
 Received Qty ]]-Goods_Receipt[[#This Row],[ Accepted Qty ]]</f>
        <v>0</v>
      </c>
      <c r="O1218" s="87"/>
      <c r="P1218" s="87"/>
      <c r="Q1218" s="87"/>
      <c r="R1218" s="87"/>
      <c r="S1218" s="87"/>
      <c r="T1218" s="85"/>
      <c r="U1218" s="89"/>
      <c r="V1218" s="90"/>
      <c r="W1218" s="87"/>
      <c r="X1218" s="91"/>
      <c r="Y1218" s="84"/>
      <c r="Z1218" s="97"/>
    </row>
    <row r="1219" spans="1:26" s="98" customFormat="1" x14ac:dyDescent="0.35">
      <c r="A1219" s="86">
        <v>1216</v>
      </c>
      <c r="B1219" s="85"/>
      <c r="C1219" s="87"/>
      <c r="D1219" s="85"/>
      <c r="E1219" s="84"/>
      <c r="F1219" s="85"/>
      <c r="G1219" s="87"/>
      <c r="H1219" s="87"/>
      <c r="I1219" s="87"/>
      <c r="J1219" s="101"/>
      <c r="K1219" s="87"/>
      <c r="L1219" s="91"/>
      <c r="M1219" s="91"/>
      <c r="N1219" s="88">
        <f>Goods_Receipt[[#This Row],[ Invoice. /
 Received Qty ]]-Goods_Receipt[[#This Row],[ Accepted Qty ]]</f>
        <v>0</v>
      </c>
      <c r="O1219" s="87"/>
      <c r="P1219" s="87"/>
      <c r="Q1219" s="87"/>
      <c r="R1219" s="87"/>
      <c r="S1219" s="87"/>
      <c r="T1219" s="85"/>
      <c r="U1219" s="89"/>
      <c r="V1219" s="90"/>
      <c r="W1219" s="87"/>
      <c r="X1219" s="91"/>
      <c r="Y1219" s="84"/>
      <c r="Z1219" s="97"/>
    </row>
    <row r="1220" spans="1:26" s="98" customFormat="1" x14ac:dyDescent="0.35">
      <c r="A1220" s="86">
        <v>1217</v>
      </c>
      <c r="B1220" s="85"/>
      <c r="C1220" s="87"/>
      <c r="D1220" s="85"/>
      <c r="E1220" s="84"/>
      <c r="F1220" s="85"/>
      <c r="G1220" s="87"/>
      <c r="H1220" s="87"/>
      <c r="I1220" s="87"/>
      <c r="J1220" s="101"/>
      <c r="K1220" s="87"/>
      <c r="L1220" s="91"/>
      <c r="M1220" s="91"/>
      <c r="N1220" s="88">
        <f>Goods_Receipt[[#This Row],[ Invoice. /
 Received Qty ]]-Goods_Receipt[[#This Row],[ Accepted Qty ]]</f>
        <v>0</v>
      </c>
      <c r="O1220" s="87"/>
      <c r="P1220" s="87"/>
      <c r="Q1220" s="87"/>
      <c r="R1220" s="87"/>
      <c r="S1220" s="87"/>
      <c r="T1220" s="85"/>
      <c r="U1220" s="89"/>
      <c r="V1220" s="90"/>
      <c r="W1220" s="87"/>
      <c r="X1220" s="91"/>
      <c r="Y1220" s="84"/>
      <c r="Z1220" s="97"/>
    </row>
    <row r="1221" spans="1:26" s="98" customFormat="1" x14ac:dyDescent="0.35">
      <c r="A1221" s="86">
        <v>1218</v>
      </c>
      <c r="B1221" s="85"/>
      <c r="C1221" s="87"/>
      <c r="D1221" s="85"/>
      <c r="E1221" s="84"/>
      <c r="F1221" s="85"/>
      <c r="G1221" s="87"/>
      <c r="H1221" s="87"/>
      <c r="I1221" s="87"/>
      <c r="J1221" s="101"/>
      <c r="K1221" s="87"/>
      <c r="L1221" s="91"/>
      <c r="M1221" s="91"/>
      <c r="N1221" s="88">
        <f>Goods_Receipt[[#This Row],[ Invoice. /
 Received Qty ]]-Goods_Receipt[[#This Row],[ Accepted Qty ]]</f>
        <v>0</v>
      </c>
      <c r="O1221" s="87"/>
      <c r="P1221" s="87"/>
      <c r="Q1221" s="87"/>
      <c r="R1221" s="87"/>
      <c r="S1221" s="87"/>
      <c r="T1221" s="85"/>
      <c r="U1221" s="89"/>
      <c r="V1221" s="90"/>
      <c r="W1221" s="87"/>
      <c r="X1221" s="91"/>
      <c r="Y1221" s="84"/>
      <c r="Z1221" s="97"/>
    </row>
    <row r="1222" spans="1:26" s="98" customFormat="1" x14ac:dyDescent="0.35">
      <c r="A1222" s="86">
        <v>1219</v>
      </c>
      <c r="B1222" s="85"/>
      <c r="C1222" s="87"/>
      <c r="D1222" s="85"/>
      <c r="E1222" s="84"/>
      <c r="F1222" s="85"/>
      <c r="G1222" s="87"/>
      <c r="H1222" s="87"/>
      <c r="I1222" s="87"/>
      <c r="J1222" s="101"/>
      <c r="K1222" s="87"/>
      <c r="L1222" s="91"/>
      <c r="M1222" s="91"/>
      <c r="N1222" s="88">
        <f>Goods_Receipt[[#This Row],[ Invoice. /
 Received Qty ]]-Goods_Receipt[[#This Row],[ Accepted Qty ]]</f>
        <v>0</v>
      </c>
      <c r="O1222" s="87"/>
      <c r="P1222" s="87"/>
      <c r="Q1222" s="87"/>
      <c r="R1222" s="87"/>
      <c r="S1222" s="87"/>
      <c r="T1222" s="85"/>
      <c r="U1222" s="89"/>
      <c r="V1222" s="90"/>
      <c r="W1222" s="87"/>
      <c r="X1222" s="91"/>
      <c r="Y1222" s="84"/>
      <c r="Z1222" s="97"/>
    </row>
    <row r="1223" spans="1:26" s="98" customFormat="1" x14ac:dyDescent="0.35">
      <c r="A1223" s="86">
        <v>1220</v>
      </c>
      <c r="B1223" s="85"/>
      <c r="C1223" s="87"/>
      <c r="D1223" s="85"/>
      <c r="E1223" s="84"/>
      <c r="F1223" s="85"/>
      <c r="G1223" s="87"/>
      <c r="H1223" s="87"/>
      <c r="I1223" s="87"/>
      <c r="J1223" s="101"/>
      <c r="K1223" s="87"/>
      <c r="L1223" s="91"/>
      <c r="M1223" s="91"/>
      <c r="N1223" s="88">
        <f>Goods_Receipt[[#This Row],[ Invoice. /
 Received Qty ]]-Goods_Receipt[[#This Row],[ Accepted Qty ]]</f>
        <v>0</v>
      </c>
      <c r="O1223" s="87"/>
      <c r="P1223" s="87"/>
      <c r="Q1223" s="87"/>
      <c r="R1223" s="87"/>
      <c r="S1223" s="87"/>
      <c r="T1223" s="85"/>
      <c r="U1223" s="89"/>
      <c r="V1223" s="90"/>
      <c r="W1223" s="87"/>
      <c r="X1223" s="91"/>
      <c r="Y1223" s="84"/>
      <c r="Z1223" s="97"/>
    </row>
    <row r="1224" spans="1:26" s="98" customFormat="1" x14ac:dyDescent="0.35">
      <c r="A1224" s="86">
        <v>1221</v>
      </c>
      <c r="B1224" s="85"/>
      <c r="C1224" s="87"/>
      <c r="D1224" s="85"/>
      <c r="E1224" s="84"/>
      <c r="F1224" s="85"/>
      <c r="G1224" s="87"/>
      <c r="H1224" s="87"/>
      <c r="I1224" s="87"/>
      <c r="J1224" s="101"/>
      <c r="K1224" s="87"/>
      <c r="L1224" s="91"/>
      <c r="M1224" s="91"/>
      <c r="N1224" s="88">
        <f>Goods_Receipt[[#This Row],[ Invoice. /
 Received Qty ]]-Goods_Receipt[[#This Row],[ Accepted Qty ]]</f>
        <v>0</v>
      </c>
      <c r="O1224" s="87"/>
      <c r="P1224" s="87"/>
      <c r="Q1224" s="87"/>
      <c r="R1224" s="87"/>
      <c r="S1224" s="87"/>
      <c r="T1224" s="85"/>
      <c r="U1224" s="89"/>
      <c r="V1224" s="90"/>
      <c r="W1224" s="87"/>
      <c r="X1224" s="91"/>
      <c r="Y1224" s="84"/>
      <c r="Z1224" s="97"/>
    </row>
    <row r="1225" spans="1:26" s="98" customFormat="1" x14ac:dyDescent="0.35">
      <c r="A1225" s="86">
        <v>1222</v>
      </c>
      <c r="B1225" s="85"/>
      <c r="C1225" s="87"/>
      <c r="D1225" s="85"/>
      <c r="E1225" s="84"/>
      <c r="F1225" s="85"/>
      <c r="G1225" s="87"/>
      <c r="H1225" s="87"/>
      <c r="I1225" s="87"/>
      <c r="J1225" s="101"/>
      <c r="K1225" s="87"/>
      <c r="L1225" s="91"/>
      <c r="M1225" s="91"/>
      <c r="N1225" s="88">
        <f>Goods_Receipt[[#This Row],[ Invoice. /
 Received Qty ]]-Goods_Receipt[[#This Row],[ Accepted Qty ]]</f>
        <v>0</v>
      </c>
      <c r="O1225" s="87"/>
      <c r="P1225" s="87"/>
      <c r="Q1225" s="87"/>
      <c r="R1225" s="87"/>
      <c r="S1225" s="87"/>
      <c r="T1225" s="85"/>
      <c r="U1225" s="89"/>
      <c r="V1225" s="90"/>
      <c r="W1225" s="87"/>
      <c r="X1225" s="91"/>
      <c r="Y1225" s="84"/>
      <c r="Z1225" s="97"/>
    </row>
    <row r="1226" spans="1:26" s="98" customFormat="1" x14ac:dyDescent="0.35">
      <c r="A1226" s="86">
        <v>1223</v>
      </c>
      <c r="B1226" s="85"/>
      <c r="C1226" s="87"/>
      <c r="D1226" s="85"/>
      <c r="E1226" s="84"/>
      <c r="F1226" s="85"/>
      <c r="G1226" s="87"/>
      <c r="H1226" s="87"/>
      <c r="I1226" s="87"/>
      <c r="J1226" s="101"/>
      <c r="K1226" s="87"/>
      <c r="L1226" s="91"/>
      <c r="M1226" s="91"/>
      <c r="N1226" s="88">
        <f>Goods_Receipt[[#This Row],[ Invoice. /
 Received Qty ]]-Goods_Receipt[[#This Row],[ Accepted Qty ]]</f>
        <v>0</v>
      </c>
      <c r="O1226" s="87"/>
      <c r="P1226" s="87"/>
      <c r="Q1226" s="87"/>
      <c r="R1226" s="87"/>
      <c r="S1226" s="87"/>
      <c r="T1226" s="85"/>
      <c r="U1226" s="89"/>
      <c r="V1226" s="90"/>
      <c r="W1226" s="87"/>
      <c r="X1226" s="91"/>
      <c r="Y1226" s="84"/>
      <c r="Z1226" s="97"/>
    </row>
    <row r="1227" spans="1:26" s="98" customFormat="1" x14ac:dyDescent="0.35">
      <c r="A1227" s="86">
        <v>1224</v>
      </c>
      <c r="B1227" s="85"/>
      <c r="C1227" s="87"/>
      <c r="D1227" s="85"/>
      <c r="E1227" s="84"/>
      <c r="F1227" s="85"/>
      <c r="G1227" s="87"/>
      <c r="H1227" s="87"/>
      <c r="I1227" s="87"/>
      <c r="J1227" s="101"/>
      <c r="K1227" s="87"/>
      <c r="L1227" s="91"/>
      <c r="M1227" s="91"/>
      <c r="N1227" s="88">
        <f>Goods_Receipt[[#This Row],[ Invoice. /
 Received Qty ]]-Goods_Receipt[[#This Row],[ Accepted Qty ]]</f>
        <v>0</v>
      </c>
      <c r="O1227" s="87"/>
      <c r="P1227" s="87"/>
      <c r="Q1227" s="87"/>
      <c r="R1227" s="87"/>
      <c r="S1227" s="87"/>
      <c r="T1227" s="85"/>
      <c r="U1227" s="89"/>
      <c r="V1227" s="90"/>
      <c r="W1227" s="87"/>
      <c r="X1227" s="91"/>
      <c r="Y1227" s="84"/>
      <c r="Z1227" s="97"/>
    </row>
    <row r="1228" spans="1:26" s="98" customFormat="1" x14ac:dyDescent="0.35">
      <c r="A1228" s="86">
        <v>1225</v>
      </c>
      <c r="B1228" s="85"/>
      <c r="C1228" s="87"/>
      <c r="D1228" s="85"/>
      <c r="E1228" s="84"/>
      <c r="F1228" s="85"/>
      <c r="G1228" s="87"/>
      <c r="H1228" s="87"/>
      <c r="I1228" s="87"/>
      <c r="J1228" s="101"/>
      <c r="K1228" s="87"/>
      <c r="L1228" s="91"/>
      <c r="M1228" s="91"/>
      <c r="N1228" s="88">
        <f>Goods_Receipt[[#This Row],[ Invoice. /
 Received Qty ]]-Goods_Receipt[[#This Row],[ Accepted Qty ]]</f>
        <v>0</v>
      </c>
      <c r="O1228" s="87"/>
      <c r="P1228" s="87"/>
      <c r="Q1228" s="87"/>
      <c r="R1228" s="87"/>
      <c r="S1228" s="87"/>
      <c r="T1228" s="85"/>
      <c r="U1228" s="89"/>
      <c r="V1228" s="90"/>
      <c r="W1228" s="87"/>
      <c r="X1228" s="91"/>
      <c r="Y1228" s="84"/>
      <c r="Z1228" s="97"/>
    </row>
    <row r="1229" spans="1:26" s="98" customFormat="1" x14ac:dyDescent="0.35">
      <c r="A1229" s="86">
        <v>1226</v>
      </c>
      <c r="B1229" s="85"/>
      <c r="C1229" s="87"/>
      <c r="D1229" s="85"/>
      <c r="E1229" s="84"/>
      <c r="F1229" s="85"/>
      <c r="G1229" s="87"/>
      <c r="H1229" s="87"/>
      <c r="I1229" s="87"/>
      <c r="J1229" s="101"/>
      <c r="K1229" s="87"/>
      <c r="L1229" s="91"/>
      <c r="M1229" s="91"/>
      <c r="N1229" s="88">
        <f>Goods_Receipt[[#This Row],[ Invoice. /
 Received Qty ]]-Goods_Receipt[[#This Row],[ Accepted Qty ]]</f>
        <v>0</v>
      </c>
      <c r="O1229" s="87"/>
      <c r="P1229" s="87"/>
      <c r="Q1229" s="87"/>
      <c r="R1229" s="87"/>
      <c r="S1229" s="87"/>
      <c r="T1229" s="85"/>
      <c r="U1229" s="89"/>
      <c r="V1229" s="90"/>
      <c r="W1229" s="87"/>
      <c r="X1229" s="91"/>
      <c r="Y1229" s="84"/>
      <c r="Z1229" s="97"/>
    </row>
    <row r="1230" spans="1:26" s="98" customFormat="1" x14ac:dyDescent="0.35">
      <c r="A1230" s="86">
        <v>1227</v>
      </c>
      <c r="B1230" s="85"/>
      <c r="C1230" s="87"/>
      <c r="D1230" s="85"/>
      <c r="E1230" s="84"/>
      <c r="F1230" s="85"/>
      <c r="G1230" s="87"/>
      <c r="H1230" s="87"/>
      <c r="I1230" s="87"/>
      <c r="J1230" s="101"/>
      <c r="K1230" s="87"/>
      <c r="L1230" s="91"/>
      <c r="M1230" s="91"/>
      <c r="N1230" s="88">
        <f>Goods_Receipt[[#This Row],[ Invoice. /
 Received Qty ]]-Goods_Receipt[[#This Row],[ Accepted Qty ]]</f>
        <v>0</v>
      </c>
      <c r="O1230" s="87"/>
      <c r="P1230" s="87"/>
      <c r="Q1230" s="87"/>
      <c r="R1230" s="87"/>
      <c r="S1230" s="87"/>
      <c r="T1230" s="85"/>
      <c r="U1230" s="89"/>
      <c r="V1230" s="90"/>
      <c r="W1230" s="87"/>
      <c r="X1230" s="91"/>
      <c r="Y1230" s="84"/>
      <c r="Z1230" s="97"/>
    </row>
    <row r="1231" spans="1:26" s="98" customFormat="1" x14ac:dyDescent="0.35">
      <c r="A1231" s="86">
        <v>1228</v>
      </c>
      <c r="B1231" s="85"/>
      <c r="C1231" s="87"/>
      <c r="D1231" s="85"/>
      <c r="E1231" s="84"/>
      <c r="F1231" s="85"/>
      <c r="G1231" s="87"/>
      <c r="H1231" s="87"/>
      <c r="I1231" s="87"/>
      <c r="J1231" s="101"/>
      <c r="K1231" s="87"/>
      <c r="L1231" s="91"/>
      <c r="M1231" s="91"/>
      <c r="N1231" s="88">
        <f>Goods_Receipt[[#This Row],[ Invoice. /
 Received Qty ]]-Goods_Receipt[[#This Row],[ Accepted Qty ]]</f>
        <v>0</v>
      </c>
      <c r="O1231" s="87"/>
      <c r="P1231" s="87"/>
      <c r="Q1231" s="87"/>
      <c r="R1231" s="87"/>
      <c r="S1231" s="87"/>
      <c r="T1231" s="85"/>
      <c r="U1231" s="89"/>
      <c r="V1231" s="90"/>
      <c r="W1231" s="87"/>
      <c r="X1231" s="91"/>
      <c r="Y1231" s="84"/>
      <c r="Z1231" s="97"/>
    </row>
    <row r="1232" spans="1:26" s="98" customFormat="1" x14ac:dyDescent="0.35">
      <c r="A1232" s="86">
        <v>1229</v>
      </c>
      <c r="B1232" s="85"/>
      <c r="C1232" s="87"/>
      <c r="D1232" s="85"/>
      <c r="E1232" s="84"/>
      <c r="F1232" s="85"/>
      <c r="G1232" s="87"/>
      <c r="H1232" s="87"/>
      <c r="I1232" s="87"/>
      <c r="J1232" s="101"/>
      <c r="K1232" s="87"/>
      <c r="L1232" s="91"/>
      <c r="M1232" s="91"/>
      <c r="N1232" s="88">
        <f>Goods_Receipt[[#This Row],[ Invoice. /
 Received Qty ]]-Goods_Receipt[[#This Row],[ Accepted Qty ]]</f>
        <v>0</v>
      </c>
      <c r="O1232" s="87"/>
      <c r="P1232" s="87"/>
      <c r="Q1232" s="87"/>
      <c r="R1232" s="87"/>
      <c r="S1232" s="87"/>
      <c r="T1232" s="85"/>
      <c r="U1232" s="89"/>
      <c r="V1232" s="90"/>
      <c r="W1232" s="87"/>
      <c r="X1232" s="91"/>
      <c r="Y1232" s="84"/>
      <c r="Z1232" s="97"/>
    </row>
    <row r="1233" spans="1:26" s="98" customFormat="1" x14ac:dyDescent="0.35">
      <c r="A1233" s="86">
        <v>1230</v>
      </c>
      <c r="B1233" s="85"/>
      <c r="C1233" s="87"/>
      <c r="D1233" s="85"/>
      <c r="E1233" s="84"/>
      <c r="F1233" s="85"/>
      <c r="G1233" s="87"/>
      <c r="H1233" s="87"/>
      <c r="I1233" s="87"/>
      <c r="J1233" s="101"/>
      <c r="K1233" s="87"/>
      <c r="L1233" s="91"/>
      <c r="M1233" s="91"/>
      <c r="N1233" s="88">
        <f>Goods_Receipt[[#This Row],[ Invoice. /
 Received Qty ]]-Goods_Receipt[[#This Row],[ Accepted Qty ]]</f>
        <v>0</v>
      </c>
      <c r="O1233" s="87"/>
      <c r="P1233" s="87"/>
      <c r="Q1233" s="87"/>
      <c r="R1233" s="87"/>
      <c r="S1233" s="87"/>
      <c r="T1233" s="85"/>
      <c r="U1233" s="89"/>
      <c r="V1233" s="90"/>
      <c r="W1233" s="87"/>
      <c r="X1233" s="91"/>
      <c r="Y1233" s="84"/>
      <c r="Z1233" s="97"/>
    </row>
    <row r="1234" spans="1:26" s="98" customFormat="1" x14ac:dyDescent="0.35">
      <c r="A1234" s="86">
        <v>1231</v>
      </c>
      <c r="B1234" s="85"/>
      <c r="C1234" s="87"/>
      <c r="D1234" s="85"/>
      <c r="E1234" s="84"/>
      <c r="F1234" s="85"/>
      <c r="G1234" s="87"/>
      <c r="H1234" s="87"/>
      <c r="I1234" s="87"/>
      <c r="J1234" s="101"/>
      <c r="K1234" s="87"/>
      <c r="L1234" s="91"/>
      <c r="M1234" s="91"/>
      <c r="N1234" s="88">
        <f>Goods_Receipt[[#This Row],[ Invoice. /
 Received Qty ]]-Goods_Receipt[[#This Row],[ Accepted Qty ]]</f>
        <v>0</v>
      </c>
      <c r="O1234" s="87"/>
      <c r="P1234" s="87"/>
      <c r="Q1234" s="87"/>
      <c r="R1234" s="87"/>
      <c r="S1234" s="87"/>
      <c r="T1234" s="85"/>
      <c r="U1234" s="89"/>
      <c r="V1234" s="90"/>
      <c r="W1234" s="87"/>
      <c r="X1234" s="91"/>
      <c r="Y1234" s="84"/>
      <c r="Z1234" s="97"/>
    </row>
    <row r="1235" spans="1:26" s="98" customFormat="1" x14ac:dyDescent="0.35">
      <c r="A1235" s="86">
        <v>1232</v>
      </c>
      <c r="B1235" s="85"/>
      <c r="C1235" s="87"/>
      <c r="D1235" s="85"/>
      <c r="E1235" s="84"/>
      <c r="F1235" s="85"/>
      <c r="G1235" s="87"/>
      <c r="H1235" s="87"/>
      <c r="I1235" s="87"/>
      <c r="J1235" s="101"/>
      <c r="K1235" s="87"/>
      <c r="L1235" s="91"/>
      <c r="M1235" s="91"/>
      <c r="N1235" s="88">
        <f>Goods_Receipt[[#This Row],[ Invoice. /
 Received Qty ]]-Goods_Receipt[[#This Row],[ Accepted Qty ]]</f>
        <v>0</v>
      </c>
      <c r="O1235" s="87"/>
      <c r="P1235" s="87"/>
      <c r="Q1235" s="87"/>
      <c r="R1235" s="87"/>
      <c r="S1235" s="87"/>
      <c r="T1235" s="85"/>
      <c r="U1235" s="89"/>
      <c r="V1235" s="90"/>
      <c r="W1235" s="87"/>
      <c r="X1235" s="91"/>
      <c r="Y1235" s="84"/>
      <c r="Z1235" s="97"/>
    </row>
    <row r="1236" spans="1:26" s="98" customFormat="1" x14ac:dyDescent="0.35">
      <c r="A1236" s="86">
        <v>1233</v>
      </c>
      <c r="B1236" s="85"/>
      <c r="C1236" s="87"/>
      <c r="D1236" s="85"/>
      <c r="E1236" s="84"/>
      <c r="F1236" s="85"/>
      <c r="G1236" s="87"/>
      <c r="H1236" s="87"/>
      <c r="I1236" s="87"/>
      <c r="J1236" s="101"/>
      <c r="K1236" s="87"/>
      <c r="L1236" s="91"/>
      <c r="M1236" s="91"/>
      <c r="N1236" s="88">
        <f>Goods_Receipt[[#This Row],[ Invoice. /
 Received Qty ]]-Goods_Receipt[[#This Row],[ Accepted Qty ]]</f>
        <v>0</v>
      </c>
      <c r="O1236" s="87"/>
      <c r="P1236" s="87"/>
      <c r="Q1236" s="87"/>
      <c r="R1236" s="87"/>
      <c r="S1236" s="87"/>
      <c r="T1236" s="85"/>
      <c r="U1236" s="89"/>
      <c r="V1236" s="90"/>
      <c r="W1236" s="87"/>
      <c r="X1236" s="91"/>
      <c r="Y1236" s="84"/>
      <c r="Z1236" s="97"/>
    </row>
    <row r="1237" spans="1:26" s="98" customFormat="1" x14ac:dyDescent="0.35">
      <c r="A1237" s="86">
        <v>1234</v>
      </c>
      <c r="B1237" s="85"/>
      <c r="C1237" s="87"/>
      <c r="D1237" s="85"/>
      <c r="E1237" s="84"/>
      <c r="F1237" s="85"/>
      <c r="G1237" s="87"/>
      <c r="H1237" s="87"/>
      <c r="I1237" s="87"/>
      <c r="J1237" s="101"/>
      <c r="K1237" s="87"/>
      <c r="L1237" s="91"/>
      <c r="M1237" s="91"/>
      <c r="N1237" s="88">
        <f>Goods_Receipt[[#This Row],[ Invoice. /
 Received Qty ]]-Goods_Receipt[[#This Row],[ Accepted Qty ]]</f>
        <v>0</v>
      </c>
      <c r="O1237" s="87"/>
      <c r="P1237" s="87"/>
      <c r="Q1237" s="87"/>
      <c r="R1237" s="87"/>
      <c r="S1237" s="87"/>
      <c r="T1237" s="85"/>
      <c r="U1237" s="89"/>
      <c r="V1237" s="90"/>
      <c r="W1237" s="87"/>
      <c r="X1237" s="91"/>
      <c r="Y1237" s="84"/>
      <c r="Z1237" s="97"/>
    </row>
    <row r="1238" spans="1:26" s="98" customFormat="1" x14ac:dyDescent="0.35">
      <c r="A1238" s="86">
        <v>1235</v>
      </c>
      <c r="B1238" s="85"/>
      <c r="C1238" s="87"/>
      <c r="D1238" s="85"/>
      <c r="E1238" s="84"/>
      <c r="F1238" s="85"/>
      <c r="G1238" s="87"/>
      <c r="H1238" s="87"/>
      <c r="I1238" s="87"/>
      <c r="J1238" s="101"/>
      <c r="K1238" s="87"/>
      <c r="L1238" s="91"/>
      <c r="M1238" s="91"/>
      <c r="N1238" s="88">
        <f>Goods_Receipt[[#This Row],[ Invoice. /
 Received Qty ]]-Goods_Receipt[[#This Row],[ Accepted Qty ]]</f>
        <v>0</v>
      </c>
      <c r="O1238" s="87"/>
      <c r="P1238" s="87"/>
      <c r="Q1238" s="87"/>
      <c r="R1238" s="87"/>
      <c r="S1238" s="87"/>
      <c r="T1238" s="85"/>
      <c r="U1238" s="89"/>
      <c r="V1238" s="90"/>
      <c r="W1238" s="87"/>
      <c r="X1238" s="91"/>
      <c r="Y1238" s="84"/>
      <c r="Z1238" s="97"/>
    </row>
    <row r="1239" spans="1:26" s="98" customFormat="1" x14ac:dyDescent="0.35">
      <c r="A1239" s="86">
        <v>1236</v>
      </c>
      <c r="B1239" s="85"/>
      <c r="C1239" s="87"/>
      <c r="D1239" s="85"/>
      <c r="E1239" s="84"/>
      <c r="F1239" s="85"/>
      <c r="G1239" s="87"/>
      <c r="H1239" s="87"/>
      <c r="I1239" s="87"/>
      <c r="J1239" s="101"/>
      <c r="K1239" s="87"/>
      <c r="L1239" s="91"/>
      <c r="M1239" s="91"/>
      <c r="N1239" s="88">
        <f>Goods_Receipt[[#This Row],[ Invoice. /
 Received Qty ]]-Goods_Receipt[[#This Row],[ Accepted Qty ]]</f>
        <v>0</v>
      </c>
      <c r="O1239" s="87"/>
      <c r="P1239" s="87"/>
      <c r="Q1239" s="87"/>
      <c r="R1239" s="87"/>
      <c r="S1239" s="87"/>
      <c r="T1239" s="85"/>
      <c r="U1239" s="89"/>
      <c r="V1239" s="90"/>
      <c r="W1239" s="87"/>
      <c r="X1239" s="91"/>
      <c r="Y1239" s="84"/>
      <c r="Z1239" s="97"/>
    </row>
    <row r="1240" spans="1:26" s="98" customFormat="1" x14ac:dyDescent="0.35">
      <c r="A1240" s="86">
        <v>1237</v>
      </c>
      <c r="B1240" s="85"/>
      <c r="C1240" s="87"/>
      <c r="D1240" s="85"/>
      <c r="E1240" s="84"/>
      <c r="F1240" s="85"/>
      <c r="G1240" s="87"/>
      <c r="H1240" s="87"/>
      <c r="I1240" s="87"/>
      <c r="J1240" s="101"/>
      <c r="K1240" s="87"/>
      <c r="L1240" s="91"/>
      <c r="M1240" s="91"/>
      <c r="N1240" s="88">
        <f>Goods_Receipt[[#This Row],[ Invoice. /
 Received Qty ]]-Goods_Receipt[[#This Row],[ Accepted Qty ]]</f>
        <v>0</v>
      </c>
      <c r="O1240" s="87"/>
      <c r="P1240" s="87"/>
      <c r="Q1240" s="87"/>
      <c r="R1240" s="87"/>
      <c r="S1240" s="87"/>
      <c r="T1240" s="85"/>
      <c r="U1240" s="89"/>
      <c r="V1240" s="90"/>
      <c r="W1240" s="87"/>
      <c r="X1240" s="91"/>
      <c r="Y1240" s="84"/>
      <c r="Z1240" s="97"/>
    </row>
    <row r="1241" spans="1:26" s="98" customFormat="1" x14ac:dyDescent="0.35">
      <c r="A1241" s="86">
        <v>1238</v>
      </c>
      <c r="B1241" s="85"/>
      <c r="C1241" s="87"/>
      <c r="D1241" s="85"/>
      <c r="E1241" s="84"/>
      <c r="F1241" s="85"/>
      <c r="G1241" s="87"/>
      <c r="H1241" s="87"/>
      <c r="I1241" s="87"/>
      <c r="J1241" s="101"/>
      <c r="K1241" s="87"/>
      <c r="L1241" s="91"/>
      <c r="M1241" s="91"/>
      <c r="N1241" s="88">
        <f>Goods_Receipt[[#This Row],[ Invoice. /
 Received Qty ]]-Goods_Receipt[[#This Row],[ Accepted Qty ]]</f>
        <v>0</v>
      </c>
      <c r="O1241" s="87"/>
      <c r="P1241" s="87"/>
      <c r="Q1241" s="87"/>
      <c r="R1241" s="87"/>
      <c r="S1241" s="87"/>
      <c r="T1241" s="85"/>
      <c r="U1241" s="89"/>
      <c r="V1241" s="90"/>
      <c r="W1241" s="87"/>
      <c r="X1241" s="91"/>
      <c r="Y1241" s="84"/>
      <c r="Z1241" s="97"/>
    </row>
    <row r="1242" spans="1:26" s="98" customFormat="1" x14ac:dyDescent="0.35">
      <c r="A1242" s="86">
        <v>1239</v>
      </c>
      <c r="B1242" s="85"/>
      <c r="C1242" s="87"/>
      <c r="D1242" s="85"/>
      <c r="E1242" s="84"/>
      <c r="F1242" s="85"/>
      <c r="G1242" s="87"/>
      <c r="H1242" s="87"/>
      <c r="I1242" s="87"/>
      <c r="J1242" s="101"/>
      <c r="K1242" s="87"/>
      <c r="L1242" s="91"/>
      <c r="M1242" s="91"/>
      <c r="N1242" s="88">
        <f>Goods_Receipt[[#This Row],[ Invoice. /
 Received Qty ]]-Goods_Receipt[[#This Row],[ Accepted Qty ]]</f>
        <v>0</v>
      </c>
      <c r="O1242" s="87"/>
      <c r="P1242" s="87"/>
      <c r="Q1242" s="87"/>
      <c r="R1242" s="87"/>
      <c r="S1242" s="87"/>
      <c r="T1242" s="85"/>
      <c r="U1242" s="89"/>
      <c r="V1242" s="90"/>
      <c r="W1242" s="87"/>
      <c r="X1242" s="91"/>
      <c r="Y1242" s="84"/>
      <c r="Z1242" s="97"/>
    </row>
    <row r="1243" spans="1:26" s="98" customFormat="1" x14ac:dyDescent="0.35">
      <c r="A1243" s="86">
        <v>1240</v>
      </c>
      <c r="B1243" s="85"/>
      <c r="C1243" s="87"/>
      <c r="D1243" s="85"/>
      <c r="E1243" s="84"/>
      <c r="F1243" s="85"/>
      <c r="G1243" s="87"/>
      <c r="H1243" s="87"/>
      <c r="I1243" s="87"/>
      <c r="J1243" s="101"/>
      <c r="K1243" s="87"/>
      <c r="L1243" s="91"/>
      <c r="M1243" s="91"/>
      <c r="N1243" s="88">
        <f>Goods_Receipt[[#This Row],[ Invoice. /
 Received Qty ]]-Goods_Receipt[[#This Row],[ Accepted Qty ]]</f>
        <v>0</v>
      </c>
      <c r="O1243" s="87"/>
      <c r="P1243" s="87"/>
      <c r="Q1243" s="87"/>
      <c r="R1243" s="87"/>
      <c r="S1243" s="87"/>
      <c r="T1243" s="85"/>
      <c r="U1243" s="89"/>
      <c r="V1243" s="90"/>
      <c r="W1243" s="87"/>
      <c r="X1243" s="91"/>
      <c r="Y1243" s="84"/>
      <c r="Z1243" s="97"/>
    </row>
    <row r="1244" spans="1:26" s="98" customFormat="1" x14ac:dyDescent="0.35">
      <c r="A1244" s="86">
        <v>1241</v>
      </c>
      <c r="B1244" s="85"/>
      <c r="C1244" s="87"/>
      <c r="D1244" s="85"/>
      <c r="E1244" s="84"/>
      <c r="F1244" s="85"/>
      <c r="G1244" s="87"/>
      <c r="H1244" s="87"/>
      <c r="I1244" s="87"/>
      <c r="J1244" s="101"/>
      <c r="K1244" s="87"/>
      <c r="L1244" s="91"/>
      <c r="M1244" s="91"/>
      <c r="N1244" s="88">
        <f>Goods_Receipt[[#This Row],[ Invoice. /
 Received Qty ]]-Goods_Receipt[[#This Row],[ Accepted Qty ]]</f>
        <v>0</v>
      </c>
      <c r="O1244" s="87"/>
      <c r="P1244" s="87"/>
      <c r="Q1244" s="87"/>
      <c r="R1244" s="87"/>
      <c r="S1244" s="87"/>
      <c r="T1244" s="85"/>
      <c r="U1244" s="89"/>
      <c r="V1244" s="90"/>
      <c r="W1244" s="87"/>
      <c r="X1244" s="91"/>
      <c r="Y1244" s="84"/>
      <c r="Z1244" s="97"/>
    </row>
    <row r="1245" spans="1:26" s="98" customFormat="1" x14ac:dyDescent="0.35">
      <c r="A1245" s="86">
        <v>1242</v>
      </c>
      <c r="B1245" s="85"/>
      <c r="C1245" s="87"/>
      <c r="D1245" s="85"/>
      <c r="E1245" s="84"/>
      <c r="F1245" s="85"/>
      <c r="G1245" s="87"/>
      <c r="H1245" s="87"/>
      <c r="I1245" s="87"/>
      <c r="J1245" s="101"/>
      <c r="K1245" s="87"/>
      <c r="L1245" s="91"/>
      <c r="M1245" s="91"/>
      <c r="N1245" s="88">
        <f>Goods_Receipt[[#This Row],[ Invoice. /
 Received Qty ]]-Goods_Receipt[[#This Row],[ Accepted Qty ]]</f>
        <v>0</v>
      </c>
      <c r="O1245" s="87"/>
      <c r="P1245" s="87"/>
      <c r="Q1245" s="87"/>
      <c r="R1245" s="87"/>
      <c r="S1245" s="87"/>
      <c r="T1245" s="85"/>
      <c r="U1245" s="89"/>
      <c r="V1245" s="90"/>
      <c r="W1245" s="87"/>
      <c r="X1245" s="91"/>
      <c r="Y1245" s="84"/>
      <c r="Z1245" s="97"/>
    </row>
    <row r="1246" spans="1:26" s="98" customFormat="1" x14ac:dyDescent="0.35">
      <c r="A1246" s="86">
        <v>1243</v>
      </c>
      <c r="B1246" s="85"/>
      <c r="C1246" s="87"/>
      <c r="D1246" s="85"/>
      <c r="E1246" s="84"/>
      <c r="F1246" s="85"/>
      <c r="G1246" s="87"/>
      <c r="H1246" s="87"/>
      <c r="I1246" s="87"/>
      <c r="J1246" s="101"/>
      <c r="K1246" s="87"/>
      <c r="L1246" s="91"/>
      <c r="M1246" s="91"/>
      <c r="N1246" s="88">
        <f>Goods_Receipt[[#This Row],[ Invoice. /
 Received Qty ]]-Goods_Receipt[[#This Row],[ Accepted Qty ]]</f>
        <v>0</v>
      </c>
      <c r="O1246" s="87"/>
      <c r="P1246" s="87"/>
      <c r="Q1246" s="87"/>
      <c r="R1246" s="87"/>
      <c r="S1246" s="87"/>
      <c r="T1246" s="85"/>
      <c r="U1246" s="89"/>
      <c r="V1246" s="90"/>
      <c r="W1246" s="87"/>
      <c r="X1246" s="91"/>
      <c r="Y1246" s="84"/>
      <c r="Z1246" s="97"/>
    </row>
    <row r="1247" spans="1:26" s="98" customFormat="1" x14ac:dyDescent="0.35">
      <c r="A1247" s="86">
        <v>1244</v>
      </c>
      <c r="B1247" s="85"/>
      <c r="C1247" s="87"/>
      <c r="D1247" s="85"/>
      <c r="E1247" s="84"/>
      <c r="F1247" s="85"/>
      <c r="G1247" s="87"/>
      <c r="H1247" s="87"/>
      <c r="I1247" s="87"/>
      <c r="J1247" s="101"/>
      <c r="K1247" s="87"/>
      <c r="L1247" s="91"/>
      <c r="M1247" s="91"/>
      <c r="N1247" s="88">
        <f>Goods_Receipt[[#This Row],[ Invoice. /
 Received Qty ]]-Goods_Receipt[[#This Row],[ Accepted Qty ]]</f>
        <v>0</v>
      </c>
      <c r="O1247" s="87"/>
      <c r="P1247" s="87"/>
      <c r="Q1247" s="87"/>
      <c r="R1247" s="87"/>
      <c r="S1247" s="87"/>
      <c r="T1247" s="85"/>
      <c r="U1247" s="89"/>
      <c r="V1247" s="90"/>
      <c r="W1247" s="87"/>
      <c r="X1247" s="91"/>
      <c r="Y1247" s="84"/>
      <c r="Z1247" s="97"/>
    </row>
    <row r="1248" spans="1:26" s="98" customFormat="1" x14ac:dyDescent="0.35">
      <c r="A1248" s="86">
        <v>1245</v>
      </c>
      <c r="B1248" s="85"/>
      <c r="C1248" s="87"/>
      <c r="D1248" s="85"/>
      <c r="E1248" s="84"/>
      <c r="F1248" s="85"/>
      <c r="G1248" s="87"/>
      <c r="H1248" s="87"/>
      <c r="I1248" s="87"/>
      <c r="J1248" s="101"/>
      <c r="K1248" s="87"/>
      <c r="L1248" s="91"/>
      <c r="M1248" s="91"/>
      <c r="N1248" s="88">
        <f>Goods_Receipt[[#This Row],[ Invoice. /
 Received Qty ]]-Goods_Receipt[[#This Row],[ Accepted Qty ]]</f>
        <v>0</v>
      </c>
      <c r="O1248" s="87"/>
      <c r="P1248" s="87"/>
      <c r="Q1248" s="87"/>
      <c r="R1248" s="87"/>
      <c r="S1248" s="87"/>
      <c r="T1248" s="85"/>
      <c r="U1248" s="89"/>
      <c r="V1248" s="90"/>
      <c r="W1248" s="87"/>
      <c r="X1248" s="91"/>
      <c r="Y1248" s="84"/>
      <c r="Z1248" s="97"/>
    </row>
    <row r="1249" spans="1:26" s="98" customFormat="1" x14ac:dyDescent="0.35">
      <c r="A1249" s="86">
        <v>1246</v>
      </c>
      <c r="B1249" s="85"/>
      <c r="C1249" s="87"/>
      <c r="D1249" s="85"/>
      <c r="E1249" s="84"/>
      <c r="F1249" s="85"/>
      <c r="G1249" s="87"/>
      <c r="H1249" s="87"/>
      <c r="I1249" s="87"/>
      <c r="J1249" s="101"/>
      <c r="K1249" s="87"/>
      <c r="L1249" s="91"/>
      <c r="M1249" s="91"/>
      <c r="N1249" s="88">
        <f>Goods_Receipt[[#This Row],[ Invoice. /
 Received Qty ]]-Goods_Receipt[[#This Row],[ Accepted Qty ]]</f>
        <v>0</v>
      </c>
      <c r="O1249" s="87"/>
      <c r="P1249" s="87"/>
      <c r="Q1249" s="87"/>
      <c r="R1249" s="87"/>
      <c r="S1249" s="87"/>
      <c r="T1249" s="85"/>
      <c r="U1249" s="89"/>
      <c r="V1249" s="90"/>
      <c r="W1249" s="87"/>
      <c r="X1249" s="91"/>
      <c r="Y1249" s="84"/>
      <c r="Z1249" s="97"/>
    </row>
    <row r="1250" spans="1:26" s="98" customFormat="1" x14ac:dyDescent="0.35">
      <c r="A1250" s="86">
        <v>1247</v>
      </c>
      <c r="B1250" s="85"/>
      <c r="C1250" s="87"/>
      <c r="D1250" s="85"/>
      <c r="E1250" s="84"/>
      <c r="F1250" s="85"/>
      <c r="G1250" s="87"/>
      <c r="H1250" s="87"/>
      <c r="I1250" s="87"/>
      <c r="J1250" s="101"/>
      <c r="K1250" s="87"/>
      <c r="L1250" s="91"/>
      <c r="M1250" s="91"/>
      <c r="N1250" s="88">
        <f>Goods_Receipt[[#This Row],[ Invoice. /
 Received Qty ]]-Goods_Receipt[[#This Row],[ Accepted Qty ]]</f>
        <v>0</v>
      </c>
      <c r="O1250" s="87"/>
      <c r="P1250" s="87"/>
      <c r="Q1250" s="87"/>
      <c r="R1250" s="87"/>
      <c r="S1250" s="87"/>
      <c r="T1250" s="85"/>
      <c r="U1250" s="89"/>
      <c r="V1250" s="90"/>
      <c r="W1250" s="87"/>
      <c r="X1250" s="91"/>
      <c r="Y1250" s="84"/>
      <c r="Z1250" s="97"/>
    </row>
    <row r="1251" spans="1:26" s="98" customFormat="1" x14ac:dyDescent="0.35">
      <c r="A1251" s="86">
        <v>1248</v>
      </c>
      <c r="B1251" s="85"/>
      <c r="C1251" s="87"/>
      <c r="D1251" s="85"/>
      <c r="E1251" s="84"/>
      <c r="F1251" s="85"/>
      <c r="G1251" s="87"/>
      <c r="H1251" s="87"/>
      <c r="I1251" s="87"/>
      <c r="J1251" s="101"/>
      <c r="K1251" s="87"/>
      <c r="L1251" s="91"/>
      <c r="M1251" s="91"/>
      <c r="N1251" s="88">
        <f>Goods_Receipt[[#This Row],[ Invoice. /
 Received Qty ]]-Goods_Receipt[[#This Row],[ Accepted Qty ]]</f>
        <v>0</v>
      </c>
      <c r="O1251" s="87"/>
      <c r="P1251" s="87"/>
      <c r="Q1251" s="87"/>
      <c r="R1251" s="87"/>
      <c r="S1251" s="87"/>
      <c r="T1251" s="85"/>
      <c r="U1251" s="89"/>
      <c r="V1251" s="90"/>
      <c r="W1251" s="87"/>
      <c r="X1251" s="91"/>
      <c r="Y1251" s="84"/>
      <c r="Z1251" s="97"/>
    </row>
    <row r="1252" spans="1:26" s="98" customFormat="1" x14ac:dyDescent="0.35">
      <c r="A1252" s="86">
        <v>1249</v>
      </c>
      <c r="B1252" s="85"/>
      <c r="C1252" s="87"/>
      <c r="D1252" s="85"/>
      <c r="E1252" s="84"/>
      <c r="F1252" s="85"/>
      <c r="G1252" s="87"/>
      <c r="H1252" s="87"/>
      <c r="I1252" s="87"/>
      <c r="J1252" s="101"/>
      <c r="K1252" s="87"/>
      <c r="L1252" s="91"/>
      <c r="M1252" s="91"/>
      <c r="N1252" s="88">
        <f>Goods_Receipt[[#This Row],[ Invoice. /
 Received Qty ]]-Goods_Receipt[[#This Row],[ Accepted Qty ]]</f>
        <v>0</v>
      </c>
      <c r="O1252" s="87"/>
      <c r="P1252" s="87"/>
      <c r="Q1252" s="87"/>
      <c r="R1252" s="87"/>
      <c r="S1252" s="87"/>
      <c r="T1252" s="85"/>
      <c r="U1252" s="89"/>
      <c r="V1252" s="90"/>
      <c r="W1252" s="87"/>
      <c r="X1252" s="91"/>
      <c r="Y1252" s="84"/>
      <c r="Z1252" s="97"/>
    </row>
    <row r="1253" spans="1:26" s="98" customFormat="1" x14ac:dyDescent="0.35">
      <c r="A1253" s="86">
        <v>1250</v>
      </c>
      <c r="B1253" s="85"/>
      <c r="C1253" s="87"/>
      <c r="D1253" s="85"/>
      <c r="E1253" s="84"/>
      <c r="F1253" s="85"/>
      <c r="G1253" s="87"/>
      <c r="H1253" s="87"/>
      <c r="I1253" s="87"/>
      <c r="J1253" s="101"/>
      <c r="K1253" s="87"/>
      <c r="L1253" s="91"/>
      <c r="M1253" s="91"/>
      <c r="N1253" s="88">
        <f>Goods_Receipt[[#This Row],[ Invoice. /
 Received Qty ]]-Goods_Receipt[[#This Row],[ Accepted Qty ]]</f>
        <v>0</v>
      </c>
      <c r="O1253" s="87"/>
      <c r="P1253" s="87"/>
      <c r="Q1253" s="87"/>
      <c r="R1253" s="87"/>
      <c r="S1253" s="87"/>
      <c r="T1253" s="85"/>
      <c r="U1253" s="89"/>
      <c r="V1253" s="90"/>
      <c r="W1253" s="87"/>
      <c r="X1253" s="91"/>
      <c r="Y1253" s="84"/>
      <c r="Z1253" s="97"/>
    </row>
    <row r="1254" spans="1:26" s="98" customFormat="1" x14ac:dyDescent="0.35">
      <c r="A1254" s="86">
        <v>1251</v>
      </c>
      <c r="B1254" s="85"/>
      <c r="C1254" s="87"/>
      <c r="D1254" s="85"/>
      <c r="E1254" s="84"/>
      <c r="F1254" s="85"/>
      <c r="G1254" s="87"/>
      <c r="H1254" s="87"/>
      <c r="I1254" s="87"/>
      <c r="J1254" s="101"/>
      <c r="K1254" s="87"/>
      <c r="L1254" s="91"/>
      <c r="M1254" s="91"/>
      <c r="N1254" s="88">
        <f>Goods_Receipt[[#This Row],[ Invoice. /
 Received Qty ]]-Goods_Receipt[[#This Row],[ Accepted Qty ]]</f>
        <v>0</v>
      </c>
      <c r="O1254" s="87"/>
      <c r="P1254" s="87"/>
      <c r="Q1254" s="87"/>
      <c r="R1254" s="87"/>
      <c r="S1254" s="87"/>
      <c r="T1254" s="85"/>
      <c r="U1254" s="89"/>
      <c r="V1254" s="90"/>
      <c r="W1254" s="87"/>
      <c r="X1254" s="91"/>
      <c r="Y1254" s="84"/>
      <c r="Z1254" s="97"/>
    </row>
    <row r="1255" spans="1:26" s="98" customFormat="1" x14ac:dyDescent="0.35">
      <c r="A1255" s="86">
        <v>1252</v>
      </c>
      <c r="B1255" s="85"/>
      <c r="C1255" s="87"/>
      <c r="D1255" s="85"/>
      <c r="E1255" s="84"/>
      <c r="F1255" s="85"/>
      <c r="G1255" s="87"/>
      <c r="H1255" s="87"/>
      <c r="I1255" s="87"/>
      <c r="J1255" s="101"/>
      <c r="K1255" s="87"/>
      <c r="L1255" s="91"/>
      <c r="M1255" s="91"/>
      <c r="N1255" s="88">
        <f>Goods_Receipt[[#This Row],[ Invoice. /
 Received Qty ]]-Goods_Receipt[[#This Row],[ Accepted Qty ]]</f>
        <v>0</v>
      </c>
      <c r="O1255" s="87"/>
      <c r="P1255" s="87"/>
      <c r="Q1255" s="87"/>
      <c r="R1255" s="87"/>
      <c r="S1255" s="87"/>
      <c r="T1255" s="85"/>
      <c r="U1255" s="89"/>
      <c r="V1255" s="90"/>
      <c r="W1255" s="87"/>
      <c r="X1255" s="91"/>
      <c r="Y1255" s="84"/>
      <c r="Z1255" s="97"/>
    </row>
    <row r="1256" spans="1:26" s="98" customFormat="1" x14ac:dyDescent="0.35">
      <c r="A1256" s="86">
        <v>1253</v>
      </c>
      <c r="B1256" s="85"/>
      <c r="C1256" s="87"/>
      <c r="D1256" s="85"/>
      <c r="E1256" s="84"/>
      <c r="F1256" s="85"/>
      <c r="G1256" s="87"/>
      <c r="H1256" s="87"/>
      <c r="I1256" s="87"/>
      <c r="J1256" s="101"/>
      <c r="K1256" s="87"/>
      <c r="L1256" s="91"/>
      <c r="M1256" s="91"/>
      <c r="N1256" s="88">
        <f>Goods_Receipt[[#This Row],[ Invoice. /
 Received Qty ]]-Goods_Receipt[[#This Row],[ Accepted Qty ]]</f>
        <v>0</v>
      </c>
      <c r="O1256" s="87"/>
      <c r="P1256" s="87"/>
      <c r="Q1256" s="87"/>
      <c r="R1256" s="87"/>
      <c r="S1256" s="87"/>
      <c r="T1256" s="85"/>
      <c r="U1256" s="89"/>
      <c r="V1256" s="90"/>
      <c r="W1256" s="87"/>
      <c r="X1256" s="91"/>
      <c r="Y1256" s="84"/>
      <c r="Z1256" s="97"/>
    </row>
    <row r="1257" spans="1:26" s="98" customFormat="1" x14ac:dyDescent="0.35">
      <c r="A1257" s="86">
        <v>1254</v>
      </c>
      <c r="B1257" s="85"/>
      <c r="C1257" s="87"/>
      <c r="D1257" s="85"/>
      <c r="E1257" s="84"/>
      <c r="F1257" s="85"/>
      <c r="G1257" s="87"/>
      <c r="H1257" s="87"/>
      <c r="I1257" s="87"/>
      <c r="J1257" s="101"/>
      <c r="K1257" s="87"/>
      <c r="L1257" s="91"/>
      <c r="M1257" s="91"/>
      <c r="N1257" s="88">
        <f>Goods_Receipt[[#This Row],[ Invoice. /
 Received Qty ]]-Goods_Receipt[[#This Row],[ Accepted Qty ]]</f>
        <v>0</v>
      </c>
      <c r="O1257" s="87"/>
      <c r="P1257" s="87"/>
      <c r="Q1257" s="87"/>
      <c r="R1257" s="87"/>
      <c r="S1257" s="87"/>
      <c r="T1257" s="85"/>
      <c r="U1257" s="89"/>
      <c r="V1257" s="90"/>
      <c r="W1257" s="87"/>
      <c r="X1257" s="91"/>
      <c r="Y1257" s="84"/>
      <c r="Z1257" s="97"/>
    </row>
    <row r="1258" spans="1:26" s="98" customFormat="1" x14ac:dyDescent="0.35">
      <c r="A1258" s="86">
        <v>1255</v>
      </c>
      <c r="B1258" s="85"/>
      <c r="C1258" s="87"/>
      <c r="D1258" s="85"/>
      <c r="E1258" s="84"/>
      <c r="F1258" s="85"/>
      <c r="G1258" s="87"/>
      <c r="H1258" s="87"/>
      <c r="I1258" s="87"/>
      <c r="J1258" s="101"/>
      <c r="K1258" s="87"/>
      <c r="L1258" s="91"/>
      <c r="M1258" s="91"/>
      <c r="N1258" s="88">
        <f>Goods_Receipt[[#This Row],[ Invoice. /
 Received Qty ]]-Goods_Receipt[[#This Row],[ Accepted Qty ]]</f>
        <v>0</v>
      </c>
      <c r="O1258" s="87"/>
      <c r="P1258" s="87"/>
      <c r="Q1258" s="87"/>
      <c r="R1258" s="87"/>
      <c r="S1258" s="87"/>
      <c r="T1258" s="85"/>
      <c r="U1258" s="89"/>
      <c r="V1258" s="90"/>
      <c r="W1258" s="87"/>
      <c r="X1258" s="91"/>
      <c r="Y1258" s="84"/>
      <c r="Z1258" s="97"/>
    </row>
    <row r="1259" spans="1:26" s="98" customFormat="1" x14ac:dyDescent="0.35">
      <c r="A1259" s="86">
        <v>1256</v>
      </c>
      <c r="B1259" s="85"/>
      <c r="C1259" s="87"/>
      <c r="D1259" s="85"/>
      <c r="E1259" s="84"/>
      <c r="F1259" s="85"/>
      <c r="G1259" s="87"/>
      <c r="H1259" s="87"/>
      <c r="I1259" s="87"/>
      <c r="J1259" s="101"/>
      <c r="K1259" s="87"/>
      <c r="L1259" s="91"/>
      <c r="M1259" s="91"/>
      <c r="N1259" s="88">
        <f>Goods_Receipt[[#This Row],[ Invoice. /
 Received Qty ]]-Goods_Receipt[[#This Row],[ Accepted Qty ]]</f>
        <v>0</v>
      </c>
      <c r="O1259" s="87"/>
      <c r="P1259" s="87"/>
      <c r="Q1259" s="87"/>
      <c r="R1259" s="87"/>
      <c r="S1259" s="87"/>
      <c r="T1259" s="85"/>
      <c r="U1259" s="89"/>
      <c r="V1259" s="90"/>
      <c r="W1259" s="87"/>
      <c r="X1259" s="91"/>
      <c r="Y1259" s="84"/>
      <c r="Z1259" s="97"/>
    </row>
    <row r="1260" spans="1:26" s="98" customFormat="1" x14ac:dyDescent="0.35">
      <c r="A1260" s="86">
        <v>1257</v>
      </c>
      <c r="B1260" s="85"/>
      <c r="C1260" s="87"/>
      <c r="D1260" s="85"/>
      <c r="E1260" s="84"/>
      <c r="F1260" s="85"/>
      <c r="G1260" s="87"/>
      <c r="H1260" s="87"/>
      <c r="I1260" s="87"/>
      <c r="J1260" s="101"/>
      <c r="K1260" s="87"/>
      <c r="L1260" s="91"/>
      <c r="M1260" s="91"/>
      <c r="N1260" s="88">
        <f>Goods_Receipt[[#This Row],[ Invoice. /
 Received Qty ]]-Goods_Receipt[[#This Row],[ Accepted Qty ]]</f>
        <v>0</v>
      </c>
      <c r="O1260" s="87"/>
      <c r="P1260" s="87"/>
      <c r="Q1260" s="87"/>
      <c r="R1260" s="87"/>
      <c r="S1260" s="87"/>
      <c r="T1260" s="85"/>
      <c r="U1260" s="89"/>
      <c r="V1260" s="90"/>
      <c r="W1260" s="87"/>
      <c r="X1260" s="91"/>
      <c r="Y1260" s="84"/>
      <c r="Z1260" s="97"/>
    </row>
    <row r="1261" spans="1:26" s="98" customFormat="1" x14ac:dyDescent="0.35">
      <c r="A1261" s="86">
        <v>1258</v>
      </c>
      <c r="B1261" s="85"/>
      <c r="C1261" s="87"/>
      <c r="D1261" s="85"/>
      <c r="E1261" s="84"/>
      <c r="F1261" s="85"/>
      <c r="G1261" s="87"/>
      <c r="H1261" s="87"/>
      <c r="I1261" s="87"/>
      <c r="J1261" s="101"/>
      <c r="K1261" s="87"/>
      <c r="L1261" s="91"/>
      <c r="M1261" s="91"/>
      <c r="N1261" s="88">
        <f>Goods_Receipt[[#This Row],[ Invoice. /
 Received Qty ]]-Goods_Receipt[[#This Row],[ Accepted Qty ]]</f>
        <v>0</v>
      </c>
      <c r="O1261" s="87"/>
      <c r="P1261" s="87"/>
      <c r="Q1261" s="87"/>
      <c r="R1261" s="87"/>
      <c r="S1261" s="87"/>
      <c r="T1261" s="85"/>
      <c r="U1261" s="89"/>
      <c r="V1261" s="90"/>
      <c r="W1261" s="87"/>
      <c r="X1261" s="91"/>
      <c r="Y1261" s="84"/>
      <c r="Z1261" s="97"/>
    </row>
    <row r="1262" spans="1:26" s="98" customFormat="1" x14ac:dyDescent="0.35">
      <c r="A1262" s="86">
        <v>1259</v>
      </c>
      <c r="B1262" s="85"/>
      <c r="C1262" s="87"/>
      <c r="D1262" s="85"/>
      <c r="E1262" s="84"/>
      <c r="F1262" s="85"/>
      <c r="G1262" s="87"/>
      <c r="H1262" s="87"/>
      <c r="I1262" s="87"/>
      <c r="J1262" s="101"/>
      <c r="K1262" s="87"/>
      <c r="L1262" s="91"/>
      <c r="M1262" s="91"/>
      <c r="N1262" s="88">
        <f>Goods_Receipt[[#This Row],[ Invoice. /
 Received Qty ]]-Goods_Receipt[[#This Row],[ Accepted Qty ]]</f>
        <v>0</v>
      </c>
      <c r="O1262" s="87"/>
      <c r="P1262" s="87"/>
      <c r="Q1262" s="87"/>
      <c r="R1262" s="87"/>
      <c r="S1262" s="87"/>
      <c r="T1262" s="85"/>
      <c r="U1262" s="89"/>
      <c r="V1262" s="90"/>
      <c r="W1262" s="87"/>
      <c r="X1262" s="91"/>
      <c r="Y1262" s="84"/>
      <c r="Z1262" s="97"/>
    </row>
    <row r="1263" spans="1:26" s="98" customFormat="1" x14ac:dyDescent="0.35">
      <c r="A1263" s="86">
        <v>1260</v>
      </c>
      <c r="B1263" s="85"/>
      <c r="C1263" s="87"/>
      <c r="D1263" s="85"/>
      <c r="E1263" s="84"/>
      <c r="F1263" s="85"/>
      <c r="G1263" s="87"/>
      <c r="H1263" s="87"/>
      <c r="I1263" s="87"/>
      <c r="J1263" s="101"/>
      <c r="K1263" s="87"/>
      <c r="L1263" s="91"/>
      <c r="M1263" s="91"/>
      <c r="N1263" s="88">
        <f>Goods_Receipt[[#This Row],[ Invoice. /
 Received Qty ]]-Goods_Receipt[[#This Row],[ Accepted Qty ]]</f>
        <v>0</v>
      </c>
      <c r="O1263" s="87"/>
      <c r="P1263" s="87"/>
      <c r="Q1263" s="87"/>
      <c r="R1263" s="87"/>
      <c r="S1263" s="87"/>
      <c r="T1263" s="85"/>
      <c r="U1263" s="89"/>
      <c r="V1263" s="90"/>
      <c r="W1263" s="87"/>
      <c r="X1263" s="91"/>
      <c r="Y1263" s="84"/>
      <c r="Z1263" s="97"/>
    </row>
    <row r="1264" spans="1:26" s="98" customFormat="1" x14ac:dyDescent="0.35">
      <c r="A1264" s="86">
        <v>1261</v>
      </c>
      <c r="B1264" s="85"/>
      <c r="C1264" s="87"/>
      <c r="D1264" s="85"/>
      <c r="E1264" s="84"/>
      <c r="F1264" s="85"/>
      <c r="G1264" s="87"/>
      <c r="H1264" s="87"/>
      <c r="I1264" s="87"/>
      <c r="J1264" s="101"/>
      <c r="K1264" s="87"/>
      <c r="L1264" s="91"/>
      <c r="M1264" s="91"/>
      <c r="N1264" s="88">
        <f>Goods_Receipt[[#This Row],[ Invoice. /
 Received Qty ]]-Goods_Receipt[[#This Row],[ Accepted Qty ]]</f>
        <v>0</v>
      </c>
      <c r="O1264" s="87"/>
      <c r="P1264" s="87"/>
      <c r="Q1264" s="87"/>
      <c r="R1264" s="87"/>
      <c r="S1264" s="87"/>
      <c r="T1264" s="85"/>
      <c r="U1264" s="89"/>
      <c r="V1264" s="90"/>
      <c r="W1264" s="87"/>
      <c r="X1264" s="91"/>
      <c r="Y1264" s="84"/>
      <c r="Z1264" s="97"/>
    </row>
    <row r="1265" spans="1:26" s="98" customFormat="1" x14ac:dyDescent="0.35">
      <c r="A1265" s="86">
        <v>1262</v>
      </c>
      <c r="B1265" s="85"/>
      <c r="C1265" s="87"/>
      <c r="D1265" s="85"/>
      <c r="E1265" s="84"/>
      <c r="F1265" s="85"/>
      <c r="G1265" s="87"/>
      <c r="H1265" s="87"/>
      <c r="I1265" s="87"/>
      <c r="J1265" s="101"/>
      <c r="K1265" s="87"/>
      <c r="L1265" s="91"/>
      <c r="M1265" s="91"/>
      <c r="N1265" s="88">
        <f>Goods_Receipt[[#This Row],[ Invoice. /
 Received Qty ]]-Goods_Receipt[[#This Row],[ Accepted Qty ]]</f>
        <v>0</v>
      </c>
      <c r="O1265" s="87"/>
      <c r="P1265" s="87"/>
      <c r="Q1265" s="87"/>
      <c r="R1265" s="87"/>
      <c r="S1265" s="87"/>
      <c r="T1265" s="85"/>
      <c r="U1265" s="89"/>
      <c r="V1265" s="90"/>
      <c r="W1265" s="87"/>
      <c r="X1265" s="91"/>
      <c r="Y1265" s="84"/>
      <c r="Z1265" s="97"/>
    </row>
    <row r="1266" spans="1:26" s="98" customFormat="1" x14ac:dyDescent="0.35">
      <c r="A1266" s="86">
        <v>1263</v>
      </c>
      <c r="B1266" s="85"/>
      <c r="C1266" s="87"/>
      <c r="D1266" s="85"/>
      <c r="E1266" s="84"/>
      <c r="F1266" s="85"/>
      <c r="G1266" s="87"/>
      <c r="H1266" s="87"/>
      <c r="I1266" s="87"/>
      <c r="J1266" s="101"/>
      <c r="K1266" s="87"/>
      <c r="L1266" s="91"/>
      <c r="M1266" s="91"/>
      <c r="N1266" s="88">
        <f>Goods_Receipt[[#This Row],[ Invoice. /
 Received Qty ]]-Goods_Receipt[[#This Row],[ Accepted Qty ]]</f>
        <v>0</v>
      </c>
      <c r="O1266" s="87"/>
      <c r="P1266" s="87"/>
      <c r="Q1266" s="87"/>
      <c r="R1266" s="87"/>
      <c r="S1266" s="87"/>
      <c r="T1266" s="85"/>
      <c r="U1266" s="89"/>
      <c r="V1266" s="90"/>
      <c r="W1266" s="87"/>
      <c r="X1266" s="91"/>
      <c r="Y1266" s="84"/>
      <c r="Z1266" s="97"/>
    </row>
    <row r="1267" spans="1:26" s="98" customFormat="1" x14ac:dyDescent="0.35">
      <c r="A1267" s="86">
        <v>1264</v>
      </c>
      <c r="B1267" s="85"/>
      <c r="C1267" s="87"/>
      <c r="D1267" s="85"/>
      <c r="E1267" s="84"/>
      <c r="F1267" s="85"/>
      <c r="G1267" s="87"/>
      <c r="H1267" s="87"/>
      <c r="I1267" s="87"/>
      <c r="J1267" s="101"/>
      <c r="K1267" s="87"/>
      <c r="L1267" s="91"/>
      <c r="M1267" s="91"/>
      <c r="N1267" s="88">
        <f>Goods_Receipt[[#This Row],[ Invoice. /
 Received Qty ]]-Goods_Receipt[[#This Row],[ Accepted Qty ]]</f>
        <v>0</v>
      </c>
      <c r="O1267" s="87"/>
      <c r="P1267" s="87"/>
      <c r="Q1267" s="87"/>
      <c r="R1267" s="87"/>
      <c r="S1267" s="87"/>
      <c r="T1267" s="85"/>
      <c r="U1267" s="89"/>
      <c r="V1267" s="90"/>
      <c r="W1267" s="87"/>
      <c r="X1267" s="91"/>
      <c r="Y1267" s="84"/>
      <c r="Z1267" s="97"/>
    </row>
    <row r="1268" spans="1:26" s="98" customFormat="1" x14ac:dyDescent="0.35">
      <c r="A1268" s="86">
        <v>1265</v>
      </c>
      <c r="B1268" s="85"/>
      <c r="C1268" s="87"/>
      <c r="D1268" s="85"/>
      <c r="E1268" s="84"/>
      <c r="F1268" s="85"/>
      <c r="G1268" s="87"/>
      <c r="H1268" s="87"/>
      <c r="I1268" s="87"/>
      <c r="J1268" s="101"/>
      <c r="K1268" s="87"/>
      <c r="L1268" s="91"/>
      <c r="M1268" s="91"/>
      <c r="N1268" s="88">
        <f>Goods_Receipt[[#This Row],[ Invoice. /
 Received Qty ]]-Goods_Receipt[[#This Row],[ Accepted Qty ]]</f>
        <v>0</v>
      </c>
      <c r="O1268" s="87"/>
      <c r="P1268" s="87"/>
      <c r="Q1268" s="87"/>
      <c r="R1268" s="87"/>
      <c r="S1268" s="87"/>
      <c r="T1268" s="85"/>
      <c r="U1268" s="89"/>
      <c r="V1268" s="90"/>
      <c r="W1268" s="87"/>
      <c r="X1268" s="91"/>
      <c r="Y1268" s="84"/>
      <c r="Z1268" s="97"/>
    </row>
    <row r="1269" spans="1:26" s="98" customFormat="1" x14ac:dyDescent="0.35">
      <c r="A1269" s="86">
        <v>1266</v>
      </c>
      <c r="B1269" s="85"/>
      <c r="C1269" s="87"/>
      <c r="D1269" s="85"/>
      <c r="E1269" s="84"/>
      <c r="F1269" s="85"/>
      <c r="G1269" s="87"/>
      <c r="H1269" s="87"/>
      <c r="I1269" s="87"/>
      <c r="J1269" s="101"/>
      <c r="K1269" s="87"/>
      <c r="L1269" s="91"/>
      <c r="M1269" s="91"/>
      <c r="N1269" s="88">
        <f>Goods_Receipt[[#This Row],[ Invoice. /
 Received Qty ]]-Goods_Receipt[[#This Row],[ Accepted Qty ]]</f>
        <v>0</v>
      </c>
      <c r="O1269" s="87"/>
      <c r="P1269" s="87"/>
      <c r="Q1269" s="87"/>
      <c r="R1269" s="87"/>
      <c r="S1269" s="87"/>
      <c r="T1269" s="85"/>
      <c r="U1269" s="89"/>
      <c r="V1269" s="90"/>
      <c r="W1269" s="87"/>
      <c r="X1269" s="91"/>
      <c r="Y1269" s="84"/>
      <c r="Z1269" s="97"/>
    </row>
    <row r="1270" spans="1:26" s="98" customFormat="1" x14ac:dyDescent="0.35">
      <c r="A1270" s="86">
        <v>1267</v>
      </c>
      <c r="B1270" s="85"/>
      <c r="C1270" s="87"/>
      <c r="D1270" s="85"/>
      <c r="E1270" s="84"/>
      <c r="F1270" s="85"/>
      <c r="G1270" s="87"/>
      <c r="H1270" s="87"/>
      <c r="I1270" s="87"/>
      <c r="J1270" s="101"/>
      <c r="K1270" s="87"/>
      <c r="L1270" s="91"/>
      <c r="M1270" s="91"/>
      <c r="N1270" s="88">
        <f>Goods_Receipt[[#This Row],[ Invoice. /
 Received Qty ]]-Goods_Receipt[[#This Row],[ Accepted Qty ]]</f>
        <v>0</v>
      </c>
      <c r="O1270" s="87"/>
      <c r="P1270" s="87"/>
      <c r="Q1270" s="87"/>
      <c r="R1270" s="87"/>
      <c r="S1270" s="87"/>
      <c r="T1270" s="85"/>
      <c r="U1270" s="89"/>
      <c r="V1270" s="90"/>
      <c r="W1270" s="87"/>
      <c r="X1270" s="91"/>
      <c r="Y1270" s="84"/>
      <c r="Z1270" s="97"/>
    </row>
    <row r="1271" spans="1:26" s="98" customFormat="1" x14ac:dyDescent="0.35">
      <c r="A1271" s="86">
        <v>1268</v>
      </c>
      <c r="B1271" s="85"/>
      <c r="C1271" s="87"/>
      <c r="D1271" s="85"/>
      <c r="E1271" s="84"/>
      <c r="F1271" s="85"/>
      <c r="G1271" s="87"/>
      <c r="H1271" s="87"/>
      <c r="I1271" s="87"/>
      <c r="J1271" s="101"/>
      <c r="K1271" s="87"/>
      <c r="L1271" s="91"/>
      <c r="M1271" s="91"/>
      <c r="N1271" s="88">
        <f>Goods_Receipt[[#This Row],[ Invoice. /
 Received Qty ]]-Goods_Receipt[[#This Row],[ Accepted Qty ]]</f>
        <v>0</v>
      </c>
      <c r="O1271" s="87"/>
      <c r="P1271" s="87"/>
      <c r="Q1271" s="87"/>
      <c r="R1271" s="87"/>
      <c r="S1271" s="87"/>
      <c r="T1271" s="85"/>
      <c r="U1271" s="89"/>
      <c r="V1271" s="90"/>
      <c r="W1271" s="87"/>
      <c r="X1271" s="91"/>
      <c r="Y1271" s="84"/>
      <c r="Z1271" s="97"/>
    </row>
    <row r="1272" spans="1:26" s="98" customFormat="1" x14ac:dyDescent="0.35">
      <c r="A1272" s="86">
        <v>1269</v>
      </c>
      <c r="B1272" s="85"/>
      <c r="C1272" s="87"/>
      <c r="D1272" s="85"/>
      <c r="E1272" s="84"/>
      <c r="F1272" s="85"/>
      <c r="G1272" s="87"/>
      <c r="H1272" s="87"/>
      <c r="I1272" s="87"/>
      <c r="J1272" s="101"/>
      <c r="K1272" s="87"/>
      <c r="L1272" s="91"/>
      <c r="M1272" s="91"/>
      <c r="N1272" s="88">
        <f>Goods_Receipt[[#This Row],[ Invoice. /
 Received Qty ]]-Goods_Receipt[[#This Row],[ Accepted Qty ]]</f>
        <v>0</v>
      </c>
      <c r="O1272" s="87"/>
      <c r="P1272" s="87"/>
      <c r="Q1272" s="87"/>
      <c r="R1272" s="87"/>
      <c r="S1272" s="87"/>
      <c r="T1272" s="85"/>
      <c r="U1272" s="89"/>
      <c r="V1272" s="90"/>
      <c r="W1272" s="87"/>
      <c r="X1272" s="91"/>
      <c r="Y1272" s="84"/>
      <c r="Z1272" s="97"/>
    </row>
    <row r="1273" spans="1:26" s="98" customFormat="1" x14ac:dyDescent="0.35">
      <c r="A1273" s="86">
        <v>1270</v>
      </c>
      <c r="B1273" s="85"/>
      <c r="C1273" s="87"/>
      <c r="D1273" s="85"/>
      <c r="E1273" s="84"/>
      <c r="F1273" s="85"/>
      <c r="G1273" s="87"/>
      <c r="H1273" s="87"/>
      <c r="I1273" s="87"/>
      <c r="J1273" s="101"/>
      <c r="K1273" s="87"/>
      <c r="L1273" s="91"/>
      <c r="M1273" s="91"/>
      <c r="N1273" s="88">
        <f>Goods_Receipt[[#This Row],[ Invoice. /
 Received Qty ]]-Goods_Receipt[[#This Row],[ Accepted Qty ]]</f>
        <v>0</v>
      </c>
      <c r="O1273" s="87"/>
      <c r="P1273" s="87"/>
      <c r="Q1273" s="87"/>
      <c r="R1273" s="87"/>
      <c r="S1273" s="87"/>
      <c r="T1273" s="85"/>
      <c r="U1273" s="89"/>
      <c r="V1273" s="90"/>
      <c r="W1273" s="87"/>
      <c r="X1273" s="91"/>
      <c r="Y1273" s="84"/>
      <c r="Z1273" s="97"/>
    </row>
    <row r="1274" spans="1:26" s="98" customFormat="1" x14ac:dyDescent="0.35">
      <c r="A1274" s="86">
        <v>1271</v>
      </c>
      <c r="B1274" s="85"/>
      <c r="C1274" s="87"/>
      <c r="D1274" s="85"/>
      <c r="E1274" s="84"/>
      <c r="F1274" s="85"/>
      <c r="G1274" s="87"/>
      <c r="H1274" s="87"/>
      <c r="I1274" s="87"/>
      <c r="J1274" s="101"/>
      <c r="K1274" s="87"/>
      <c r="L1274" s="91"/>
      <c r="M1274" s="91"/>
      <c r="N1274" s="88">
        <f>Goods_Receipt[[#This Row],[ Invoice. /
 Received Qty ]]-Goods_Receipt[[#This Row],[ Accepted Qty ]]</f>
        <v>0</v>
      </c>
      <c r="O1274" s="87"/>
      <c r="P1274" s="87"/>
      <c r="Q1274" s="87"/>
      <c r="R1274" s="87"/>
      <c r="S1274" s="87"/>
      <c r="T1274" s="85"/>
      <c r="U1274" s="89"/>
      <c r="V1274" s="90"/>
      <c r="W1274" s="87"/>
      <c r="X1274" s="91"/>
      <c r="Y1274" s="84"/>
      <c r="Z1274" s="97"/>
    </row>
    <row r="1275" spans="1:26" s="98" customFormat="1" x14ac:dyDescent="0.35">
      <c r="A1275" s="86">
        <v>1272</v>
      </c>
      <c r="B1275" s="85"/>
      <c r="C1275" s="87"/>
      <c r="D1275" s="85"/>
      <c r="E1275" s="84"/>
      <c r="F1275" s="85"/>
      <c r="G1275" s="87"/>
      <c r="H1275" s="87"/>
      <c r="I1275" s="87"/>
      <c r="J1275" s="101"/>
      <c r="K1275" s="87"/>
      <c r="L1275" s="91"/>
      <c r="M1275" s="91"/>
      <c r="N1275" s="88">
        <f>Goods_Receipt[[#This Row],[ Invoice. /
 Received Qty ]]-Goods_Receipt[[#This Row],[ Accepted Qty ]]</f>
        <v>0</v>
      </c>
      <c r="O1275" s="87"/>
      <c r="P1275" s="87"/>
      <c r="Q1275" s="87"/>
      <c r="R1275" s="87"/>
      <c r="S1275" s="87"/>
      <c r="T1275" s="85"/>
      <c r="U1275" s="89"/>
      <c r="V1275" s="90"/>
      <c r="W1275" s="87"/>
      <c r="X1275" s="91"/>
      <c r="Y1275" s="84"/>
      <c r="Z1275" s="97"/>
    </row>
    <row r="1276" spans="1:26" s="98" customFormat="1" x14ac:dyDescent="0.35">
      <c r="A1276" s="86">
        <v>1273</v>
      </c>
      <c r="B1276" s="85"/>
      <c r="C1276" s="87"/>
      <c r="D1276" s="85"/>
      <c r="E1276" s="84"/>
      <c r="F1276" s="85"/>
      <c r="G1276" s="87"/>
      <c r="H1276" s="87"/>
      <c r="I1276" s="87"/>
      <c r="J1276" s="101"/>
      <c r="K1276" s="87"/>
      <c r="L1276" s="91"/>
      <c r="M1276" s="91"/>
      <c r="N1276" s="88">
        <f>Goods_Receipt[[#This Row],[ Invoice. /
 Received Qty ]]-Goods_Receipt[[#This Row],[ Accepted Qty ]]</f>
        <v>0</v>
      </c>
      <c r="O1276" s="87"/>
      <c r="P1276" s="87"/>
      <c r="Q1276" s="87"/>
      <c r="R1276" s="87"/>
      <c r="S1276" s="87"/>
      <c r="T1276" s="85"/>
      <c r="U1276" s="89"/>
      <c r="V1276" s="90"/>
      <c r="W1276" s="87"/>
      <c r="X1276" s="91"/>
      <c r="Y1276" s="84"/>
      <c r="Z1276" s="97"/>
    </row>
    <row r="1277" spans="1:26" s="98" customFormat="1" x14ac:dyDescent="0.35">
      <c r="A1277" s="86">
        <v>1274</v>
      </c>
      <c r="B1277" s="85"/>
      <c r="C1277" s="87"/>
      <c r="D1277" s="85"/>
      <c r="E1277" s="84"/>
      <c r="F1277" s="85"/>
      <c r="G1277" s="87"/>
      <c r="H1277" s="87"/>
      <c r="I1277" s="87"/>
      <c r="J1277" s="101"/>
      <c r="K1277" s="87"/>
      <c r="L1277" s="91"/>
      <c r="M1277" s="91"/>
      <c r="N1277" s="88">
        <f>Goods_Receipt[[#This Row],[ Invoice. /
 Received Qty ]]-Goods_Receipt[[#This Row],[ Accepted Qty ]]</f>
        <v>0</v>
      </c>
      <c r="O1277" s="87"/>
      <c r="P1277" s="87"/>
      <c r="Q1277" s="87"/>
      <c r="R1277" s="87"/>
      <c r="S1277" s="87"/>
      <c r="T1277" s="85"/>
      <c r="U1277" s="89"/>
      <c r="V1277" s="90"/>
      <c r="W1277" s="87"/>
      <c r="X1277" s="91"/>
      <c r="Y1277" s="84"/>
      <c r="Z1277" s="97"/>
    </row>
    <row r="1278" spans="1:26" s="98" customFormat="1" x14ac:dyDescent="0.35">
      <c r="A1278" s="86">
        <v>1275</v>
      </c>
      <c r="B1278" s="85"/>
      <c r="C1278" s="87"/>
      <c r="D1278" s="85"/>
      <c r="E1278" s="84"/>
      <c r="F1278" s="85"/>
      <c r="G1278" s="87"/>
      <c r="H1278" s="87"/>
      <c r="I1278" s="87"/>
      <c r="J1278" s="101"/>
      <c r="K1278" s="87"/>
      <c r="L1278" s="91"/>
      <c r="M1278" s="91"/>
      <c r="N1278" s="88">
        <f>Goods_Receipt[[#This Row],[ Invoice. /
 Received Qty ]]-Goods_Receipt[[#This Row],[ Accepted Qty ]]</f>
        <v>0</v>
      </c>
      <c r="O1278" s="87"/>
      <c r="P1278" s="87"/>
      <c r="Q1278" s="87"/>
      <c r="R1278" s="87"/>
      <c r="S1278" s="87"/>
      <c r="T1278" s="85"/>
      <c r="U1278" s="89"/>
      <c r="V1278" s="90"/>
      <c r="W1278" s="87"/>
      <c r="X1278" s="91"/>
      <c r="Y1278" s="84"/>
      <c r="Z1278" s="97"/>
    </row>
    <row r="1279" spans="1:26" s="98" customFormat="1" x14ac:dyDescent="0.35">
      <c r="A1279" s="86">
        <v>1276</v>
      </c>
      <c r="B1279" s="85"/>
      <c r="C1279" s="87"/>
      <c r="D1279" s="85"/>
      <c r="E1279" s="84"/>
      <c r="F1279" s="85"/>
      <c r="G1279" s="87"/>
      <c r="H1279" s="87"/>
      <c r="I1279" s="87"/>
      <c r="J1279" s="101"/>
      <c r="K1279" s="87"/>
      <c r="L1279" s="91"/>
      <c r="M1279" s="91"/>
      <c r="N1279" s="88">
        <f>Goods_Receipt[[#This Row],[ Invoice. /
 Received Qty ]]-Goods_Receipt[[#This Row],[ Accepted Qty ]]</f>
        <v>0</v>
      </c>
      <c r="O1279" s="87"/>
      <c r="P1279" s="87"/>
      <c r="Q1279" s="87"/>
      <c r="R1279" s="87"/>
      <c r="S1279" s="87"/>
      <c r="T1279" s="85"/>
      <c r="U1279" s="89"/>
      <c r="V1279" s="90"/>
      <c r="W1279" s="87"/>
      <c r="X1279" s="91"/>
      <c r="Y1279" s="84"/>
      <c r="Z1279" s="97"/>
    </row>
    <row r="1280" spans="1:26" s="98" customFormat="1" x14ac:dyDescent="0.35">
      <c r="A1280" s="86">
        <v>1277</v>
      </c>
      <c r="B1280" s="85"/>
      <c r="C1280" s="87"/>
      <c r="D1280" s="85"/>
      <c r="E1280" s="84"/>
      <c r="F1280" s="85"/>
      <c r="G1280" s="87"/>
      <c r="H1280" s="87"/>
      <c r="I1280" s="87"/>
      <c r="J1280" s="101"/>
      <c r="K1280" s="87"/>
      <c r="L1280" s="91"/>
      <c r="M1280" s="91"/>
      <c r="N1280" s="88">
        <f>Goods_Receipt[[#This Row],[ Invoice. /
 Received Qty ]]-Goods_Receipt[[#This Row],[ Accepted Qty ]]</f>
        <v>0</v>
      </c>
      <c r="O1280" s="87"/>
      <c r="P1280" s="87"/>
      <c r="Q1280" s="87"/>
      <c r="R1280" s="87"/>
      <c r="S1280" s="87"/>
      <c r="T1280" s="85"/>
      <c r="U1280" s="89"/>
      <c r="V1280" s="90"/>
      <c r="W1280" s="87"/>
      <c r="X1280" s="91"/>
      <c r="Y1280" s="84"/>
      <c r="Z1280" s="97"/>
    </row>
    <row r="1281" spans="1:26" s="98" customFormat="1" x14ac:dyDescent="0.35">
      <c r="A1281" s="86">
        <v>1278</v>
      </c>
      <c r="B1281" s="85"/>
      <c r="C1281" s="87"/>
      <c r="D1281" s="85"/>
      <c r="E1281" s="84"/>
      <c r="F1281" s="85"/>
      <c r="G1281" s="87"/>
      <c r="H1281" s="87"/>
      <c r="I1281" s="87"/>
      <c r="J1281" s="101"/>
      <c r="K1281" s="87"/>
      <c r="L1281" s="91"/>
      <c r="M1281" s="91"/>
      <c r="N1281" s="88">
        <f>Goods_Receipt[[#This Row],[ Invoice. /
 Received Qty ]]-Goods_Receipt[[#This Row],[ Accepted Qty ]]</f>
        <v>0</v>
      </c>
      <c r="O1281" s="87"/>
      <c r="P1281" s="87"/>
      <c r="Q1281" s="87"/>
      <c r="R1281" s="87"/>
      <c r="S1281" s="87"/>
      <c r="T1281" s="85"/>
      <c r="U1281" s="89"/>
      <c r="V1281" s="90"/>
      <c r="W1281" s="87"/>
      <c r="X1281" s="91"/>
      <c r="Y1281" s="84"/>
      <c r="Z1281" s="97"/>
    </row>
    <row r="1282" spans="1:26" s="98" customFormat="1" x14ac:dyDescent="0.35">
      <c r="A1282" s="86">
        <v>1279</v>
      </c>
      <c r="B1282" s="85"/>
      <c r="C1282" s="87"/>
      <c r="D1282" s="85"/>
      <c r="E1282" s="84"/>
      <c r="F1282" s="85"/>
      <c r="G1282" s="87"/>
      <c r="H1282" s="87"/>
      <c r="I1282" s="87"/>
      <c r="J1282" s="101"/>
      <c r="K1282" s="87"/>
      <c r="L1282" s="91"/>
      <c r="M1282" s="91"/>
      <c r="N1282" s="88">
        <f>Goods_Receipt[[#This Row],[ Invoice. /
 Received Qty ]]-Goods_Receipt[[#This Row],[ Accepted Qty ]]</f>
        <v>0</v>
      </c>
      <c r="O1282" s="87"/>
      <c r="P1282" s="87"/>
      <c r="Q1282" s="87"/>
      <c r="R1282" s="87"/>
      <c r="S1282" s="87"/>
      <c r="T1282" s="85"/>
      <c r="U1282" s="89"/>
      <c r="V1282" s="90"/>
      <c r="W1282" s="87"/>
      <c r="X1282" s="91"/>
      <c r="Y1282" s="84"/>
      <c r="Z1282" s="97"/>
    </row>
    <row r="1283" spans="1:26" s="98" customFormat="1" x14ac:dyDescent="0.35">
      <c r="A1283" s="86">
        <v>1280</v>
      </c>
      <c r="B1283" s="85"/>
      <c r="C1283" s="87"/>
      <c r="D1283" s="85"/>
      <c r="E1283" s="84"/>
      <c r="F1283" s="85"/>
      <c r="G1283" s="87"/>
      <c r="H1283" s="87"/>
      <c r="I1283" s="87"/>
      <c r="J1283" s="101"/>
      <c r="K1283" s="87"/>
      <c r="L1283" s="91"/>
      <c r="M1283" s="91"/>
      <c r="N1283" s="88">
        <f>Goods_Receipt[[#This Row],[ Invoice. /
 Received Qty ]]-Goods_Receipt[[#This Row],[ Accepted Qty ]]</f>
        <v>0</v>
      </c>
      <c r="O1283" s="87"/>
      <c r="P1283" s="87"/>
      <c r="Q1283" s="87"/>
      <c r="R1283" s="87"/>
      <c r="S1283" s="87"/>
      <c r="T1283" s="85"/>
      <c r="U1283" s="89"/>
      <c r="V1283" s="90"/>
      <c r="W1283" s="87"/>
      <c r="X1283" s="91"/>
      <c r="Y1283" s="84"/>
      <c r="Z1283" s="97"/>
    </row>
    <row r="1284" spans="1:26" s="98" customFormat="1" x14ac:dyDescent="0.35">
      <c r="A1284" s="86">
        <v>1281</v>
      </c>
      <c r="B1284" s="85"/>
      <c r="C1284" s="87"/>
      <c r="D1284" s="85"/>
      <c r="E1284" s="84"/>
      <c r="F1284" s="85"/>
      <c r="G1284" s="87"/>
      <c r="H1284" s="87"/>
      <c r="I1284" s="87"/>
      <c r="J1284" s="101"/>
      <c r="K1284" s="87"/>
      <c r="L1284" s="91"/>
      <c r="M1284" s="91"/>
      <c r="N1284" s="88">
        <f>Goods_Receipt[[#This Row],[ Invoice. /
 Received Qty ]]-Goods_Receipt[[#This Row],[ Accepted Qty ]]</f>
        <v>0</v>
      </c>
      <c r="O1284" s="87"/>
      <c r="P1284" s="87"/>
      <c r="Q1284" s="87"/>
      <c r="R1284" s="87"/>
      <c r="S1284" s="87"/>
      <c r="T1284" s="85"/>
      <c r="U1284" s="89"/>
      <c r="V1284" s="90"/>
      <c r="W1284" s="87"/>
      <c r="X1284" s="91"/>
      <c r="Y1284" s="84"/>
      <c r="Z1284" s="97"/>
    </row>
    <row r="1285" spans="1:26" s="98" customFormat="1" x14ac:dyDescent="0.35">
      <c r="A1285" s="86">
        <v>1282</v>
      </c>
      <c r="B1285" s="85"/>
      <c r="C1285" s="87"/>
      <c r="D1285" s="85"/>
      <c r="E1285" s="84"/>
      <c r="F1285" s="85"/>
      <c r="G1285" s="87"/>
      <c r="H1285" s="87"/>
      <c r="I1285" s="87"/>
      <c r="J1285" s="101"/>
      <c r="K1285" s="87"/>
      <c r="L1285" s="91"/>
      <c r="M1285" s="91"/>
      <c r="N1285" s="88">
        <f>Goods_Receipt[[#This Row],[ Invoice. /
 Received Qty ]]-Goods_Receipt[[#This Row],[ Accepted Qty ]]</f>
        <v>0</v>
      </c>
      <c r="O1285" s="87"/>
      <c r="P1285" s="87"/>
      <c r="Q1285" s="87"/>
      <c r="R1285" s="87"/>
      <c r="S1285" s="87"/>
      <c r="T1285" s="85"/>
      <c r="U1285" s="89"/>
      <c r="V1285" s="90"/>
      <c r="W1285" s="87"/>
      <c r="X1285" s="91"/>
      <c r="Y1285" s="84"/>
      <c r="Z1285" s="97"/>
    </row>
    <row r="1286" spans="1:26" s="98" customFormat="1" x14ac:dyDescent="0.35">
      <c r="A1286" s="86">
        <v>1283</v>
      </c>
      <c r="B1286" s="85"/>
      <c r="C1286" s="87"/>
      <c r="D1286" s="85"/>
      <c r="E1286" s="84"/>
      <c r="F1286" s="85"/>
      <c r="G1286" s="87"/>
      <c r="H1286" s="87"/>
      <c r="I1286" s="87"/>
      <c r="J1286" s="101"/>
      <c r="K1286" s="87"/>
      <c r="L1286" s="91"/>
      <c r="M1286" s="91"/>
      <c r="N1286" s="88">
        <f>Goods_Receipt[[#This Row],[ Invoice. /
 Received Qty ]]-Goods_Receipt[[#This Row],[ Accepted Qty ]]</f>
        <v>0</v>
      </c>
      <c r="O1286" s="87"/>
      <c r="P1286" s="87"/>
      <c r="Q1286" s="87"/>
      <c r="R1286" s="87"/>
      <c r="S1286" s="87"/>
      <c r="T1286" s="85"/>
      <c r="U1286" s="89"/>
      <c r="V1286" s="90"/>
      <c r="W1286" s="87"/>
      <c r="X1286" s="91"/>
      <c r="Y1286" s="84"/>
      <c r="Z1286" s="97"/>
    </row>
    <row r="1287" spans="1:26" s="98" customFormat="1" x14ac:dyDescent="0.35">
      <c r="A1287" s="86">
        <v>1284</v>
      </c>
      <c r="B1287" s="85"/>
      <c r="C1287" s="87"/>
      <c r="D1287" s="85"/>
      <c r="E1287" s="84"/>
      <c r="F1287" s="85"/>
      <c r="G1287" s="87"/>
      <c r="H1287" s="87"/>
      <c r="I1287" s="87"/>
      <c r="J1287" s="101"/>
      <c r="K1287" s="87"/>
      <c r="L1287" s="91"/>
      <c r="M1287" s="91"/>
      <c r="N1287" s="88">
        <f>Goods_Receipt[[#This Row],[ Invoice. /
 Received Qty ]]-Goods_Receipt[[#This Row],[ Accepted Qty ]]</f>
        <v>0</v>
      </c>
      <c r="O1287" s="87"/>
      <c r="P1287" s="87"/>
      <c r="Q1287" s="87"/>
      <c r="R1287" s="87"/>
      <c r="S1287" s="87"/>
      <c r="T1287" s="85"/>
      <c r="U1287" s="89"/>
      <c r="V1287" s="90"/>
      <c r="W1287" s="87"/>
      <c r="X1287" s="91"/>
      <c r="Y1287" s="84"/>
      <c r="Z1287" s="97"/>
    </row>
    <row r="1288" spans="1:26" s="98" customFormat="1" x14ac:dyDescent="0.35">
      <c r="A1288" s="86">
        <v>1285</v>
      </c>
      <c r="B1288" s="85"/>
      <c r="C1288" s="87"/>
      <c r="D1288" s="85"/>
      <c r="E1288" s="84"/>
      <c r="F1288" s="85"/>
      <c r="G1288" s="87"/>
      <c r="H1288" s="87"/>
      <c r="I1288" s="87"/>
      <c r="J1288" s="101"/>
      <c r="K1288" s="87"/>
      <c r="L1288" s="91"/>
      <c r="M1288" s="91"/>
      <c r="N1288" s="88">
        <f>Goods_Receipt[[#This Row],[ Invoice. /
 Received Qty ]]-Goods_Receipt[[#This Row],[ Accepted Qty ]]</f>
        <v>0</v>
      </c>
      <c r="O1288" s="87"/>
      <c r="P1288" s="87"/>
      <c r="Q1288" s="87"/>
      <c r="R1288" s="87"/>
      <c r="S1288" s="87"/>
      <c r="T1288" s="85"/>
      <c r="U1288" s="89"/>
      <c r="V1288" s="90"/>
      <c r="W1288" s="87"/>
      <c r="X1288" s="91"/>
      <c r="Y1288" s="84"/>
      <c r="Z1288" s="97"/>
    </row>
    <row r="1289" spans="1:26" s="98" customFormat="1" x14ac:dyDescent="0.35">
      <c r="A1289" s="86">
        <v>1286</v>
      </c>
      <c r="B1289" s="85"/>
      <c r="C1289" s="87"/>
      <c r="D1289" s="85"/>
      <c r="E1289" s="84"/>
      <c r="F1289" s="85"/>
      <c r="G1289" s="87"/>
      <c r="H1289" s="87"/>
      <c r="I1289" s="87"/>
      <c r="J1289" s="101"/>
      <c r="K1289" s="87"/>
      <c r="L1289" s="91"/>
      <c r="M1289" s="91"/>
      <c r="N1289" s="88">
        <f>Goods_Receipt[[#This Row],[ Invoice. /
 Received Qty ]]-Goods_Receipt[[#This Row],[ Accepted Qty ]]</f>
        <v>0</v>
      </c>
      <c r="O1289" s="87"/>
      <c r="P1289" s="87"/>
      <c r="Q1289" s="87"/>
      <c r="R1289" s="87"/>
      <c r="S1289" s="87"/>
      <c r="T1289" s="85"/>
      <c r="U1289" s="89"/>
      <c r="V1289" s="90"/>
      <c r="W1289" s="87"/>
      <c r="X1289" s="91"/>
      <c r="Y1289" s="84"/>
      <c r="Z1289" s="97"/>
    </row>
    <row r="1290" spans="1:26" s="98" customFormat="1" x14ac:dyDescent="0.35">
      <c r="A1290" s="86">
        <v>1287</v>
      </c>
      <c r="B1290" s="85"/>
      <c r="C1290" s="87"/>
      <c r="D1290" s="85"/>
      <c r="E1290" s="84"/>
      <c r="F1290" s="85"/>
      <c r="G1290" s="87"/>
      <c r="H1290" s="87"/>
      <c r="I1290" s="87"/>
      <c r="J1290" s="101"/>
      <c r="K1290" s="87"/>
      <c r="L1290" s="91"/>
      <c r="M1290" s="91"/>
      <c r="N1290" s="88">
        <f>Goods_Receipt[[#This Row],[ Invoice. /
 Received Qty ]]-Goods_Receipt[[#This Row],[ Accepted Qty ]]</f>
        <v>0</v>
      </c>
      <c r="O1290" s="87"/>
      <c r="P1290" s="87"/>
      <c r="Q1290" s="87"/>
      <c r="R1290" s="87"/>
      <c r="S1290" s="87"/>
      <c r="T1290" s="85"/>
      <c r="U1290" s="89"/>
      <c r="V1290" s="90"/>
      <c r="W1290" s="87"/>
      <c r="X1290" s="91"/>
      <c r="Y1290" s="84"/>
      <c r="Z1290" s="97"/>
    </row>
    <row r="1291" spans="1:26" s="98" customFormat="1" x14ac:dyDescent="0.35">
      <c r="A1291" s="86">
        <v>1288</v>
      </c>
      <c r="B1291" s="85"/>
      <c r="C1291" s="87"/>
      <c r="D1291" s="85"/>
      <c r="E1291" s="84"/>
      <c r="F1291" s="85"/>
      <c r="G1291" s="87"/>
      <c r="H1291" s="87"/>
      <c r="I1291" s="87"/>
      <c r="J1291" s="101"/>
      <c r="K1291" s="87"/>
      <c r="L1291" s="91"/>
      <c r="M1291" s="91"/>
      <c r="N1291" s="88">
        <f>Goods_Receipt[[#This Row],[ Invoice. /
 Received Qty ]]-Goods_Receipt[[#This Row],[ Accepted Qty ]]</f>
        <v>0</v>
      </c>
      <c r="O1291" s="87"/>
      <c r="P1291" s="87"/>
      <c r="Q1291" s="87"/>
      <c r="R1291" s="87"/>
      <c r="S1291" s="87"/>
      <c r="T1291" s="85"/>
      <c r="U1291" s="89"/>
      <c r="V1291" s="90"/>
      <c r="W1291" s="87"/>
      <c r="X1291" s="91"/>
      <c r="Y1291" s="84"/>
      <c r="Z1291" s="97"/>
    </row>
    <row r="1292" spans="1:26" s="98" customFormat="1" x14ac:dyDescent="0.35">
      <c r="A1292" s="86">
        <v>1289</v>
      </c>
      <c r="B1292" s="85"/>
      <c r="C1292" s="87"/>
      <c r="D1292" s="85"/>
      <c r="E1292" s="84"/>
      <c r="F1292" s="85"/>
      <c r="G1292" s="87"/>
      <c r="H1292" s="87"/>
      <c r="I1292" s="87"/>
      <c r="J1292" s="101"/>
      <c r="K1292" s="87"/>
      <c r="L1292" s="91"/>
      <c r="M1292" s="91"/>
      <c r="N1292" s="88">
        <f>Goods_Receipt[[#This Row],[ Invoice. /
 Received Qty ]]-Goods_Receipt[[#This Row],[ Accepted Qty ]]</f>
        <v>0</v>
      </c>
      <c r="O1292" s="87"/>
      <c r="P1292" s="87"/>
      <c r="Q1292" s="87"/>
      <c r="R1292" s="87"/>
      <c r="S1292" s="87"/>
      <c r="T1292" s="85"/>
      <c r="U1292" s="89"/>
      <c r="V1292" s="90"/>
      <c r="W1292" s="87"/>
      <c r="X1292" s="91"/>
      <c r="Y1292" s="84"/>
      <c r="Z1292" s="97"/>
    </row>
    <row r="1293" spans="1:26" s="98" customFormat="1" x14ac:dyDescent="0.35">
      <c r="A1293" s="86">
        <v>1290</v>
      </c>
      <c r="B1293" s="85"/>
      <c r="C1293" s="87"/>
      <c r="D1293" s="85"/>
      <c r="E1293" s="84"/>
      <c r="F1293" s="85"/>
      <c r="G1293" s="87"/>
      <c r="H1293" s="87"/>
      <c r="I1293" s="87"/>
      <c r="J1293" s="101"/>
      <c r="K1293" s="87"/>
      <c r="L1293" s="91"/>
      <c r="M1293" s="91"/>
      <c r="N1293" s="88">
        <f>Goods_Receipt[[#This Row],[ Invoice. /
 Received Qty ]]-Goods_Receipt[[#This Row],[ Accepted Qty ]]</f>
        <v>0</v>
      </c>
      <c r="O1293" s="87"/>
      <c r="P1293" s="87"/>
      <c r="Q1293" s="87"/>
      <c r="R1293" s="87"/>
      <c r="S1293" s="87"/>
      <c r="T1293" s="85"/>
      <c r="U1293" s="89"/>
      <c r="V1293" s="90"/>
      <c r="W1293" s="87"/>
      <c r="X1293" s="91"/>
      <c r="Y1293" s="84"/>
      <c r="Z1293" s="97"/>
    </row>
    <row r="1294" spans="1:26" s="98" customFormat="1" x14ac:dyDescent="0.35">
      <c r="A1294" s="86">
        <v>1291</v>
      </c>
      <c r="B1294" s="85"/>
      <c r="C1294" s="87"/>
      <c r="D1294" s="85"/>
      <c r="E1294" s="84"/>
      <c r="F1294" s="85"/>
      <c r="G1294" s="87"/>
      <c r="H1294" s="87"/>
      <c r="I1294" s="87"/>
      <c r="J1294" s="101"/>
      <c r="K1294" s="87"/>
      <c r="L1294" s="91"/>
      <c r="M1294" s="91"/>
      <c r="N1294" s="88">
        <f>Goods_Receipt[[#This Row],[ Invoice. /
 Received Qty ]]-Goods_Receipt[[#This Row],[ Accepted Qty ]]</f>
        <v>0</v>
      </c>
      <c r="O1294" s="87"/>
      <c r="P1294" s="87"/>
      <c r="Q1294" s="87"/>
      <c r="R1294" s="87"/>
      <c r="S1294" s="87"/>
      <c r="T1294" s="85"/>
      <c r="U1294" s="89"/>
      <c r="V1294" s="90"/>
      <c r="W1294" s="87"/>
      <c r="X1294" s="91"/>
      <c r="Y1294" s="84"/>
      <c r="Z1294" s="97"/>
    </row>
    <row r="1295" spans="1:26" s="98" customFormat="1" x14ac:dyDescent="0.35">
      <c r="A1295" s="86">
        <v>1292</v>
      </c>
      <c r="B1295" s="85"/>
      <c r="C1295" s="87"/>
      <c r="D1295" s="85"/>
      <c r="E1295" s="84"/>
      <c r="F1295" s="85"/>
      <c r="G1295" s="87"/>
      <c r="H1295" s="87"/>
      <c r="I1295" s="87"/>
      <c r="J1295" s="101"/>
      <c r="K1295" s="87"/>
      <c r="L1295" s="91"/>
      <c r="M1295" s="91"/>
      <c r="N1295" s="88">
        <f>Goods_Receipt[[#This Row],[ Invoice. /
 Received Qty ]]-Goods_Receipt[[#This Row],[ Accepted Qty ]]</f>
        <v>0</v>
      </c>
      <c r="O1295" s="87"/>
      <c r="P1295" s="87"/>
      <c r="Q1295" s="87"/>
      <c r="R1295" s="87"/>
      <c r="S1295" s="87"/>
      <c r="T1295" s="85"/>
      <c r="U1295" s="89"/>
      <c r="V1295" s="90"/>
      <c r="W1295" s="87"/>
      <c r="X1295" s="91"/>
      <c r="Y1295" s="84"/>
      <c r="Z1295" s="97"/>
    </row>
    <row r="1296" spans="1:26" s="98" customFormat="1" x14ac:dyDescent="0.35">
      <c r="A1296" s="86">
        <v>1293</v>
      </c>
      <c r="B1296" s="85"/>
      <c r="C1296" s="87"/>
      <c r="D1296" s="85"/>
      <c r="E1296" s="84"/>
      <c r="F1296" s="85"/>
      <c r="G1296" s="87"/>
      <c r="H1296" s="87"/>
      <c r="I1296" s="87"/>
      <c r="J1296" s="101"/>
      <c r="K1296" s="87"/>
      <c r="L1296" s="91"/>
      <c r="M1296" s="91"/>
      <c r="N1296" s="88">
        <f>Goods_Receipt[[#This Row],[ Invoice. /
 Received Qty ]]-Goods_Receipt[[#This Row],[ Accepted Qty ]]</f>
        <v>0</v>
      </c>
      <c r="O1296" s="87"/>
      <c r="P1296" s="87"/>
      <c r="Q1296" s="87"/>
      <c r="R1296" s="87"/>
      <c r="S1296" s="87"/>
      <c r="T1296" s="85"/>
      <c r="U1296" s="89"/>
      <c r="V1296" s="90"/>
      <c r="W1296" s="87"/>
      <c r="X1296" s="91"/>
      <c r="Y1296" s="84"/>
      <c r="Z1296" s="97"/>
    </row>
    <row r="1297" spans="1:26" s="98" customFormat="1" x14ac:dyDescent="0.35">
      <c r="A1297" s="86">
        <v>1294</v>
      </c>
      <c r="B1297" s="85"/>
      <c r="C1297" s="87"/>
      <c r="D1297" s="85"/>
      <c r="E1297" s="84"/>
      <c r="F1297" s="85"/>
      <c r="G1297" s="87"/>
      <c r="H1297" s="87"/>
      <c r="I1297" s="87"/>
      <c r="J1297" s="101"/>
      <c r="K1297" s="87"/>
      <c r="L1297" s="91"/>
      <c r="M1297" s="91"/>
      <c r="N1297" s="88">
        <f>Goods_Receipt[[#This Row],[ Invoice. /
 Received Qty ]]-Goods_Receipt[[#This Row],[ Accepted Qty ]]</f>
        <v>0</v>
      </c>
      <c r="O1297" s="87"/>
      <c r="P1297" s="87"/>
      <c r="Q1297" s="87"/>
      <c r="R1297" s="87"/>
      <c r="S1297" s="87"/>
      <c r="T1297" s="85"/>
      <c r="U1297" s="89"/>
      <c r="V1297" s="90"/>
      <c r="W1297" s="87"/>
      <c r="X1297" s="91"/>
      <c r="Y1297" s="84"/>
      <c r="Z1297" s="97"/>
    </row>
    <row r="1298" spans="1:26" s="98" customFormat="1" x14ac:dyDescent="0.35">
      <c r="A1298" s="86">
        <v>1295</v>
      </c>
      <c r="B1298" s="85"/>
      <c r="C1298" s="87"/>
      <c r="D1298" s="85"/>
      <c r="E1298" s="84"/>
      <c r="F1298" s="85"/>
      <c r="G1298" s="87"/>
      <c r="H1298" s="87"/>
      <c r="I1298" s="87"/>
      <c r="J1298" s="101"/>
      <c r="K1298" s="87"/>
      <c r="L1298" s="91"/>
      <c r="M1298" s="91"/>
      <c r="N1298" s="88">
        <f>Goods_Receipt[[#This Row],[ Invoice. /
 Received Qty ]]-Goods_Receipt[[#This Row],[ Accepted Qty ]]</f>
        <v>0</v>
      </c>
      <c r="O1298" s="87"/>
      <c r="P1298" s="87"/>
      <c r="Q1298" s="87"/>
      <c r="R1298" s="87"/>
      <c r="S1298" s="87"/>
      <c r="T1298" s="85"/>
      <c r="U1298" s="89"/>
      <c r="V1298" s="90"/>
      <c r="W1298" s="87"/>
      <c r="X1298" s="91"/>
      <c r="Y1298" s="84"/>
      <c r="Z1298" s="97"/>
    </row>
    <row r="1299" spans="1:26" s="98" customFormat="1" x14ac:dyDescent="0.35">
      <c r="A1299" s="86">
        <v>1296</v>
      </c>
      <c r="B1299" s="85"/>
      <c r="C1299" s="87"/>
      <c r="D1299" s="85"/>
      <c r="E1299" s="84"/>
      <c r="F1299" s="85"/>
      <c r="G1299" s="87"/>
      <c r="H1299" s="87"/>
      <c r="I1299" s="87"/>
      <c r="J1299" s="101"/>
      <c r="K1299" s="87"/>
      <c r="L1299" s="91"/>
      <c r="M1299" s="91"/>
      <c r="N1299" s="88">
        <f>Goods_Receipt[[#This Row],[ Invoice. /
 Received Qty ]]-Goods_Receipt[[#This Row],[ Accepted Qty ]]</f>
        <v>0</v>
      </c>
      <c r="O1299" s="87"/>
      <c r="P1299" s="87"/>
      <c r="Q1299" s="87"/>
      <c r="R1299" s="87"/>
      <c r="S1299" s="87"/>
      <c r="T1299" s="85"/>
      <c r="U1299" s="89"/>
      <c r="V1299" s="90"/>
      <c r="W1299" s="87"/>
      <c r="X1299" s="91"/>
      <c r="Y1299" s="84"/>
      <c r="Z1299" s="97"/>
    </row>
    <row r="1300" spans="1:26" s="98" customFormat="1" x14ac:dyDescent="0.35">
      <c r="A1300" s="86">
        <v>1297</v>
      </c>
      <c r="B1300" s="85"/>
      <c r="C1300" s="87"/>
      <c r="D1300" s="85"/>
      <c r="E1300" s="84"/>
      <c r="F1300" s="85"/>
      <c r="G1300" s="87"/>
      <c r="H1300" s="87"/>
      <c r="I1300" s="87"/>
      <c r="J1300" s="101"/>
      <c r="K1300" s="87"/>
      <c r="L1300" s="91"/>
      <c r="M1300" s="91"/>
      <c r="N1300" s="88">
        <f>Goods_Receipt[[#This Row],[ Invoice. /
 Received Qty ]]-Goods_Receipt[[#This Row],[ Accepted Qty ]]</f>
        <v>0</v>
      </c>
      <c r="O1300" s="87"/>
      <c r="P1300" s="87"/>
      <c r="Q1300" s="87"/>
      <c r="R1300" s="87"/>
      <c r="S1300" s="87"/>
      <c r="T1300" s="85"/>
      <c r="U1300" s="89"/>
      <c r="V1300" s="90"/>
      <c r="W1300" s="87"/>
      <c r="X1300" s="91"/>
      <c r="Y1300" s="84"/>
      <c r="Z1300" s="97"/>
    </row>
    <row r="1301" spans="1:26" s="98" customFormat="1" x14ac:dyDescent="0.35">
      <c r="A1301" s="86">
        <v>1298</v>
      </c>
      <c r="B1301" s="85"/>
      <c r="C1301" s="87"/>
      <c r="D1301" s="85"/>
      <c r="E1301" s="84"/>
      <c r="F1301" s="85"/>
      <c r="G1301" s="87"/>
      <c r="H1301" s="87"/>
      <c r="I1301" s="87"/>
      <c r="J1301" s="101"/>
      <c r="K1301" s="87"/>
      <c r="L1301" s="91"/>
      <c r="M1301" s="91"/>
      <c r="N1301" s="88">
        <f>Goods_Receipt[[#This Row],[ Invoice. /
 Received Qty ]]-Goods_Receipt[[#This Row],[ Accepted Qty ]]</f>
        <v>0</v>
      </c>
      <c r="O1301" s="87"/>
      <c r="P1301" s="87"/>
      <c r="Q1301" s="87"/>
      <c r="R1301" s="87"/>
      <c r="S1301" s="87"/>
      <c r="T1301" s="85"/>
      <c r="U1301" s="89"/>
      <c r="V1301" s="90"/>
      <c r="W1301" s="87"/>
      <c r="X1301" s="91"/>
      <c r="Y1301" s="84"/>
      <c r="Z1301" s="97"/>
    </row>
    <row r="1302" spans="1:26" s="98" customFormat="1" x14ac:dyDescent="0.35">
      <c r="A1302" s="86">
        <v>1299</v>
      </c>
      <c r="B1302" s="85"/>
      <c r="C1302" s="87"/>
      <c r="D1302" s="85"/>
      <c r="E1302" s="84"/>
      <c r="F1302" s="85"/>
      <c r="G1302" s="87"/>
      <c r="H1302" s="87"/>
      <c r="I1302" s="87"/>
      <c r="J1302" s="101"/>
      <c r="K1302" s="87"/>
      <c r="L1302" s="91"/>
      <c r="M1302" s="91"/>
      <c r="N1302" s="88">
        <f>Goods_Receipt[[#This Row],[ Invoice. /
 Received Qty ]]-Goods_Receipt[[#This Row],[ Accepted Qty ]]</f>
        <v>0</v>
      </c>
      <c r="O1302" s="87"/>
      <c r="P1302" s="87"/>
      <c r="Q1302" s="87"/>
      <c r="R1302" s="87"/>
      <c r="S1302" s="87"/>
      <c r="T1302" s="85"/>
      <c r="U1302" s="89"/>
      <c r="V1302" s="90"/>
      <c r="W1302" s="87"/>
      <c r="X1302" s="91"/>
      <c r="Y1302" s="84"/>
      <c r="Z1302" s="97"/>
    </row>
    <row r="1303" spans="1:26" s="98" customFormat="1" x14ac:dyDescent="0.35">
      <c r="A1303" s="86">
        <v>1300</v>
      </c>
      <c r="B1303" s="85"/>
      <c r="C1303" s="87"/>
      <c r="D1303" s="85"/>
      <c r="E1303" s="84"/>
      <c r="F1303" s="85"/>
      <c r="G1303" s="87"/>
      <c r="H1303" s="87"/>
      <c r="I1303" s="87"/>
      <c r="J1303" s="101"/>
      <c r="K1303" s="87"/>
      <c r="L1303" s="91"/>
      <c r="M1303" s="91"/>
      <c r="N1303" s="88">
        <f>Goods_Receipt[[#This Row],[ Invoice. /
 Received Qty ]]-Goods_Receipt[[#This Row],[ Accepted Qty ]]</f>
        <v>0</v>
      </c>
      <c r="O1303" s="87"/>
      <c r="P1303" s="87"/>
      <c r="Q1303" s="87"/>
      <c r="R1303" s="87"/>
      <c r="S1303" s="87"/>
      <c r="T1303" s="85"/>
      <c r="U1303" s="89"/>
      <c r="V1303" s="90"/>
      <c r="W1303" s="87"/>
      <c r="X1303" s="91"/>
      <c r="Y1303" s="84"/>
      <c r="Z1303" s="97"/>
    </row>
    <row r="1304" spans="1:26" s="98" customFormat="1" x14ac:dyDescent="0.35">
      <c r="A1304" s="86">
        <v>1301</v>
      </c>
      <c r="B1304" s="85"/>
      <c r="C1304" s="87"/>
      <c r="D1304" s="85"/>
      <c r="E1304" s="84"/>
      <c r="F1304" s="85"/>
      <c r="G1304" s="87"/>
      <c r="H1304" s="87"/>
      <c r="I1304" s="87"/>
      <c r="J1304" s="101"/>
      <c r="K1304" s="87"/>
      <c r="L1304" s="91"/>
      <c r="M1304" s="91"/>
      <c r="N1304" s="88">
        <f>Goods_Receipt[[#This Row],[ Invoice. /
 Received Qty ]]-Goods_Receipt[[#This Row],[ Accepted Qty ]]</f>
        <v>0</v>
      </c>
      <c r="O1304" s="87"/>
      <c r="P1304" s="87"/>
      <c r="Q1304" s="87"/>
      <c r="R1304" s="87"/>
      <c r="S1304" s="87"/>
      <c r="T1304" s="85"/>
      <c r="U1304" s="89"/>
      <c r="V1304" s="90"/>
      <c r="W1304" s="87"/>
      <c r="X1304" s="91"/>
      <c r="Y1304" s="84"/>
      <c r="Z1304" s="97"/>
    </row>
    <row r="1305" spans="1:26" s="98" customFormat="1" x14ac:dyDescent="0.35">
      <c r="A1305" s="86">
        <v>1302</v>
      </c>
      <c r="B1305" s="85"/>
      <c r="C1305" s="87"/>
      <c r="D1305" s="85"/>
      <c r="E1305" s="84"/>
      <c r="F1305" s="85"/>
      <c r="G1305" s="87"/>
      <c r="H1305" s="87"/>
      <c r="I1305" s="87"/>
      <c r="J1305" s="101"/>
      <c r="K1305" s="87"/>
      <c r="L1305" s="91"/>
      <c r="M1305" s="91"/>
      <c r="N1305" s="88">
        <f>Goods_Receipt[[#This Row],[ Invoice. /
 Received Qty ]]-Goods_Receipt[[#This Row],[ Accepted Qty ]]</f>
        <v>0</v>
      </c>
      <c r="O1305" s="87"/>
      <c r="P1305" s="87"/>
      <c r="Q1305" s="87"/>
      <c r="R1305" s="87"/>
      <c r="S1305" s="87"/>
      <c r="T1305" s="85"/>
      <c r="U1305" s="89"/>
      <c r="V1305" s="90"/>
      <c r="W1305" s="87"/>
      <c r="X1305" s="91"/>
      <c r="Y1305" s="84"/>
      <c r="Z1305" s="97"/>
    </row>
    <row r="1306" spans="1:26" s="98" customFormat="1" x14ac:dyDescent="0.35">
      <c r="A1306" s="86">
        <v>1303</v>
      </c>
      <c r="B1306" s="85"/>
      <c r="C1306" s="87"/>
      <c r="D1306" s="85"/>
      <c r="E1306" s="84"/>
      <c r="F1306" s="85"/>
      <c r="G1306" s="87"/>
      <c r="H1306" s="87"/>
      <c r="I1306" s="87"/>
      <c r="J1306" s="101"/>
      <c r="K1306" s="87"/>
      <c r="L1306" s="91"/>
      <c r="M1306" s="91"/>
      <c r="N1306" s="88">
        <f>Goods_Receipt[[#This Row],[ Invoice. /
 Received Qty ]]-Goods_Receipt[[#This Row],[ Accepted Qty ]]</f>
        <v>0</v>
      </c>
      <c r="O1306" s="87"/>
      <c r="P1306" s="87"/>
      <c r="Q1306" s="87"/>
      <c r="R1306" s="87"/>
      <c r="S1306" s="87"/>
      <c r="T1306" s="85"/>
      <c r="U1306" s="89"/>
      <c r="V1306" s="90"/>
      <c r="W1306" s="87"/>
      <c r="X1306" s="91"/>
      <c r="Y1306" s="84"/>
      <c r="Z1306" s="97"/>
    </row>
    <row r="1307" spans="1:26" s="98" customFormat="1" x14ac:dyDescent="0.35">
      <c r="A1307" s="86">
        <v>1304</v>
      </c>
      <c r="B1307" s="85"/>
      <c r="C1307" s="87"/>
      <c r="D1307" s="85"/>
      <c r="E1307" s="84"/>
      <c r="F1307" s="85"/>
      <c r="G1307" s="87"/>
      <c r="H1307" s="87"/>
      <c r="I1307" s="87"/>
      <c r="J1307" s="101"/>
      <c r="K1307" s="87"/>
      <c r="L1307" s="91"/>
      <c r="M1307" s="91"/>
      <c r="N1307" s="88">
        <f>Goods_Receipt[[#This Row],[ Invoice. /
 Received Qty ]]-Goods_Receipt[[#This Row],[ Accepted Qty ]]</f>
        <v>0</v>
      </c>
      <c r="O1307" s="87"/>
      <c r="P1307" s="87"/>
      <c r="Q1307" s="87"/>
      <c r="R1307" s="87"/>
      <c r="S1307" s="87"/>
      <c r="T1307" s="85"/>
      <c r="U1307" s="89"/>
      <c r="V1307" s="90"/>
      <c r="W1307" s="87"/>
      <c r="X1307" s="91"/>
      <c r="Y1307" s="84"/>
      <c r="Z1307" s="97"/>
    </row>
    <row r="1308" spans="1:26" s="98" customFormat="1" x14ac:dyDescent="0.35">
      <c r="A1308" s="86">
        <v>1305</v>
      </c>
      <c r="B1308" s="85"/>
      <c r="C1308" s="87"/>
      <c r="D1308" s="85"/>
      <c r="E1308" s="84"/>
      <c r="F1308" s="85"/>
      <c r="G1308" s="87"/>
      <c r="H1308" s="87"/>
      <c r="I1308" s="87"/>
      <c r="J1308" s="101"/>
      <c r="K1308" s="87"/>
      <c r="L1308" s="91"/>
      <c r="M1308" s="91"/>
      <c r="N1308" s="88">
        <f>Goods_Receipt[[#This Row],[ Invoice. /
 Received Qty ]]-Goods_Receipt[[#This Row],[ Accepted Qty ]]</f>
        <v>0</v>
      </c>
      <c r="O1308" s="87"/>
      <c r="P1308" s="87"/>
      <c r="Q1308" s="87"/>
      <c r="R1308" s="87"/>
      <c r="S1308" s="87"/>
      <c r="T1308" s="85"/>
      <c r="U1308" s="89"/>
      <c r="V1308" s="90"/>
      <c r="W1308" s="87"/>
      <c r="X1308" s="91"/>
      <c r="Y1308" s="84"/>
      <c r="Z1308" s="97"/>
    </row>
    <row r="1309" spans="1:26" s="98" customFormat="1" x14ac:dyDescent="0.35">
      <c r="A1309" s="86">
        <v>1306</v>
      </c>
      <c r="B1309" s="85"/>
      <c r="C1309" s="87"/>
      <c r="D1309" s="85"/>
      <c r="E1309" s="84"/>
      <c r="F1309" s="85"/>
      <c r="G1309" s="87"/>
      <c r="H1309" s="87"/>
      <c r="I1309" s="87"/>
      <c r="J1309" s="101"/>
      <c r="K1309" s="87"/>
      <c r="L1309" s="91"/>
      <c r="M1309" s="91"/>
      <c r="N1309" s="88">
        <f>Goods_Receipt[[#This Row],[ Invoice. /
 Received Qty ]]-Goods_Receipt[[#This Row],[ Accepted Qty ]]</f>
        <v>0</v>
      </c>
      <c r="O1309" s="87"/>
      <c r="P1309" s="87"/>
      <c r="Q1309" s="87"/>
      <c r="R1309" s="87"/>
      <c r="S1309" s="87"/>
      <c r="T1309" s="85"/>
      <c r="U1309" s="89"/>
      <c r="V1309" s="90"/>
      <c r="W1309" s="87"/>
      <c r="X1309" s="91"/>
      <c r="Y1309" s="84"/>
      <c r="Z1309" s="97"/>
    </row>
    <row r="1310" spans="1:26" s="98" customFormat="1" x14ac:dyDescent="0.35">
      <c r="A1310" s="86">
        <v>1307</v>
      </c>
      <c r="B1310" s="85"/>
      <c r="C1310" s="87"/>
      <c r="D1310" s="85"/>
      <c r="E1310" s="84"/>
      <c r="F1310" s="85"/>
      <c r="G1310" s="87"/>
      <c r="H1310" s="87"/>
      <c r="I1310" s="87"/>
      <c r="J1310" s="101"/>
      <c r="K1310" s="87"/>
      <c r="L1310" s="91"/>
      <c r="M1310" s="91"/>
      <c r="N1310" s="88">
        <f>Goods_Receipt[[#This Row],[ Invoice. /
 Received Qty ]]-Goods_Receipt[[#This Row],[ Accepted Qty ]]</f>
        <v>0</v>
      </c>
      <c r="O1310" s="87"/>
      <c r="P1310" s="87"/>
      <c r="Q1310" s="87"/>
      <c r="R1310" s="87"/>
      <c r="S1310" s="87"/>
      <c r="T1310" s="85"/>
      <c r="U1310" s="89"/>
      <c r="V1310" s="90"/>
      <c r="W1310" s="87"/>
      <c r="X1310" s="91"/>
      <c r="Y1310" s="84"/>
      <c r="Z1310" s="97"/>
    </row>
    <row r="1311" spans="1:26" s="98" customFormat="1" x14ac:dyDescent="0.35">
      <c r="A1311" s="86">
        <v>1308</v>
      </c>
      <c r="B1311" s="85"/>
      <c r="C1311" s="87"/>
      <c r="D1311" s="85"/>
      <c r="E1311" s="84"/>
      <c r="F1311" s="85"/>
      <c r="G1311" s="87"/>
      <c r="H1311" s="87"/>
      <c r="I1311" s="87"/>
      <c r="J1311" s="101"/>
      <c r="K1311" s="87"/>
      <c r="L1311" s="91"/>
      <c r="M1311" s="91"/>
      <c r="N1311" s="88">
        <f>Goods_Receipt[[#This Row],[ Invoice. /
 Received Qty ]]-Goods_Receipt[[#This Row],[ Accepted Qty ]]</f>
        <v>0</v>
      </c>
      <c r="O1311" s="87"/>
      <c r="P1311" s="87"/>
      <c r="Q1311" s="87"/>
      <c r="R1311" s="87"/>
      <c r="S1311" s="87"/>
      <c r="T1311" s="85"/>
      <c r="U1311" s="89"/>
      <c r="V1311" s="90"/>
      <c r="W1311" s="87"/>
      <c r="X1311" s="91"/>
      <c r="Y1311" s="84"/>
      <c r="Z1311" s="97"/>
    </row>
    <row r="1312" spans="1:26" s="98" customFormat="1" x14ac:dyDescent="0.35">
      <c r="A1312" s="86">
        <v>1309</v>
      </c>
      <c r="B1312" s="85"/>
      <c r="C1312" s="87"/>
      <c r="D1312" s="85"/>
      <c r="E1312" s="84"/>
      <c r="F1312" s="85"/>
      <c r="G1312" s="87"/>
      <c r="H1312" s="87"/>
      <c r="I1312" s="87"/>
      <c r="J1312" s="101"/>
      <c r="K1312" s="87"/>
      <c r="L1312" s="91"/>
      <c r="M1312" s="91"/>
      <c r="N1312" s="88">
        <f>Goods_Receipt[[#This Row],[ Invoice. /
 Received Qty ]]-Goods_Receipt[[#This Row],[ Accepted Qty ]]</f>
        <v>0</v>
      </c>
      <c r="O1312" s="87"/>
      <c r="P1312" s="87"/>
      <c r="Q1312" s="87"/>
      <c r="R1312" s="87"/>
      <c r="S1312" s="87"/>
      <c r="T1312" s="85"/>
      <c r="U1312" s="89"/>
      <c r="V1312" s="90"/>
      <c r="W1312" s="87"/>
      <c r="X1312" s="91"/>
      <c r="Y1312" s="84"/>
      <c r="Z1312" s="97"/>
    </row>
    <row r="1313" spans="1:26" s="98" customFormat="1" x14ac:dyDescent="0.35">
      <c r="A1313" s="86">
        <v>1310</v>
      </c>
      <c r="B1313" s="85"/>
      <c r="C1313" s="87"/>
      <c r="D1313" s="85"/>
      <c r="E1313" s="84"/>
      <c r="F1313" s="85"/>
      <c r="G1313" s="87"/>
      <c r="H1313" s="87"/>
      <c r="I1313" s="87"/>
      <c r="J1313" s="101"/>
      <c r="K1313" s="87"/>
      <c r="L1313" s="91"/>
      <c r="M1313" s="91"/>
      <c r="N1313" s="88">
        <f>Goods_Receipt[[#This Row],[ Invoice. /
 Received Qty ]]-Goods_Receipt[[#This Row],[ Accepted Qty ]]</f>
        <v>0</v>
      </c>
      <c r="O1313" s="87"/>
      <c r="P1313" s="87"/>
      <c r="Q1313" s="87"/>
      <c r="R1313" s="87"/>
      <c r="S1313" s="87"/>
      <c r="T1313" s="85"/>
      <c r="U1313" s="89"/>
      <c r="V1313" s="90"/>
      <c r="W1313" s="87"/>
      <c r="X1313" s="91"/>
      <c r="Y1313" s="84"/>
      <c r="Z1313" s="97"/>
    </row>
    <row r="1314" spans="1:26" s="98" customFormat="1" x14ac:dyDescent="0.35">
      <c r="A1314" s="86">
        <v>1311</v>
      </c>
      <c r="B1314" s="85"/>
      <c r="C1314" s="87"/>
      <c r="D1314" s="85"/>
      <c r="E1314" s="84"/>
      <c r="F1314" s="85"/>
      <c r="G1314" s="87"/>
      <c r="H1314" s="87"/>
      <c r="I1314" s="87"/>
      <c r="J1314" s="101"/>
      <c r="K1314" s="87"/>
      <c r="L1314" s="91"/>
      <c r="M1314" s="91"/>
      <c r="N1314" s="88">
        <f>Goods_Receipt[[#This Row],[ Invoice. /
 Received Qty ]]-Goods_Receipt[[#This Row],[ Accepted Qty ]]</f>
        <v>0</v>
      </c>
      <c r="O1314" s="87"/>
      <c r="P1314" s="87"/>
      <c r="Q1314" s="87"/>
      <c r="R1314" s="87"/>
      <c r="S1314" s="87"/>
      <c r="T1314" s="85"/>
      <c r="U1314" s="89"/>
      <c r="V1314" s="90"/>
      <c r="W1314" s="87"/>
      <c r="X1314" s="91"/>
      <c r="Y1314" s="84"/>
      <c r="Z1314" s="97"/>
    </row>
    <row r="1315" spans="1:26" s="98" customFormat="1" x14ac:dyDescent="0.35">
      <c r="A1315" s="86">
        <v>1312</v>
      </c>
      <c r="B1315" s="85"/>
      <c r="C1315" s="87"/>
      <c r="D1315" s="85"/>
      <c r="E1315" s="84"/>
      <c r="F1315" s="85"/>
      <c r="G1315" s="87"/>
      <c r="H1315" s="87"/>
      <c r="I1315" s="87"/>
      <c r="J1315" s="101"/>
      <c r="K1315" s="87"/>
      <c r="L1315" s="91"/>
      <c r="M1315" s="91"/>
      <c r="N1315" s="88">
        <f>Goods_Receipt[[#This Row],[ Invoice. /
 Received Qty ]]-Goods_Receipt[[#This Row],[ Accepted Qty ]]</f>
        <v>0</v>
      </c>
      <c r="O1315" s="87"/>
      <c r="P1315" s="87"/>
      <c r="Q1315" s="87"/>
      <c r="R1315" s="87"/>
      <c r="S1315" s="87"/>
      <c r="T1315" s="85"/>
      <c r="U1315" s="89"/>
      <c r="V1315" s="90"/>
      <c r="W1315" s="87"/>
      <c r="X1315" s="91"/>
      <c r="Y1315" s="84"/>
      <c r="Z1315" s="97"/>
    </row>
    <row r="1316" spans="1:26" s="98" customFormat="1" x14ac:dyDescent="0.35">
      <c r="A1316" s="86">
        <v>1313</v>
      </c>
      <c r="B1316" s="85"/>
      <c r="C1316" s="87"/>
      <c r="D1316" s="85"/>
      <c r="E1316" s="84"/>
      <c r="F1316" s="85"/>
      <c r="G1316" s="87"/>
      <c r="H1316" s="87"/>
      <c r="I1316" s="87"/>
      <c r="J1316" s="101"/>
      <c r="K1316" s="87"/>
      <c r="L1316" s="91"/>
      <c r="M1316" s="91"/>
      <c r="N1316" s="88">
        <f>Goods_Receipt[[#This Row],[ Invoice. /
 Received Qty ]]-Goods_Receipt[[#This Row],[ Accepted Qty ]]</f>
        <v>0</v>
      </c>
      <c r="O1316" s="87"/>
      <c r="P1316" s="87"/>
      <c r="Q1316" s="87"/>
      <c r="R1316" s="87"/>
      <c r="S1316" s="87"/>
      <c r="T1316" s="85"/>
      <c r="U1316" s="89"/>
      <c r="V1316" s="90"/>
      <c r="W1316" s="87"/>
      <c r="X1316" s="91"/>
      <c r="Y1316" s="84"/>
      <c r="Z1316" s="97"/>
    </row>
    <row r="1317" spans="1:26" s="98" customFormat="1" x14ac:dyDescent="0.35">
      <c r="A1317" s="86">
        <v>1314</v>
      </c>
      <c r="B1317" s="85"/>
      <c r="C1317" s="87"/>
      <c r="D1317" s="85"/>
      <c r="E1317" s="84"/>
      <c r="F1317" s="85"/>
      <c r="G1317" s="87"/>
      <c r="H1317" s="87"/>
      <c r="I1317" s="87"/>
      <c r="J1317" s="101"/>
      <c r="K1317" s="87"/>
      <c r="L1317" s="91"/>
      <c r="M1317" s="91"/>
      <c r="N1317" s="88">
        <f>Goods_Receipt[[#This Row],[ Invoice. /
 Received Qty ]]-Goods_Receipt[[#This Row],[ Accepted Qty ]]</f>
        <v>0</v>
      </c>
      <c r="O1317" s="87"/>
      <c r="P1317" s="87"/>
      <c r="Q1317" s="87"/>
      <c r="R1317" s="87"/>
      <c r="S1317" s="87"/>
      <c r="T1317" s="85"/>
      <c r="U1317" s="89"/>
      <c r="V1317" s="90"/>
      <c r="W1317" s="87"/>
      <c r="X1317" s="91"/>
      <c r="Y1317" s="84"/>
      <c r="Z1317" s="97"/>
    </row>
    <row r="1318" spans="1:26" s="98" customFormat="1" x14ac:dyDescent="0.35">
      <c r="A1318" s="86">
        <v>1315</v>
      </c>
      <c r="B1318" s="85"/>
      <c r="C1318" s="87"/>
      <c r="D1318" s="85"/>
      <c r="E1318" s="84"/>
      <c r="F1318" s="85"/>
      <c r="G1318" s="87"/>
      <c r="H1318" s="87"/>
      <c r="I1318" s="87"/>
      <c r="J1318" s="101"/>
      <c r="K1318" s="87"/>
      <c r="L1318" s="91"/>
      <c r="M1318" s="91"/>
      <c r="N1318" s="88">
        <f>Goods_Receipt[[#This Row],[ Invoice. /
 Received Qty ]]-Goods_Receipt[[#This Row],[ Accepted Qty ]]</f>
        <v>0</v>
      </c>
      <c r="O1318" s="87"/>
      <c r="P1318" s="87"/>
      <c r="Q1318" s="87"/>
      <c r="R1318" s="87"/>
      <c r="S1318" s="87"/>
      <c r="T1318" s="85"/>
      <c r="U1318" s="89"/>
      <c r="V1318" s="90"/>
      <c r="W1318" s="87"/>
      <c r="X1318" s="91"/>
      <c r="Y1318" s="84"/>
      <c r="Z1318" s="97"/>
    </row>
    <row r="1319" spans="1:26" s="98" customFormat="1" x14ac:dyDescent="0.35">
      <c r="A1319" s="86">
        <v>1316</v>
      </c>
      <c r="B1319" s="85"/>
      <c r="C1319" s="87"/>
      <c r="D1319" s="85"/>
      <c r="E1319" s="84"/>
      <c r="F1319" s="85"/>
      <c r="G1319" s="87"/>
      <c r="H1319" s="87"/>
      <c r="I1319" s="87"/>
      <c r="J1319" s="101"/>
      <c r="K1319" s="87"/>
      <c r="L1319" s="91"/>
      <c r="M1319" s="91"/>
      <c r="N1319" s="88">
        <f>Goods_Receipt[[#This Row],[ Invoice. /
 Received Qty ]]-Goods_Receipt[[#This Row],[ Accepted Qty ]]</f>
        <v>0</v>
      </c>
      <c r="O1319" s="87"/>
      <c r="P1319" s="87"/>
      <c r="Q1319" s="87"/>
      <c r="R1319" s="87"/>
      <c r="S1319" s="87"/>
      <c r="T1319" s="85"/>
      <c r="U1319" s="89"/>
      <c r="V1319" s="90"/>
      <c r="W1319" s="87"/>
      <c r="X1319" s="91"/>
      <c r="Y1319" s="84"/>
      <c r="Z1319" s="97"/>
    </row>
    <row r="1320" spans="1:26" s="98" customFormat="1" x14ac:dyDescent="0.35">
      <c r="A1320" s="86">
        <v>1317</v>
      </c>
      <c r="B1320" s="85"/>
      <c r="C1320" s="87"/>
      <c r="D1320" s="85"/>
      <c r="E1320" s="84"/>
      <c r="F1320" s="85"/>
      <c r="G1320" s="87"/>
      <c r="H1320" s="87"/>
      <c r="I1320" s="87"/>
      <c r="J1320" s="101"/>
      <c r="K1320" s="87"/>
      <c r="L1320" s="91"/>
      <c r="M1320" s="91"/>
      <c r="N1320" s="88">
        <f>Goods_Receipt[[#This Row],[ Invoice. /
 Received Qty ]]-Goods_Receipt[[#This Row],[ Accepted Qty ]]</f>
        <v>0</v>
      </c>
      <c r="O1320" s="87"/>
      <c r="P1320" s="87"/>
      <c r="Q1320" s="87"/>
      <c r="R1320" s="87"/>
      <c r="S1320" s="87"/>
      <c r="T1320" s="85"/>
      <c r="U1320" s="89"/>
      <c r="V1320" s="90"/>
      <c r="W1320" s="87"/>
      <c r="X1320" s="91"/>
      <c r="Y1320" s="84"/>
      <c r="Z1320" s="97"/>
    </row>
    <row r="1321" spans="1:26" s="98" customFormat="1" x14ac:dyDescent="0.35">
      <c r="A1321" s="86">
        <v>1318</v>
      </c>
      <c r="B1321" s="85"/>
      <c r="C1321" s="87"/>
      <c r="D1321" s="85"/>
      <c r="E1321" s="84"/>
      <c r="F1321" s="85"/>
      <c r="G1321" s="87"/>
      <c r="H1321" s="87"/>
      <c r="I1321" s="87"/>
      <c r="J1321" s="101"/>
      <c r="K1321" s="87"/>
      <c r="L1321" s="91"/>
      <c r="M1321" s="91"/>
      <c r="N1321" s="88">
        <f>Goods_Receipt[[#This Row],[ Invoice. /
 Received Qty ]]-Goods_Receipt[[#This Row],[ Accepted Qty ]]</f>
        <v>0</v>
      </c>
      <c r="O1321" s="87"/>
      <c r="P1321" s="87"/>
      <c r="Q1321" s="87"/>
      <c r="R1321" s="87"/>
      <c r="S1321" s="87"/>
      <c r="T1321" s="85"/>
      <c r="U1321" s="89"/>
      <c r="V1321" s="90"/>
      <c r="W1321" s="87"/>
      <c r="X1321" s="91"/>
      <c r="Y1321" s="84"/>
      <c r="Z1321" s="97"/>
    </row>
    <row r="1322" spans="1:26" s="98" customFormat="1" x14ac:dyDescent="0.35">
      <c r="A1322" s="86">
        <v>1319</v>
      </c>
      <c r="B1322" s="85"/>
      <c r="C1322" s="87"/>
      <c r="D1322" s="85"/>
      <c r="E1322" s="84"/>
      <c r="F1322" s="85"/>
      <c r="G1322" s="87"/>
      <c r="H1322" s="87"/>
      <c r="I1322" s="87"/>
      <c r="J1322" s="101"/>
      <c r="K1322" s="87"/>
      <c r="L1322" s="91"/>
      <c r="M1322" s="91"/>
      <c r="N1322" s="88">
        <f>Goods_Receipt[[#This Row],[ Invoice. /
 Received Qty ]]-Goods_Receipt[[#This Row],[ Accepted Qty ]]</f>
        <v>0</v>
      </c>
      <c r="O1322" s="87"/>
      <c r="P1322" s="87"/>
      <c r="Q1322" s="87"/>
      <c r="R1322" s="87"/>
      <c r="S1322" s="87"/>
      <c r="T1322" s="85"/>
      <c r="U1322" s="89"/>
      <c r="V1322" s="90"/>
      <c r="W1322" s="87"/>
      <c r="X1322" s="91"/>
      <c r="Y1322" s="84"/>
      <c r="Z1322" s="97"/>
    </row>
    <row r="1323" spans="1:26" s="98" customFormat="1" x14ac:dyDescent="0.35">
      <c r="A1323" s="86">
        <v>1320</v>
      </c>
      <c r="B1323" s="85"/>
      <c r="C1323" s="87"/>
      <c r="D1323" s="85"/>
      <c r="E1323" s="84"/>
      <c r="F1323" s="85"/>
      <c r="G1323" s="87"/>
      <c r="H1323" s="87"/>
      <c r="I1323" s="87"/>
      <c r="J1323" s="101"/>
      <c r="K1323" s="87"/>
      <c r="L1323" s="91"/>
      <c r="M1323" s="91"/>
      <c r="N1323" s="88">
        <f>Goods_Receipt[[#This Row],[ Invoice. /
 Received Qty ]]-Goods_Receipt[[#This Row],[ Accepted Qty ]]</f>
        <v>0</v>
      </c>
      <c r="O1323" s="87"/>
      <c r="P1323" s="87"/>
      <c r="Q1323" s="87"/>
      <c r="R1323" s="87"/>
      <c r="S1323" s="87"/>
      <c r="T1323" s="85"/>
      <c r="U1323" s="89"/>
      <c r="V1323" s="90"/>
      <c r="W1323" s="87"/>
      <c r="X1323" s="91"/>
      <c r="Y1323" s="84"/>
      <c r="Z1323" s="97"/>
    </row>
    <row r="1324" spans="1:26" s="98" customFormat="1" x14ac:dyDescent="0.35">
      <c r="A1324" s="86">
        <v>1321</v>
      </c>
      <c r="B1324" s="85"/>
      <c r="C1324" s="87"/>
      <c r="D1324" s="85"/>
      <c r="E1324" s="84"/>
      <c r="F1324" s="85"/>
      <c r="G1324" s="87"/>
      <c r="H1324" s="87"/>
      <c r="I1324" s="87"/>
      <c r="J1324" s="101"/>
      <c r="K1324" s="87"/>
      <c r="L1324" s="91"/>
      <c r="M1324" s="91"/>
      <c r="N1324" s="88">
        <f>Goods_Receipt[[#This Row],[ Invoice. /
 Received Qty ]]-Goods_Receipt[[#This Row],[ Accepted Qty ]]</f>
        <v>0</v>
      </c>
      <c r="O1324" s="87"/>
      <c r="P1324" s="87"/>
      <c r="Q1324" s="87"/>
      <c r="R1324" s="87"/>
      <c r="S1324" s="87"/>
      <c r="T1324" s="85"/>
      <c r="U1324" s="89"/>
      <c r="V1324" s="90"/>
      <c r="W1324" s="87"/>
      <c r="X1324" s="91"/>
      <c r="Y1324" s="84"/>
      <c r="Z1324" s="97"/>
    </row>
    <row r="1325" spans="1:26" s="98" customFormat="1" x14ac:dyDescent="0.35">
      <c r="A1325" s="86">
        <v>1322</v>
      </c>
      <c r="B1325" s="85"/>
      <c r="C1325" s="87"/>
      <c r="D1325" s="85"/>
      <c r="E1325" s="84"/>
      <c r="F1325" s="85"/>
      <c r="G1325" s="87"/>
      <c r="H1325" s="87"/>
      <c r="I1325" s="87"/>
      <c r="J1325" s="101"/>
      <c r="K1325" s="87"/>
      <c r="L1325" s="91"/>
      <c r="M1325" s="91"/>
      <c r="N1325" s="88">
        <f>Goods_Receipt[[#This Row],[ Invoice. /
 Received Qty ]]-Goods_Receipt[[#This Row],[ Accepted Qty ]]</f>
        <v>0</v>
      </c>
      <c r="O1325" s="87"/>
      <c r="P1325" s="87"/>
      <c r="Q1325" s="87"/>
      <c r="R1325" s="87"/>
      <c r="S1325" s="87"/>
      <c r="T1325" s="85"/>
      <c r="U1325" s="89"/>
      <c r="V1325" s="90"/>
      <c r="W1325" s="87"/>
      <c r="X1325" s="91"/>
      <c r="Y1325" s="84"/>
      <c r="Z1325" s="97"/>
    </row>
    <row r="1326" spans="1:26" s="98" customFormat="1" x14ac:dyDescent="0.35">
      <c r="A1326" s="86">
        <v>1323</v>
      </c>
      <c r="B1326" s="85"/>
      <c r="C1326" s="87"/>
      <c r="D1326" s="85"/>
      <c r="E1326" s="84"/>
      <c r="F1326" s="85"/>
      <c r="G1326" s="87"/>
      <c r="H1326" s="87"/>
      <c r="I1326" s="87"/>
      <c r="J1326" s="101"/>
      <c r="K1326" s="87"/>
      <c r="L1326" s="91"/>
      <c r="M1326" s="91"/>
      <c r="N1326" s="88">
        <f>Goods_Receipt[[#This Row],[ Invoice. /
 Received Qty ]]-Goods_Receipt[[#This Row],[ Accepted Qty ]]</f>
        <v>0</v>
      </c>
      <c r="O1326" s="87"/>
      <c r="P1326" s="87"/>
      <c r="Q1326" s="87"/>
      <c r="R1326" s="87"/>
      <c r="S1326" s="87"/>
      <c r="T1326" s="85"/>
      <c r="U1326" s="89"/>
      <c r="V1326" s="90"/>
      <c r="W1326" s="87"/>
      <c r="X1326" s="91"/>
      <c r="Y1326" s="84"/>
      <c r="Z1326" s="97"/>
    </row>
    <row r="1327" spans="1:26" s="98" customFormat="1" x14ac:dyDescent="0.35">
      <c r="A1327" s="86">
        <v>1324</v>
      </c>
      <c r="B1327" s="85"/>
      <c r="C1327" s="87"/>
      <c r="D1327" s="85"/>
      <c r="E1327" s="84"/>
      <c r="F1327" s="85"/>
      <c r="G1327" s="87"/>
      <c r="H1327" s="87"/>
      <c r="I1327" s="87"/>
      <c r="J1327" s="101"/>
      <c r="K1327" s="87"/>
      <c r="L1327" s="91"/>
      <c r="M1327" s="91"/>
      <c r="N1327" s="88">
        <f>Goods_Receipt[[#This Row],[ Invoice. /
 Received Qty ]]-Goods_Receipt[[#This Row],[ Accepted Qty ]]</f>
        <v>0</v>
      </c>
      <c r="O1327" s="87"/>
      <c r="P1327" s="87"/>
      <c r="Q1327" s="87"/>
      <c r="R1327" s="87"/>
      <c r="S1327" s="87"/>
      <c r="T1327" s="85"/>
      <c r="U1327" s="89"/>
      <c r="V1327" s="90"/>
      <c r="W1327" s="87"/>
      <c r="X1327" s="91"/>
      <c r="Y1327" s="84"/>
      <c r="Z1327" s="97"/>
    </row>
    <row r="1328" spans="1:26" s="98" customFormat="1" x14ac:dyDescent="0.35">
      <c r="A1328" s="86">
        <v>1325</v>
      </c>
      <c r="B1328" s="85"/>
      <c r="C1328" s="87"/>
      <c r="D1328" s="85"/>
      <c r="E1328" s="84"/>
      <c r="F1328" s="85"/>
      <c r="G1328" s="87"/>
      <c r="H1328" s="87"/>
      <c r="I1328" s="87"/>
      <c r="J1328" s="101"/>
      <c r="K1328" s="87"/>
      <c r="L1328" s="91"/>
      <c r="M1328" s="91"/>
      <c r="N1328" s="88">
        <f>Goods_Receipt[[#This Row],[ Invoice. /
 Received Qty ]]-Goods_Receipt[[#This Row],[ Accepted Qty ]]</f>
        <v>0</v>
      </c>
      <c r="O1328" s="87"/>
      <c r="P1328" s="87"/>
      <c r="Q1328" s="87"/>
      <c r="R1328" s="87"/>
      <c r="S1328" s="87"/>
      <c r="T1328" s="85"/>
      <c r="U1328" s="89"/>
      <c r="V1328" s="90"/>
      <c r="W1328" s="87"/>
      <c r="X1328" s="91"/>
      <c r="Y1328" s="84"/>
      <c r="Z1328" s="97"/>
    </row>
    <row r="1329" spans="1:26" s="98" customFormat="1" x14ac:dyDescent="0.35">
      <c r="A1329" s="86">
        <v>1326</v>
      </c>
      <c r="B1329" s="85"/>
      <c r="C1329" s="87"/>
      <c r="D1329" s="85"/>
      <c r="E1329" s="84"/>
      <c r="F1329" s="85"/>
      <c r="G1329" s="87"/>
      <c r="H1329" s="87"/>
      <c r="I1329" s="87"/>
      <c r="J1329" s="101"/>
      <c r="K1329" s="87"/>
      <c r="L1329" s="91"/>
      <c r="M1329" s="91"/>
      <c r="N1329" s="88">
        <f>Goods_Receipt[[#This Row],[ Invoice. /
 Received Qty ]]-Goods_Receipt[[#This Row],[ Accepted Qty ]]</f>
        <v>0</v>
      </c>
      <c r="O1329" s="87"/>
      <c r="P1329" s="87"/>
      <c r="Q1329" s="87"/>
      <c r="R1329" s="87"/>
      <c r="S1329" s="87"/>
      <c r="T1329" s="85"/>
      <c r="U1329" s="89"/>
      <c r="V1329" s="90"/>
      <c r="W1329" s="87"/>
      <c r="X1329" s="91"/>
      <c r="Y1329" s="84"/>
      <c r="Z1329" s="97"/>
    </row>
    <row r="1330" spans="1:26" s="98" customFormat="1" x14ac:dyDescent="0.35">
      <c r="A1330" s="86">
        <v>1327</v>
      </c>
      <c r="B1330" s="85"/>
      <c r="C1330" s="87"/>
      <c r="D1330" s="85"/>
      <c r="E1330" s="84"/>
      <c r="F1330" s="85"/>
      <c r="G1330" s="87"/>
      <c r="H1330" s="87"/>
      <c r="I1330" s="87"/>
      <c r="J1330" s="101"/>
      <c r="K1330" s="87"/>
      <c r="L1330" s="91"/>
      <c r="M1330" s="91"/>
      <c r="N1330" s="88">
        <f>Goods_Receipt[[#This Row],[ Invoice. /
 Received Qty ]]-Goods_Receipt[[#This Row],[ Accepted Qty ]]</f>
        <v>0</v>
      </c>
      <c r="O1330" s="87"/>
      <c r="P1330" s="87"/>
      <c r="Q1330" s="87"/>
      <c r="R1330" s="87"/>
      <c r="S1330" s="87"/>
      <c r="T1330" s="85"/>
      <c r="U1330" s="89"/>
      <c r="V1330" s="90"/>
      <c r="W1330" s="87"/>
      <c r="X1330" s="91"/>
      <c r="Y1330" s="84"/>
      <c r="Z1330" s="97"/>
    </row>
    <row r="1331" spans="1:26" s="98" customFormat="1" x14ac:dyDescent="0.35">
      <c r="A1331" s="86">
        <v>1328</v>
      </c>
      <c r="B1331" s="85"/>
      <c r="C1331" s="87"/>
      <c r="D1331" s="85"/>
      <c r="E1331" s="84"/>
      <c r="F1331" s="85"/>
      <c r="G1331" s="87"/>
      <c r="H1331" s="87"/>
      <c r="I1331" s="87"/>
      <c r="J1331" s="101"/>
      <c r="K1331" s="87"/>
      <c r="L1331" s="91"/>
      <c r="M1331" s="91"/>
      <c r="N1331" s="88">
        <f>Goods_Receipt[[#This Row],[ Invoice. /
 Received Qty ]]-Goods_Receipt[[#This Row],[ Accepted Qty ]]</f>
        <v>0</v>
      </c>
      <c r="O1331" s="87"/>
      <c r="P1331" s="87"/>
      <c r="Q1331" s="87"/>
      <c r="R1331" s="87"/>
      <c r="S1331" s="87"/>
      <c r="T1331" s="85"/>
      <c r="U1331" s="89"/>
      <c r="V1331" s="90"/>
      <c r="W1331" s="87"/>
      <c r="X1331" s="91"/>
      <c r="Y1331" s="84"/>
      <c r="Z1331" s="97"/>
    </row>
    <row r="1332" spans="1:26" s="98" customFormat="1" x14ac:dyDescent="0.35">
      <c r="A1332" s="86">
        <v>1329</v>
      </c>
      <c r="B1332" s="85"/>
      <c r="C1332" s="87"/>
      <c r="D1332" s="85"/>
      <c r="E1332" s="84"/>
      <c r="F1332" s="85"/>
      <c r="G1332" s="87"/>
      <c r="H1332" s="87"/>
      <c r="I1332" s="87"/>
      <c r="J1332" s="101"/>
      <c r="K1332" s="87"/>
      <c r="L1332" s="91"/>
      <c r="M1332" s="91"/>
      <c r="N1332" s="88">
        <f>Goods_Receipt[[#This Row],[ Invoice. /
 Received Qty ]]-Goods_Receipt[[#This Row],[ Accepted Qty ]]</f>
        <v>0</v>
      </c>
      <c r="O1332" s="87"/>
      <c r="P1332" s="87"/>
      <c r="Q1332" s="87"/>
      <c r="R1332" s="87"/>
      <c r="S1332" s="87"/>
      <c r="T1332" s="85"/>
      <c r="U1332" s="89"/>
      <c r="V1332" s="90"/>
      <c r="W1332" s="87"/>
      <c r="X1332" s="91"/>
      <c r="Y1332" s="84"/>
      <c r="Z1332" s="97"/>
    </row>
    <row r="1333" spans="1:26" s="98" customFormat="1" x14ac:dyDescent="0.35">
      <c r="A1333" s="86">
        <v>1330</v>
      </c>
      <c r="B1333" s="85"/>
      <c r="C1333" s="87"/>
      <c r="D1333" s="85"/>
      <c r="E1333" s="84"/>
      <c r="F1333" s="85"/>
      <c r="G1333" s="87"/>
      <c r="H1333" s="87"/>
      <c r="I1333" s="87"/>
      <c r="J1333" s="101"/>
      <c r="K1333" s="87"/>
      <c r="L1333" s="91"/>
      <c r="M1333" s="91"/>
      <c r="N1333" s="88">
        <f>Goods_Receipt[[#This Row],[ Invoice. /
 Received Qty ]]-Goods_Receipt[[#This Row],[ Accepted Qty ]]</f>
        <v>0</v>
      </c>
      <c r="O1333" s="87"/>
      <c r="P1333" s="87"/>
      <c r="Q1333" s="87"/>
      <c r="R1333" s="87"/>
      <c r="S1333" s="87"/>
      <c r="T1333" s="85"/>
      <c r="U1333" s="89"/>
      <c r="V1333" s="90"/>
      <c r="W1333" s="87"/>
      <c r="X1333" s="91"/>
      <c r="Y1333" s="84"/>
      <c r="Z1333" s="97"/>
    </row>
    <row r="1334" spans="1:26" s="98" customFormat="1" x14ac:dyDescent="0.35">
      <c r="A1334" s="86">
        <v>1331</v>
      </c>
      <c r="B1334" s="85"/>
      <c r="C1334" s="87"/>
      <c r="D1334" s="85"/>
      <c r="E1334" s="84"/>
      <c r="F1334" s="85"/>
      <c r="G1334" s="87"/>
      <c r="H1334" s="87"/>
      <c r="I1334" s="87"/>
      <c r="J1334" s="101"/>
      <c r="K1334" s="87"/>
      <c r="L1334" s="91"/>
      <c r="M1334" s="91"/>
      <c r="N1334" s="88">
        <f>Goods_Receipt[[#This Row],[ Invoice. /
 Received Qty ]]-Goods_Receipt[[#This Row],[ Accepted Qty ]]</f>
        <v>0</v>
      </c>
      <c r="O1334" s="87"/>
      <c r="P1334" s="87"/>
      <c r="Q1334" s="87"/>
      <c r="R1334" s="87"/>
      <c r="S1334" s="87"/>
      <c r="T1334" s="85"/>
      <c r="U1334" s="89"/>
      <c r="V1334" s="90"/>
      <c r="W1334" s="87"/>
      <c r="X1334" s="91"/>
      <c r="Y1334" s="84"/>
      <c r="Z1334" s="97"/>
    </row>
    <row r="1335" spans="1:26" s="98" customFormat="1" x14ac:dyDescent="0.35">
      <c r="A1335" s="86">
        <v>1332</v>
      </c>
      <c r="B1335" s="85"/>
      <c r="C1335" s="87"/>
      <c r="D1335" s="85"/>
      <c r="E1335" s="84"/>
      <c r="F1335" s="85"/>
      <c r="G1335" s="87"/>
      <c r="H1335" s="87"/>
      <c r="I1335" s="87"/>
      <c r="J1335" s="101"/>
      <c r="K1335" s="87"/>
      <c r="L1335" s="91"/>
      <c r="M1335" s="91"/>
      <c r="N1335" s="88">
        <f>Goods_Receipt[[#This Row],[ Invoice. /
 Received Qty ]]-Goods_Receipt[[#This Row],[ Accepted Qty ]]</f>
        <v>0</v>
      </c>
      <c r="O1335" s="87"/>
      <c r="P1335" s="87"/>
      <c r="Q1335" s="87"/>
      <c r="R1335" s="87"/>
      <c r="S1335" s="87"/>
      <c r="T1335" s="85"/>
      <c r="U1335" s="89"/>
      <c r="V1335" s="90"/>
      <c r="W1335" s="87"/>
      <c r="X1335" s="91"/>
      <c r="Y1335" s="84"/>
      <c r="Z1335" s="97"/>
    </row>
    <row r="1336" spans="1:26" s="98" customFormat="1" x14ac:dyDescent="0.35">
      <c r="A1336" s="86">
        <v>1333</v>
      </c>
      <c r="B1336" s="85"/>
      <c r="C1336" s="87"/>
      <c r="D1336" s="85"/>
      <c r="E1336" s="84"/>
      <c r="F1336" s="85"/>
      <c r="G1336" s="87"/>
      <c r="H1336" s="87"/>
      <c r="I1336" s="87"/>
      <c r="J1336" s="101"/>
      <c r="K1336" s="87"/>
      <c r="L1336" s="91"/>
      <c r="M1336" s="91"/>
      <c r="N1336" s="88">
        <f>Goods_Receipt[[#This Row],[ Invoice. /
 Received Qty ]]-Goods_Receipt[[#This Row],[ Accepted Qty ]]</f>
        <v>0</v>
      </c>
      <c r="O1336" s="87"/>
      <c r="P1336" s="87"/>
      <c r="Q1336" s="87"/>
      <c r="R1336" s="87"/>
      <c r="S1336" s="87"/>
      <c r="T1336" s="85"/>
      <c r="U1336" s="89"/>
      <c r="V1336" s="90"/>
      <c r="W1336" s="87"/>
      <c r="X1336" s="91"/>
      <c r="Y1336" s="84"/>
      <c r="Z1336" s="97"/>
    </row>
    <row r="1337" spans="1:26" s="98" customFormat="1" x14ac:dyDescent="0.35">
      <c r="A1337" s="86">
        <v>1334</v>
      </c>
      <c r="B1337" s="85"/>
      <c r="C1337" s="87"/>
      <c r="D1337" s="85"/>
      <c r="E1337" s="84"/>
      <c r="F1337" s="85"/>
      <c r="G1337" s="87"/>
      <c r="H1337" s="87"/>
      <c r="I1337" s="87"/>
      <c r="J1337" s="101"/>
      <c r="K1337" s="87"/>
      <c r="L1337" s="91"/>
      <c r="M1337" s="91"/>
      <c r="N1337" s="88">
        <f>Goods_Receipt[[#This Row],[ Invoice. /
 Received Qty ]]-Goods_Receipt[[#This Row],[ Accepted Qty ]]</f>
        <v>0</v>
      </c>
      <c r="O1337" s="87"/>
      <c r="P1337" s="87"/>
      <c r="Q1337" s="87"/>
      <c r="R1337" s="87"/>
      <c r="S1337" s="87"/>
      <c r="T1337" s="85"/>
      <c r="U1337" s="89"/>
      <c r="V1337" s="90"/>
      <c r="W1337" s="87"/>
      <c r="X1337" s="91"/>
      <c r="Y1337" s="84"/>
      <c r="Z1337" s="97"/>
    </row>
    <row r="1338" spans="1:26" s="98" customFormat="1" x14ac:dyDescent="0.35">
      <c r="A1338" s="86">
        <v>1335</v>
      </c>
      <c r="B1338" s="85"/>
      <c r="C1338" s="87"/>
      <c r="D1338" s="85"/>
      <c r="E1338" s="84"/>
      <c r="F1338" s="85"/>
      <c r="G1338" s="87"/>
      <c r="H1338" s="87"/>
      <c r="I1338" s="87"/>
      <c r="J1338" s="101"/>
      <c r="K1338" s="87"/>
      <c r="L1338" s="91"/>
      <c r="M1338" s="91"/>
      <c r="N1338" s="88">
        <f>Goods_Receipt[[#This Row],[ Invoice. /
 Received Qty ]]-Goods_Receipt[[#This Row],[ Accepted Qty ]]</f>
        <v>0</v>
      </c>
      <c r="O1338" s="87"/>
      <c r="P1338" s="87"/>
      <c r="Q1338" s="87"/>
      <c r="R1338" s="87"/>
      <c r="S1338" s="87"/>
      <c r="T1338" s="85"/>
      <c r="U1338" s="89"/>
      <c r="V1338" s="90"/>
      <c r="W1338" s="87"/>
      <c r="X1338" s="91"/>
      <c r="Y1338" s="84"/>
      <c r="Z1338" s="97"/>
    </row>
    <row r="1339" spans="1:26" s="98" customFormat="1" x14ac:dyDescent="0.35">
      <c r="A1339" s="86">
        <v>1336</v>
      </c>
      <c r="B1339" s="85"/>
      <c r="C1339" s="87"/>
      <c r="D1339" s="85"/>
      <c r="E1339" s="84"/>
      <c r="F1339" s="85"/>
      <c r="G1339" s="87"/>
      <c r="H1339" s="87"/>
      <c r="I1339" s="87"/>
      <c r="J1339" s="101"/>
      <c r="K1339" s="87"/>
      <c r="L1339" s="91"/>
      <c r="M1339" s="91"/>
      <c r="N1339" s="88">
        <f>Goods_Receipt[[#This Row],[ Invoice. /
 Received Qty ]]-Goods_Receipt[[#This Row],[ Accepted Qty ]]</f>
        <v>0</v>
      </c>
      <c r="O1339" s="87"/>
      <c r="P1339" s="87"/>
      <c r="Q1339" s="87"/>
      <c r="R1339" s="87"/>
      <c r="S1339" s="87"/>
      <c r="T1339" s="85"/>
      <c r="U1339" s="89"/>
      <c r="V1339" s="90"/>
      <c r="W1339" s="87"/>
      <c r="X1339" s="91"/>
      <c r="Y1339" s="84"/>
      <c r="Z1339" s="97"/>
    </row>
    <row r="1340" spans="1:26" s="98" customFormat="1" x14ac:dyDescent="0.35">
      <c r="A1340" s="86">
        <v>1337</v>
      </c>
      <c r="B1340" s="85"/>
      <c r="C1340" s="87"/>
      <c r="D1340" s="85"/>
      <c r="E1340" s="84"/>
      <c r="F1340" s="85"/>
      <c r="G1340" s="87"/>
      <c r="H1340" s="87"/>
      <c r="I1340" s="87"/>
      <c r="J1340" s="101"/>
      <c r="K1340" s="87"/>
      <c r="L1340" s="91"/>
      <c r="M1340" s="91"/>
      <c r="N1340" s="88">
        <f>Goods_Receipt[[#This Row],[ Invoice. /
 Received Qty ]]-Goods_Receipt[[#This Row],[ Accepted Qty ]]</f>
        <v>0</v>
      </c>
      <c r="O1340" s="87"/>
      <c r="P1340" s="87"/>
      <c r="Q1340" s="87"/>
      <c r="R1340" s="87"/>
      <c r="S1340" s="87"/>
      <c r="T1340" s="85"/>
      <c r="U1340" s="89"/>
      <c r="V1340" s="90"/>
      <c r="W1340" s="87"/>
      <c r="X1340" s="91"/>
      <c r="Y1340" s="84"/>
      <c r="Z1340" s="97"/>
    </row>
    <row r="1341" spans="1:26" s="98" customFormat="1" x14ac:dyDescent="0.35">
      <c r="A1341" s="86">
        <v>1338</v>
      </c>
      <c r="B1341" s="85"/>
      <c r="C1341" s="87"/>
      <c r="D1341" s="85"/>
      <c r="E1341" s="84"/>
      <c r="F1341" s="85"/>
      <c r="G1341" s="87"/>
      <c r="H1341" s="87"/>
      <c r="I1341" s="87"/>
      <c r="J1341" s="101"/>
      <c r="K1341" s="87"/>
      <c r="L1341" s="91"/>
      <c r="M1341" s="91"/>
      <c r="N1341" s="88">
        <f>Goods_Receipt[[#This Row],[ Invoice. /
 Received Qty ]]-Goods_Receipt[[#This Row],[ Accepted Qty ]]</f>
        <v>0</v>
      </c>
      <c r="O1341" s="87"/>
      <c r="P1341" s="87"/>
      <c r="Q1341" s="87"/>
      <c r="R1341" s="87"/>
      <c r="S1341" s="87"/>
      <c r="T1341" s="85"/>
      <c r="U1341" s="89"/>
      <c r="V1341" s="90"/>
      <c r="W1341" s="87"/>
      <c r="X1341" s="91"/>
      <c r="Y1341" s="84"/>
      <c r="Z1341" s="97"/>
    </row>
    <row r="1342" spans="1:26" s="98" customFormat="1" x14ac:dyDescent="0.35">
      <c r="A1342" s="86">
        <v>1339</v>
      </c>
      <c r="B1342" s="85"/>
      <c r="C1342" s="87"/>
      <c r="D1342" s="85"/>
      <c r="E1342" s="84"/>
      <c r="F1342" s="85"/>
      <c r="G1342" s="87"/>
      <c r="H1342" s="87"/>
      <c r="I1342" s="87"/>
      <c r="J1342" s="101"/>
      <c r="K1342" s="87"/>
      <c r="L1342" s="91"/>
      <c r="M1342" s="91"/>
      <c r="N1342" s="88">
        <f>Goods_Receipt[[#This Row],[ Invoice. /
 Received Qty ]]-Goods_Receipt[[#This Row],[ Accepted Qty ]]</f>
        <v>0</v>
      </c>
      <c r="O1342" s="87"/>
      <c r="P1342" s="87"/>
      <c r="Q1342" s="87"/>
      <c r="R1342" s="87"/>
      <c r="S1342" s="87"/>
      <c r="T1342" s="85"/>
      <c r="U1342" s="89"/>
      <c r="V1342" s="90"/>
      <c r="W1342" s="87"/>
      <c r="X1342" s="91"/>
      <c r="Y1342" s="84"/>
      <c r="Z1342" s="97"/>
    </row>
    <row r="1343" spans="1:26" s="98" customFormat="1" x14ac:dyDescent="0.35">
      <c r="A1343" s="86">
        <v>1340</v>
      </c>
      <c r="B1343" s="85"/>
      <c r="C1343" s="87"/>
      <c r="D1343" s="85"/>
      <c r="E1343" s="84"/>
      <c r="F1343" s="85"/>
      <c r="G1343" s="87"/>
      <c r="H1343" s="87"/>
      <c r="I1343" s="87"/>
      <c r="J1343" s="101"/>
      <c r="K1343" s="87"/>
      <c r="L1343" s="91"/>
      <c r="M1343" s="91"/>
      <c r="N1343" s="88">
        <f>Goods_Receipt[[#This Row],[ Invoice. /
 Received Qty ]]-Goods_Receipt[[#This Row],[ Accepted Qty ]]</f>
        <v>0</v>
      </c>
      <c r="O1343" s="87"/>
      <c r="P1343" s="87"/>
      <c r="Q1343" s="87"/>
      <c r="R1343" s="87"/>
      <c r="S1343" s="87"/>
      <c r="T1343" s="85"/>
      <c r="U1343" s="89"/>
      <c r="V1343" s="90"/>
      <c r="W1343" s="87"/>
      <c r="X1343" s="91"/>
      <c r="Y1343" s="84"/>
      <c r="Z1343" s="97"/>
    </row>
    <row r="1344" spans="1:26" s="98" customFormat="1" x14ac:dyDescent="0.35">
      <c r="A1344" s="86">
        <v>1341</v>
      </c>
      <c r="B1344" s="85"/>
      <c r="C1344" s="87"/>
      <c r="D1344" s="85"/>
      <c r="E1344" s="84"/>
      <c r="F1344" s="85"/>
      <c r="G1344" s="87"/>
      <c r="H1344" s="87"/>
      <c r="I1344" s="87"/>
      <c r="J1344" s="101"/>
      <c r="K1344" s="87"/>
      <c r="L1344" s="91"/>
      <c r="M1344" s="91"/>
      <c r="N1344" s="88">
        <f>Goods_Receipt[[#This Row],[ Invoice. /
 Received Qty ]]-Goods_Receipt[[#This Row],[ Accepted Qty ]]</f>
        <v>0</v>
      </c>
      <c r="O1344" s="87"/>
      <c r="P1344" s="87"/>
      <c r="Q1344" s="87"/>
      <c r="R1344" s="87"/>
      <c r="S1344" s="87"/>
      <c r="T1344" s="85"/>
      <c r="U1344" s="89"/>
      <c r="V1344" s="90"/>
      <c r="W1344" s="87"/>
      <c r="X1344" s="91"/>
      <c r="Y1344" s="84"/>
      <c r="Z1344" s="97"/>
    </row>
    <row r="1345" spans="1:26" s="98" customFormat="1" x14ac:dyDescent="0.35">
      <c r="A1345" s="86">
        <v>1342</v>
      </c>
      <c r="B1345" s="85"/>
      <c r="C1345" s="87"/>
      <c r="D1345" s="85"/>
      <c r="E1345" s="84"/>
      <c r="F1345" s="85"/>
      <c r="G1345" s="87"/>
      <c r="H1345" s="87"/>
      <c r="I1345" s="87"/>
      <c r="J1345" s="101"/>
      <c r="K1345" s="87"/>
      <c r="L1345" s="91"/>
      <c r="M1345" s="91"/>
      <c r="N1345" s="88">
        <f>Goods_Receipt[[#This Row],[ Invoice. /
 Received Qty ]]-Goods_Receipt[[#This Row],[ Accepted Qty ]]</f>
        <v>0</v>
      </c>
      <c r="O1345" s="87"/>
      <c r="P1345" s="87"/>
      <c r="Q1345" s="87"/>
      <c r="R1345" s="87"/>
      <c r="S1345" s="87"/>
      <c r="T1345" s="85"/>
      <c r="U1345" s="89"/>
      <c r="V1345" s="90"/>
      <c r="W1345" s="87"/>
      <c r="X1345" s="91"/>
      <c r="Y1345" s="84"/>
      <c r="Z1345" s="97"/>
    </row>
    <row r="1346" spans="1:26" s="98" customFormat="1" x14ac:dyDescent="0.35">
      <c r="A1346" s="86">
        <v>1343</v>
      </c>
      <c r="B1346" s="85"/>
      <c r="C1346" s="87"/>
      <c r="D1346" s="85"/>
      <c r="E1346" s="84"/>
      <c r="F1346" s="85"/>
      <c r="G1346" s="87"/>
      <c r="H1346" s="87"/>
      <c r="I1346" s="87"/>
      <c r="J1346" s="101"/>
      <c r="K1346" s="87"/>
      <c r="L1346" s="91"/>
      <c r="M1346" s="91"/>
      <c r="N1346" s="88">
        <f>Goods_Receipt[[#This Row],[ Invoice. /
 Received Qty ]]-Goods_Receipt[[#This Row],[ Accepted Qty ]]</f>
        <v>0</v>
      </c>
      <c r="O1346" s="87"/>
      <c r="P1346" s="87"/>
      <c r="Q1346" s="87"/>
      <c r="R1346" s="87"/>
      <c r="S1346" s="87"/>
      <c r="T1346" s="85"/>
      <c r="U1346" s="89"/>
      <c r="V1346" s="90"/>
      <c r="W1346" s="87"/>
      <c r="X1346" s="91"/>
      <c r="Y1346" s="84"/>
      <c r="Z1346" s="97"/>
    </row>
    <row r="1347" spans="1:26" s="98" customFormat="1" x14ac:dyDescent="0.35">
      <c r="A1347" s="86">
        <v>1344</v>
      </c>
      <c r="B1347" s="85"/>
      <c r="C1347" s="87"/>
      <c r="D1347" s="85"/>
      <c r="E1347" s="84"/>
      <c r="F1347" s="85"/>
      <c r="G1347" s="87"/>
      <c r="H1347" s="87"/>
      <c r="I1347" s="87"/>
      <c r="J1347" s="101"/>
      <c r="K1347" s="87"/>
      <c r="L1347" s="91"/>
      <c r="M1347" s="91"/>
      <c r="N1347" s="88">
        <f>Goods_Receipt[[#This Row],[ Invoice. /
 Received Qty ]]-Goods_Receipt[[#This Row],[ Accepted Qty ]]</f>
        <v>0</v>
      </c>
      <c r="O1347" s="87"/>
      <c r="P1347" s="87"/>
      <c r="Q1347" s="87"/>
      <c r="R1347" s="87"/>
      <c r="S1347" s="87"/>
      <c r="T1347" s="85"/>
      <c r="U1347" s="89"/>
      <c r="V1347" s="90"/>
      <c r="W1347" s="87"/>
      <c r="X1347" s="91"/>
      <c r="Y1347" s="84"/>
      <c r="Z1347" s="97"/>
    </row>
    <row r="1348" spans="1:26" s="98" customFormat="1" x14ac:dyDescent="0.35">
      <c r="A1348" s="86">
        <v>1345</v>
      </c>
      <c r="B1348" s="85"/>
      <c r="C1348" s="87"/>
      <c r="D1348" s="85"/>
      <c r="E1348" s="84"/>
      <c r="F1348" s="85"/>
      <c r="G1348" s="87"/>
      <c r="H1348" s="87"/>
      <c r="I1348" s="87"/>
      <c r="J1348" s="101"/>
      <c r="K1348" s="87"/>
      <c r="L1348" s="91"/>
      <c r="M1348" s="91"/>
      <c r="N1348" s="88">
        <f>Goods_Receipt[[#This Row],[ Invoice. /
 Received Qty ]]-Goods_Receipt[[#This Row],[ Accepted Qty ]]</f>
        <v>0</v>
      </c>
      <c r="O1348" s="87"/>
      <c r="P1348" s="87"/>
      <c r="Q1348" s="87"/>
      <c r="R1348" s="87"/>
      <c r="S1348" s="87"/>
      <c r="T1348" s="85"/>
      <c r="U1348" s="89"/>
      <c r="V1348" s="90"/>
      <c r="W1348" s="87"/>
      <c r="X1348" s="91"/>
      <c r="Y1348" s="84"/>
      <c r="Z1348" s="97"/>
    </row>
    <row r="1349" spans="1:26" s="98" customFormat="1" x14ac:dyDescent="0.35">
      <c r="A1349" s="86">
        <v>1346</v>
      </c>
      <c r="B1349" s="85"/>
      <c r="C1349" s="87"/>
      <c r="D1349" s="85"/>
      <c r="E1349" s="84"/>
      <c r="F1349" s="85"/>
      <c r="G1349" s="87"/>
      <c r="H1349" s="87"/>
      <c r="I1349" s="87"/>
      <c r="J1349" s="101"/>
      <c r="K1349" s="87"/>
      <c r="L1349" s="91"/>
      <c r="M1349" s="91"/>
      <c r="N1349" s="88">
        <f>Goods_Receipt[[#This Row],[ Invoice. /
 Received Qty ]]-Goods_Receipt[[#This Row],[ Accepted Qty ]]</f>
        <v>0</v>
      </c>
      <c r="O1349" s="87"/>
      <c r="P1349" s="87"/>
      <c r="Q1349" s="87"/>
      <c r="R1349" s="87"/>
      <c r="S1349" s="87"/>
      <c r="T1349" s="85"/>
      <c r="U1349" s="89"/>
      <c r="V1349" s="90"/>
      <c r="W1349" s="87"/>
      <c r="X1349" s="91"/>
      <c r="Y1349" s="84"/>
      <c r="Z1349" s="97"/>
    </row>
    <row r="1350" spans="1:26" s="98" customFormat="1" x14ac:dyDescent="0.35">
      <c r="A1350" s="86">
        <v>1347</v>
      </c>
      <c r="B1350" s="85"/>
      <c r="C1350" s="87"/>
      <c r="D1350" s="85"/>
      <c r="E1350" s="84"/>
      <c r="F1350" s="85"/>
      <c r="G1350" s="87"/>
      <c r="H1350" s="87"/>
      <c r="I1350" s="87"/>
      <c r="J1350" s="101"/>
      <c r="K1350" s="87"/>
      <c r="L1350" s="91"/>
      <c r="M1350" s="91"/>
      <c r="N1350" s="88">
        <f>Goods_Receipt[[#This Row],[ Invoice. /
 Received Qty ]]-Goods_Receipt[[#This Row],[ Accepted Qty ]]</f>
        <v>0</v>
      </c>
      <c r="O1350" s="87"/>
      <c r="P1350" s="87"/>
      <c r="Q1350" s="87"/>
      <c r="R1350" s="87"/>
      <c r="S1350" s="87"/>
      <c r="T1350" s="85"/>
      <c r="U1350" s="89"/>
      <c r="V1350" s="90"/>
      <c r="W1350" s="87"/>
      <c r="X1350" s="91"/>
      <c r="Y1350" s="84"/>
      <c r="Z1350" s="97"/>
    </row>
    <row r="1351" spans="1:26" s="98" customFormat="1" x14ac:dyDescent="0.35">
      <c r="A1351" s="86">
        <v>1348</v>
      </c>
      <c r="B1351" s="85"/>
      <c r="C1351" s="87"/>
      <c r="D1351" s="85"/>
      <c r="E1351" s="84"/>
      <c r="F1351" s="85"/>
      <c r="G1351" s="87"/>
      <c r="H1351" s="87"/>
      <c r="I1351" s="87"/>
      <c r="J1351" s="101"/>
      <c r="K1351" s="87"/>
      <c r="L1351" s="91"/>
      <c r="M1351" s="91"/>
      <c r="N1351" s="88">
        <f>Goods_Receipt[[#This Row],[ Invoice. /
 Received Qty ]]-Goods_Receipt[[#This Row],[ Accepted Qty ]]</f>
        <v>0</v>
      </c>
      <c r="O1351" s="87"/>
      <c r="P1351" s="87"/>
      <c r="Q1351" s="87"/>
      <c r="R1351" s="87"/>
      <c r="S1351" s="87"/>
      <c r="T1351" s="85"/>
      <c r="U1351" s="89"/>
      <c r="V1351" s="90"/>
      <c r="W1351" s="87"/>
      <c r="X1351" s="91"/>
      <c r="Y1351" s="84"/>
      <c r="Z1351" s="97"/>
    </row>
    <row r="1352" spans="1:26" s="98" customFormat="1" x14ac:dyDescent="0.35">
      <c r="A1352" s="86">
        <v>1349</v>
      </c>
      <c r="B1352" s="85"/>
      <c r="C1352" s="87"/>
      <c r="D1352" s="85"/>
      <c r="E1352" s="84"/>
      <c r="F1352" s="85"/>
      <c r="G1352" s="87"/>
      <c r="H1352" s="87"/>
      <c r="I1352" s="87"/>
      <c r="J1352" s="101"/>
      <c r="K1352" s="87"/>
      <c r="L1352" s="91"/>
      <c r="M1352" s="91"/>
      <c r="N1352" s="88">
        <f>Goods_Receipt[[#This Row],[ Invoice. /
 Received Qty ]]-Goods_Receipt[[#This Row],[ Accepted Qty ]]</f>
        <v>0</v>
      </c>
      <c r="O1352" s="87"/>
      <c r="P1352" s="87"/>
      <c r="Q1352" s="87"/>
      <c r="R1352" s="87"/>
      <c r="S1352" s="87"/>
      <c r="T1352" s="85"/>
      <c r="U1352" s="89"/>
      <c r="V1352" s="90"/>
      <c r="W1352" s="87"/>
      <c r="X1352" s="91"/>
      <c r="Y1352" s="84"/>
      <c r="Z1352" s="97"/>
    </row>
    <row r="1353" spans="1:26" s="98" customFormat="1" x14ac:dyDescent="0.35">
      <c r="A1353" s="86">
        <v>1350</v>
      </c>
      <c r="B1353" s="85"/>
      <c r="C1353" s="87"/>
      <c r="D1353" s="85"/>
      <c r="E1353" s="84"/>
      <c r="F1353" s="85"/>
      <c r="G1353" s="87"/>
      <c r="H1353" s="87"/>
      <c r="I1353" s="87"/>
      <c r="J1353" s="101"/>
      <c r="K1353" s="87"/>
      <c r="L1353" s="91"/>
      <c r="M1353" s="91"/>
      <c r="N1353" s="88">
        <f>Goods_Receipt[[#This Row],[ Invoice. /
 Received Qty ]]-Goods_Receipt[[#This Row],[ Accepted Qty ]]</f>
        <v>0</v>
      </c>
      <c r="O1353" s="87"/>
      <c r="P1353" s="87"/>
      <c r="Q1353" s="87"/>
      <c r="R1353" s="87"/>
      <c r="S1353" s="87"/>
      <c r="T1353" s="85"/>
      <c r="U1353" s="89"/>
      <c r="V1353" s="90"/>
      <c r="W1353" s="87"/>
      <c r="X1353" s="91"/>
      <c r="Y1353" s="84"/>
      <c r="Z1353" s="97"/>
    </row>
    <row r="1354" spans="1:26" s="98" customFormat="1" x14ac:dyDescent="0.35">
      <c r="A1354" s="86">
        <v>1351</v>
      </c>
      <c r="B1354" s="85"/>
      <c r="C1354" s="87"/>
      <c r="D1354" s="85"/>
      <c r="E1354" s="84"/>
      <c r="F1354" s="85"/>
      <c r="G1354" s="87"/>
      <c r="H1354" s="87"/>
      <c r="I1354" s="87"/>
      <c r="J1354" s="101"/>
      <c r="K1354" s="87"/>
      <c r="L1354" s="91"/>
      <c r="M1354" s="91"/>
      <c r="N1354" s="88">
        <f>Goods_Receipt[[#This Row],[ Invoice. /
 Received Qty ]]-Goods_Receipt[[#This Row],[ Accepted Qty ]]</f>
        <v>0</v>
      </c>
      <c r="O1354" s="87"/>
      <c r="P1354" s="87"/>
      <c r="Q1354" s="87"/>
      <c r="R1354" s="87"/>
      <c r="S1354" s="87"/>
      <c r="T1354" s="85"/>
      <c r="U1354" s="89"/>
      <c r="V1354" s="90"/>
      <c r="W1354" s="87"/>
      <c r="X1354" s="91"/>
      <c r="Y1354" s="84"/>
      <c r="Z1354" s="97"/>
    </row>
    <row r="1355" spans="1:26" s="98" customFormat="1" x14ac:dyDescent="0.35">
      <c r="A1355" s="86">
        <v>1352</v>
      </c>
      <c r="B1355" s="85"/>
      <c r="C1355" s="87"/>
      <c r="D1355" s="85"/>
      <c r="E1355" s="84"/>
      <c r="F1355" s="85"/>
      <c r="G1355" s="87"/>
      <c r="H1355" s="87"/>
      <c r="I1355" s="87"/>
      <c r="J1355" s="101"/>
      <c r="K1355" s="87"/>
      <c r="L1355" s="91"/>
      <c r="M1355" s="91"/>
      <c r="N1355" s="88">
        <f>Goods_Receipt[[#This Row],[ Invoice. /
 Received Qty ]]-Goods_Receipt[[#This Row],[ Accepted Qty ]]</f>
        <v>0</v>
      </c>
      <c r="O1355" s="87"/>
      <c r="P1355" s="87"/>
      <c r="Q1355" s="87"/>
      <c r="R1355" s="87"/>
      <c r="S1355" s="87"/>
      <c r="T1355" s="85"/>
      <c r="U1355" s="89"/>
      <c r="V1355" s="90"/>
      <c r="W1355" s="87"/>
      <c r="X1355" s="91"/>
      <c r="Y1355" s="84"/>
      <c r="Z1355" s="97"/>
    </row>
    <row r="1356" spans="1:26" s="98" customFormat="1" x14ac:dyDescent="0.35">
      <c r="A1356" s="86">
        <v>1353</v>
      </c>
      <c r="B1356" s="85"/>
      <c r="C1356" s="87"/>
      <c r="D1356" s="85"/>
      <c r="E1356" s="84"/>
      <c r="F1356" s="85"/>
      <c r="G1356" s="87"/>
      <c r="H1356" s="87"/>
      <c r="I1356" s="87"/>
      <c r="J1356" s="101"/>
      <c r="K1356" s="87"/>
      <c r="L1356" s="91"/>
      <c r="M1356" s="91"/>
      <c r="N1356" s="88">
        <f>Goods_Receipt[[#This Row],[ Invoice. /
 Received Qty ]]-Goods_Receipt[[#This Row],[ Accepted Qty ]]</f>
        <v>0</v>
      </c>
      <c r="O1356" s="87"/>
      <c r="P1356" s="87"/>
      <c r="Q1356" s="87"/>
      <c r="R1356" s="87"/>
      <c r="S1356" s="87"/>
      <c r="T1356" s="85"/>
      <c r="U1356" s="89"/>
      <c r="V1356" s="90"/>
      <c r="W1356" s="87"/>
      <c r="X1356" s="91"/>
      <c r="Y1356" s="84"/>
      <c r="Z1356" s="97"/>
    </row>
    <row r="1357" spans="1:26" s="98" customFormat="1" x14ac:dyDescent="0.35">
      <c r="A1357" s="86">
        <v>1354</v>
      </c>
      <c r="B1357" s="85"/>
      <c r="C1357" s="87"/>
      <c r="D1357" s="85"/>
      <c r="E1357" s="84"/>
      <c r="F1357" s="85"/>
      <c r="G1357" s="87"/>
      <c r="H1357" s="87"/>
      <c r="I1357" s="87"/>
      <c r="J1357" s="101"/>
      <c r="K1357" s="87"/>
      <c r="L1357" s="91"/>
      <c r="M1357" s="91"/>
      <c r="N1357" s="88">
        <f>Goods_Receipt[[#This Row],[ Invoice. /
 Received Qty ]]-Goods_Receipt[[#This Row],[ Accepted Qty ]]</f>
        <v>0</v>
      </c>
      <c r="O1357" s="87"/>
      <c r="P1357" s="87"/>
      <c r="Q1357" s="87"/>
      <c r="R1357" s="87"/>
      <c r="S1357" s="87"/>
      <c r="T1357" s="85"/>
      <c r="U1357" s="89"/>
      <c r="V1357" s="90"/>
      <c r="W1357" s="87"/>
      <c r="X1357" s="91"/>
      <c r="Y1357" s="84"/>
      <c r="Z1357" s="97"/>
    </row>
    <row r="1358" spans="1:26" s="98" customFormat="1" x14ac:dyDescent="0.35">
      <c r="A1358" s="86">
        <v>1355</v>
      </c>
      <c r="B1358" s="85"/>
      <c r="C1358" s="87"/>
      <c r="D1358" s="85"/>
      <c r="E1358" s="84"/>
      <c r="F1358" s="85"/>
      <c r="G1358" s="87"/>
      <c r="H1358" s="87"/>
      <c r="I1358" s="87"/>
      <c r="J1358" s="101"/>
      <c r="K1358" s="87"/>
      <c r="L1358" s="91"/>
      <c r="M1358" s="91"/>
      <c r="N1358" s="88">
        <f>Goods_Receipt[[#This Row],[ Invoice. /
 Received Qty ]]-Goods_Receipt[[#This Row],[ Accepted Qty ]]</f>
        <v>0</v>
      </c>
      <c r="O1358" s="87"/>
      <c r="P1358" s="87"/>
      <c r="Q1358" s="87"/>
      <c r="R1358" s="87"/>
      <c r="S1358" s="87"/>
      <c r="T1358" s="85"/>
      <c r="U1358" s="89"/>
      <c r="V1358" s="90"/>
      <c r="W1358" s="87"/>
      <c r="X1358" s="91"/>
      <c r="Y1358" s="84"/>
      <c r="Z1358" s="97"/>
    </row>
    <row r="1359" spans="1:26" s="98" customFormat="1" x14ac:dyDescent="0.35">
      <c r="A1359" s="86">
        <v>1356</v>
      </c>
      <c r="B1359" s="85"/>
      <c r="C1359" s="87"/>
      <c r="D1359" s="85"/>
      <c r="E1359" s="84"/>
      <c r="F1359" s="85"/>
      <c r="G1359" s="87"/>
      <c r="H1359" s="87"/>
      <c r="I1359" s="87"/>
      <c r="J1359" s="101"/>
      <c r="K1359" s="87"/>
      <c r="L1359" s="91"/>
      <c r="M1359" s="91"/>
      <c r="N1359" s="88">
        <f>Goods_Receipt[[#This Row],[ Invoice. /
 Received Qty ]]-Goods_Receipt[[#This Row],[ Accepted Qty ]]</f>
        <v>0</v>
      </c>
      <c r="O1359" s="87"/>
      <c r="P1359" s="87"/>
      <c r="Q1359" s="87"/>
      <c r="R1359" s="87"/>
      <c r="S1359" s="87"/>
      <c r="T1359" s="85"/>
      <c r="U1359" s="89"/>
      <c r="V1359" s="90"/>
      <c r="W1359" s="87"/>
      <c r="X1359" s="91"/>
      <c r="Y1359" s="84"/>
      <c r="Z1359" s="97"/>
    </row>
    <row r="1360" spans="1:26" s="98" customFormat="1" x14ac:dyDescent="0.35">
      <c r="A1360" s="86">
        <v>1357</v>
      </c>
      <c r="B1360" s="85"/>
      <c r="C1360" s="87"/>
      <c r="D1360" s="85"/>
      <c r="E1360" s="84"/>
      <c r="F1360" s="85"/>
      <c r="G1360" s="87"/>
      <c r="H1360" s="87"/>
      <c r="I1360" s="87"/>
      <c r="J1360" s="101"/>
      <c r="K1360" s="87"/>
      <c r="L1360" s="91"/>
      <c r="M1360" s="91"/>
      <c r="N1360" s="88">
        <f>Goods_Receipt[[#This Row],[ Invoice. /
 Received Qty ]]-Goods_Receipt[[#This Row],[ Accepted Qty ]]</f>
        <v>0</v>
      </c>
      <c r="O1360" s="87"/>
      <c r="P1360" s="87"/>
      <c r="Q1360" s="87"/>
      <c r="R1360" s="87"/>
      <c r="S1360" s="87"/>
      <c r="T1360" s="85"/>
      <c r="U1360" s="89"/>
      <c r="V1360" s="90"/>
      <c r="W1360" s="87"/>
      <c r="X1360" s="91"/>
      <c r="Y1360" s="84"/>
      <c r="Z1360" s="97"/>
    </row>
    <row r="1361" spans="1:26" s="98" customFormat="1" x14ac:dyDescent="0.35">
      <c r="A1361" s="86">
        <v>1358</v>
      </c>
      <c r="B1361" s="85"/>
      <c r="C1361" s="87"/>
      <c r="D1361" s="85"/>
      <c r="E1361" s="84"/>
      <c r="F1361" s="85"/>
      <c r="G1361" s="87"/>
      <c r="H1361" s="87"/>
      <c r="I1361" s="87"/>
      <c r="J1361" s="101"/>
      <c r="K1361" s="87"/>
      <c r="L1361" s="91"/>
      <c r="M1361" s="91"/>
      <c r="N1361" s="88">
        <f>Goods_Receipt[[#This Row],[ Invoice. /
 Received Qty ]]-Goods_Receipt[[#This Row],[ Accepted Qty ]]</f>
        <v>0</v>
      </c>
      <c r="O1361" s="87"/>
      <c r="P1361" s="87"/>
      <c r="Q1361" s="87"/>
      <c r="R1361" s="87"/>
      <c r="S1361" s="87"/>
      <c r="T1361" s="85"/>
      <c r="U1361" s="89"/>
      <c r="V1361" s="90"/>
      <c r="W1361" s="87"/>
      <c r="X1361" s="91"/>
      <c r="Y1361" s="84"/>
      <c r="Z1361" s="97"/>
    </row>
    <row r="1362" spans="1:26" s="98" customFormat="1" x14ac:dyDescent="0.35">
      <c r="A1362" s="86">
        <v>1359</v>
      </c>
      <c r="B1362" s="85"/>
      <c r="C1362" s="87"/>
      <c r="D1362" s="85"/>
      <c r="E1362" s="84"/>
      <c r="F1362" s="85"/>
      <c r="G1362" s="87"/>
      <c r="H1362" s="87"/>
      <c r="I1362" s="87"/>
      <c r="J1362" s="101"/>
      <c r="K1362" s="87"/>
      <c r="L1362" s="91"/>
      <c r="M1362" s="91"/>
      <c r="N1362" s="88">
        <f>Goods_Receipt[[#This Row],[ Invoice. /
 Received Qty ]]-Goods_Receipt[[#This Row],[ Accepted Qty ]]</f>
        <v>0</v>
      </c>
      <c r="O1362" s="87"/>
      <c r="P1362" s="87"/>
      <c r="Q1362" s="87"/>
      <c r="R1362" s="87"/>
      <c r="S1362" s="87"/>
      <c r="T1362" s="85"/>
      <c r="U1362" s="89"/>
      <c r="V1362" s="90"/>
      <c r="W1362" s="87"/>
      <c r="X1362" s="91"/>
      <c r="Y1362" s="84"/>
      <c r="Z1362" s="97"/>
    </row>
    <row r="1363" spans="1:26" s="98" customFormat="1" x14ac:dyDescent="0.35">
      <c r="A1363" s="86">
        <v>1360</v>
      </c>
      <c r="B1363" s="85"/>
      <c r="C1363" s="87"/>
      <c r="D1363" s="85"/>
      <c r="E1363" s="84"/>
      <c r="F1363" s="85"/>
      <c r="G1363" s="87"/>
      <c r="H1363" s="87"/>
      <c r="I1363" s="87"/>
      <c r="J1363" s="101"/>
      <c r="K1363" s="87"/>
      <c r="L1363" s="91"/>
      <c r="M1363" s="91"/>
      <c r="N1363" s="88">
        <f>Goods_Receipt[[#This Row],[ Invoice. /
 Received Qty ]]-Goods_Receipt[[#This Row],[ Accepted Qty ]]</f>
        <v>0</v>
      </c>
      <c r="O1363" s="87"/>
      <c r="P1363" s="87"/>
      <c r="Q1363" s="87"/>
      <c r="R1363" s="87"/>
      <c r="S1363" s="87"/>
      <c r="T1363" s="85"/>
      <c r="U1363" s="89"/>
      <c r="V1363" s="90"/>
      <c r="W1363" s="87"/>
      <c r="X1363" s="91"/>
      <c r="Y1363" s="84"/>
      <c r="Z1363" s="97"/>
    </row>
    <row r="1364" spans="1:26" s="98" customFormat="1" x14ac:dyDescent="0.35">
      <c r="A1364" s="86">
        <v>1361</v>
      </c>
      <c r="B1364" s="85"/>
      <c r="C1364" s="87"/>
      <c r="D1364" s="85"/>
      <c r="E1364" s="84"/>
      <c r="F1364" s="85"/>
      <c r="G1364" s="87"/>
      <c r="H1364" s="87"/>
      <c r="I1364" s="87"/>
      <c r="J1364" s="101"/>
      <c r="K1364" s="87"/>
      <c r="L1364" s="91"/>
      <c r="M1364" s="91"/>
      <c r="N1364" s="88">
        <f>Goods_Receipt[[#This Row],[ Invoice. /
 Received Qty ]]-Goods_Receipt[[#This Row],[ Accepted Qty ]]</f>
        <v>0</v>
      </c>
      <c r="O1364" s="87"/>
      <c r="P1364" s="87"/>
      <c r="Q1364" s="87"/>
      <c r="R1364" s="87"/>
      <c r="S1364" s="87"/>
      <c r="T1364" s="85"/>
      <c r="U1364" s="89"/>
      <c r="V1364" s="90"/>
      <c r="W1364" s="87"/>
      <c r="X1364" s="91"/>
      <c r="Y1364" s="84"/>
      <c r="Z1364" s="97"/>
    </row>
    <row r="1365" spans="1:26" s="98" customFormat="1" x14ac:dyDescent="0.35">
      <c r="A1365" s="86">
        <v>1362</v>
      </c>
      <c r="B1365" s="85"/>
      <c r="C1365" s="87"/>
      <c r="D1365" s="85"/>
      <c r="E1365" s="84"/>
      <c r="F1365" s="85"/>
      <c r="G1365" s="87"/>
      <c r="H1365" s="87"/>
      <c r="I1365" s="87"/>
      <c r="J1365" s="101"/>
      <c r="K1365" s="87"/>
      <c r="L1365" s="91"/>
      <c r="M1365" s="91"/>
      <c r="N1365" s="88">
        <f>Goods_Receipt[[#This Row],[ Invoice. /
 Received Qty ]]-Goods_Receipt[[#This Row],[ Accepted Qty ]]</f>
        <v>0</v>
      </c>
      <c r="O1365" s="87"/>
      <c r="P1365" s="87"/>
      <c r="Q1365" s="87"/>
      <c r="R1365" s="87"/>
      <c r="S1365" s="87"/>
      <c r="T1365" s="85"/>
      <c r="U1365" s="89"/>
      <c r="V1365" s="90"/>
      <c r="W1365" s="87"/>
      <c r="X1365" s="91"/>
      <c r="Y1365" s="84"/>
      <c r="Z1365" s="97"/>
    </row>
    <row r="1366" spans="1:26" s="98" customFormat="1" x14ac:dyDescent="0.35">
      <c r="A1366" s="86">
        <v>1363</v>
      </c>
      <c r="B1366" s="85"/>
      <c r="C1366" s="87"/>
      <c r="D1366" s="85"/>
      <c r="E1366" s="84"/>
      <c r="F1366" s="85"/>
      <c r="G1366" s="87"/>
      <c r="H1366" s="87"/>
      <c r="I1366" s="87"/>
      <c r="J1366" s="101"/>
      <c r="K1366" s="87"/>
      <c r="L1366" s="91"/>
      <c r="M1366" s="91"/>
      <c r="N1366" s="88">
        <f>Goods_Receipt[[#This Row],[ Invoice. /
 Received Qty ]]-Goods_Receipt[[#This Row],[ Accepted Qty ]]</f>
        <v>0</v>
      </c>
      <c r="O1366" s="87"/>
      <c r="P1366" s="87"/>
      <c r="Q1366" s="87"/>
      <c r="R1366" s="87"/>
      <c r="S1366" s="87"/>
      <c r="T1366" s="85"/>
      <c r="U1366" s="89"/>
      <c r="V1366" s="90"/>
      <c r="W1366" s="87"/>
      <c r="X1366" s="91"/>
      <c r="Y1366" s="84"/>
      <c r="Z1366" s="97"/>
    </row>
    <row r="1367" spans="1:26" s="98" customFormat="1" x14ac:dyDescent="0.35">
      <c r="A1367" s="86">
        <v>1364</v>
      </c>
      <c r="B1367" s="85"/>
      <c r="C1367" s="87"/>
      <c r="D1367" s="85"/>
      <c r="E1367" s="84"/>
      <c r="F1367" s="85"/>
      <c r="G1367" s="87"/>
      <c r="H1367" s="87"/>
      <c r="I1367" s="87"/>
      <c r="J1367" s="101"/>
      <c r="K1367" s="87"/>
      <c r="L1367" s="91"/>
      <c r="M1367" s="91"/>
      <c r="N1367" s="88">
        <f>Goods_Receipt[[#This Row],[ Invoice. /
 Received Qty ]]-Goods_Receipt[[#This Row],[ Accepted Qty ]]</f>
        <v>0</v>
      </c>
      <c r="O1367" s="87"/>
      <c r="P1367" s="87"/>
      <c r="Q1367" s="87"/>
      <c r="R1367" s="87"/>
      <c r="S1367" s="87"/>
      <c r="T1367" s="85"/>
      <c r="U1367" s="89"/>
      <c r="V1367" s="90"/>
      <c r="W1367" s="87"/>
      <c r="X1367" s="91"/>
      <c r="Y1367" s="84"/>
      <c r="Z1367" s="97"/>
    </row>
    <row r="1368" spans="1:26" s="98" customFormat="1" x14ac:dyDescent="0.35">
      <c r="A1368" s="86">
        <v>1365</v>
      </c>
      <c r="B1368" s="85"/>
      <c r="C1368" s="87"/>
      <c r="D1368" s="85"/>
      <c r="E1368" s="84"/>
      <c r="F1368" s="85"/>
      <c r="G1368" s="87"/>
      <c r="H1368" s="87"/>
      <c r="I1368" s="87"/>
      <c r="J1368" s="101"/>
      <c r="K1368" s="87"/>
      <c r="L1368" s="91"/>
      <c r="M1368" s="91"/>
      <c r="N1368" s="88">
        <f>Goods_Receipt[[#This Row],[ Invoice. /
 Received Qty ]]-Goods_Receipt[[#This Row],[ Accepted Qty ]]</f>
        <v>0</v>
      </c>
      <c r="O1368" s="87"/>
      <c r="P1368" s="87"/>
      <c r="Q1368" s="87"/>
      <c r="R1368" s="87"/>
      <c r="S1368" s="87"/>
      <c r="T1368" s="85"/>
      <c r="U1368" s="89"/>
      <c r="V1368" s="90"/>
      <c r="W1368" s="87"/>
      <c r="X1368" s="91"/>
      <c r="Y1368" s="84"/>
      <c r="Z1368" s="97"/>
    </row>
    <row r="1369" spans="1:26" s="98" customFormat="1" x14ac:dyDescent="0.35">
      <c r="A1369" s="86">
        <v>1366</v>
      </c>
      <c r="B1369" s="85"/>
      <c r="C1369" s="87"/>
      <c r="D1369" s="85"/>
      <c r="E1369" s="84"/>
      <c r="F1369" s="85"/>
      <c r="G1369" s="87"/>
      <c r="H1369" s="87"/>
      <c r="I1369" s="87"/>
      <c r="J1369" s="101"/>
      <c r="K1369" s="87"/>
      <c r="L1369" s="91"/>
      <c r="M1369" s="91"/>
      <c r="N1369" s="88">
        <f>Goods_Receipt[[#This Row],[ Invoice. /
 Received Qty ]]-Goods_Receipt[[#This Row],[ Accepted Qty ]]</f>
        <v>0</v>
      </c>
      <c r="O1369" s="87"/>
      <c r="P1369" s="87"/>
      <c r="Q1369" s="87"/>
      <c r="R1369" s="87"/>
      <c r="S1369" s="87"/>
      <c r="T1369" s="85"/>
      <c r="U1369" s="89"/>
      <c r="V1369" s="90"/>
      <c r="W1369" s="87"/>
      <c r="X1369" s="91"/>
      <c r="Y1369" s="84"/>
      <c r="Z1369" s="97"/>
    </row>
    <row r="1370" spans="1:26" s="98" customFormat="1" x14ac:dyDescent="0.35">
      <c r="A1370" s="86">
        <v>1367</v>
      </c>
      <c r="B1370" s="85"/>
      <c r="C1370" s="87"/>
      <c r="D1370" s="85"/>
      <c r="E1370" s="84"/>
      <c r="F1370" s="85"/>
      <c r="G1370" s="87"/>
      <c r="H1370" s="87"/>
      <c r="I1370" s="87"/>
      <c r="J1370" s="101"/>
      <c r="K1370" s="87"/>
      <c r="L1370" s="91"/>
      <c r="M1370" s="91"/>
      <c r="N1370" s="88">
        <f>Goods_Receipt[[#This Row],[ Invoice. /
 Received Qty ]]-Goods_Receipt[[#This Row],[ Accepted Qty ]]</f>
        <v>0</v>
      </c>
      <c r="O1370" s="87"/>
      <c r="P1370" s="87"/>
      <c r="Q1370" s="87"/>
      <c r="R1370" s="87"/>
      <c r="S1370" s="87"/>
      <c r="T1370" s="85"/>
      <c r="U1370" s="89"/>
      <c r="V1370" s="90"/>
      <c r="W1370" s="87"/>
      <c r="X1370" s="91"/>
      <c r="Y1370" s="84"/>
      <c r="Z1370" s="97"/>
    </row>
    <row r="1371" spans="1:26" s="98" customFormat="1" x14ac:dyDescent="0.35">
      <c r="A1371" s="86">
        <v>1368</v>
      </c>
      <c r="B1371" s="85"/>
      <c r="C1371" s="87"/>
      <c r="D1371" s="85"/>
      <c r="E1371" s="84"/>
      <c r="F1371" s="85"/>
      <c r="G1371" s="87"/>
      <c r="H1371" s="87"/>
      <c r="I1371" s="87"/>
      <c r="J1371" s="101"/>
      <c r="K1371" s="87"/>
      <c r="L1371" s="91"/>
      <c r="M1371" s="91"/>
      <c r="N1371" s="88">
        <f>Goods_Receipt[[#This Row],[ Invoice. /
 Received Qty ]]-Goods_Receipt[[#This Row],[ Accepted Qty ]]</f>
        <v>0</v>
      </c>
      <c r="O1371" s="87"/>
      <c r="P1371" s="87"/>
      <c r="Q1371" s="87"/>
      <c r="R1371" s="87"/>
      <c r="S1371" s="87"/>
      <c r="T1371" s="85"/>
      <c r="U1371" s="89"/>
      <c r="V1371" s="90"/>
      <c r="W1371" s="87"/>
      <c r="X1371" s="91"/>
      <c r="Y1371" s="84"/>
      <c r="Z1371" s="97"/>
    </row>
    <row r="1372" spans="1:26" s="98" customFormat="1" x14ac:dyDescent="0.35">
      <c r="A1372" s="86">
        <v>1369</v>
      </c>
      <c r="B1372" s="85"/>
      <c r="C1372" s="87"/>
      <c r="D1372" s="85"/>
      <c r="E1372" s="84"/>
      <c r="F1372" s="85"/>
      <c r="G1372" s="87"/>
      <c r="H1372" s="87"/>
      <c r="I1372" s="87"/>
      <c r="J1372" s="101"/>
      <c r="K1372" s="87"/>
      <c r="L1372" s="91"/>
      <c r="M1372" s="91"/>
      <c r="N1372" s="88">
        <f>Goods_Receipt[[#This Row],[ Invoice. /
 Received Qty ]]-Goods_Receipt[[#This Row],[ Accepted Qty ]]</f>
        <v>0</v>
      </c>
      <c r="O1372" s="87"/>
      <c r="P1372" s="87"/>
      <c r="Q1372" s="87"/>
      <c r="R1372" s="87"/>
      <c r="S1372" s="87"/>
      <c r="T1372" s="85"/>
      <c r="U1372" s="89"/>
      <c r="V1372" s="90"/>
      <c r="W1372" s="87"/>
      <c r="X1372" s="91"/>
      <c r="Y1372" s="84"/>
      <c r="Z1372" s="97"/>
    </row>
    <row r="1373" spans="1:26" s="98" customFormat="1" x14ac:dyDescent="0.35">
      <c r="A1373" s="86">
        <v>1370</v>
      </c>
      <c r="B1373" s="85"/>
      <c r="C1373" s="87"/>
      <c r="D1373" s="85"/>
      <c r="E1373" s="84"/>
      <c r="F1373" s="85"/>
      <c r="G1373" s="87"/>
      <c r="H1373" s="87"/>
      <c r="I1373" s="87"/>
      <c r="J1373" s="101"/>
      <c r="K1373" s="87"/>
      <c r="L1373" s="91"/>
      <c r="M1373" s="91"/>
      <c r="N1373" s="88">
        <f>Goods_Receipt[[#This Row],[ Invoice. /
 Received Qty ]]-Goods_Receipt[[#This Row],[ Accepted Qty ]]</f>
        <v>0</v>
      </c>
      <c r="O1373" s="87"/>
      <c r="P1373" s="87"/>
      <c r="Q1373" s="87"/>
      <c r="R1373" s="87"/>
      <c r="S1373" s="87"/>
      <c r="T1373" s="85"/>
      <c r="U1373" s="89"/>
      <c r="V1373" s="90"/>
      <c r="W1373" s="87"/>
      <c r="X1373" s="91"/>
      <c r="Y1373" s="84"/>
      <c r="Z1373" s="97"/>
    </row>
    <row r="1374" spans="1:26" s="98" customFormat="1" x14ac:dyDescent="0.35">
      <c r="A1374" s="86">
        <v>1371</v>
      </c>
      <c r="B1374" s="85"/>
      <c r="C1374" s="87"/>
      <c r="D1374" s="85"/>
      <c r="E1374" s="84"/>
      <c r="F1374" s="85"/>
      <c r="G1374" s="87"/>
      <c r="H1374" s="87"/>
      <c r="I1374" s="87"/>
      <c r="J1374" s="101"/>
      <c r="K1374" s="87"/>
      <c r="L1374" s="91"/>
      <c r="M1374" s="91"/>
      <c r="N1374" s="88">
        <f>Goods_Receipt[[#This Row],[ Invoice. /
 Received Qty ]]-Goods_Receipt[[#This Row],[ Accepted Qty ]]</f>
        <v>0</v>
      </c>
      <c r="O1374" s="87"/>
      <c r="P1374" s="87"/>
      <c r="Q1374" s="87"/>
      <c r="R1374" s="87"/>
      <c r="S1374" s="87"/>
      <c r="T1374" s="85"/>
      <c r="U1374" s="89"/>
      <c r="V1374" s="90"/>
      <c r="W1374" s="87"/>
      <c r="X1374" s="91"/>
      <c r="Y1374" s="84"/>
      <c r="Z1374" s="97"/>
    </row>
    <row r="1375" spans="1:26" s="98" customFormat="1" x14ac:dyDescent="0.35">
      <c r="A1375" s="86">
        <v>1372</v>
      </c>
      <c r="B1375" s="85"/>
      <c r="C1375" s="87"/>
      <c r="D1375" s="85"/>
      <c r="E1375" s="84"/>
      <c r="F1375" s="85"/>
      <c r="G1375" s="87"/>
      <c r="H1375" s="87"/>
      <c r="I1375" s="87"/>
      <c r="J1375" s="101"/>
      <c r="K1375" s="87"/>
      <c r="L1375" s="91"/>
      <c r="M1375" s="91"/>
      <c r="N1375" s="88">
        <f>Goods_Receipt[[#This Row],[ Invoice. /
 Received Qty ]]-Goods_Receipt[[#This Row],[ Accepted Qty ]]</f>
        <v>0</v>
      </c>
      <c r="O1375" s="87"/>
      <c r="P1375" s="87"/>
      <c r="Q1375" s="87"/>
      <c r="R1375" s="87"/>
      <c r="S1375" s="87"/>
      <c r="T1375" s="85"/>
      <c r="U1375" s="89"/>
      <c r="V1375" s="90"/>
      <c r="W1375" s="87"/>
      <c r="X1375" s="91"/>
      <c r="Y1375" s="84"/>
      <c r="Z1375" s="97"/>
    </row>
    <row r="1376" spans="1:26" s="98" customFormat="1" x14ac:dyDescent="0.35">
      <c r="A1376" s="86">
        <v>1373</v>
      </c>
      <c r="B1376" s="85"/>
      <c r="C1376" s="87"/>
      <c r="D1376" s="85"/>
      <c r="E1376" s="84"/>
      <c r="F1376" s="85"/>
      <c r="G1376" s="87"/>
      <c r="H1376" s="87"/>
      <c r="I1376" s="87"/>
      <c r="J1376" s="101"/>
      <c r="K1376" s="87"/>
      <c r="L1376" s="91"/>
      <c r="M1376" s="91"/>
      <c r="N1376" s="88">
        <f>Goods_Receipt[[#This Row],[ Invoice. /
 Received Qty ]]-Goods_Receipt[[#This Row],[ Accepted Qty ]]</f>
        <v>0</v>
      </c>
      <c r="O1376" s="87"/>
      <c r="P1376" s="87"/>
      <c r="Q1376" s="87"/>
      <c r="R1376" s="87"/>
      <c r="S1376" s="87"/>
      <c r="T1376" s="85"/>
      <c r="U1376" s="89"/>
      <c r="V1376" s="90"/>
      <c r="W1376" s="87"/>
      <c r="X1376" s="91"/>
      <c r="Y1376" s="84"/>
      <c r="Z1376" s="97"/>
    </row>
    <row r="1377" spans="1:26" s="98" customFormat="1" x14ac:dyDescent="0.35">
      <c r="A1377" s="86">
        <v>1374</v>
      </c>
      <c r="B1377" s="85"/>
      <c r="C1377" s="87"/>
      <c r="D1377" s="85"/>
      <c r="E1377" s="84"/>
      <c r="F1377" s="85"/>
      <c r="G1377" s="87"/>
      <c r="H1377" s="87"/>
      <c r="I1377" s="87"/>
      <c r="J1377" s="101"/>
      <c r="K1377" s="87"/>
      <c r="L1377" s="91"/>
      <c r="M1377" s="91"/>
      <c r="N1377" s="88">
        <f>Goods_Receipt[[#This Row],[ Invoice. /
 Received Qty ]]-Goods_Receipt[[#This Row],[ Accepted Qty ]]</f>
        <v>0</v>
      </c>
      <c r="O1377" s="87"/>
      <c r="P1377" s="87"/>
      <c r="Q1377" s="87"/>
      <c r="R1377" s="87"/>
      <c r="S1377" s="87"/>
      <c r="T1377" s="85"/>
      <c r="U1377" s="89"/>
      <c r="V1377" s="90"/>
      <c r="W1377" s="87"/>
      <c r="X1377" s="91"/>
      <c r="Y1377" s="84"/>
      <c r="Z1377" s="97"/>
    </row>
    <row r="1378" spans="1:26" s="98" customFormat="1" x14ac:dyDescent="0.35">
      <c r="A1378" s="86">
        <v>1375</v>
      </c>
      <c r="B1378" s="85"/>
      <c r="C1378" s="87"/>
      <c r="D1378" s="85"/>
      <c r="E1378" s="84"/>
      <c r="F1378" s="85"/>
      <c r="G1378" s="87"/>
      <c r="H1378" s="87"/>
      <c r="I1378" s="87"/>
      <c r="J1378" s="101"/>
      <c r="K1378" s="87"/>
      <c r="L1378" s="91"/>
      <c r="M1378" s="91"/>
      <c r="N1378" s="88">
        <f>Goods_Receipt[[#This Row],[ Invoice. /
 Received Qty ]]-Goods_Receipt[[#This Row],[ Accepted Qty ]]</f>
        <v>0</v>
      </c>
      <c r="O1378" s="87"/>
      <c r="P1378" s="87"/>
      <c r="Q1378" s="87"/>
      <c r="R1378" s="87"/>
      <c r="S1378" s="87"/>
      <c r="T1378" s="85"/>
      <c r="U1378" s="89"/>
      <c r="V1378" s="90"/>
      <c r="W1378" s="87"/>
      <c r="X1378" s="91"/>
      <c r="Y1378" s="84"/>
      <c r="Z1378" s="97"/>
    </row>
    <row r="1379" spans="1:26" s="98" customFormat="1" x14ac:dyDescent="0.35">
      <c r="A1379" s="86">
        <v>1376</v>
      </c>
      <c r="B1379" s="85"/>
      <c r="C1379" s="87"/>
      <c r="D1379" s="85"/>
      <c r="E1379" s="84"/>
      <c r="F1379" s="85"/>
      <c r="G1379" s="87"/>
      <c r="H1379" s="87"/>
      <c r="I1379" s="87"/>
      <c r="J1379" s="101"/>
      <c r="K1379" s="87"/>
      <c r="L1379" s="91"/>
      <c r="M1379" s="91"/>
      <c r="N1379" s="88">
        <f>Goods_Receipt[[#This Row],[ Invoice. /
 Received Qty ]]-Goods_Receipt[[#This Row],[ Accepted Qty ]]</f>
        <v>0</v>
      </c>
      <c r="O1379" s="87"/>
      <c r="P1379" s="87"/>
      <c r="Q1379" s="87"/>
      <c r="R1379" s="87"/>
      <c r="S1379" s="87"/>
      <c r="T1379" s="85"/>
      <c r="U1379" s="89"/>
      <c r="V1379" s="90"/>
      <c r="W1379" s="87"/>
      <c r="X1379" s="91"/>
      <c r="Y1379" s="84"/>
      <c r="Z1379" s="97"/>
    </row>
    <row r="1380" spans="1:26" s="98" customFormat="1" x14ac:dyDescent="0.35">
      <c r="A1380" s="86">
        <v>1377</v>
      </c>
      <c r="B1380" s="85"/>
      <c r="C1380" s="87"/>
      <c r="D1380" s="85"/>
      <c r="E1380" s="84"/>
      <c r="F1380" s="85"/>
      <c r="G1380" s="87"/>
      <c r="H1380" s="87"/>
      <c r="I1380" s="87"/>
      <c r="J1380" s="101"/>
      <c r="K1380" s="87"/>
      <c r="L1380" s="91"/>
      <c r="M1380" s="91"/>
      <c r="N1380" s="88">
        <f>Goods_Receipt[[#This Row],[ Invoice. /
 Received Qty ]]-Goods_Receipt[[#This Row],[ Accepted Qty ]]</f>
        <v>0</v>
      </c>
      <c r="O1380" s="87"/>
      <c r="P1380" s="87"/>
      <c r="Q1380" s="87"/>
      <c r="R1380" s="87"/>
      <c r="S1380" s="87"/>
      <c r="T1380" s="85"/>
      <c r="U1380" s="89"/>
      <c r="V1380" s="90"/>
      <c r="W1380" s="87"/>
      <c r="X1380" s="91"/>
      <c r="Y1380" s="84"/>
      <c r="Z1380" s="97"/>
    </row>
    <row r="1381" spans="1:26" s="98" customFormat="1" x14ac:dyDescent="0.35">
      <c r="A1381" s="86">
        <v>1378</v>
      </c>
      <c r="B1381" s="85"/>
      <c r="C1381" s="87"/>
      <c r="D1381" s="85"/>
      <c r="E1381" s="84"/>
      <c r="F1381" s="85"/>
      <c r="G1381" s="87"/>
      <c r="H1381" s="87"/>
      <c r="I1381" s="87"/>
      <c r="J1381" s="101"/>
      <c r="K1381" s="87"/>
      <c r="L1381" s="91"/>
      <c r="M1381" s="91"/>
      <c r="N1381" s="88">
        <f>Goods_Receipt[[#This Row],[ Invoice. /
 Received Qty ]]-Goods_Receipt[[#This Row],[ Accepted Qty ]]</f>
        <v>0</v>
      </c>
      <c r="O1381" s="87"/>
      <c r="P1381" s="87"/>
      <c r="Q1381" s="87"/>
      <c r="R1381" s="87"/>
      <c r="S1381" s="87"/>
      <c r="T1381" s="85"/>
      <c r="U1381" s="89"/>
      <c r="V1381" s="90"/>
      <c r="W1381" s="87"/>
      <c r="X1381" s="91"/>
      <c r="Y1381" s="84"/>
      <c r="Z1381" s="97"/>
    </row>
    <row r="1382" spans="1:26" s="98" customFormat="1" x14ac:dyDescent="0.35">
      <c r="A1382" s="86">
        <v>1379</v>
      </c>
      <c r="B1382" s="85"/>
      <c r="C1382" s="87"/>
      <c r="D1382" s="85"/>
      <c r="E1382" s="84"/>
      <c r="F1382" s="85"/>
      <c r="G1382" s="87"/>
      <c r="H1382" s="87"/>
      <c r="I1382" s="87"/>
      <c r="J1382" s="101"/>
      <c r="K1382" s="87"/>
      <c r="L1382" s="91"/>
      <c r="M1382" s="91"/>
      <c r="N1382" s="88">
        <f>Goods_Receipt[[#This Row],[ Invoice. /
 Received Qty ]]-Goods_Receipt[[#This Row],[ Accepted Qty ]]</f>
        <v>0</v>
      </c>
      <c r="O1382" s="87"/>
      <c r="P1382" s="87"/>
      <c r="Q1382" s="87"/>
      <c r="R1382" s="87"/>
      <c r="S1382" s="87"/>
      <c r="T1382" s="85"/>
      <c r="U1382" s="89"/>
      <c r="V1382" s="90"/>
      <c r="W1382" s="87"/>
      <c r="X1382" s="91"/>
      <c r="Y1382" s="84"/>
      <c r="Z1382" s="97"/>
    </row>
    <row r="1383" spans="1:26" s="98" customFormat="1" x14ac:dyDescent="0.35">
      <c r="A1383" s="86">
        <v>1380</v>
      </c>
      <c r="B1383" s="85"/>
      <c r="C1383" s="87"/>
      <c r="D1383" s="85"/>
      <c r="E1383" s="84"/>
      <c r="F1383" s="85"/>
      <c r="G1383" s="87"/>
      <c r="H1383" s="87"/>
      <c r="I1383" s="87"/>
      <c r="J1383" s="101"/>
      <c r="K1383" s="87"/>
      <c r="L1383" s="91"/>
      <c r="M1383" s="91"/>
      <c r="N1383" s="88">
        <f>Goods_Receipt[[#This Row],[ Invoice. /
 Received Qty ]]-Goods_Receipt[[#This Row],[ Accepted Qty ]]</f>
        <v>0</v>
      </c>
      <c r="O1383" s="87"/>
      <c r="P1383" s="87"/>
      <c r="Q1383" s="87"/>
      <c r="R1383" s="87"/>
      <c r="S1383" s="87"/>
      <c r="T1383" s="85"/>
      <c r="U1383" s="89"/>
      <c r="V1383" s="90"/>
      <c r="W1383" s="87"/>
      <c r="X1383" s="91"/>
      <c r="Y1383" s="84"/>
      <c r="Z1383" s="97"/>
    </row>
    <row r="1384" spans="1:26" s="98" customFormat="1" x14ac:dyDescent="0.35">
      <c r="A1384" s="86">
        <v>1381</v>
      </c>
      <c r="B1384" s="85"/>
      <c r="C1384" s="87"/>
      <c r="D1384" s="85"/>
      <c r="E1384" s="84"/>
      <c r="F1384" s="85"/>
      <c r="G1384" s="87"/>
      <c r="H1384" s="87"/>
      <c r="I1384" s="87"/>
      <c r="J1384" s="101"/>
      <c r="K1384" s="87"/>
      <c r="L1384" s="91"/>
      <c r="M1384" s="91"/>
      <c r="N1384" s="88">
        <f>Goods_Receipt[[#This Row],[ Invoice. /
 Received Qty ]]-Goods_Receipt[[#This Row],[ Accepted Qty ]]</f>
        <v>0</v>
      </c>
      <c r="O1384" s="87"/>
      <c r="P1384" s="87"/>
      <c r="Q1384" s="87"/>
      <c r="R1384" s="87"/>
      <c r="S1384" s="87"/>
      <c r="T1384" s="85"/>
      <c r="U1384" s="89"/>
      <c r="V1384" s="90"/>
      <c r="W1384" s="87"/>
      <c r="X1384" s="91"/>
      <c r="Y1384" s="84"/>
      <c r="Z1384" s="97"/>
    </row>
    <row r="1385" spans="1:26" s="98" customFormat="1" x14ac:dyDescent="0.35">
      <c r="A1385" s="86">
        <v>1382</v>
      </c>
      <c r="B1385" s="85"/>
      <c r="C1385" s="87"/>
      <c r="D1385" s="85"/>
      <c r="E1385" s="84"/>
      <c r="F1385" s="85"/>
      <c r="G1385" s="87"/>
      <c r="H1385" s="87"/>
      <c r="I1385" s="87"/>
      <c r="J1385" s="101"/>
      <c r="K1385" s="87"/>
      <c r="L1385" s="91"/>
      <c r="M1385" s="91"/>
      <c r="N1385" s="88">
        <f>Goods_Receipt[[#This Row],[ Invoice. /
 Received Qty ]]-Goods_Receipt[[#This Row],[ Accepted Qty ]]</f>
        <v>0</v>
      </c>
      <c r="O1385" s="87"/>
      <c r="P1385" s="87"/>
      <c r="Q1385" s="87"/>
      <c r="R1385" s="87"/>
      <c r="S1385" s="87"/>
      <c r="T1385" s="85"/>
      <c r="U1385" s="89"/>
      <c r="V1385" s="90"/>
      <c r="W1385" s="87"/>
      <c r="X1385" s="91"/>
      <c r="Y1385" s="84"/>
      <c r="Z1385" s="97"/>
    </row>
    <row r="1386" spans="1:26" s="98" customFormat="1" x14ac:dyDescent="0.35">
      <c r="A1386" s="86">
        <v>1383</v>
      </c>
      <c r="B1386" s="85"/>
      <c r="C1386" s="87"/>
      <c r="D1386" s="85"/>
      <c r="E1386" s="84"/>
      <c r="F1386" s="85"/>
      <c r="G1386" s="87"/>
      <c r="H1386" s="87"/>
      <c r="I1386" s="87"/>
      <c r="J1386" s="101"/>
      <c r="K1386" s="87"/>
      <c r="L1386" s="91"/>
      <c r="M1386" s="91"/>
      <c r="N1386" s="88">
        <f>Goods_Receipt[[#This Row],[ Invoice. /
 Received Qty ]]-Goods_Receipt[[#This Row],[ Accepted Qty ]]</f>
        <v>0</v>
      </c>
      <c r="O1386" s="87"/>
      <c r="P1386" s="87"/>
      <c r="Q1386" s="87"/>
      <c r="R1386" s="87"/>
      <c r="S1386" s="87"/>
      <c r="T1386" s="85"/>
      <c r="U1386" s="89"/>
      <c r="V1386" s="90"/>
      <c r="W1386" s="87"/>
      <c r="X1386" s="91"/>
      <c r="Y1386" s="84"/>
      <c r="Z1386" s="97"/>
    </row>
    <row r="1387" spans="1:26" s="98" customFormat="1" x14ac:dyDescent="0.35">
      <c r="A1387" s="86">
        <v>1384</v>
      </c>
      <c r="B1387" s="85"/>
      <c r="C1387" s="87"/>
      <c r="D1387" s="85"/>
      <c r="E1387" s="84"/>
      <c r="F1387" s="85"/>
      <c r="G1387" s="87"/>
      <c r="H1387" s="87"/>
      <c r="I1387" s="87"/>
      <c r="J1387" s="101"/>
      <c r="K1387" s="87"/>
      <c r="L1387" s="91"/>
      <c r="M1387" s="91"/>
      <c r="N1387" s="88">
        <f>Goods_Receipt[[#This Row],[ Invoice. /
 Received Qty ]]-Goods_Receipt[[#This Row],[ Accepted Qty ]]</f>
        <v>0</v>
      </c>
      <c r="O1387" s="87"/>
      <c r="P1387" s="87"/>
      <c r="Q1387" s="87"/>
      <c r="R1387" s="87"/>
      <c r="S1387" s="87"/>
      <c r="T1387" s="85"/>
      <c r="U1387" s="89"/>
      <c r="V1387" s="90"/>
      <c r="W1387" s="87"/>
      <c r="X1387" s="91"/>
      <c r="Y1387" s="84"/>
      <c r="Z1387" s="97"/>
    </row>
    <row r="1388" spans="1:26" s="98" customFormat="1" x14ac:dyDescent="0.35">
      <c r="A1388" s="86">
        <v>1385</v>
      </c>
      <c r="B1388" s="85"/>
      <c r="C1388" s="87"/>
      <c r="D1388" s="85"/>
      <c r="E1388" s="84"/>
      <c r="F1388" s="85"/>
      <c r="G1388" s="87"/>
      <c r="H1388" s="87"/>
      <c r="I1388" s="87"/>
      <c r="J1388" s="101"/>
      <c r="K1388" s="87"/>
      <c r="L1388" s="91"/>
      <c r="M1388" s="91"/>
      <c r="N1388" s="88">
        <f>Goods_Receipt[[#This Row],[ Invoice. /
 Received Qty ]]-Goods_Receipt[[#This Row],[ Accepted Qty ]]</f>
        <v>0</v>
      </c>
      <c r="O1388" s="87"/>
      <c r="P1388" s="87"/>
      <c r="Q1388" s="87"/>
      <c r="R1388" s="87"/>
      <c r="S1388" s="87"/>
      <c r="T1388" s="85"/>
      <c r="U1388" s="89"/>
      <c r="V1388" s="90"/>
      <c r="W1388" s="87"/>
      <c r="X1388" s="91"/>
      <c r="Y1388" s="84"/>
      <c r="Z1388" s="97"/>
    </row>
    <row r="1389" spans="1:26" s="98" customFormat="1" x14ac:dyDescent="0.35">
      <c r="A1389" s="86">
        <v>1386</v>
      </c>
      <c r="B1389" s="85"/>
      <c r="C1389" s="87"/>
      <c r="D1389" s="85"/>
      <c r="E1389" s="84"/>
      <c r="F1389" s="85"/>
      <c r="G1389" s="87"/>
      <c r="H1389" s="87"/>
      <c r="I1389" s="87"/>
      <c r="J1389" s="101"/>
      <c r="K1389" s="87"/>
      <c r="L1389" s="91"/>
      <c r="M1389" s="91"/>
      <c r="N1389" s="88">
        <f>Goods_Receipt[[#This Row],[ Invoice. /
 Received Qty ]]-Goods_Receipt[[#This Row],[ Accepted Qty ]]</f>
        <v>0</v>
      </c>
      <c r="O1389" s="87"/>
      <c r="P1389" s="87"/>
      <c r="Q1389" s="87"/>
      <c r="R1389" s="87"/>
      <c r="S1389" s="87"/>
      <c r="T1389" s="85"/>
      <c r="U1389" s="89"/>
      <c r="V1389" s="90"/>
      <c r="W1389" s="87"/>
      <c r="X1389" s="91"/>
      <c r="Y1389" s="84"/>
      <c r="Z1389" s="97"/>
    </row>
    <row r="1390" spans="1:26" s="98" customFormat="1" x14ac:dyDescent="0.35">
      <c r="A1390" s="86">
        <v>1387</v>
      </c>
      <c r="B1390" s="85"/>
      <c r="C1390" s="87"/>
      <c r="D1390" s="85"/>
      <c r="E1390" s="84"/>
      <c r="F1390" s="85"/>
      <c r="G1390" s="87"/>
      <c r="H1390" s="87"/>
      <c r="I1390" s="87"/>
      <c r="J1390" s="101"/>
      <c r="K1390" s="87"/>
      <c r="L1390" s="91"/>
      <c r="M1390" s="91"/>
      <c r="N1390" s="88">
        <f>Goods_Receipt[[#This Row],[ Invoice. /
 Received Qty ]]-Goods_Receipt[[#This Row],[ Accepted Qty ]]</f>
        <v>0</v>
      </c>
      <c r="O1390" s="87"/>
      <c r="P1390" s="87"/>
      <c r="Q1390" s="87"/>
      <c r="R1390" s="87"/>
      <c r="S1390" s="87"/>
      <c r="T1390" s="85"/>
      <c r="U1390" s="89"/>
      <c r="V1390" s="90"/>
      <c r="W1390" s="87"/>
      <c r="X1390" s="91"/>
      <c r="Y1390" s="84"/>
      <c r="Z1390" s="97"/>
    </row>
    <row r="1391" spans="1:26" s="98" customFormat="1" x14ac:dyDescent="0.35">
      <c r="A1391" s="86">
        <v>1388</v>
      </c>
      <c r="B1391" s="85"/>
      <c r="C1391" s="87"/>
      <c r="D1391" s="85"/>
      <c r="E1391" s="84"/>
      <c r="F1391" s="85"/>
      <c r="G1391" s="87"/>
      <c r="H1391" s="87"/>
      <c r="I1391" s="87"/>
      <c r="J1391" s="101"/>
      <c r="K1391" s="87"/>
      <c r="L1391" s="91"/>
      <c r="M1391" s="91"/>
      <c r="N1391" s="88">
        <f>Goods_Receipt[[#This Row],[ Invoice. /
 Received Qty ]]-Goods_Receipt[[#This Row],[ Accepted Qty ]]</f>
        <v>0</v>
      </c>
      <c r="O1391" s="87"/>
      <c r="P1391" s="87"/>
      <c r="Q1391" s="87"/>
      <c r="R1391" s="87"/>
      <c r="S1391" s="87"/>
      <c r="T1391" s="85"/>
      <c r="U1391" s="89"/>
      <c r="V1391" s="90"/>
      <c r="W1391" s="87"/>
      <c r="X1391" s="91"/>
      <c r="Y1391" s="84"/>
      <c r="Z1391" s="97"/>
    </row>
    <row r="1392" spans="1:26" s="98" customFormat="1" x14ac:dyDescent="0.35">
      <c r="A1392" s="86">
        <v>1389</v>
      </c>
      <c r="B1392" s="85"/>
      <c r="C1392" s="87"/>
      <c r="D1392" s="85"/>
      <c r="E1392" s="84"/>
      <c r="F1392" s="85"/>
      <c r="G1392" s="87"/>
      <c r="H1392" s="87"/>
      <c r="I1392" s="87"/>
      <c r="J1392" s="101"/>
      <c r="K1392" s="87"/>
      <c r="L1392" s="91"/>
      <c r="M1392" s="91"/>
      <c r="N1392" s="88">
        <f>Goods_Receipt[[#This Row],[ Invoice. /
 Received Qty ]]-Goods_Receipt[[#This Row],[ Accepted Qty ]]</f>
        <v>0</v>
      </c>
      <c r="O1392" s="87"/>
      <c r="P1392" s="87"/>
      <c r="Q1392" s="87"/>
      <c r="R1392" s="87"/>
      <c r="S1392" s="87"/>
      <c r="T1392" s="85"/>
      <c r="U1392" s="89"/>
      <c r="V1392" s="90"/>
      <c r="W1392" s="87"/>
      <c r="X1392" s="91"/>
      <c r="Y1392" s="84"/>
      <c r="Z1392" s="97"/>
    </row>
    <row r="1393" spans="1:26" s="98" customFormat="1" x14ac:dyDescent="0.35">
      <c r="A1393" s="86">
        <v>1390</v>
      </c>
      <c r="B1393" s="85"/>
      <c r="C1393" s="87"/>
      <c r="D1393" s="85"/>
      <c r="E1393" s="84"/>
      <c r="F1393" s="85"/>
      <c r="G1393" s="87"/>
      <c r="H1393" s="87"/>
      <c r="I1393" s="87"/>
      <c r="J1393" s="101"/>
      <c r="K1393" s="87"/>
      <c r="L1393" s="91"/>
      <c r="M1393" s="91"/>
      <c r="N1393" s="88">
        <f>Goods_Receipt[[#This Row],[ Invoice. /
 Received Qty ]]-Goods_Receipt[[#This Row],[ Accepted Qty ]]</f>
        <v>0</v>
      </c>
      <c r="O1393" s="87"/>
      <c r="P1393" s="87"/>
      <c r="Q1393" s="87"/>
      <c r="R1393" s="87"/>
      <c r="S1393" s="87"/>
      <c r="T1393" s="85"/>
      <c r="U1393" s="89"/>
      <c r="V1393" s="90"/>
      <c r="W1393" s="87"/>
      <c r="X1393" s="91"/>
      <c r="Y1393" s="84"/>
      <c r="Z1393" s="97"/>
    </row>
    <row r="1394" spans="1:26" s="98" customFormat="1" x14ac:dyDescent="0.35">
      <c r="A1394" s="86">
        <v>1391</v>
      </c>
      <c r="B1394" s="85"/>
      <c r="C1394" s="87"/>
      <c r="D1394" s="85"/>
      <c r="E1394" s="84"/>
      <c r="F1394" s="85"/>
      <c r="G1394" s="87"/>
      <c r="H1394" s="87"/>
      <c r="I1394" s="87"/>
      <c r="J1394" s="101"/>
      <c r="K1394" s="87"/>
      <c r="L1394" s="91"/>
      <c r="M1394" s="91"/>
      <c r="N1394" s="88">
        <f>Goods_Receipt[[#This Row],[ Invoice. /
 Received Qty ]]-Goods_Receipt[[#This Row],[ Accepted Qty ]]</f>
        <v>0</v>
      </c>
      <c r="O1394" s="87"/>
      <c r="P1394" s="87"/>
      <c r="Q1394" s="87"/>
      <c r="R1394" s="87"/>
      <c r="S1394" s="87"/>
      <c r="T1394" s="85"/>
      <c r="U1394" s="89"/>
      <c r="V1394" s="90"/>
      <c r="W1394" s="87"/>
      <c r="X1394" s="91"/>
      <c r="Y1394" s="84"/>
      <c r="Z1394" s="97"/>
    </row>
    <row r="1395" spans="1:26" s="98" customFormat="1" x14ac:dyDescent="0.35">
      <c r="A1395" s="86">
        <v>1392</v>
      </c>
      <c r="B1395" s="85"/>
      <c r="C1395" s="87"/>
      <c r="D1395" s="85"/>
      <c r="E1395" s="84"/>
      <c r="F1395" s="85"/>
      <c r="G1395" s="87"/>
      <c r="H1395" s="87"/>
      <c r="I1395" s="87"/>
      <c r="J1395" s="101"/>
      <c r="K1395" s="87"/>
      <c r="L1395" s="91"/>
      <c r="M1395" s="91"/>
      <c r="N1395" s="88">
        <f>Goods_Receipt[[#This Row],[ Invoice. /
 Received Qty ]]-Goods_Receipt[[#This Row],[ Accepted Qty ]]</f>
        <v>0</v>
      </c>
      <c r="O1395" s="87"/>
      <c r="P1395" s="87"/>
      <c r="Q1395" s="87"/>
      <c r="R1395" s="87"/>
      <c r="S1395" s="87"/>
      <c r="T1395" s="85"/>
      <c r="U1395" s="89"/>
      <c r="V1395" s="90"/>
      <c r="W1395" s="87"/>
      <c r="X1395" s="91"/>
      <c r="Y1395" s="84"/>
      <c r="Z1395" s="97"/>
    </row>
    <row r="1396" spans="1:26" s="98" customFormat="1" x14ac:dyDescent="0.35">
      <c r="A1396" s="86">
        <v>1393</v>
      </c>
      <c r="B1396" s="85"/>
      <c r="C1396" s="87"/>
      <c r="D1396" s="85"/>
      <c r="E1396" s="84"/>
      <c r="F1396" s="85"/>
      <c r="G1396" s="87"/>
      <c r="H1396" s="87"/>
      <c r="I1396" s="87"/>
      <c r="J1396" s="101"/>
      <c r="K1396" s="87"/>
      <c r="L1396" s="91"/>
      <c r="M1396" s="91"/>
      <c r="N1396" s="88">
        <f>Goods_Receipt[[#This Row],[ Invoice. /
 Received Qty ]]-Goods_Receipt[[#This Row],[ Accepted Qty ]]</f>
        <v>0</v>
      </c>
      <c r="O1396" s="87"/>
      <c r="P1396" s="87"/>
      <c r="Q1396" s="87"/>
      <c r="R1396" s="87"/>
      <c r="S1396" s="87"/>
      <c r="T1396" s="85"/>
      <c r="U1396" s="89"/>
      <c r="V1396" s="90"/>
      <c r="W1396" s="87"/>
      <c r="X1396" s="91"/>
      <c r="Y1396" s="84"/>
      <c r="Z1396" s="97"/>
    </row>
    <row r="1397" spans="1:26" s="98" customFormat="1" x14ac:dyDescent="0.35">
      <c r="A1397" s="86">
        <v>1394</v>
      </c>
      <c r="B1397" s="85"/>
      <c r="C1397" s="87"/>
      <c r="D1397" s="85"/>
      <c r="E1397" s="84"/>
      <c r="F1397" s="85"/>
      <c r="G1397" s="87"/>
      <c r="H1397" s="87"/>
      <c r="I1397" s="87"/>
      <c r="J1397" s="101"/>
      <c r="K1397" s="87"/>
      <c r="L1397" s="91"/>
      <c r="M1397" s="91"/>
      <c r="N1397" s="88">
        <f>Goods_Receipt[[#This Row],[ Invoice. /
 Received Qty ]]-Goods_Receipt[[#This Row],[ Accepted Qty ]]</f>
        <v>0</v>
      </c>
      <c r="O1397" s="87"/>
      <c r="P1397" s="87"/>
      <c r="Q1397" s="87"/>
      <c r="R1397" s="87"/>
      <c r="S1397" s="87"/>
      <c r="T1397" s="85"/>
      <c r="U1397" s="89"/>
      <c r="V1397" s="90"/>
      <c r="W1397" s="87"/>
      <c r="X1397" s="91"/>
      <c r="Y1397" s="84"/>
      <c r="Z1397" s="97"/>
    </row>
    <row r="1398" spans="1:26" s="98" customFormat="1" x14ac:dyDescent="0.35">
      <c r="A1398" s="86">
        <v>1395</v>
      </c>
      <c r="B1398" s="85"/>
      <c r="C1398" s="87"/>
      <c r="D1398" s="85"/>
      <c r="E1398" s="84"/>
      <c r="F1398" s="85"/>
      <c r="G1398" s="87"/>
      <c r="H1398" s="87"/>
      <c r="I1398" s="87"/>
      <c r="J1398" s="101"/>
      <c r="K1398" s="87"/>
      <c r="L1398" s="91"/>
      <c r="M1398" s="91"/>
      <c r="N1398" s="88">
        <f>Goods_Receipt[[#This Row],[ Invoice. /
 Received Qty ]]-Goods_Receipt[[#This Row],[ Accepted Qty ]]</f>
        <v>0</v>
      </c>
      <c r="O1398" s="87"/>
      <c r="P1398" s="87"/>
      <c r="Q1398" s="87"/>
      <c r="R1398" s="87"/>
      <c r="S1398" s="87"/>
      <c r="T1398" s="85"/>
      <c r="U1398" s="89"/>
      <c r="V1398" s="90"/>
      <c r="W1398" s="87"/>
      <c r="X1398" s="91"/>
      <c r="Y1398" s="84"/>
      <c r="Z1398" s="97"/>
    </row>
    <row r="1399" spans="1:26" s="98" customFormat="1" x14ac:dyDescent="0.35">
      <c r="A1399" s="86">
        <v>1396</v>
      </c>
      <c r="B1399" s="85"/>
      <c r="C1399" s="87"/>
      <c r="D1399" s="85"/>
      <c r="E1399" s="84"/>
      <c r="F1399" s="85"/>
      <c r="G1399" s="87"/>
      <c r="H1399" s="87"/>
      <c r="I1399" s="87"/>
      <c r="J1399" s="101"/>
      <c r="K1399" s="87"/>
      <c r="L1399" s="91"/>
      <c r="M1399" s="91"/>
      <c r="N1399" s="88">
        <f>Goods_Receipt[[#This Row],[ Invoice. /
 Received Qty ]]-Goods_Receipt[[#This Row],[ Accepted Qty ]]</f>
        <v>0</v>
      </c>
      <c r="O1399" s="87"/>
      <c r="P1399" s="87"/>
      <c r="Q1399" s="87"/>
      <c r="R1399" s="87"/>
      <c r="S1399" s="87"/>
      <c r="T1399" s="85"/>
      <c r="U1399" s="89"/>
      <c r="V1399" s="90"/>
      <c r="W1399" s="87"/>
      <c r="X1399" s="91"/>
      <c r="Y1399" s="84"/>
      <c r="Z1399" s="97"/>
    </row>
    <row r="1400" spans="1:26" s="98" customFormat="1" x14ac:dyDescent="0.35">
      <c r="A1400" s="86">
        <v>1397</v>
      </c>
      <c r="B1400" s="85"/>
      <c r="C1400" s="87"/>
      <c r="D1400" s="85"/>
      <c r="E1400" s="84"/>
      <c r="F1400" s="85"/>
      <c r="G1400" s="87"/>
      <c r="H1400" s="87"/>
      <c r="I1400" s="87"/>
      <c r="J1400" s="101"/>
      <c r="K1400" s="87"/>
      <c r="L1400" s="91"/>
      <c r="M1400" s="91"/>
      <c r="N1400" s="88">
        <f>Goods_Receipt[[#This Row],[ Invoice. /
 Received Qty ]]-Goods_Receipt[[#This Row],[ Accepted Qty ]]</f>
        <v>0</v>
      </c>
      <c r="O1400" s="87"/>
      <c r="P1400" s="87"/>
      <c r="Q1400" s="87"/>
      <c r="R1400" s="87"/>
      <c r="S1400" s="87"/>
      <c r="T1400" s="85"/>
      <c r="U1400" s="89"/>
      <c r="V1400" s="90"/>
      <c r="W1400" s="87"/>
      <c r="X1400" s="91"/>
      <c r="Y1400" s="84"/>
      <c r="Z1400" s="97"/>
    </row>
    <row r="1401" spans="1:26" s="98" customFormat="1" x14ac:dyDescent="0.35">
      <c r="A1401" s="86">
        <v>1398</v>
      </c>
      <c r="B1401" s="85"/>
      <c r="C1401" s="87"/>
      <c r="D1401" s="85"/>
      <c r="E1401" s="84"/>
      <c r="F1401" s="85"/>
      <c r="G1401" s="87"/>
      <c r="H1401" s="87"/>
      <c r="I1401" s="87"/>
      <c r="J1401" s="101"/>
      <c r="K1401" s="87"/>
      <c r="L1401" s="91"/>
      <c r="M1401" s="91"/>
      <c r="N1401" s="88">
        <f>Goods_Receipt[[#This Row],[ Invoice. /
 Received Qty ]]-Goods_Receipt[[#This Row],[ Accepted Qty ]]</f>
        <v>0</v>
      </c>
      <c r="O1401" s="87"/>
      <c r="P1401" s="87"/>
      <c r="Q1401" s="87"/>
      <c r="R1401" s="87"/>
      <c r="S1401" s="87"/>
      <c r="T1401" s="85"/>
      <c r="U1401" s="89"/>
      <c r="V1401" s="90"/>
      <c r="W1401" s="87"/>
      <c r="X1401" s="91"/>
      <c r="Y1401" s="84"/>
      <c r="Z1401" s="97"/>
    </row>
    <row r="1402" spans="1:26" s="98" customFormat="1" x14ac:dyDescent="0.35">
      <c r="A1402" s="86">
        <v>1399</v>
      </c>
      <c r="B1402" s="85"/>
      <c r="C1402" s="87"/>
      <c r="D1402" s="85"/>
      <c r="E1402" s="84"/>
      <c r="F1402" s="85"/>
      <c r="G1402" s="87"/>
      <c r="H1402" s="87"/>
      <c r="I1402" s="87"/>
      <c r="J1402" s="101"/>
      <c r="K1402" s="87"/>
      <c r="L1402" s="91"/>
      <c r="M1402" s="91"/>
      <c r="N1402" s="88">
        <f>Goods_Receipt[[#This Row],[ Invoice. /
 Received Qty ]]-Goods_Receipt[[#This Row],[ Accepted Qty ]]</f>
        <v>0</v>
      </c>
      <c r="O1402" s="87"/>
      <c r="P1402" s="87"/>
      <c r="Q1402" s="87"/>
      <c r="R1402" s="87"/>
      <c r="S1402" s="87"/>
      <c r="T1402" s="85"/>
      <c r="U1402" s="89"/>
      <c r="V1402" s="90"/>
      <c r="W1402" s="87"/>
      <c r="X1402" s="91"/>
      <c r="Y1402" s="84"/>
      <c r="Z1402" s="97"/>
    </row>
    <row r="1403" spans="1:26" s="98" customFormat="1" x14ac:dyDescent="0.35">
      <c r="A1403" s="86">
        <v>1400</v>
      </c>
      <c r="B1403" s="85"/>
      <c r="C1403" s="87"/>
      <c r="D1403" s="85"/>
      <c r="E1403" s="84"/>
      <c r="F1403" s="85"/>
      <c r="G1403" s="87"/>
      <c r="H1403" s="87"/>
      <c r="I1403" s="87"/>
      <c r="J1403" s="101"/>
      <c r="K1403" s="87"/>
      <c r="L1403" s="91"/>
      <c r="M1403" s="91"/>
      <c r="N1403" s="88">
        <f>Goods_Receipt[[#This Row],[ Invoice. /
 Received Qty ]]-Goods_Receipt[[#This Row],[ Accepted Qty ]]</f>
        <v>0</v>
      </c>
      <c r="O1403" s="87"/>
      <c r="P1403" s="87"/>
      <c r="Q1403" s="87"/>
      <c r="R1403" s="87"/>
      <c r="S1403" s="87"/>
      <c r="T1403" s="85"/>
      <c r="U1403" s="89"/>
      <c r="V1403" s="90"/>
      <c r="W1403" s="87"/>
      <c r="X1403" s="91"/>
      <c r="Y1403" s="84"/>
      <c r="Z1403" s="97"/>
    </row>
    <row r="1404" spans="1:26" s="98" customFormat="1" x14ac:dyDescent="0.35">
      <c r="A1404" s="86">
        <v>1401</v>
      </c>
      <c r="B1404" s="85"/>
      <c r="C1404" s="87"/>
      <c r="D1404" s="85"/>
      <c r="E1404" s="84"/>
      <c r="F1404" s="85"/>
      <c r="G1404" s="87"/>
      <c r="H1404" s="87"/>
      <c r="I1404" s="87"/>
      <c r="J1404" s="101"/>
      <c r="K1404" s="87"/>
      <c r="L1404" s="91"/>
      <c r="M1404" s="91"/>
      <c r="N1404" s="88">
        <f>Goods_Receipt[[#This Row],[ Invoice. /
 Received Qty ]]-Goods_Receipt[[#This Row],[ Accepted Qty ]]</f>
        <v>0</v>
      </c>
      <c r="O1404" s="87"/>
      <c r="P1404" s="87"/>
      <c r="Q1404" s="87"/>
      <c r="R1404" s="87"/>
      <c r="S1404" s="87"/>
      <c r="T1404" s="85"/>
      <c r="U1404" s="89"/>
      <c r="V1404" s="90"/>
      <c r="W1404" s="87"/>
      <c r="X1404" s="91"/>
      <c r="Y1404" s="84"/>
      <c r="Z1404" s="97"/>
    </row>
    <row r="1405" spans="1:26" s="98" customFormat="1" x14ac:dyDescent="0.35">
      <c r="A1405" s="86">
        <v>1402</v>
      </c>
      <c r="B1405" s="85"/>
      <c r="C1405" s="87"/>
      <c r="D1405" s="85"/>
      <c r="E1405" s="84"/>
      <c r="F1405" s="85"/>
      <c r="G1405" s="87"/>
      <c r="H1405" s="87"/>
      <c r="I1405" s="87"/>
      <c r="J1405" s="101"/>
      <c r="K1405" s="87"/>
      <c r="L1405" s="91"/>
      <c r="M1405" s="91"/>
      <c r="N1405" s="88">
        <f>Goods_Receipt[[#This Row],[ Invoice. /
 Received Qty ]]-Goods_Receipt[[#This Row],[ Accepted Qty ]]</f>
        <v>0</v>
      </c>
      <c r="O1405" s="87"/>
      <c r="P1405" s="87"/>
      <c r="Q1405" s="87"/>
      <c r="R1405" s="87"/>
      <c r="S1405" s="87"/>
      <c r="T1405" s="85"/>
      <c r="U1405" s="89"/>
      <c r="V1405" s="90"/>
      <c r="W1405" s="87"/>
      <c r="X1405" s="91"/>
      <c r="Y1405" s="84"/>
      <c r="Z1405" s="97"/>
    </row>
    <row r="1406" spans="1:26" s="98" customFormat="1" x14ac:dyDescent="0.35">
      <c r="A1406" s="86">
        <v>1403</v>
      </c>
      <c r="B1406" s="85"/>
      <c r="C1406" s="87"/>
      <c r="D1406" s="85"/>
      <c r="E1406" s="84"/>
      <c r="F1406" s="85"/>
      <c r="G1406" s="87"/>
      <c r="H1406" s="87"/>
      <c r="I1406" s="87"/>
      <c r="J1406" s="101"/>
      <c r="K1406" s="87"/>
      <c r="L1406" s="91"/>
      <c r="M1406" s="91"/>
      <c r="N1406" s="88">
        <f>Goods_Receipt[[#This Row],[ Invoice. /
 Received Qty ]]-Goods_Receipt[[#This Row],[ Accepted Qty ]]</f>
        <v>0</v>
      </c>
      <c r="O1406" s="87"/>
      <c r="P1406" s="87"/>
      <c r="Q1406" s="87"/>
      <c r="R1406" s="87"/>
      <c r="S1406" s="87"/>
      <c r="T1406" s="85"/>
      <c r="U1406" s="89"/>
      <c r="V1406" s="90"/>
      <c r="W1406" s="87"/>
      <c r="X1406" s="91"/>
      <c r="Y1406" s="84"/>
      <c r="Z1406" s="97"/>
    </row>
    <row r="1407" spans="1:26" s="98" customFormat="1" x14ac:dyDescent="0.35">
      <c r="A1407" s="86">
        <v>1404</v>
      </c>
      <c r="B1407" s="85"/>
      <c r="C1407" s="87"/>
      <c r="D1407" s="85"/>
      <c r="E1407" s="84"/>
      <c r="F1407" s="85"/>
      <c r="G1407" s="87"/>
      <c r="H1407" s="87"/>
      <c r="I1407" s="87"/>
      <c r="J1407" s="101"/>
      <c r="K1407" s="87"/>
      <c r="L1407" s="91"/>
      <c r="M1407" s="91"/>
      <c r="N1407" s="88">
        <f>Goods_Receipt[[#This Row],[ Invoice. /
 Received Qty ]]-Goods_Receipt[[#This Row],[ Accepted Qty ]]</f>
        <v>0</v>
      </c>
      <c r="O1407" s="87"/>
      <c r="P1407" s="87"/>
      <c r="Q1407" s="87"/>
      <c r="R1407" s="87"/>
      <c r="S1407" s="87"/>
      <c r="T1407" s="85"/>
      <c r="U1407" s="89"/>
      <c r="V1407" s="90"/>
      <c r="W1407" s="87"/>
      <c r="X1407" s="91"/>
      <c r="Y1407" s="84"/>
      <c r="Z1407" s="97"/>
    </row>
    <row r="1408" spans="1:26" s="98" customFormat="1" x14ac:dyDescent="0.35">
      <c r="A1408" s="86">
        <v>1405</v>
      </c>
      <c r="B1408" s="85"/>
      <c r="C1408" s="87"/>
      <c r="D1408" s="85"/>
      <c r="E1408" s="84"/>
      <c r="F1408" s="85"/>
      <c r="G1408" s="87"/>
      <c r="H1408" s="87"/>
      <c r="I1408" s="87"/>
      <c r="J1408" s="101"/>
      <c r="K1408" s="87"/>
      <c r="L1408" s="91"/>
      <c r="M1408" s="91"/>
      <c r="N1408" s="88">
        <f>Goods_Receipt[[#This Row],[ Invoice. /
 Received Qty ]]-Goods_Receipt[[#This Row],[ Accepted Qty ]]</f>
        <v>0</v>
      </c>
      <c r="O1408" s="87"/>
      <c r="P1408" s="87"/>
      <c r="Q1408" s="87"/>
      <c r="R1408" s="87"/>
      <c r="S1408" s="87"/>
      <c r="T1408" s="85"/>
      <c r="U1408" s="89"/>
      <c r="V1408" s="90"/>
      <c r="W1408" s="87"/>
      <c r="X1408" s="91"/>
      <c r="Y1408" s="84"/>
      <c r="Z1408" s="97"/>
    </row>
    <row r="1409" spans="1:26" s="98" customFormat="1" x14ac:dyDescent="0.35">
      <c r="A1409" s="86">
        <v>1406</v>
      </c>
      <c r="B1409" s="85"/>
      <c r="C1409" s="87"/>
      <c r="D1409" s="85"/>
      <c r="E1409" s="84"/>
      <c r="F1409" s="85"/>
      <c r="G1409" s="87"/>
      <c r="H1409" s="87"/>
      <c r="I1409" s="87"/>
      <c r="J1409" s="101"/>
      <c r="K1409" s="87"/>
      <c r="L1409" s="91"/>
      <c r="M1409" s="91"/>
      <c r="N1409" s="88">
        <f>Goods_Receipt[[#This Row],[ Invoice. /
 Received Qty ]]-Goods_Receipt[[#This Row],[ Accepted Qty ]]</f>
        <v>0</v>
      </c>
      <c r="O1409" s="87"/>
      <c r="P1409" s="87"/>
      <c r="Q1409" s="87"/>
      <c r="R1409" s="87"/>
      <c r="S1409" s="87"/>
      <c r="T1409" s="85"/>
      <c r="U1409" s="89"/>
      <c r="V1409" s="90"/>
      <c r="W1409" s="87"/>
      <c r="X1409" s="91"/>
      <c r="Y1409" s="84"/>
      <c r="Z1409" s="97"/>
    </row>
    <row r="1410" spans="1:26" s="98" customFormat="1" x14ac:dyDescent="0.35">
      <c r="A1410" s="86">
        <v>1407</v>
      </c>
      <c r="B1410" s="85"/>
      <c r="C1410" s="87"/>
      <c r="D1410" s="85"/>
      <c r="E1410" s="84"/>
      <c r="F1410" s="85"/>
      <c r="G1410" s="87"/>
      <c r="H1410" s="87"/>
      <c r="I1410" s="87"/>
      <c r="J1410" s="101"/>
      <c r="K1410" s="87"/>
      <c r="L1410" s="91"/>
      <c r="M1410" s="91"/>
      <c r="N1410" s="88">
        <f>Goods_Receipt[[#This Row],[ Invoice. /
 Received Qty ]]-Goods_Receipt[[#This Row],[ Accepted Qty ]]</f>
        <v>0</v>
      </c>
      <c r="O1410" s="87"/>
      <c r="P1410" s="87"/>
      <c r="Q1410" s="87"/>
      <c r="R1410" s="87"/>
      <c r="S1410" s="87"/>
      <c r="T1410" s="85"/>
      <c r="U1410" s="89"/>
      <c r="V1410" s="90"/>
      <c r="W1410" s="87"/>
      <c r="X1410" s="91"/>
      <c r="Y1410" s="84"/>
      <c r="Z1410" s="97"/>
    </row>
    <row r="1411" spans="1:26" s="98" customFormat="1" x14ac:dyDescent="0.35">
      <c r="A1411" s="86">
        <v>1408</v>
      </c>
      <c r="B1411" s="85"/>
      <c r="C1411" s="87"/>
      <c r="D1411" s="85"/>
      <c r="E1411" s="84"/>
      <c r="F1411" s="85"/>
      <c r="G1411" s="87"/>
      <c r="H1411" s="87"/>
      <c r="I1411" s="87"/>
      <c r="J1411" s="101"/>
      <c r="K1411" s="87"/>
      <c r="L1411" s="91"/>
      <c r="M1411" s="91"/>
      <c r="N1411" s="88">
        <f>Goods_Receipt[[#This Row],[ Invoice. /
 Received Qty ]]-Goods_Receipt[[#This Row],[ Accepted Qty ]]</f>
        <v>0</v>
      </c>
      <c r="O1411" s="87"/>
      <c r="P1411" s="87"/>
      <c r="Q1411" s="87"/>
      <c r="R1411" s="87"/>
      <c r="S1411" s="87"/>
      <c r="T1411" s="85"/>
      <c r="U1411" s="89"/>
      <c r="V1411" s="90"/>
      <c r="W1411" s="87"/>
      <c r="X1411" s="91"/>
      <c r="Y1411" s="84"/>
      <c r="Z1411" s="97"/>
    </row>
    <row r="1412" spans="1:26" s="98" customFormat="1" x14ac:dyDescent="0.35">
      <c r="A1412" s="86">
        <v>1409</v>
      </c>
      <c r="B1412" s="85"/>
      <c r="C1412" s="87"/>
      <c r="D1412" s="85"/>
      <c r="E1412" s="84"/>
      <c r="F1412" s="85"/>
      <c r="G1412" s="87"/>
      <c r="H1412" s="87"/>
      <c r="I1412" s="87"/>
      <c r="J1412" s="101"/>
      <c r="K1412" s="87"/>
      <c r="L1412" s="91"/>
      <c r="M1412" s="91"/>
      <c r="N1412" s="88">
        <f>Goods_Receipt[[#This Row],[ Invoice. /
 Received Qty ]]-Goods_Receipt[[#This Row],[ Accepted Qty ]]</f>
        <v>0</v>
      </c>
      <c r="O1412" s="87"/>
      <c r="P1412" s="87"/>
      <c r="Q1412" s="87"/>
      <c r="R1412" s="87"/>
      <c r="S1412" s="87"/>
      <c r="T1412" s="85"/>
      <c r="U1412" s="89"/>
      <c r="V1412" s="90"/>
      <c r="W1412" s="87"/>
      <c r="X1412" s="91"/>
      <c r="Y1412" s="84"/>
      <c r="Z1412" s="97"/>
    </row>
    <row r="1413" spans="1:26" s="98" customFormat="1" x14ac:dyDescent="0.35">
      <c r="A1413" s="86">
        <v>1410</v>
      </c>
      <c r="B1413" s="85"/>
      <c r="C1413" s="87"/>
      <c r="D1413" s="85"/>
      <c r="E1413" s="84"/>
      <c r="F1413" s="85"/>
      <c r="G1413" s="87"/>
      <c r="H1413" s="87"/>
      <c r="I1413" s="87"/>
      <c r="J1413" s="101"/>
      <c r="K1413" s="87"/>
      <c r="L1413" s="91"/>
      <c r="M1413" s="91"/>
      <c r="N1413" s="88">
        <f>Goods_Receipt[[#This Row],[ Invoice. /
 Received Qty ]]-Goods_Receipt[[#This Row],[ Accepted Qty ]]</f>
        <v>0</v>
      </c>
      <c r="O1413" s="87"/>
      <c r="P1413" s="87"/>
      <c r="Q1413" s="87"/>
      <c r="R1413" s="87"/>
      <c r="S1413" s="87"/>
      <c r="T1413" s="85"/>
      <c r="U1413" s="89"/>
      <c r="V1413" s="90"/>
      <c r="W1413" s="87"/>
      <c r="X1413" s="91"/>
      <c r="Y1413" s="84"/>
      <c r="Z1413" s="97"/>
    </row>
    <row r="1414" spans="1:26" s="98" customFormat="1" x14ac:dyDescent="0.35">
      <c r="A1414" s="86">
        <v>1411</v>
      </c>
      <c r="B1414" s="85"/>
      <c r="C1414" s="87"/>
      <c r="D1414" s="85"/>
      <c r="E1414" s="84"/>
      <c r="F1414" s="85"/>
      <c r="G1414" s="87"/>
      <c r="H1414" s="87"/>
      <c r="I1414" s="87"/>
      <c r="J1414" s="101"/>
      <c r="K1414" s="87"/>
      <c r="L1414" s="91"/>
      <c r="M1414" s="91"/>
      <c r="N1414" s="88">
        <f>Goods_Receipt[[#This Row],[ Invoice. /
 Received Qty ]]-Goods_Receipt[[#This Row],[ Accepted Qty ]]</f>
        <v>0</v>
      </c>
      <c r="O1414" s="87"/>
      <c r="P1414" s="87"/>
      <c r="Q1414" s="87"/>
      <c r="R1414" s="87"/>
      <c r="S1414" s="87"/>
      <c r="T1414" s="85"/>
      <c r="U1414" s="89"/>
      <c r="V1414" s="90"/>
      <c r="W1414" s="87"/>
      <c r="X1414" s="91"/>
      <c r="Y1414" s="84"/>
      <c r="Z1414" s="97"/>
    </row>
    <row r="1415" spans="1:26" s="98" customFormat="1" x14ac:dyDescent="0.35">
      <c r="A1415" s="86">
        <v>1412</v>
      </c>
      <c r="B1415" s="85"/>
      <c r="C1415" s="87"/>
      <c r="D1415" s="85"/>
      <c r="E1415" s="84"/>
      <c r="F1415" s="85"/>
      <c r="G1415" s="87"/>
      <c r="H1415" s="87"/>
      <c r="I1415" s="87"/>
      <c r="J1415" s="101"/>
      <c r="K1415" s="87"/>
      <c r="L1415" s="91"/>
      <c r="M1415" s="91"/>
      <c r="N1415" s="88">
        <f>Goods_Receipt[[#This Row],[ Invoice. /
 Received Qty ]]-Goods_Receipt[[#This Row],[ Accepted Qty ]]</f>
        <v>0</v>
      </c>
      <c r="O1415" s="87"/>
      <c r="P1415" s="87"/>
      <c r="Q1415" s="87"/>
      <c r="R1415" s="87"/>
      <c r="S1415" s="87"/>
      <c r="T1415" s="85"/>
      <c r="U1415" s="89"/>
      <c r="V1415" s="90"/>
      <c r="W1415" s="87"/>
      <c r="X1415" s="91"/>
      <c r="Y1415" s="84"/>
      <c r="Z1415" s="97"/>
    </row>
    <row r="1416" spans="1:26" s="98" customFormat="1" x14ac:dyDescent="0.35">
      <c r="A1416" s="86">
        <v>1413</v>
      </c>
      <c r="B1416" s="85"/>
      <c r="C1416" s="87"/>
      <c r="D1416" s="85"/>
      <c r="E1416" s="84"/>
      <c r="F1416" s="85"/>
      <c r="G1416" s="87"/>
      <c r="H1416" s="87"/>
      <c r="I1416" s="87"/>
      <c r="J1416" s="101"/>
      <c r="K1416" s="87"/>
      <c r="L1416" s="91"/>
      <c r="M1416" s="91"/>
      <c r="N1416" s="88">
        <f>Goods_Receipt[[#This Row],[ Invoice. /
 Received Qty ]]-Goods_Receipt[[#This Row],[ Accepted Qty ]]</f>
        <v>0</v>
      </c>
      <c r="O1416" s="87"/>
      <c r="P1416" s="87"/>
      <c r="Q1416" s="87"/>
      <c r="R1416" s="87"/>
      <c r="S1416" s="87"/>
      <c r="T1416" s="85"/>
      <c r="U1416" s="89"/>
      <c r="V1416" s="90"/>
      <c r="W1416" s="87"/>
      <c r="X1416" s="91"/>
      <c r="Y1416" s="84"/>
      <c r="Z1416" s="97"/>
    </row>
    <row r="1417" spans="1:26" s="98" customFormat="1" x14ac:dyDescent="0.35">
      <c r="A1417" s="86">
        <v>1414</v>
      </c>
      <c r="B1417" s="85"/>
      <c r="C1417" s="87"/>
      <c r="D1417" s="85"/>
      <c r="E1417" s="84"/>
      <c r="F1417" s="85"/>
      <c r="G1417" s="87"/>
      <c r="H1417" s="87"/>
      <c r="I1417" s="87"/>
      <c r="J1417" s="101"/>
      <c r="K1417" s="87"/>
      <c r="L1417" s="91"/>
      <c r="M1417" s="91"/>
      <c r="N1417" s="88">
        <f>Goods_Receipt[[#This Row],[ Invoice. /
 Received Qty ]]-Goods_Receipt[[#This Row],[ Accepted Qty ]]</f>
        <v>0</v>
      </c>
      <c r="O1417" s="87"/>
      <c r="P1417" s="87"/>
      <c r="Q1417" s="87"/>
      <c r="R1417" s="87"/>
      <c r="S1417" s="87"/>
      <c r="T1417" s="85"/>
      <c r="U1417" s="89"/>
      <c r="V1417" s="90"/>
      <c r="W1417" s="87"/>
      <c r="X1417" s="91"/>
      <c r="Y1417" s="84"/>
      <c r="Z1417" s="97"/>
    </row>
    <row r="1418" spans="1:26" s="98" customFormat="1" x14ac:dyDescent="0.35">
      <c r="A1418" s="86">
        <v>1415</v>
      </c>
      <c r="B1418" s="85"/>
      <c r="C1418" s="87"/>
      <c r="D1418" s="85"/>
      <c r="E1418" s="84"/>
      <c r="F1418" s="85"/>
      <c r="G1418" s="87"/>
      <c r="H1418" s="87"/>
      <c r="I1418" s="87"/>
      <c r="J1418" s="101"/>
      <c r="K1418" s="87"/>
      <c r="L1418" s="91"/>
      <c r="M1418" s="91"/>
      <c r="N1418" s="88">
        <f>Goods_Receipt[[#This Row],[ Invoice. /
 Received Qty ]]-Goods_Receipt[[#This Row],[ Accepted Qty ]]</f>
        <v>0</v>
      </c>
      <c r="O1418" s="87"/>
      <c r="P1418" s="87"/>
      <c r="Q1418" s="87"/>
      <c r="R1418" s="87"/>
      <c r="S1418" s="87"/>
      <c r="T1418" s="85"/>
      <c r="U1418" s="89"/>
      <c r="V1418" s="90"/>
      <c r="W1418" s="87"/>
      <c r="X1418" s="91"/>
      <c r="Y1418" s="84"/>
      <c r="Z1418" s="97"/>
    </row>
    <row r="1419" spans="1:26" s="98" customFormat="1" x14ac:dyDescent="0.35">
      <c r="A1419" s="86">
        <v>1416</v>
      </c>
      <c r="B1419" s="85"/>
      <c r="C1419" s="87"/>
      <c r="D1419" s="85"/>
      <c r="E1419" s="84"/>
      <c r="F1419" s="85"/>
      <c r="G1419" s="87"/>
      <c r="H1419" s="87"/>
      <c r="I1419" s="87"/>
      <c r="J1419" s="101"/>
      <c r="K1419" s="87"/>
      <c r="L1419" s="91"/>
      <c r="M1419" s="91"/>
      <c r="N1419" s="88">
        <f>Goods_Receipt[[#This Row],[ Invoice. /
 Received Qty ]]-Goods_Receipt[[#This Row],[ Accepted Qty ]]</f>
        <v>0</v>
      </c>
      <c r="O1419" s="87"/>
      <c r="P1419" s="87"/>
      <c r="Q1419" s="87"/>
      <c r="R1419" s="87"/>
      <c r="S1419" s="87"/>
      <c r="T1419" s="85"/>
      <c r="U1419" s="89"/>
      <c r="V1419" s="90"/>
      <c r="W1419" s="87"/>
      <c r="X1419" s="91"/>
      <c r="Y1419" s="84"/>
      <c r="Z1419" s="97"/>
    </row>
    <row r="1420" spans="1:26" s="98" customFormat="1" x14ac:dyDescent="0.35">
      <c r="A1420" s="86">
        <v>1417</v>
      </c>
      <c r="B1420" s="85"/>
      <c r="C1420" s="87"/>
      <c r="D1420" s="85"/>
      <c r="E1420" s="84"/>
      <c r="F1420" s="85"/>
      <c r="G1420" s="87"/>
      <c r="H1420" s="87"/>
      <c r="I1420" s="87"/>
      <c r="J1420" s="101"/>
      <c r="K1420" s="87"/>
      <c r="L1420" s="91"/>
      <c r="M1420" s="91"/>
      <c r="N1420" s="88">
        <f>Goods_Receipt[[#This Row],[ Invoice. /
 Received Qty ]]-Goods_Receipt[[#This Row],[ Accepted Qty ]]</f>
        <v>0</v>
      </c>
      <c r="O1420" s="87"/>
      <c r="P1420" s="87"/>
      <c r="Q1420" s="87"/>
      <c r="R1420" s="87"/>
      <c r="S1420" s="87"/>
      <c r="T1420" s="85"/>
      <c r="U1420" s="89"/>
      <c r="V1420" s="90"/>
      <c r="W1420" s="87"/>
      <c r="X1420" s="91"/>
      <c r="Y1420" s="84"/>
      <c r="Z1420" s="97"/>
    </row>
    <row r="1421" spans="1:26" s="98" customFormat="1" x14ac:dyDescent="0.35">
      <c r="A1421" s="86">
        <v>1418</v>
      </c>
      <c r="B1421" s="85"/>
      <c r="C1421" s="87"/>
      <c r="D1421" s="85"/>
      <c r="E1421" s="84"/>
      <c r="F1421" s="85"/>
      <c r="G1421" s="87"/>
      <c r="H1421" s="87"/>
      <c r="I1421" s="87"/>
      <c r="J1421" s="101"/>
      <c r="K1421" s="87"/>
      <c r="L1421" s="91"/>
      <c r="M1421" s="91"/>
      <c r="N1421" s="88">
        <f>Goods_Receipt[[#This Row],[ Invoice. /
 Received Qty ]]-Goods_Receipt[[#This Row],[ Accepted Qty ]]</f>
        <v>0</v>
      </c>
      <c r="O1421" s="87"/>
      <c r="P1421" s="87"/>
      <c r="Q1421" s="87"/>
      <c r="R1421" s="87"/>
      <c r="S1421" s="87"/>
      <c r="T1421" s="85"/>
      <c r="U1421" s="89"/>
      <c r="V1421" s="90"/>
      <c r="W1421" s="87"/>
      <c r="X1421" s="91"/>
      <c r="Y1421" s="84"/>
      <c r="Z1421" s="97"/>
    </row>
    <row r="1422" spans="1:26" s="98" customFormat="1" x14ac:dyDescent="0.35">
      <c r="A1422" s="86">
        <v>1419</v>
      </c>
      <c r="B1422" s="85"/>
      <c r="C1422" s="87"/>
      <c r="D1422" s="85"/>
      <c r="E1422" s="84"/>
      <c r="F1422" s="85"/>
      <c r="G1422" s="87"/>
      <c r="H1422" s="87"/>
      <c r="I1422" s="87"/>
      <c r="J1422" s="101"/>
      <c r="K1422" s="87"/>
      <c r="L1422" s="91"/>
      <c r="M1422" s="91"/>
      <c r="N1422" s="88">
        <f>Goods_Receipt[[#This Row],[ Invoice. /
 Received Qty ]]-Goods_Receipt[[#This Row],[ Accepted Qty ]]</f>
        <v>0</v>
      </c>
      <c r="O1422" s="87"/>
      <c r="P1422" s="87"/>
      <c r="Q1422" s="87"/>
      <c r="R1422" s="87"/>
      <c r="S1422" s="87"/>
      <c r="T1422" s="85"/>
      <c r="U1422" s="89"/>
      <c r="V1422" s="90"/>
      <c r="W1422" s="87"/>
      <c r="X1422" s="91"/>
      <c r="Y1422" s="84"/>
      <c r="Z1422" s="97"/>
    </row>
    <row r="1423" spans="1:26" s="98" customFormat="1" x14ac:dyDescent="0.35">
      <c r="A1423" s="86">
        <v>1420</v>
      </c>
      <c r="B1423" s="85"/>
      <c r="C1423" s="87"/>
      <c r="D1423" s="85"/>
      <c r="E1423" s="84"/>
      <c r="F1423" s="85"/>
      <c r="G1423" s="87"/>
      <c r="H1423" s="87"/>
      <c r="I1423" s="87"/>
      <c r="J1423" s="101"/>
      <c r="K1423" s="87"/>
      <c r="L1423" s="91"/>
      <c r="M1423" s="91"/>
      <c r="N1423" s="88">
        <f>Goods_Receipt[[#This Row],[ Invoice. /
 Received Qty ]]-Goods_Receipt[[#This Row],[ Accepted Qty ]]</f>
        <v>0</v>
      </c>
      <c r="O1423" s="87"/>
      <c r="P1423" s="87"/>
      <c r="Q1423" s="87"/>
      <c r="R1423" s="87"/>
      <c r="S1423" s="87"/>
      <c r="T1423" s="85"/>
      <c r="U1423" s="89"/>
      <c r="V1423" s="90"/>
      <c r="W1423" s="87"/>
      <c r="X1423" s="91"/>
      <c r="Y1423" s="84"/>
      <c r="Z1423" s="97"/>
    </row>
    <row r="1424" spans="1:26" s="98" customFormat="1" x14ac:dyDescent="0.35">
      <c r="A1424" s="86">
        <v>1421</v>
      </c>
      <c r="B1424" s="85"/>
      <c r="C1424" s="87"/>
      <c r="D1424" s="85"/>
      <c r="E1424" s="84"/>
      <c r="F1424" s="85"/>
      <c r="G1424" s="87"/>
      <c r="H1424" s="87"/>
      <c r="I1424" s="87"/>
      <c r="J1424" s="101"/>
      <c r="K1424" s="87"/>
      <c r="L1424" s="91"/>
      <c r="M1424" s="91"/>
      <c r="N1424" s="88">
        <f>Goods_Receipt[[#This Row],[ Invoice. /
 Received Qty ]]-Goods_Receipt[[#This Row],[ Accepted Qty ]]</f>
        <v>0</v>
      </c>
      <c r="O1424" s="87"/>
      <c r="P1424" s="87"/>
      <c r="Q1424" s="87"/>
      <c r="R1424" s="87"/>
      <c r="S1424" s="87"/>
      <c r="T1424" s="85"/>
      <c r="U1424" s="89"/>
      <c r="V1424" s="90"/>
      <c r="W1424" s="87"/>
      <c r="X1424" s="91"/>
      <c r="Y1424" s="84"/>
      <c r="Z1424" s="97"/>
    </row>
    <row r="1425" spans="1:26" s="98" customFormat="1" x14ac:dyDescent="0.35">
      <c r="A1425" s="86">
        <v>1422</v>
      </c>
      <c r="B1425" s="85"/>
      <c r="C1425" s="87"/>
      <c r="D1425" s="85"/>
      <c r="E1425" s="84"/>
      <c r="F1425" s="85"/>
      <c r="G1425" s="87"/>
      <c r="H1425" s="87"/>
      <c r="I1425" s="87"/>
      <c r="J1425" s="101"/>
      <c r="K1425" s="87"/>
      <c r="L1425" s="91"/>
      <c r="M1425" s="91"/>
      <c r="N1425" s="88">
        <f>Goods_Receipt[[#This Row],[ Invoice. /
 Received Qty ]]-Goods_Receipt[[#This Row],[ Accepted Qty ]]</f>
        <v>0</v>
      </c>
      <c r="O1425" s="87"/>
      <c r="P1425" s="87"/>
      <c r="Q1425" s="87"/>
      <c r="R1425" s="87"/>
      <c r="S1425" s="87"/>
      <c r="T1425" s="85"/>
      <c r="U1425" s="89"/>
      <c r="V1425" s="90"/>
      <c r="W1425" s="87"/>
      <c r="X1425" s="91"/>
      <c r="Y1425" s="84"/>
      <c r="Z1425" s="97"/>
    </row>
    <row r="1426" spans="1:26" s="98" customFormat="1" x14ac:dyDescent="0.35">
      <c r="A1426" s="86">
        <v>1423</v>
      </c>
      <c r="B1426" s="85"/>
      <c r="C1426" s="87"/>
      <c r="D1426" s="85"/>
      <c r="E1426" s="84"/>
      <c r="F1426" s="85"/>
      <c r="G1426" s="87"/>
      <c r="H1426" s="87"/>
      <c r="I1426" s="87"/>
      <c r="J1426" s="101"/>
      <c r="K1426" s="87"/>
      <c r="L1426" s="91"/>
      <c r="M1426" s="91"/>
      <c r="N1426" s="88">
        <f>Goods_Receipt[[#This Row],[ Invoice. /
 Received Qty ]]-Goods_Receipt[[#This Row],[ Accepted Qty ]]</f>
        <v>0</v>
      </c>
      <c r="O1426" s="87"/>
      <c r="P1426" s="87"/>
      <c r="Q1426" s="87"/>
      <c r="R1426" s="87"/>
      <c r="S1426" s="87"/>
      <c r="T1426" s="85"/>
      <c r="U1426" s="89"/>
      <c r="V1426" s="90"/>
      <c r="W1426" s="87"/>
      <c r="X1426" s="91"/>
      <c r="Y1426" s="84"/>
      <c r="Z1426" s="97"/>
    </row>
    <row r="1427" spans="1:26" s="98" customFormat="1" x14ac:dyDescent="0.35">
      <c r="A1427" s="86">
        <v>1424</v>
      </c>
      <c r="B1427" s="85"/>
      <c r="C1427" s="87"/>
      <c r="D1427" s="85"/>
      <c r="E1427" s="84"/>
      <c r="F1427" s="85"/>
      <c r="G1427" s="87"/>
      <c r="H1427" s="87"/>
      <c r="I1427" s="87"/>
      <c r="J1427" s="101"/>
      <c r="K1427" s="87"/>
      <c r="L1427" s="91"/>
      <c r="M1427" s="91"/>
      <c r="N1427" s="88">
        <f>Goods_Receipt[[#This Row],[ Invoice. /
 Received Qty ]]-Goods_Receipt[[#This Row],[ Accepted Qty ]]</f>
        <v>0</v>
      </c>
      <c r="O1427" s="87"/>
      <c r="P1427" s="87"/>
      <c r="Q1427" s="87"/>
      <c r="R1427" s="87"/>
      <c r="S1427" s="87"/>
      <c r="T1427" s="85"/>
      <c r="U1427" s="89"/>
      <c r="V1427" s="90"/>
      <c r="W1427" s="87"/>
      <c r="X1427" s="91"/>
      <c r="Y1427" s="84"/>
      <c r="Z1427" s="97"/>
    </row>
    <row r="1428" spans="1:26" s="98" customFormat="1" x14ac:dyDescent="0.35">
      <c r="A1428" s="86">
        <v>1425</v>
      </c>
      <c r="B1428" s="85"/>
      <c r="C1428" s="87"/>
      <c r="D1428" s="85"/>
      <c r="E1428" s="84"/>
      <c r="F1428" s="85"/>
      <c r="G1428" s="87"/>
      <c r="H1428" s="87"/>
      <c r="I1428" s="87"/>
      <c r="J1428" s="101"/>
      <c r="K1428" s="87"/>
      <c r="L1428" s="91"/>
      <c r="M1428" s="91"/>
      <c r="N1428" s="88">
        <f>Goods_Receipt[[#This Row],[ Invoice. /
 Received Qty ]]-Goods_Receipt[[#This Row],[ Accepted Qty ]]</f>
        <v>0</v>
      </c>
      <c r="O1428" s="87"/>
      <c r="P1428" s="87"/>
      <c r="Q1428" s="87"/>
      <c r="R1428" s="87"/>
      <c r="S1428" s="87"/>
      <c r="T1428" s="85"/>
      <c r="U1428" s="89"/>
      <c r="V1428" s="90"/>
      <c r="W1428" s="87"/>
      <c r="X1428" s="91"/>
      <c r="Y1428" s="84"/>
      <c r="Z1428" s="97"/>
    </row>
    <row r="1429" spans="1:26" s="98" customFormat="1" x14ac:dyDescent="0.35">
      <c r="A1429" s="86">
        <v>1426</v>
      </c>
      <c r="B1429" s="85"/>
      <c r="C1429" s="87"/>
      <c r="D1429" s="85"/>
      <c r="E1429" s="84"/>
      <c r="F1429" s="85"/>
      <c r="G1429" s="87"/>
      <c r="H1429" s="87"/>
      <c r="I1429" s="87"/>
      <c r="J1429" s="101"/>
      <c r="K1429" s="87"/>
      <c r="L1429" s="91"/>
      <c r="M1429" s="91"/>
      <c r="N1429" s="88">
        <f>Goods_Receipt[[#This Row],[ Invoice. /
 Received Qty ]]-Goods_Receipt[[#This Row],[ Accepted Qty ]]</f>
        <v>0</v>
      </c>
      <c r="O1429" s="87"/>
      <c r="P1429" s="87"/>
      <c r="Q1429" s="87"/>
      <c r="R1429" s="87"/>
      <c r="S1429" s="87"/>
      <c r="T1429" s="85"/>
      <c r="U1429" s="89"/>
      <c r="V1429" s="90"/>
      <c r="W1429" s="87"/>
      <c r="X1429" s="91"/>
      <c r="Y1429" s="84"/>
      <c r="Z1429" s="97"/>
    </row>
    <row r="1430" spans="1:26" s="98" customFormat="1" x14ac:dyDescent="0.35">
      <c r="A1430" s="86">
        <v>1427</v>
      </c>
      <c r="B1430" s="85"/>
      <c r="C1430" s="87"/>
      <c r="D1430" s="85"/>
      <c r="E1430" s="84"/>
      <c r="F1430" s="85"/>
      <c r="G1430" s="87"/>
      <c r="H1430" s="87"/>
      <c r="I1430" s="87"/>
      <c r="J1430" s="101"/>
      <c r="K1430" s="87"/>
      <c r="L1430" s="91"/>
      <c r="M1430" s="91"/>
      <c r="N1430" s="88">
        <f>Goods_Receipt[[#This Row],[ Invoice. /
 Received Qty ]]-Goods_Receipt[[#This Row],[ Accepted Qty ]]</f>
        <v>0</v>
      </c>
      <c r="O1430" s="87"/>
      <c r="P1430" s="87"/>
      <c r="Q1430" s="87"/>
      <c r="R1430" s="87"/>
      <c r="S1430" s="87"/>
      <c r="T1430" s="85"/>
      <c r="U1430" s="89"/>
      <c r="V1430" s="90"/>
      <c r="W1430" s="87"/>
      <c r="X1430" s="91"/>
      <c r="Y1430" s="84"/>
      <c r="Z1430" s="97"/>
    </row>
    <row r="1431" spans="1:26" s="98" customFormat="1" x14ac:dyDescent="0.35">
      <c r="A1431" s="86">
        <v>1428</v>
      </c>
      <c r="B1431" s="85"/>
      <c r="C1431" s="87"/>
      <c r="D1431" s="85"/>
      <c r="E1431" s="84"/>
      <c r="F1431" s="85"/>
      <c r="G1431" s="87"/>
      <c r="H1431" s="87"/>
      <c r="I1431" s="87"/>
      <c r="J1431" s="101"/>
      <c r="K1431" s="87"/>
      <c r="L1431" s="91"/>
      <c r="M1431" s="91"/>
      <c r="N1431" s="88">
        <f>Goods_Receipt[[#This Row],[ Invoice. /
 Received Qty ]]-Goods_Receipt[[#This Row],[ Accepted Qty ]]</f>
        <v>0</v>
      </c>
      <c r="O1431" s="87"/>
      <c r="P1431" s="87"/>
      <c r="Q1431" s="87"/>
      <c r="R1431" s="87"/>
      <c r="S1431" s="87"/>
      <c r="T1431" s="85"/>
      <c r="U1431" s="89"/>
      <c r="V1431" s="90"/>
      <c r="W1431" s="87"/>
      <c r="X1431" s="91"/>
      <c r="Y1431" s="84"/>
      <c r="Z1431" s="97"/>
    </row>
    <row r="1432" spans="1:26" s="98" customFormat="1" x14ac:dyDescent="0.35">
      <c r="A1432" s="86">
        <v>1429</v>
      </c>
      <c r="B1432" s="85"/>
      <c r="C1432" s="87"/>
      <c r="D1432" s="85"/>
      <c r="E1432" s="84"/>
      <c r="F1432" s="85"/>
      <c r="G1432" s="87"/>
      <c r="H1432" s="87"/>
      <c r="I1432" s="87"/>
      <c r="J1432" s="101"/>
      <c r="K1432" s="87"/>
      <c r="L1432" s="91"/>
      <c r="M1432" s="91"/>
      <c r="N1432" s="88">
        <f>Goods_Receipt[[#This Row],[ Invoice. /
 Received Qty ]]-Goods_Receipt[[#This Row],[ Accepted Qty ]]</f>
        <v>0</v>
      </c>
      <c r="O1432" s="87"/>
      <c r="P1432" s="87"/>
      <c r="Q1432" s="87"/>
      <c r="R1432" s="87"/>
      <c r="S1432" s="87"/>
      <c r="T1432" s="85"/>
      <c r="U1432" s="89"/>
      <c r="V1432" s="90"/>
      <c r="W1432" s="87"/>
      <c r="X1432" s="91"/>
      <c r="Y1432" s="84"/>
      <c r="Z1432" s="97"/>
    </row>
    <row r="1433" spans="1:26" s="98" customFormat="1" x14ac:dyDescent="0.35">
      <c r="A1433" s="86">
        <v>1430</v>
      </c>
      <c r="B1433" s="85"/>
      <c r="C1433" s="87"/>
      <c r="D1433" s="85"/>
      <c r="E1433" s="84"/>
      <c r="F1433" s="85"/>
      <c r="G1433" s="87"/>
      <c r="H1433" s="87"/>
      <c r="I1433" s="87"/>
      <c r="J1433" s="101"/>
      <c r="K1433" s="87"/>
      <c r="L1433" s="91"/>
      <c r="M1433" s="91"/>
      <c r="N1433" s="88">
        <f>Goods_Receipt[[#This Row],[ Invoice. /
 Received Qty ]]-Goods_Receipt[[#This Row],[ Accepted Qty ]]</f>
        <v>0</v>
      </c>
      <c r="O1433" s="87"/>
      <c r="P1433" s="87"/>
      <c r="Q1433" s="87"/>
      <c r="R1433" s="87"/>
      <c r="S1433" s="87"/>
      <c r="T1433" s="85"/>
      <c r="U1433" s="89"/>
      <c r="V1433" s="90"/>
      <c r="W1433" s="87"/>
      <c r="X1433" s="91"/>
      <c r="Y1433" s="84"/>
      <c r="Z1433" s="97"/>
    </row>
    <row r="1434" spans="1:26" s="98" customFormat="1" x14ac:dyDescent="0.35">
      <c r="A1434" s="86">
        <v>1431</v>
      </c>
      <c r="B1434" s="85"/>
      <c r="C1434" s="87"/>
      <c r="D1434" s="85"/>
      <c r="E1434" s="84"/>
      <c r="F1434" s="85"/>
      <c r="G1434" s="87"/>
      <c r="H1434" s="87"/>
      <c r="I1434" s="87"/>
      <c r="J1434" s="101"/>
      <c r="K1434" s="87"/>
      <c r="L1434" s="91"/>
      <c r="M1434" s="91"/>
      <c r="N1434" s="88">
        <f>Goods_Receipt[[#This Row],[ Invoice. /
 Received Qty ]]-Goods_Receipt[[#This Row],[ Accepted Qty ]]</f>
        <v>0</v>
      </c>
      <c r="O1434" s="87"/>
      <c r="P1434" s="87"/>
      <c r="Q1434" s="87"/>
      <c r="R1434" s="87"/>
      <c r="S1434" s="87"/>
      <c r="T1434" s="85"/>
      <c r="U1434" s="89"/>
      <c r="V1434" s="90"/>
      <c r="W1434" s="87"/>
      <c r="X1434" s="91"/>
      <c r="Y1434" s="84"/>
      <c r="Z1434" s="97"/>
    </row>
    <row r="1435" spans="1:26" s="98" customFormat="1" x14ac:dyDescent="0.35">
      <c r="A1435" s="86">
        <v>1432</v>
      </c>
      <c r="B1435" s="85"/>
      <c r="C1435" s="87"/>
      <c r="D1435" s="85"/>
      <c r="E1435" s="84"/>
      <c r="F1435" s="85"/>
      <c r="G1435" s="87"/>
      <c r="H1435" s="87"/>
      <c r="I1435" s="87"/>
      <c r="J1435" s="101"/>
      <c r="K1435" s="87"/>
      <c r="L1435" s="91"/>
      <c r="M1435" s="91"/>
      <c r="N1435" s="88">
        <f>Goods_Receipt[[#This Row],[ Invoice. /
 Received Qty ]]-Goods_Receipt[[#This Row],[ Accepted Qty ]]</f>
        <v>0</v>
      </c>
      <c r="O1435" s="87"/>
      <c r="P1435" s="87"/>
      <c r="Q1435" s="87"/>
      <c r="R1435" s="87"/>
      <c r="S1435" s="87"/>
      <c r="T1435" s="85"/>
      <c r="U1435" s="89"/>
      <c r="V1435" s="90"/>
      <c r="W1435" s="87"/>
      <c r="X1435" s="91"/>
      <c r="Y1435" s="84"/>
      <c r="Z1435" s="97"/>
    </row>
    <row r="1436" spans="1:26" s="98" customFormat="1" x14ac:dyDescent="0.35">
      <c r="A1436" s="86">
        <v>1433</v>
      </c>
      <c r="B1436" s="85"/>
      <c r="C1436" s="87"/>
      <c r="D1436" s="85"/>
      <c r="E1436" s="84"/>
      <c r="F1436" s="85"/>
      <c r="G1436" s="87"/>
      <c r="H1436" s="87"/>
      <c r="I1436" s="87"/>
      <c r="J1436" s="101"/>
      <c r="K1436" s="87"/>
      <c r="L1436" s="91"/>
      <c r="M1436" s="91"/>
      <c r="N1436" s="88">
        <f>Goods_Receipt[[#This Row],[ Invoice. /
 Received Qty ]]-Goods_Receipt[[#This Row],[ Accepted Qty ]]</f>
        <v>0</v>
      </c>
      <c r="O1436" s="87"/>
      <c r="P1436" s="87"/>
      <c r="Q1436" s="87"/>
      <c r="R1436" s="87"/>
      <c r="S1436" s="87"/>
      <c r="T1436" s="85"/>
      <c r="U1436" s="89"/>
      <c r="V1436" s="90"/>
      <c r="W1436" s="87"/>
      <c r="X1436" s="91"/>
      <c r="Y1436" s="84"/>
      <c r="Z1436" s="97"/>
    </row>
    <row r="1437" spans="1:26" s="98" customFormat="1" x14ac:dyDescent="0.35">
      <c r="A1437" s="86">
        <v>1434</v>
      </c>
      <c r="B1437" s="85"/>
      <c r="C1437" s="87"/>
      <c r="D1437" s="85"/>
      <c r="E1437" s="84"/>
      <c r="F1437" s="85"/>
      <c r="G1437" s="87"/>
      <c r="H1437" s="87"/>
      <c r="I1437" s="87"/>
      <c r="J1437" s="101"/>
      <c r="K1437" s="87"/>
      <c r="L1437" s="91"/>
      <c r="M1437" s="91"/>
      <c r="N1437" s="88">
        <f>Goods_Receipt[[#This Row],[ Invoice. /
 Received Qty ]]-Goods_Receipt[[#This Row],[ Accepted Qty ]]</f>
        <v>0</v>
      </c>
      <c r="O1437" s="87"/>
      <c r="P1437" s="87"/>
      <c r="Q1437" s="87"/>
      <c r="R1437" s="87"/>
      <c r="S1437" s="87"/>
      <c r="T1437" s="85"/>
      <c r="U1437" s="89"/>
      <c r="V1437" s="90"/>
      <c r="W1437" s="87"/>
      <c r="X1437" s="91"/>
      <c r="Y1437" s="84"/>
      <c r="Z1437" s="97"/>
    </row>
    <row r="1438" spans="1:26" s="98" customFormat="1" x14ac:dyDescent="0.35">
      <c r="A1438" s="86">
        <v>1435</v>
      </c>
      <c r="B1438" s="85"/>
      <c r="C1438" s="87"/>
      <c r="D1438" s="85"/>
      <c r="E1438" s="84"/>
      <c r="F1438" s="85"/>
      <c r="G1438" s="87"/>
      <c r="H1438" s="87"/>
      <c r="I1438" s="87"/>
      <c r="J1438" s="101"/>
      <c r="K1438" s="87"/>
      <c r="L1438" s="91"/>
      <c r="M1438" s="91"/>
      <c r="N1438" s="88">
        <f>Goods_Receipt[[#This Row],[ Invoice. /
 Received Qty ]]-Goods_Receipt[[#This Row],[ Accepted Qty ]]</f>
        <v>0</v>
      </c>
      <c r="O1438" s="87"/>
      <c r="P1438" s="87"/>
      <c r="Q1438" s="87"/>
      <c r="R1438" s="87"/>
      <c r="S1438" s="87"/>
      <c r="T1438" s="85"/>
      <c r="U1438" s="89"/>
      <c r="V1438" s="90"/>
      <c r="W1438" s="87"/>
      <c r="X1438" s="91"/>
      <c r="Y1438" s="84"/>
      <c r="Z1438" s="97"/>
    </row>
    <row r="1439" spans="1:26" s="98" customFormat="1" x14ac:dyDescent="0.35">
      <c r="A1439" s="86">
        <v>1436</v>
      </c>
      <c r="B1439" s="85"/>
      <c r="C1439" s="87"/>
      <c r="D1439" s="85"/>
      <c r="E1439" s="84"/>
      <c r="F1439" s="85"/>
      <c r="G1439" s="87"/>
      <c r="H1439" s="87"/>
      <c r="I1439" s="87"/>
      <c r="J1439" s="101"/>
      <c r="K1439" s="87"/>
      <c r="L1439" s="91"/>
      <c r="M1439" s="91"/>
      <c r="N1439" s="88">
        <f>Goods_Receipt[[#This Row],[ Invoice. /
 Received Qty ]]-Goods_Receipt[[#This Row],[ Accepted Qty ]]</f>
        <v>0</v>
      </c>
      <c r="O1439" s="87"/>
      <c r="P1439" s="87"/>
      <c r="Q1439" s="87"/>
      <c r="R1439" s="87"/>
      <c r="S1439" s="87"/>
      <c r="T1439" s="85"/>
      <c r="U1439" s="89"/>
      <c r="V1439" s="90"/>
      <c r="W1439" s="87"/>
      <c r="X1439" s="91"/>
      <c r="Y1439" s="84"/>
      <c r="Z1439" s="97"/>
    </row>
    <row r="1440" spans="1:26" s="98" customFormat="1" x14ac:dyDescent="0.35">
      <c r="A1440" s="86">
        <v>1437</v>
      </c>
      <c r="B1440" s="85"/>
      <c r="C1440" s="87"/>
      <c r="D1440" s="85"/>
      <c r="E1440" s="84"/>
      <c r="F1440" s="85"/>
      <c r="G1440" s="87"/>
      <c r="H1440" s="87"/>
      <c r="I1440" s="87"/>
      <c r="J1440" s="101"/>
      <c r="K1440" s="87"/>
      <c r="L1440" s="91"/>
      <c r="M1440" s="91"/>
      <c r="N1440" s="88">
        <f>Goods_Receipt[[#This Row],[ Invoice. /
 Received Qty ]]-Goods_Receipt[[#This Row],[ Accepted Qty ]]</f>
        <v>0</v>
      </c>
      <c r="O1440" s="87"/>
      <c r="P1440" s="87"/>
      <c r="Q1440" s="87"/>
      <c r="R1440" s="87"/>
      <c r="S1440" s="87"/>
      <c r="T1440" s="85"/>
      <c r="U1440" s="89"/>
      <c r="V1440" s="90"/>
      <c r="W1440" s="87"/>
      <c r="X1440" s="91"/>
      <c r="Y1440" s="84"/>
      <c r="Z1440" s="97"/>
    </row>
    <row r="1441" spans="1:26" s="98" customFormat="1" x14ac:dyDescent="0.35">
      <c r="A1441" s="86">
        <v>1438</v>
      </c>
      <c r="B1441" s="85"/>
      <c r="C1441" s="87"/>
      <c r="D1441" s="85"/>
      <c r="E1441" s="84"/>
      <c r="F1441" s="85"/>
      <c r="G1441" s="87"/>
      <c r="H1441" s="87"/>
      <c r="I1441" s="87"/>
      <c r="J1441" s="101"/>
      <c r="K1441" s="87"/>
      <c r="L1441" s="91"/>
      <c r="M1441" s="91"/>
      <c r="N1441" s="88">
        <f>Goods_Receipt[[#This Row],[ Invoice. /
 Received Qty ]]-Goods_Receipt[[#This Row],[ Accepted Qty ]]</f>
        <v>0</v>
      </c>
      <c r="O1441" s="87"/>
      <c r="P1441" s="87"/>
      <c r="Q1441" s="87"/>
      <c r="R1441" s="87"/>
      <c r="S1441" s="87"/>
      <c r="T1441" s="85"/>
      <c r="U1441" s="89"/>
      <c r="V1441" s="90"/>
      <c r="W1441" s="87"/>
      <c r="X1441" s="91"/>
      <c r="Y1441" s="84"/>
      <c r="Z1441" s="97"/>
    </row>
    <row r="1442" spans="1:26" s="98" customFormat="1" x14ac:dyDescent="0.35">
      <c r="A1442" s="86">
        <v>1439</v>
      </c>
      <c r="B1442" s="85"/>
      <c r="C1442" s="87"/>
      <c r="D1442" s="85"/>
      <c r="E1442" s="84"/>
      <c r="F1442" s="85"/>
      <c r="G1442" s="87"/>
      <c r="H1442" s="87"/>
      <c r="I1442" s="87"/>
      <c r="J1442" s="101"/>
      <c r="K1442" s="87"/>
      <c r="L1442" s="91"/>
      <c r="M1442" s="91"/>
      <c r="N1442" s="88">
        <f>Goods_Receipt[[#This Row],[ Invoice. /
 Received Qty ]]-Goods_Receipt[[#This Row],[ Accepted Qty ]]</f>
        <v>0</v>
      </c>
      <c r="O1442" s="87"/>
      <c r="P1442" s="87"/>
      <c r="Q1442" s="87"/>
      <c r="R1442" s="87"/>
      <c r="S1442" s="87"/>
      <c r="T1442" s="85"/>
      <c r="U1442" s="89"/>
      <c r="V1442" s="90"/>
      <c r="W1442" s="87"/>
      <c r="X1442" s="91"/>
      <c r="Y1442" s="84"/>
      <c r="Z1442" s="97"/>
    </row>
    <row r="1443" spans="1:26" s="98" customFormat="1" x14ac:dyDescent="0.35">
      <c r="A1443" s="86">
        <v>1440</v>
      </c>
      <c r="B1443" s="85"/>
      <c r="C1443" s="87"/>
      <c r="D1443" s="85"/>
      <c r="E1443" s="84"/>
      <c r="F1443" s="85"/>
      <c r="G1443" s="87"/>
      <c r="H1443" s="87"/>
      <c r="I1443" s="87"/>
      <c r="J1443" s="101"/>
      <c r="K1443" s="87"/>
      <c r="L1443" s="91"/>
      <c r="M1443" s="91"/>
      <c r="N1443" s="88">
        <f>Goods_Receipt[[#This Row],[ Invoice. /
 Received Qty ]]-Goods_Receipt[[#This Row],[ Accepted Qty ]]</f>
        <v>0</v>
      </c>
      <c r="O1443" s="87"/>
      <c r="P1443" s="87"/>
      <c r="Q1443" s="87"/>
      <c r="R1443" s="87"/>
      <c r="S1443" s="87"/>
      <c r="T1443" s="85"/>
      <c r="U1443" s="89"/>
      <c r="V1443" s="90"/>
      <c r="W1443" s="87"/>
      <c r="X1443" s="91"/>
      <c r="Y1443" s="84"/>
      <c r="Z1443" s="97"/>
    </row>
    <row r="1444" spans="1:26" s="98" customFormat="1" x14ac:dyDescent="0.35">
      <c r="A1444" s="86">
        <v>1441</v>
      </c>
      <c r="B1444" s="85"/>
      <c r="C1444" s="87"/>
      <c r="D1444" s="85"/>
      <c r="E1444" s="84"/>
      <c r="F1444" s="85"/>
      <c r="G1444" s="87"/>
      <c r="H1444" s="87"/>
      <c r="I1444" s="87"/>
      <c r="J1444" s="101"/>
      <c r="K1444" s="87"/>
      <c r="L1444" s="91"/>
      <c r="M1444" s="91"/>
      <c r="N1444" s="88">
        <f>Goods_Receipt[[#This Row],[ Invoice. /
 Received Qty ]]-Goods_Receipt[[#This Row],[ Accepted Qty ]]</f>
        <v>0</v>
      </c>
      <c r="O1444" s="87"/>
      <c r="P1444" s="87"/>
      <c r="Q1444" s="87"/>
      <c r="R1444" s="87"/>
      <c r="S1444" s="87"/>
      <c r="T1444" s="85"/>
      <c r="U1444" s="89"/>
      <c r="V1444" s="90"/>
      <c r="W1444" s="87"/>
      <c r="X1444" s="91"/>
      <c r="Y1444" s="84"/>
      <c r="Z1444" s="97"/>
    </row>
    <row r="1445" spans="1:26" s="98" customFormat="1" x14ac:dyDescent="0.35">
      <c r="A1445" s="86">
        <v>1442</v>
      </c>
      <c r="B1445" s="85"/>
      <c r="C1445" s="87"/>
      <c r="D1445" s="85"/>
      <c r="E1445" s="84"/>
      <c r="F1445" s="85"/>
      <c r="G1445" s="87"/>
      <c r="H1445" s="87"/>
      <c r="I1445" s="87"/>
      <c r="J1445" s="101"/>
      <c r="K1445" s="87"/>
      <c r="L1445" s="91"/>
      <c r="M1445" s="91"/>
      <c r="N1445" s="88">
        <f>Goods_Receipt[[#This Row],[ Invoice. /
 Received Qty ]]-Goods_Receipt[[#This Row],[ Accepted Qty ]]</f>
        <v>0</v>
      </c>
      <c r="O1445" s="87"/>
      <c r="P1445" s="87"/>
      <c r="Q1445" s="87"/>
      <c r="R1445" s="87"/>
      <c r="S1445" s="87"/>
      <c r="T1445" s="85"/>
      <c r="U1445" s="89"/>
      <c r="V1445" s="90"/>
      <c r="W1445" s="87"/>
      <c r="X1445" s="91"/>
      <c r="Y1445" s="84"/>
      <c r="Z1445" s="97"/>
    </row>
    <row r="1446" spans="1:26" s="98" customFormat="1" x14ac:dyDescent="0.35">
      <c r="A1446" s="86">
        <v>1443</v>
      </c>
      <c r="B1446" s="85"/>
      <c r="C1446" s="87"/>
      <c r="D1446" s="85"/>
      <c r="E1446" s="84"/>
      <c r="F1446" s="85"/>
      <c r="G1446" s="87"/>
      <c r="H1446" s="87"/>
      <c r="I1446" s="87"/>
      <c r="J1446" s="101"/>
      <c r="K1446" s="87"/>
      <c r="L1446" s="91"/>
      <c r="M1446" s="91"/>
      <c r="N1446" s="88">
        <f>Goods_Receipt[[#This Row],[ Invoice. /
 Received Qty ]]-Goods_Receipt[[#This Row],[ Accepted Qty ]]</f>
        <v>0</v>
      </c>
      <c r="O1446" s="87"/>
      <c r="P1446" s="87"/>
      <c r="Q1446" s="87"/>
      <c r="R1446" s="87"/>
      <c r="S1446" s="87"/>
      <c r="T1446" s="85"/>
      <c r="U1446" s="89"/>
      <c r="V1446" s="90"/>
      <c r="W1446" s="87"/>
      <c r="X1446" s="91"/>
      <c r="Y1446" s="84"/>
      <c r="Z1446" s="97"/>
    </row>
    <row r="1447" spans="1:26" s="98" customFormat="1" x14ac:dyDescent="0.35">
      <c r="A1447" s="86">
        <v>1444</v>
      </c>
      <c r="B1447" s="85"/>
      <c r="C1447" s="87"/>
      <c r="D1447" s="85"/>
      <c r="E1447" s="84"/>
      <c r="F1447" s="85"/>
      <c r="G1447" s="87"/>
      <c r="H1447" s="87"/>
      <c r="I1447" s="87"/>
      <c r="J1447" s="101"/>
      <c r="K1447" s="87"/>
      <c r="L1447" s="91"/>
      <c r="M1447" s="91"/>
      <c r="N1447" s="88">
        <f>Goods_Receipt[[#This Row],[ Invoice. /
 Received Qty ]]-Goods_Receipt[[#This Row],[ Accepted Qty ]]</f>
        <v>0</v>
      </c>
      <c r="O1447" s="87"/>
      <c r="P1447" s="87"/>
      <c r="Q1447" s="87"/>
      <c r="R1447" s="87"/>
      <c r="S1447" s="87"/>
      <c r="T1447" s="85"/>
      <c r="U1447" s="89"/>
      <c r="V1447" s="90"/>
      <c r="W1447" s="87"/>
      <c r="X1447" s="91"/>
      <c r="Y1447" s="84"/>
      <c r="Z1447" s="97"/>
    </row>
    <row r="1448" spans="1:26" s="98" customFormat="1" x14ac:dyDescent="0.35">
      <c r="A1448" s="86">
        <v>1445</v>
      </c>
      <c r="B1448" s="85"/>
      <c r="C1448" s="87"/>
      <c r="D1448" s="85"/>
      <c r="E1448" s="84"/>
      <c r="F1448" s="85"/>
      <c r="G1448" s="87"/>
      <c r="H1448" s="87"/>
      <c r="I1448" s="87"/>
      <c r="J1448" s="101"/>
      <c r="K1448" s="87"/>
      <c r="L1448" s="91"/>
      <c r="M1448" s="91"/>
      <c r="N1448" s="88">
        <f>Goods_Receipt[[#This Row],[ Invoice. /
 Received Qty ]]-Goods_Receipt[[#This Row],[ Accepted Qty ]]</f>
        <v>0</v>
      </c>
      <c r="O1448" s="87"/>
      <c r="P1448" s="87"/>
      <c r="Q1448" s="87"/>
      <c r="R1448" s="87"/>
      <c r="S1448" s="87"/>
      <c r="T1448" s="85"/>
      <c r="U1448" s="89"/>
      <c r="V1448" s="90"/>
      <c r="W1448" s="87"/>
      <c r="X1448" s="91"/>
      <c r="Y1448" s="84"/>
      <c r="Z1448" s="97"/>
    </row>
    <row r="1449" spans="1:26" s="98" customFormat="1" x14ac:dyDescent="0.35">
      <c r="A1449" s="86">
        <v>1446</v>
      </c>
      <c r="B1449" s="85"/>
      <c r="C1449" s="87"/>
      <c r="D1449" s="85"/>
      <c r="E1449" s="84"/>
      <c r="F1449" s="85"/>
      <c r="G1449" s="87"/>
      <c r="H1449" s="87"/>
      <c r="I1449" s="87"/>
      <c r="J1449" s="101"/>
      <c r="K1449" s="87"/>
      <c r="L1449" s="91"/>
      <c r="M1449" s="91"/>
      <c r="N1449" s="88">
        <f>Goods_Receipt[[#This Row],[ Invoice. /
 Received Qty ]]-Goods_Receipt[[#This Row],[ Accepted Qty ]]</f>
        <v>0</v>
      </c>
      <c r="O1449" s="87"/>
      <c r="P1449" s="87"/>
      <c r="Q1449" s="87"/>
      <c r="R1449" s="87"/>
      <c r="S1449" s="87"/>
      <c r="T1449" s="85"/>
      <c r="U1449" s="89"/>
      <c r="V1449" s="90"/>
      <c r="W1449" s="87"/>
      <c r="X1449" s="91"/>
      <c r="Y1449" s="84"/>
      <c r="Z1449" s="97"/>
    </row>
    <row r="1450" spans="1:26" s="98" customFormat="1" x14ac:dyDescent="0.35">
      <c r="A1450" s="86">
        <v>1447</v>
      </c>
      <c r="B1450" s="85"/>
      <c r="C1450" s="87"/>
      <c r="D1450" s="85"/>
      <c r="E1450" s="84"/>
      <c r="F1450" s="85"/>
      <c r="G1450" s="87"/>
      <c r="H1450" s="87"/>
      <c r="I1450" s="87"/>
      <c r="J1450" s="101"/>
      <c r="K1450" s="87"/>
      <c r="L1450" s="91"/>
      <c r="M1450" s="91"/>
      <c r="N1450" s="88">
        <f>Goods_Receipt[[#This Row],[ Invoice. /
 Received Qty ]]-Goods_Receipt[[#This Row],[ Accepted Qty ]]</f>
        <v>0</v>
      </c>
      <c r="O1450" s="87"/>
      <c r="P1450" s="87"/>
      <c r="Q1450" s="87"/>
      <c r="R1450" s="87"/>
      <c r="S1450" s="87"/>
      <c r="T1450" s="85"/>
      <c r="U1450" s="89"/>
      <c r="V1450" s="90"/>
      <c r="W1450" s="87"/>
      <c r="X1450" s="91"/>
      <c r="Y1450" s="84"/>
      <c r="Z1450" s="97"/>
    </row>
    <row r="1451" spans="1:26" s="98" customFormat="1" x14ac:dyDescent="0.35">
      <c r="A1451" s="86">
        <v>1448</v>
      </c>
      <c r="B1451" s="85"/>
      <c r="C1451" s="87"/>
      <c r="D1451" s="85"/>
      <c r="E1451" s="84"/>
      <c r="F1451" s="85"/>
      <c r="G1451" s="87"/>
      <c r="H1451" s="87"/>
      <c r="I1451" s="87"/>
      <c r="J1451" s="101"/>
      <c r="K1451" s="87"/>
      <c r="L1451" s="91"/>
      <c r="M1451" s="91"/>
      <c r="N1451" s="88">
        <f>Goods_Receipt[[#This Row],[ Invoice. /
 Received Qty ]]-Goods_Receipt[[#This Row],[ Accepted Qty ]]</f>
        <v>0</v>
      </c>
      <c r="O1451" s="87"/>
      <c r="P1451" s="87"/>
      <c r="Q1451" s="87"/>
      <c r="R1451" s="87"/>
      <c r="S1451" s="87"/>
      <c r="T1451" s="85"/>
      <c r="U1451" s="89"/>
      <c r="V1451" s="90"/>
      <c r="W1451" s="87"/>
      <c r="X1451" s="91"/>
      <c r="Y1451" s="84"/>
      <c r="Z1451" s="97"/>
    </row>
    <row r="1452" spans="1:26" s="98" customFormat="1" x14ac:dyDescent="0.35">
      <c r="A1452" s="86">
        <v>1449</v>
      </c>
      <c r="B1452" s="85"/>
      <c r="C1452" s="87"/>
      <c r="D1452" s="85"/>
      <c r="E1452" s="84"/>
      <c r="F1452" s="85"/>
      <c r="G1452" s="87"/>
      <c r="H1452" s="87"/>
      <c r="I1452" s="87"/>
      <c r="J1452" s="101"/>
      <c r="K1452" s="87"/>
      <c r="L1452" s="91"/>
      <c r="M1452" s="91"/>
      <c r="N1452" s="88">
        <f>Goods_Receipt[[#This Row],[ Invoice. /
 Received Qty ]]-Goods_Receipt[[#This Row],[ Accepted Qty ]]</f>
        <v>0</v>
      </c>
      <c r="O1452" s="87"/>
      <c r="P1452" s="87"/>
      <c r="Q1452" s="87"/>
      <c r="R1452" s="87"/>
      <c r="S1452" s="87"/>
      <c r="T1452" s="85"/>
      <c r="U1452" s="89"/>
      <c r="V1452" s="90"/>
      <c r="W1452" s="87"/>
      <c r="X1452" s="91"/>
      <c r="Y1452" s="84"/>
      <c r="Z1452" s="97"/>
    </row>
    <row r="1453" spans="1:26" s="98" customFormat="1" x14ac:dyDescent="0.35">
      <c r="A1453" s="86">
        <v>1450</v>
      </c>
      <c r="B1453" s="85"/>
      <c r="C1453" s="87"/>
      <c r="D1453" s="85"/>
      <c r="E1453" s="84"/>
      <c r="F1453" s="85"/>
      <c r="G1453" s="87"/>
      <c r="H1453" s="87"/>
      <c r="I1453" s="87"/>
      <c r="J1453" s="101"/>
      <c r="K1453" s="87"/>
      <c r="L1453" s="91"/>
      <c r="M1453" s="91"/>
      <c r="N1453" s="88">
        <f>Goods_Receipt[[#This Row],[ Invoice. /
 Received Qty ]]-Goods_Receipt[[#This Row],[ Accepted Qty ]]</f>
        <v>0</v>
      </c>
      <c r="O1453" s="87"/>
      <c r="P1453" s="87"/>
      <c r="Q1453" s="87"/>
      <c r="R1453" s="87"/>
      <c r="S1453" s="87"/>
      <c r="T1453" s="85"/>
      <c r="U1453" s="89"/>
      <c r="V1453" s="90"/>
      <c r="W1453" s="87"/>
      <c r="X1453" s="91"/>
      <c r="Y1453" s="84"/>
      <c r="Z1453" s="97"/>
    </row>
    <row r="1454" spans="1:26" s="98" customFormat="1" x14ac:dyDescent="0.35">
      <c r="A1454" s="86">
        <v>1451</v>
      </c>
      <c r="B1454" s="85"/>
      <c r="C1454" s="87"/>
      <c r="D1454" s="85"/>
      <c r="E1454" s="84"/>
      <c r="F1454" s="85"/>
      <c r="G1454" s="87"/>
      <c r="H1454" s="87"/>
      <c r="I1454" s="87"/>
      <c r="J1454" s="101"/>
      <c r="K1454" s="87"/>
      <c r="L1454" s="91"/>
      <c r="M1454" s="91"/>
      <c r="N1454" s="88">
        <f>Goods_Receipt[[#This Row],[ Invoice. /
 Received Qty ]]-Goods_Receipt[[#This Row],[ Accepted Qty ]]</f>
        <v>0</v>
      </c>
      <c r="O1454" s="87"/>
      <c r="P1454" s="87"/>
      <c r="Q1454" s="87"/>
      <c r="R1454" s="87"/>
      <c r="S1454" s="87"/>
      <c r="T1454" s="85"/>
      <c r="U1454" s="89"/>
      <c r="V1454" s="90"/>
      <c r="W1454" s="87"/>
      <c r="X1454" s="91"/>
      <c r="Y1454" s="84"/>
      <c r="Z1454" s="97"/>
    </row>
    <row r="1455" spans="1:26" s="98" customFormat="1" x14ac:dyDescent="0.35">
      <c r="A1455" s="86">
        <v>1452</v>
      </c>
      <c r="B1455" s="85"/>
      <c r="C1455" s="87"/>
      <c r="D1455" s="85"/>
      <c r="E1455" s="84"/>
      <c r="F1455" s="85"/>
      <c r="G1455" s="87"/>
      <c r="H1455" s="87"/>
      <c r="I1455" s="87"/>
      <c r="J1455" s="101"/>
      <c r="K1455" s="87"/>
      <c r="L1455" s="91"/>
      <c r="M1455" s="91"/>
      <c r="N1455" s="88">
        <f>Goods_Receipt[[#This Row],[ Invoice. /
 Received Qty ]]-Goods_Receipt[[#This Row],[ Accepted Qty ]]</f>
        <v>0</v>
      </c>
      <c r="O1455" s="87"/>
      <c r="P1455" s="87"/>
      <c r="Q1455" s="87"/>
      <c r="R1455" s="87"/>
      <c r="S1455" s="87"/>
      <c r="T1455" s="85"/>
      <c r="U1455" s="89"/>
      <c r="V1455" s="90"/>
      <c r="W1455" s="87"/>
      <c r="X1455" s="91"/>
      <c r="Y1455" s="84"/>
      <c r="Z1455" s="97"/>
    </row>
    <row r="1456" spans="1:26" s="98" customFormat="1" x14ac:dyDescent="0.35">
      <c r="A1456" s="86">
        <v>1453</v>
      </c>
      <c r="B1456" s="85"/>
      <c r="C1456" s="87"/>
      <c r="D1456" s="85"/>
      <c r="E1456" s="84"/>
      <c r="F1456" s="85"/>
      <c r="G1456" s="87"/>
      <c r="H1456" s="87"/>
      <c r="I1456" s="87"/>
      <c r="J1456" s="101"/>
      <c r="K1456" s="87"/>
      <c r="L1456" s="91"/>
      <c r="M1456" s="91"/>
      <c r="N1456" s="88">
        <f>Goods_Receipt[[#This Row],[ Invoice. /
 Received Qty ]]-Goods_Receipt[[#This Row],[ Accepted Qty ]]</f>
        <v>0</v>
      </c>
      <c r="O1456" s="87"/>
      <c r="P1456" s="87"/>
      <c r="Q1456" s="87"/>
      <c r="R1456" s="87"/>
      <c r="S1456" s="87"/>
      <c r="T1456" s="85"/>
      <c r="U1456" s="89"/>
      <c r="V1456" s="90"/>
      <c r="W1456" s="87"/>
      <c r="X1456" s="91"/>
      <c r="Y1456" s="84"/>
      <c r="Z1456" s="97"/>
    </row>
    <row r="1457" spans="1:26" s="98" customFormat="1" x14ac:dyDescent="0.35">
      <c r="A1457" s="86">
        <v>1454</v>
      </c>
      <c r="B1457" s="85"/>
      <c r="C1457" s="87"/>
      <c r="D1457" s="85"/>
      <c r="E1457" s="84"/>
      <c r="F1457" s="85"/>
      <c r="G1457" s="87"/>
      <c r="H1457" s="87"/>
      <c r="I1457" s="87"/>
      <c r="J1457" s="101"/>
      <c r="K1457" s="87"/>
      <c r="L1457" s="91"/>
      <c r="M1457" s="91"/>
      <c r="N1457" s="88">
        <f>Goods_Receipt[[#This Row],[ Invoice. /
 Received Qty ]]-Goods_Receipt[[#This Row],[ Accepted Qty ]]</f>
        <v>0</v>
      </c>
      <c r="O1457" s="87"/>
      <c r="P1457" s="87"/>
      <c r="Q1457" s="87"/>
      <c r="R1457" s="87"/>
      <c r="S1457" s="87"/>
      <c r="T1457" s="85"/>
      <c r="U1457" s="89"/>
      <c r="V1457" s="90"/>
      <c r="W1457" s="87"/>
      <c r="X1457" s="91"/>
      <c r="Y1457" s="84"/>
      <c r="Z1457" s="97"/>
    </row>
    <row r="1458" spans="1:26" s="98" customFormat="1" x14ac:dyDescent="0.35">
      <c r="A1458" s="86">
        <v>1455</v>
      </c>
      <c r="B1458" s="85"/>
      <c r="C1458" s="87"/>
      <c r="D1458" s="85"/>
      <c r="E1458" s="84"/>
      <c r="F1458" s="85"/>
      <c r="G1458" s="87"/>
      <c r="H1458" s="87"/>
      <c r="I1458" s="87"/>
      <c r="J1458" s="101"/>
      <c r="K1458" s="87"/>
      <c r="L1458" s="91"/>
      <c r="M1458" s="91"/>
      <c r="N1458" s="88">
        <f>Goods_Receipt[[#This Row],[ Invoice. /
 Received Qty ]]-Goods_Receipt[[#This Row],[ Accepted Qty ]]</f>
        <v>0</v>
      </c>
      <c r="O1458" s="87"/>
      <c r="P1458" s="87"/>
      <c r="Q1458" s="87"/>
      <c r="R1458" s="87"/>
      <c r="S1458" s="87"/>
      <c r="T1458" s="85"/>
      <c r="U1458" s="89"/>
      <c r="V1458" s="90"/>
      <c r="W1458" s="87"/>
      <c r="X1458" s="91"/>
      <c r="Y1458" s="84"/>
      <c r="Z1458" s="97"/>
    </row>
    <row r="1459" spans="1:26" s="98" customFormat="1" x14ac:dyDescent="0.35">
      <c r="A1459" s="86">
        <v>1456</v>
      </c>
      <c r="B1459" s="85"/>
      <c r="C1459" s="87"/>
      <c r="D1459" s="85"/>
      <c r="E1459" s="84"/>
      <c r="F1459" s="85"/>
      <c r="G1459" s="87"/>
      <c r="H1459" s="87"/>
      <c r="I1459" s="87"/>
      <c r="J1459" s="101"/>
      <c r="K1459" s="87"/>
      <c r="L1459" s="91"/>
      <c r="M1459" s="91"/>
      <c r="N1459" s="88">
        <f>Goods_Receipt[[#This Row],[ Invoice. /
 Received Qty ]]-Goods_Receipt[[#This Row],[ Accepted Qty ]]</f>
        <v>0</v>
      </c>
      <c r="O1459" s="87"/>
      <c r="P1459" s="87"/>
      <c r="Q1459" s="87"/>
      <c r="R1459" s="87"/>
      <c r="S1459" s="87"/>
      <c r="T1459" s="85"/>
      <c r="U1459" s="89"/>
      <c r="V1459" s="90"/>
      <c r="W1459" s="87"/>
      <c r="X1459" s="91"/>
      <c r="Y1459" s="84"/>
      <c r="Z1459" s="97"/>
    </row>
    <row r="1460" spans="1:26" s="98" customFormat="1" x14ac:dyDescent="0.35">
      <c r="A1460" s="86">
        <v>1457</v>
      </c>
      <c r="B1460" s="85"/>
      <c r="C1460" s="87"/>
      <c r="D1460" s="85"/>
      <c r="E1460" s="84"/>
      <c r="F1460" s="85"/>
      <c r="G1460" s="87"/>
      <c r="H1460" s="87"/>
      <c r="I1460" s="87"/>
      <c r="J1460" s="101"/>
      <c r="K1460" s="87"/>
      <c r="L1460" s="91"/>
      <c r="M1460" s="91"/>
      <c r="N1460" s="88">
        <f>Goods_Receipt[[#This Row],[ Invoice. /
 Received Qty ]]-Goods_Receipt[[#This Row],[ Accepted Qty ]]</f>
        <v>0</v>
      </c>
      <c r="O1460" s="87"/>
      <c r="P1460" s="87"/>
      <c r="Q1460" s="87"/>
      <c r="R1460" s="87"/>
      <c r="S1460" s="87"/>
      <c r="T1460" s="85"/>
      <c r="U1460" s="89"/>
      <c r="V1460" s="90"/>
      <c r="W1460" s="87"/>
      <c r="X1460" s="91"/>
      <c r="Y1460" s="84"/>
      <c r="Z1460" s="97"/>
    </row>
    <row r="1461" spans="1:26" s="98" customFormat="1" x14ac:dyDescent="0.35">
      <c r="A1461" s="86">
        <v>1458</v>
      </c>
      <c r="B1461" s="85"/>
      <c r="C1461" s="87"/>
      <c r="D1461" s="85"/>
      <c r="E1461" s="84"/>
      <c r="F1461" s="85"/>
      <c r="G1461" s="87"/>
      <c r="H1461" s="87"/>
      <c r="I1461" s="87"/>
      <c r="J1461" s="101"/>
      <c r="K1461" s="87"/>
      <c r="L1461" s="91"/>
      <c r="M1461" s="91"/>
      <c r="N1461" s="88">
        <f>Goods_Receipt[[#This Row],[ Invoice. /
 Received Qty ]]-Goods_Receipt[[#This Row],[ Accepted Qty ]]</f>
        <v>0</v>
      </c>
      <c r="O1461" s="87"/>
      <c r="P1461" s="87"/>
      <c r="Q1461" s="87"/>
      <c r="R1461" s="87"/>
      <c r="S1461" s="87"/>
      <c r="T1461" s="85"/>
      <c r="U1461" s="89"/>
      <c r="V1461" s="90"/>
      <c r="W1461" s="87"/>
      <c r="X1461" s="91"/>
      <c r="Y1461" s="84"/>
      <c r="Z1461" s="97"/>
    </row>
    <row r="1462" spans="1:26" s="98" customFormat="1" x14ac:dyDescent="0.35">
      <c r="A1462" s="86">
        <v>1459</v>
      </c>
      <c r="B1462" s="85"/>
      <c r="C1462" s="87"/>
      <c r="D1462" s="85"/>
      <c r="E1462" s="84"/>
      <c r="F1462" s="85"/>
      <c r="G1462" s="87"/>
      <c r="H1462" s="87"/>
      <c r="I1462" s="87"/>
      <c r="J1462" s="101"/>
      <c r="K1462" s="87"/>
      <c r="L1462" s="91"/>
      <c r="M1462" s="91"/>
      <c r="N1462" s="88">
        <f>Goods_Receipt[[#This Row],[ Invoice. /
 Received Qty ]]-Goods_Receipt[[#This Row],[ Accepted Qty ]]</f>
        <v>0</v>
      </c>
      <c r="O1462" s="87"/>
      <c r="P1462" s="87"/>
      <c r="Q1462" s="87"/>
      <c r="R1462" s="87"/>
      <c r="S1462" s="87"/>
      <c r="T1462" s="85"/>
      <c r="U1462" s="89"/>
      <c r="V1462" s="90"/>
      <c r="W1462" s="87"/>
      <c r="X1462" s="91"/>
      <c r="Y1462" s="84"/>
      <c r="Z1462" s="97"/>
    </row>
    <row r="1463" spans="1:26" s="98" customFormat="1" x14ac:dyDescent="0.35">
      <c r="A1463" s="86">
        <v>1460</v>
      </c>
      <c r="B1463" s="85"/>
      <c r="C1463" s="87"/>
      <c r="D1463" s="85"/>
      <c r="E1463" s="84"/>
      <c r="F1463" s="85"/>
      <c r="G1463" s="87"/>
      <c r="H1463" s="87"/>
      <c r="I1463" s="87"/>
      <c r="J1463" s="101"/>
      <c r="K1463" s="87"/>
      <c r="L1463" s="91"/>
      <c r="M1463" s="91"/>
      <c r="N1463" s="88">
        <f>Goods_Receipt[[#This Row],[ Invoice. /
 Received Qty ]]-Goods_Receipt[[#This Row],[ Accepted Qty ]]</f>
        <v>0</v>
      </c>
      <c r="O1463" s="87"/>
      <c r="P1463" s="87"/>
      <c r="Q1463" s="87"/>
      <c r="R1463" s="87"/>
      <c r="S1463" s="87"/>
      <c r="T1463" s="85"/>
      <c r="U1463" s="89"/>
      <c r="V1463" s="90"/>
      <c r="W1463" s="87"/>
      <c r="X1463" s="91"/>
      <c r="Y1463" s="84"/>
      <c r="Z1463" s="97"/>
    </row>
    <row r="1464" spans="1:26" s="98" customFormat="1" x14ac:dyDescent="0.35">
      <c r="A1464" s="86">
        <v>1461</v>
      </c>
      <c r="B1464" s="85"/>
      <c r="C1464" s="87"/>
      <c r="D1464" s="85"/>
      <c r="E1464" s="84"/>
      <c r="F1464" s="85"/>
      <c r="G1464" s="87"/>
      <c r="H1464" s="87"/>
      <c r="I1464" s="87"/>
      <c r="J1464" s="101"/>
      <c r="K1464" s="87"/>
      <c r="L1464" s="91"/>
      <c r="M1464" s="91"/>
      <c r="N1464" s="88">
        <f>Goods_Receipt[[#This Row],[ Invoice. /
 Received Qty ]]-Goods_Receipt[[#This Row],[ Accepted Qty ]]</f>
        <v>0</v>
      </c>
      <c r="O1464" s="87"/>
      <c r="P1464" s="87"/>
      <c r="Q1464" s="87"/>
      <c r="R1464" s="87"/>
      <c r="S1464" s="87"/>
      <c r="T1464" s="85"/>
      <c r="U1464" s="89"/>
      <c r="V1464" s="90"/>
      <c r="W1464" s="87"/>
      <c r="X1464" s="91"/>
      <c r="Y1464" s="84"/>
      <c r="Z1464" s="97"/>
    </row>
    <row r="1465" spans="1:26" s="98" customFormat="1" x14ac:dyDescent="0.35">
      <c r="A1465" s="86">
        <v>1462</v>
      </c>
      <c r="B1465" s="85"/>
      <c r="C1465" s="87"/>
      <c r="D1465" s="85"/>
      <c r="E1465" s="84"/>
      <c r="F1465" s="85"/>
      <c r="G1465" s="87"/>
      <c r="H1465" s="87"/>
      <c r="I1465" s="87"/>
      <c r="J1465" s="101"/>
      <c r="K1465" s="87"/>
      <c r="L1465" s="91"/>
      <c r="M1465" s="91"/>
      <c r="N1465" s="88">
        <f>Goods_Receipt[[#This Row],[ Invoice. /
 Received Qty ]]-Goods_Receipt[[#This Row],[ Accepted Qty ]]</f>
        <v>0</v>
      </c>
      <c r="O1465" s="87"/>
      <c r="P1465" s="87"/>
      <c r="Q1465" s="87"/>
      <c r="R1465" s="87"/>
      <c r="S1465" s="87"/>
      <c r="T1465" s="85"/>
      <c r="U1465" s="89"/>
      <c r="V1465" s="90"/>
      <c r="W1465" s="87"/>
      <c r="X1465" s="91"/>
      <c r="Y1465" s="84"/>
      <c r="Z1465" s="97"/>
    </row>
    <row r="1466" spans="1:26" s="98" customFormat="1" x14ac:dyDescent="0.35">
      <c r="A1466" s="86">
        <v>1463</v>
      </c>
      <c r="B1466" s="85"/>
      <c r="C1466" s="87"/>
      <c r="D1466" s="85"/>
      <c r="E1466" s="84"/>
      <c r="F1466" s="85"/>
      <c r="G1466" s="87"/>
      <c r="H1466" s="87"/>
      <c r="I1466" s="87"/>
      <c r="J1466" s="101"/>
      <c r="K1466" s="87"/>
      <c r="L1466" s="91"/>
      <c r="M1466" s="91"/>
      <c r="N1466" s="88">
        <f>Goods_Receipt[[#This Row],[ Invoice. /
 Received Qty ]]-Goods_Receipt[[#This Row],[ Accepted Qty ]]</f>
        <v>0</v>
      </c>
      <c r="O1466" s="87"/>
      <c r="P1466" s="87"/>
      <c r="Q1466" s="87"/>
      <c r="R1466" s="87"/>
      <c r="S1466" s="87"/>
      <c r="T1466" s="85"/>
      <c r="U1466" s="89"/>
      <c r="V1466" s="90"/>
      <c r="W1466" s="87"/>
      <c r="X1466" s="91"/>
      <c r="Y1466" s="84"/>
      <c r="Z1466" s="97"/>
    </row>
    <row r="1467" spans="1:26" s="98" customFormat="1" x14ac:dyDescent="0.35">
      <c r="A1467" s="86">
        <v>1464</v>
      </c>
      <c r="B1467" s="85"/>
      <c r="C1467" s="87"/>
      <c r="D1467" s="85"/>
      <c r="E1467" s="84"/>
      <c r="F1467" s="85"/>
      <c r="G1467" s="87"/>
      <c r="H1467" s="87"/>
      <c r="I1467" s="87"/>
      <c r="J1467" s="101"/>
      <c r="K1467" s="87"/>
      <c r="L1467" s="91"/>
      <c r="M1467" s="91"/>
      <c r="N1467" s="88">
        <f>Goods_Receipt[[#This Row],[ Invoice. /
 Received Qty ]]-Goods_Receipt[[#This Row],[ Accepted Qty ]]</f>
        <v>0</v>
      </c>
      <c r="O1467" s="87"/>
      <c r="P1467" s="87"/>
      <c r="Q1467" s="87"/>
      <c r="R1467" s="87"/>
      <c r="S1467" s="87"/>
      <c r="T1467" s="85"/>
      <c r="U1467" s="89"/>
      <c r="V1467" s="90"/>
      <c r="W1467" s="87"/>
      <c r="X1467" s="91"/>
      <c r="Y1467" s="84"/>
      <c r="Z1467" s="97"/>
    </row>
    <row r="1468" spans="1:26" s="98" customFormat="1" x14ac:dyDescent="0.35">
      <c r="A1468" s="86">
        <v>1465</v>
      </c>
      <c r="B1468" s="85"/>
      <c r="C1468" s="87"/>
      <c r="D1468" s="85"/>
      <c r="E1468" s="84"/>
      <c r="F1468" s="85"/>
      <c r="G1468" s="87"/>
      <c r="H1468" s="87"/>
      <c r="I1468" s="87"/>
      <c r="J1468" s="101"/>
      <c r="K1468" s="87"/>
      <c r="L1468" s="91"/>
      <c r="M1468" s="91"/>
      <c r="N1468" s="88">
        <f>Goods_Receipt[[#This Row],[ Invoice. /
 Received Qty ]]-Goods_Receipt[[#This Row],[ Accepted Qty ]]</f>
        <v>0</v>
      </c>
      <c r="O1468" s="87"/>
      <c r="P1468" s="87"/>
      <c r="Q1468" s="87"/>
      <c r="R1468" s="87"/>
      <c r="S1468" s="87"/>
      <c r="T1468" s="85"/>
      <c r="U1468" s="89"/>
      <c r="V1468" s="90"/>
      <c r="W1468" s="87"/>
      <c r="X1468" s="91"/>
      <c r="Y1468" s="84"/>
      <c r="Z1468" s="97"/>
    </row>
    <row r="1469" spans="1:26" s="98" customFormat="1" x14ac:dyDescent="0.35">
      <c r="A1469" s="86">
        <v>1466</v>
      </c>
      <c r="B1469" s="85"/>
      <c r="C1469" s="87"/>
      <c r="D1469" s="85"/>
      <c r="E1469" s="84"/>
      <c r="F1469" s="85"/>
      <c r="G1469" s="87"/>
      <c r="H1469" s="87"/>
      <c r="I1469" s="87"/>
      <c r="J1469" s="101"/>
      <c r="K1469" s="87"/>
      <c r="L1469" s="91"/>
      <c r="M1469" s="91"/>
      <c r="N1469" s="88">
        <f>Goods_Receipt[[#This Row],[ Invoice. /
 Received Qty ]]-Goods_Receipt[[#This Row],[ Accepted Qty ]]</f>
        <v>0</v>
      </c>
      <c r="O1469" s="87"/>
      <c r="P1469" s="87"/>
      <c r="Q1469" s="87"/>
      <c r="R1469" s="87"/>
      <c r="S1469" s="87"/>
      <c r="T1469" s="85"/>
      <c r="U1469" s="89"/>
      <c r="V1469" s="90"/>
      <c r="W1469" s="87"/>
      <c r="X1469" s="91"/>
      <c r="Y1469" s="84"/>
      <c r="Z1469" s="97"/>
    </row>
    <row r="1470" spans="1:26" s="98" customFormat="1" x14ac:dyDescent="0.35">
      <c r="A1470" s="86">
        <v>1467</v>
      </c>
      <c r="B1470" s="85"/>
      <c r="C1470" s="87"/>
      <c r="D1470" s="85"/>
      <c r="E1470" s="84"/>
      <c r="F1470" s="85"/>
      <c r="G1470" s="87"/>
      <c r="H1470" s="87"/>
      <c r="I1470" s="87"/>
      <c r="J1470" s="101"/>
      <c r="K1470" s="87"/>
      <c r="L1470" s="91"/>
      <c r="M1470" s="91"/>
      <c r="N1470" s="88">
        <f>Goods_Receipt[[#This Row],[ Invoice. /
 Received Qty ]]-Goods_Receipt[[#This Row],[ Accepted Qty ]]</f>
        <v>0</v>
      </c>
      <c r="O1470" s="87"/>
      <c r="P1470" s="87"/>
      <c r="Q1470" s="87"/>
      <c r="R1470" s="87"/>
      <c r="S1470" s="87"/>
      <c r="T1470" s="85"/>
      <c r="U1470" s="89"/>
      <c r="V1470" s="90"/>
      <c r="W1470" s="87"/>
      <c r="X1470" s="91"/>
      <c r="Y1470" s="84"/>
      <c r="Z1470" s="97"/>
    </row>
    <row r="1471" spans="1:26" s="98" customFormat="1" x14ac:dyDescent="0.35">
      <c r="A1471" s="86">
        <v>1468</v>
      </c>
      <c r="B1471" s="85"/>
      <c r="C1471" s="87"/>
      <c r="D1471" s="85"/>
      <c r="E1471" s="84"/>
      <c r="F1471" s="85"/>
      <c r="G1471" s="87"/>
      <c r="H1471" s="87"/>
      <c r="I1471" s="87"/>
      <c r="J1471" s="101"/>
      <c r="K1471" s="87"/>
      <c r="L1471" s="91"/>
      <c r="M1471" s="91"/>
      <c r="N1471" s="88">
        <f>Goods_Receipt[[#This Row],[ Invoice. /
 Received Qty ]]-Goods_Receipt[[#This Row],[ Accepted Qty ]]</f>
        <v>0</v>
      </c>
      <c r="O1471" s="87"/>
      <c r="P1471" s="87"/>
      <c r="Q1471" s="87"/>
      <c r="R1471" s="87"/>
      <c r="S1471" s="87"/>
      <c r="T1471" s="85"/>
      <c r="U1471" s="89"/>
      <c r="V1471" s="90"/>
      <c r="W1471" s="87"/>
      <c r="X1471" s="91"/>
      <c r="Y1471" s="84"/>
      <c r="Z1471" s="97"/>
    </row>
    <row r="1472" spans="1:26" s="98" customFormat="1" x14ac:dyDescent="0.35">
      <c r="A1472" s="86">
        <v>1469</v>
      </c>
      <c r="B1472" s="85"/>
      <c r="C1472" s="87"/>
      <c r="D1472" s="85"/>
      <c r="E1472" s="84"/>
      <c r="F1472" s="85"/>
      <c r="G1472" s="87"/>
      <c r="H1472" s="87"/>
      <c r="I1472" s="87"/>
      <c r="J1472" s="101"/>
      <c r="K1472" s="87"/>
      <c r="L1472" s="91"/>
      <c r="M1472" s="91"/>
      <c r="N1472" s="88">
        <f>Goods_Receipt[[#This Row],[ Invoice. /
 Received Qty ]]-Goods_Receipt[[#This Row],[ Accepted Qty ]]</f>
        <v>0</v>
      </c>
      <c r="O1472" s="87"/>
      <c r="P1472" s="87"/>
      <c r="Q1472" s="87"/>
      <c r="R1472" s="87"/>
      <c r="S1472" s="87"/>
      <c r="T1472" s="85"/>
      <c r="U1472" s="89"/>
      <c r="V1472" s="90"/>
      <c r="W1472" s="87"/>
      <c r="X1472" s="91"/>
      <c r="Y1472" s="84"/>
      <c r="Z1472" s="97"/>
    </row>
    <row r="1473" spans="1:26" s="98" customFormat="1" x14ac:dyDescent="0.35">
      <c r="A1473" s="86">
        <v>1470</v>
      </c>
      <c r="B1473" s="85"/>
      <c r="C1473" s="87"/>
      <c r="D1473" s="85"/>
      <c r="E1473" s="84"/>
      <c r="F1473" s="85"/>
      <c r="G1473" s="87"/>
      <c r="H1473" s="87"/>
      <c r="I1473" s="87"/>
      <c r="J1473" s="101"/>
      <c r="K1473" s="87"/>
      <c r="L1473" s="91"/>
      <c r="M1473" s="91"/>
      <c r="N1473" s="88">
        <f>Goods_Receipt[[#This Row],[ Invoice. /
 Received Qty ]]-Goods_Receipt[[#This Row],[ Accepted Qty ]]</f>
        <v>0</v>
      </c>
      <c r="O1473" s="87"/>
      <c r="P1473" s="87"/>
      <c r="Q1473" s="87"/>
      <c r="R1473" s="87"/>
      <c r="S1473" s="87"/>
      <c r="T1473" s="85"/>
      <c r="U1473" s="89"/>
      <c r="V1473" s="90"/>
      <c r="W1473" s="87"/>
      <c r="X1473" s="91"/>
      <c r="Y1473" s="84"/>
      <c r="Z1473" s="97"/>
    </row>
    <row r="1474" spans="1:26" s="98" customFormat="1" x14ac:dyDescent="0.35">
      <c r="A1474" s="86">
        <v>1471</v>
      </c>
      <c r="B1474" s="85"/>
      <c r="C1474" s="87"/>
      <c r="D1474" s="85"/>
      <c r="E1474" s="84"/>
      <c r="F1474" s="85"/>
      <c r="G1474" s="87"/>
      <c r="H1474" s="87"/>
      <c r="I1474" s="87"/>
      <c r="J1474" s="101"/>
      <c r="K1474" s="87"/>
      <c r="L1474" s="91"/>
      <c r="M1474" s="91"/>
      <c r="N1474" s="88">
        <f>Goods_Receipt[[#This Row],[ Invoice. /
 Received Qty ]]-Goods_Receipt[[#This Row],[ Accepted Qty ]]</f>
        <v>0</v>
      </c>
      <c r="O1474" s="87"/>
      <c r="P1474" s="87"/>
      <c r="Q1474" s="87"/>
      <c r="R1474" s="87"/>
      <c r="S1474" s="87"/>
      <c r="T1474" s="85"/>
      <c r="U1474" s="89"/>
      <c r="V1474" s="90"/>
      <c r="W1474" s="87"/>
      <c r="X1474" s="91"/>
      <c r="Y1474" s="84"/>
      <c r="Z1474" s="97"/>
    </row>
    <row r="1475" spans="1:26" s="98" customFormat="1" x14ac:dyDescent="0.35">
      <c r="A1475" s="86">
        <v>1472</v>
      </c>
      <c r="B1475" s="85"/>
      <c r="C1475" s="87"/>
      <c r="D1475" s="85"/>
      <c r="E1475" s="84"/>
      <c r="F1475" s="85"/>
      <c r="G1475" s="87"/>
      <c r="H1475" s="87"/>
      <c r="I1475" s="87"/>
      <c r="J1475" s="101"/>
      <c r="K1475" s="87"/>
      <c r="L1475" s="91"/>
      <c r="M1475" s="91"/>
      <c r="N1475" s="88">
        <f>Goods_Receipt[[#This Row],[ Invoice. /
 Received Qty ]]-Goods_Receipt[[#This Row],[ Accepted Qty ]]</f>
        <v>0</v>
      </c>
      <c r="O1475" s="87"/>
      <c r="P1475" s="87"/>
      <c r="Q1475" s="87"/>
      <c r="R1475" s="87"/>
      <c r="S1475" s="87"/>
      <c r="T1475" s="85"/>
      <c r="U1475" s="89"/>
      <c r="V1475" s="90"/>
      <c r="W1475" s="87"/>
      <c r="X1475" s="91"/>
      <c r="Y1475" s="84"/>
      <c r="Z1475" s="97"/>
    </row>
    <row r="1476" spans="1:26" s="98" customFormat="1" x14ac:dyDescent="0.35">
      <c r="A1476" s="86">
        <v>1473</v>
      </c>
      <c r="B1476" s="85"/>
      <c r="C1476" s="87"/>
      <c r="D1476" s="85"/>
      <c r="E1476" s="84"/>
      <c r="F1476" s="85"/>
      <c r="G1476" s="87"/>
      <c r="H1476" s="87"/>
      <c r="I1476" s="87"/>
      <c r="J1476" s="101"/>
      <c r="K1476" s="87"/>
      <c r="L1476" s="91"/>
      <c r="M1476" s="91"/>
      <c r="N1476" s="88">
        <f>Goods_Receipt[[#This Row],[ Invoice. /
 Received Qty ]]-Goods_Receipt[[#This Row],[ Accepted Qty ]]</f>
        <v>0</v>
      </c>
      <c r="O1476" s="87"/>
      <c r="P1476" s="87"/>
      <c r="Q1476" s="87"/>
      <c r="R1476" s="87"/>
      <c r="S1476" s="87"/>
      <c r="T1476" s="85"/>
      <c r="U1476" s="89"/>
      <c r="V1476" s="90"/>
      <c r="W1476" s="87"/>
      <c r="X1476" s="91"/>
      <c r="Y1476" s="84"/>
      <c r="Z1476" s="97"/>
    </row>
    <row r="1477" spans="1:26" s="98" customFormat="1" x14ac:dyDescent="0.35">
      <c r="A1477" s="86">
        <v>1474</v>
      </c>
      <c r="B1477" s="85"/>
      <c r="C1477" s="87"/>
      <c r="D1477" s="85"/>
      <c r="E1477" s="84"/>
      <c r="F1477" s="85"/>
      <c r="G1477" s="87"/>
      <c r="H1477" s="87"/>
      <c r="I1477" s="87"/>
      <c r="J1477" s="101"/>
      <c r="K1477" s="87"/>
      <c r="L1477" s="91"/>
      <c r="M1477" s="91"/>
      <c r="N1477" s="88">
        <f>Goods_Receipt[[#This Row],[ Invoice. /
 Received Qty ]]-Goods_Receipt[[#This Row],[ Accepted Qty ]]</f>
        <v>0</v>
      </c>
      <c r="O1477" s="87"/>
      <c r="P1477" s="87"/>
      <c r="Q1477" s="87"/>
      <c r="R1477" s="87"/>
      <c r="S1477" s="87"/>
      <c r="T1477" s="85"/>
      <c r="U1477" s="89"/>
      <c r="V1477" s="90"/>
      <c r="W1477" s="87"/>
      <c r="X1477" s="91"/>
      <c r="Y1477" s="84"/>
      <c r="Z1477" s="97"/>
    </row>
    <row r="1478" spans="1:26" s="98" customFormat="1" x14ac:dyDescent="0.35">
      <c r="A1478" s="86">
        <v>1475</v>
      </c>
      <c r="B1478" s="85"/>
      <c r="C1478" s="87"/>
      <c r="D1478" s="85"/>
      <c r="E1478" s="84"/>
      <c r="F1478" s="85"/>
      <c r="G1478" s="87"/>
      <c r="H1478" s="87"/>
      <c r="I1478" s="87"/>
      <c r="J1478" s="101"/>
      <c r="K1478" s="87"/>
      <c r="L1478" s="91"/>
      <c r="M1478" s="91"/>
      <c r="N1478" s="88">
        <f>Goods_Receipt[[#This Row],[ Invoice. /
 Received Qty ]]-Goods_Receipt[[#This Row],[ Accepted Qty ]]</f>
        <v>0</v>
      </c>
      <c r="O1478" s="87"/>
      <c r="P1478" s="87"/>
      <c r="Q1478" s="87"/>
      <c r="R1478" s="87"/>
      <c r="S1478" s="87"/>
      <c r="T1478" s="85"/>
      <c r="U1478" s="89"/>
      <c r="V1478" s="90"/>
      <c r="W1478" s="87"/>
      <c r="X1478" s="91"/>
      <c r="Y1478" s="84"/>
      <c r="Z1478" s="97"/>
    </row>
    <row r="1479" spans="1:26" s="98" customFormat="1" x14ac:dyDescent="0.35">
      <c r="A1479" s="86">
        <v>1476</v>
      </c>
      <c r="B1479" s="85"/>
      <c r="C1479" s="87"/>
      <c r="D1479" s="85"/>
      <c r="E1479" s="84"/>
      <c r="F1479" s="85"/>
      <c r="G1479" s="87"/>
      <c r="H1479" s="87"/>
      <c r="I1479" s="87"/>
      <c r="J1479" s="101"/>
      <c r="K1479" s="87"/>
      <c r="L1479" s="91"/>
      <c r="M1479" s="91"/>
      <c r="N1479" s="88">
        <f>Goods_Receipt[[#This Row],[ Invoice. /
 Received Qty ]]-Goods_Receipt[[#This Row],[ Accepted Qty ]]</f>
        <v>0</v>
      </c>
      <c r="O1479" s="87"/>
      <c r="P1479" s="87"/>
      <c r="Q1479" s="87"/>
      <c r="R1479" s="87"/>
      <c r="S1479" s="87"/>
      <c r="T1479" s="85"/>
      <c r="U1479" s="89"/>
      <c r="V1479" s="90"/>
      <c r="W1479" s="87"/>
      <c r="X1479" s="91"/>
      <c r="Y1479" s="84"/>
      <c r="Z1479" s="97"/>
    </row>
    <row r="1480" spans="1:26" s="98" customFormat="1" x14ac:dyDescent="0.35">
      <c r="A1480" s="86">
        <v>1477</v>
      </c>
      <c r="B1480" s="85"/>
      <c r="C1480" s="87"/>
      <c r="D1480" s="85"/>
      <c r="E1480" s="84"/>
      <c r="F1480" s="85"/>
      <c r="G1480" s="87"/>
      <c r="H1480" s="87"/>
      <c r="I1480" s="87"/>
      <c r="J1480" s="101"/>
      <c r="K1480" s="87"/>
      <c r="L1480" s="91"/>
      <c r="M1480" s="91"/>
      <c r="N1480" s="88">
        <f>Goods_Receipt[[#This Row],[ Invoice. /
 Received Qty ]]-Goods_Receipt[[#This Row],[ Accepted Qty ]]</f>
        <v>0</v>
      </c>
      <c r="O1480" s="87"/>
      <c r="P1480" s="87"/>
      <c r="Q1480" s="87"/>
      <c r="R1480" s="87"/>
      <c r="S1480" s="87"/>
      <c r="T1480" s="85"/>
      <c r="U1480" s="89"/>
      <c r="V1480" s="90"/>
      <c r="W1480" s="87"/>
      <c r="X1480" s="91"/>
      <c r="Y1480" s="84"/>
      <c r="Z1480" s="97"/>
    </row>
    <row r="1481" spans="1:26" s="98" customFormat="1" x14ac:dyDescent="0.35">
      <c r="A1481" s="86">
        <v>1478</v>
      </c>
      <c r="B1481" s="85"/>
      <c r="C1481" s="87"/>
      <c r="D1481" s="85"/>
      <c r="E1481" s="84"/>
      <c r="F1481" s="85"/>
      <c r="G1481" s="87"/>
      <c r="H1481" s="87"/>
      <c r="I1481" s="87"/>
      <c r="J1481" s="101"/>
      <c r="K1481" s="87"/>
      <c r="L1481" s="91"/>
      <c r="M1481" s="91"/>
      <c r="N1481" s="88">
        <f>Goods_Receipt[[#This Row],[ Invoice. /
 Received Qty ]]-Goods_Receipt[[#This Row],[ Accepted Qty ]]</f>
        <v>0</v>
      </c>
      <c r="O1481" s="87"/>
      <c r="P1481" s="87"/>
      <c r="Q1481" s="87"/>
      <c r="R1481" s="87"/>
      <c r="S1481" s="87"/>
      <c r="T1481" s="85"/>
      <c r="U1481" s="89"/>
      <c r="V1481" s="90"/>
      <c r="W1481" s="87"/>
      <c r="X1481" s="91"/>
      <c r="Y1481" s="84"/>
      <c r="Z1481" s="97"/>
    </row>
    <row r="1482" spans="1:26" s="98" customFormat="1" x14ac:dyDescent="0.35">
      <c r="A1482" s="86">
        <v>1479</v>
      </c>
      <c r="B1482" s="85"/>
      <c r="C1482" s="87"/>
      <c r="D1482" s="85"/>
      <c r="E1482" s="84"/>
      <c r="F1482" s="85"/>
      <c r="G1482" s="87"/>
      <c r="H1482" s="87"/>
      <c r="I1482" s="87"/>
      <c r="J1482" s="101"/>
      <c r="K1482" s="87"/>
      <c r="L1482" s="91"/>
      <c r="M1482" s="91"/>
      <c r="N1482" s="88">
        <f>Goods_Receipt[[#This Row],[ Invoice. /
 Received Qty ]]-Goods_Receipt[[#This Row],[ Accepted Qty ]]</f>
        <v>0</v>
      </c>
      <c r="O1482" s="87"/>
      <c r="P1482" s="87"/>
      <c r="Q1482" s="87"/>
      <c r="R1482" s="87"/>
      <c r="S1482" s="87"/>
      <c r="T1482" s="85"/>
      <c r="U1482" s="89"/>
      <c r="V1482" s="90"/>
      <c r="W1482" s="87"/>
      <c r="X1482" s="91"/>
      <c r="Y1482" s="84"/>
      <c r="Z1482" s="97"/>
    </row>
    <row r="1483" spans="1:26" s="98" customFormat="1" x14ac:dyDescent="0.35">
      <c r="A1483" s="86">
        <v>1480</v>
      </c>
      <c r="B1483" s="85"/>
      <c r="C1483" s="87"/>
      <c r="D1483" s="85"/>
      <c r="E1483" s="84"/>
      <c r="F1483" s="85"/>
      <c r="G1483" s="87"/>
      <c r="H1483" s="87"/>
      <c r="I1483" s="87"/>
      <c r="J1483" s="101"/>
      <c r="K1483" s="87"/>
      <c r="L1483" s="91"/>
      <c r="M1483" s="91"/>
      <c r="N1483" s="88">
        <f>Goods_Receipt[[#This Row],[ Invoice. /
 Received Qty ]]-Goods_Receipt[[#This Row],[ Accepted Qty ]]</f>
        <v>0</v>
      </c>
      <c r="O1483" s="87"/>
      <c r="P1483" s="87"/>
      <c r="Q1483" s="87"/>
      <c r="R1483" s="87"/>
      <c r="S1483" s="87"/>
      <c r="T1483" s="85"/>
      <c r="U1483" s="89"/>
      <c r="V1483" s="90"/>
      <c r="W1483" s="87"/>
      <c r="X1483" s="91"/>
      <c r="Y1483" s="84"/>
      <c r="Z1483" s="97"/>
    </row>
    <row r="1484" spans="1:26" s="98" customFormat="1" x14ac:dyDescent="0.35">
      <c r="A1484" s="86">
        <v>1481</v>
      </c>
      <c r="B1484" s="85"/>
      <c r="C1484" s="87"/>
      <c r="D1484" s="85"/>
      <c r="E1484" s="84"/>
      <c r="F1484" s="85"/>
      <c r="G1484" s="87"/>
      <c r="H1484" s="87"/>
      <c r="I1484" s="87"/>
      <c r="J1484" s="101"/>
      <c r="K1484" s="87"/>
      <c r="L1484" s="91"/>
      <c r="M1484" s="91"/>
      <c r="N1484" s="88">
        <f>Goods_Receipt[[#This Row],[ Invoice. /
 Received Qty ]]-Goods_Receipt[[#This Row],[ Accepted Qty ]]</f>
        <v>0</v>
      </c>
      <c r="O1484" s="87"/>
      <c r="P1484" s="87"/>
      <c r="Q1484" s="87"/>
      <c r="R1484" s="87"/>
      <c r="S1484" s="87"/>
      <c r="T1484" s="85"/>
      <c r="U1484" s="89"/>
      <c r="V1484" s="90"/>
      <c r="W1484" s="87"/>
      <c r="X1484" s="91"/>
      <c r="Y1484" s="84"/>
      <c r="Z1484" s="97"/>
    </row>
    <row r="1485" spans="1:26" s="98" customFormat="1" x14ac:dyDescent="0.35">
      <c r="A1485" s="86">
        <v>1482</v>
      </c>
      <c r="B1485" s="85"/>
      <c r="C1485" s="87"/>
      <c r="D1485" s="85"/>
      <c r="E1485" s="84"/>
      <c r="F1485" s="85"/>
      <c r="G1485" s="87"/>
      <c r="H1485" s="87"/>
      <c r="I1485" s="87"/>
      <c r="J1485" s="101"/>
      <c r="K1485" s="87"/>
      <c r="L1485" s="91"/>
      <c r="M1485" s="91"/>
      <c r="N1485" s="88">
        <f>Goods_Receipt[[#This Row],[ Invoice. /
 Received Qty ]]-Goods_Receipt[[#This Row],[ Accepted Qty ]]</f>
        <v>0</v>
      </c>
      <c r="O1485" s="87"/>
      <c r="P1485" s="87"/>
      <c r="Q1485" s="87"/>
      <c r="R1485" s="87"/>
      <c r="S1485" s="87"/>
      <c r="T1485" s="85"/>
      <c r="U1485" s="89"/>
      <c r="V1485" s="90"/>
      <c r="W1485" s="87"/>
      <c r="X1485" s="91"/>
      <c r="Y1485" s="84"/>
      <c r="Z1485" s="97"/>
    </row>
    <row r="1486" spans="1:26" s="98" customFormat="1" x14ac:dyDescent="0.35">
      <c r="A1486" s="86">
        <v>1483</v>
      </c>
      <c r="B1486" s="85"/>
      <c r="C1486" s="87"/>
      <c r="D1486" s="85"/>
      <c r="E1486" s="84"/>
      <c r="F1486" s="85"/>
      <c r="G1486" s="87"/>
      <c r="H1486" s="87"/>
      <c r="I1486" s="87"/>
      <c r="J1486" s="101"/>
      <c r="K1486" s="87"/>
      <c r="L1486" s="91"/>
      <c r="M1486" s="91"/>
      <c r="N1486" s="88">
        <f>Goods_Receipt[[#This Row],[ Invoice. /
 Received Qty ]]-Goods_Receipt[[#This Row],[ Accepted Qty ]]</f>
        <v>0</v>
      </c>
      <c r="O1486" s="87"/>
      <c r="P1486" s="87"/>
      <c r="Q1486" s="87"/>
      <c r="R1486" s="87"/>
      <c r="S1486" s="87"/>
      <c r="T1486" s="85"/>
      <c r="U1486" s="89"/>
      <c r="V1486" s="90"/>
      <c r="W1486" s="87"/>
      <c r="X1486" s="91"/>
      <c r="Y1486" s="84"/>
      <c r="Z1486" s="97"/>
    </row>
    <row r="1487" spans="1:26" s="98" customFormat="1" x14ac:dyDescent="0.35">
      <c r="A1487" s="86">
        <v>1484</v>
      </c>
      <c r="B1487" s="85"/>
      <c r="C1487" s="87"/>
      <c r="D1487" s="85"/>
      <c r="E1487" s="84"/>
      <c r="F1487" s="85"/>
      <c r="G1487" s="87"/>
      <c r="H1487" s="87"/>
      <c r="I1487" s="87"/>
      <c r="J1487" s="101"/>
      <c r="K1487" s="87"/>
      <c r="L1487" s="91"/>
      <c r="M1487" s="91"/>
      <c r="N1487" s="88">
        <f>Goods_Receipt[[#This Row],[ Invoice. /
 Received Qty ]]-Goods_Receipt[[#This Row],[ Accepted Qty ]]</f>
        <v>0</v>
      </c>
      <c r="O1487" s="87"/>
      <c r="P1487" s="87"/>
      <c r="Q1487" s="87"/>
      <c r="R1487" s="87"/>
      <c r="S1487" s="87"/>
      <c r="T1487" s="85"/>
      <c r="U1487" s="89"/>
      <c r="V1487" s="90"/>
      <c r="W1487" s="87"/>
      <c r="X1487" s="91"/>
      <c r="Y1487" s="84"/>
      <c r="Z1487" s="97"/>
    </row>
    <row r="1488" spans="1:26" s="98" customFormat="1" x14ac:dyDescent="0.35">
      <c r="A1488" s="86">
        <v>1485</v>
      </c>
      <c r="B1488" s="85"/>
      <c r="C1488" s="87"/>
      <c r="D1488" s="85"/>
      <c r="E1488" s="84"/>
      <c r="F1488" s="85"/>
      <c r="G1488" s="87"/>
      <c r="H1488" s="87"/>
      <c r="I1488" s="87"/>
      <c r="J1488" s="101"/>
      <c r="K1488" s="87"/>
      <c r="L1488" s="91"/>
      <c r="M1488" s="91"/>
      <c r="N1488" s="88">
        <f>Goods_Receipt[[#This Row],[ Invoice. /
 Received Qty ]]-Goods_Receipt[[#This Row],[ Accepted Qty ]]</f>
        <v>0</v>
      </c>
      <c r="O1488" s="87"/>
      <c r="P1488" s="87"/>
      <c r="Q1488" s="87"/>
      <c r="R1488" s="87"/>
      <c r="S1488" s="87"/>
      <c r="T1488" s="85"/>
      <c r="U1488" s="89"/>
      <c r="V1488" s="90"/>
      <c r="W1488" s="87"/>
      <c r="X1488" s="91"/>
      <c r="Y1488" s="84"/>
      <c r="Z1488" s="97"/>
    </row>
    <row r="1489" spans="1:26" s="98" customFormat="1" x14ac:dyDescent="0.35">
      <c r="A1489" s="86">
        <v>1486</v>
      </c>
      <c r="B1489" s="85"/>
      <c r="C1489" s="87"/>
      <c r="D1489" s="85"/>
      <c r="E1489" s="84"/>
      <c r="F1489" s="85"/>
      <c r="G1489" s="87"/>
      <c r="H1489" s="87"/>
      <c r="I1489" s="87"/>
      <c r="J1489" s="101"/>
      <c r="K1489" s="87"/>
      <c r="L1489" s="91"/>
      <c r="M1489" s="91"/>
      <c r="N1489" s="88">
        <f>Goods_Receipt[[#This Row],[ Invoice. /
 Received Qty ]]-Goods_Receipt[[#This Row],[ Accepted Qty ]]</f>
        <v>0</v>
      </c>
      <c r="O1489" s="87"/>
      <c r="P1489" s="87"/>
      <c r="Q1489" s="87"/>
      <c r="R1489" s="87"/>
      <c r="S1489" s="87"/>
      <c r="T1489" s="85"/>
      <c r="U1489" s="89"/>
      <c r="V1489" s="90"/>
      <c r="W1489" s="87"/>
      <c r="X1489" s="91"/>
      <c r="Y1489" s="84"/>
      <c r="Z1489" s="97"/>
    </row>
    <row r="1490" spans="1:26" s="98" customFormat="1" x14ac:dyDescent="0.35">
      <c r="A1490" s="86">
        <v>1487</v>
      </c>
      <c r="B1490" s="85"/>
      <c r="C1490" s="87"/>
      <c r="D1490" s="85"/>
      <c r="E1490" s="84"/>
      <c r="F1490" s="85"/>
      <c r="G1490" s="87"/>
      <c r="H1490" s="87"/>
      <c r="I1490" s="87"/>
      <c r="J1490" s="101"/>
      <c r="K1490" s="87"/>
      <c r="L1490" s="91"/>
      <c r="M1490" s="91"/>
      <c r="N1490" s="88">
        <f>Goods_Receipt[[#This Row],[ Invoice. /
 Received Qty ]]-Goods_Receipt[[#This Row],[ Accepted Qty ]]</f>
        <v>0</v>
      </c>
      <c r="O1490" s="87"/>
      <c r="P1490" s="87"/>
      <c r="Q1490" s="87"/>
      <c r="R1490" s="87"/>
      <c r="S1490" s="87"/>
      <c r="T1490" s="85"/>
      <c r="U1490" s="89"/>
      <c r="V1490" s="90"/>
      <c r="W1490" s="87"/>
      <c r="X1490" s="91"/>
      <c r="Y1490" s="84"/>
      <c r="Z1490" s="97"/>
    </row>
    <row r="1491" spans="1:26" s="98" customFormat="1" x14ac:dyDescent="0.35">
      <c r="A1491" s="86">
        <v>1488</v>
      </c>
      <c r="B1491" s="85"/>
      <c r="C1491" s="87"/>
      <c r="D1491" s="85"/>
      <c r="E1491" s="84"/>
      <c r="F1491" s="85"/>
      <c r="G1491" s="87"/>
      <c r="H1491" s="87"/>
      <c r="I1491" s="87"/>
      <c r="J1491" s="101"/>
      <c r="K1491" s="87"/>
      <c r="L1491" s="91"/>
      <c r="M1491" s="91"/>
      <c r="N1491" s="88">
        <f>Goods_Receipt[[#This Row],[ Invoice. /
 Received Qty ]]-Goods_Receipt[[#This Row],[ Accepted Qty ]]</f>
        <v>0</v>
      </c>
      <c r="O1491" s="87"/>
      <c r="P1491" s="87"/>
      <c r="Q1491" s="87"/>
      <c r="R1491" s="87"/>
      <c r="S1491" s="87"/>
      <c r="T1491" s="85"/>
      <c r="U1491" s="89"/>
      <c r="V1491" s="90"/>
      <c r="W1491" s="87"/>
      <c r="X1491" s="91"/>
      <c r="Y1491" s="84"/>
      <c r="Z1491" s="97"/>
    </row>
    <row r="1492" spans="1:26" s="98" customFormat="1" x14ac:dyDescent="0.35">
      <c r="A1492" s="86">
        <v>1489</v>
      </c>
      <c r="B1492" s="85"/>
      <c r="C1492" s="87"/>
      <c r="D1492" s="85"/>
      <c r="E1492" s="84"/>
      <c r="F1492" s="85"/>
      <c r="G1492" s="87"/>
      <c r="H1492" s="87"/>
      <c r="I1492" s="87"/>
      <c r="J1492" s="101"/>
      <c r="K1492" s="87"/>
      <c r="L1492" s="91"/>
      <c r="M1492" s="91"/>
      <c r="N1492" s="88">
        <f>Goods_Receipt[[#This Row],[ Invoice. /
 Received Qty ]]-Goods_Receipt[[#This Row],[ Accepted Qty ]]</f>
        <v>0</v>
      </c>
      <c r="O1492" s="87"/>
      <c r="P1492" s="87"/>
      <c r="Q1492" s="87"/>
      <c r="R1492" s="87"/>
      <c r="S1492" s="87"/>
      <c r="T1492" s="85"/>
      <c r="U1492" s="89"/>
      <c r="V1492" s="90"/>
      <c r="W1492" s="87"/>
      <c r="X1492" s="91"/>
      <c r="Y1492" s="84"/>
      <c r="Z1492" s="97"/>
    </row>
    <row r="1493" spans="1:26" s="98" customFormat="1" x14ac:dyDescent="0.35">
      <c r="A1493" s="86">
        <v>1490</v>
      </c>
      <c r="B1493" s="85"/>
      <c r="C1493" s="87"/>
      <c r="D1493" s="85"/>
      <c r="E1493" s="84"/>
      <c r="F1493" s="85"/>
      <c r="G1493" s="87"/>
      <c r="H1493" s="87"/>
      <c r="I1493" s="87"/>
      <c r="J1493" s="101"/>
      <c r="K1493" s="87"/>
      <c r="L1493" s="91"/>
      <c r="M1493" s="91"/>
      <c r="N1493" s="88">
        <f>Goods_Receipt[[#This Row],[ Invoice. /
 Received Qty ]]-Goods_Receipt[[#This Row],[ Accepted Qty ]]</f>
        <v>0</v>
      </c>
      <c r="O1493" s="87"/>
      <c r="P1493" s="87"/>
      <c r="Q1493" s="87"/>
      <c r="R1493" s="87"/>
      <c r="S1493" s="87"/>
      <c r="T1493" s="85"/>
      <c r="U1493" s="89"/>
      <c r="V1493" s="90"/>
      <c r="W1493" s="87"/>
      <c r="X1493" s="91"/>
      <c r="Y1493" s="84"/>
      <c r="Z1493" s="97"/>
    </row>
    <row r="1494" spans="1:26" s="98" customFormat="1" x14ac:dyDescent="0.35">
      <c r="A1494" s="86">
        <v>1491</v>
      </c>
      <c r="B1494" s="85"/>
      <c r="C1494" s="87"/>
      <c r="D1494" s="85"/>
      <c r="E1494" s="84"/>
      <c r="F1494" s="85"/>
      <c r="G1494" s="87"/>
      <c r="H1494" s="87"/>
      <c r="I1494" s="87"/>
      <c r="J1494" s="101"/>
      <c r="K1494" s="87"/>
      <c r="L1494" s="91"/>
      <c r="M1494" s="91"/>
      <c r="N1494" s="88">
        <f>Goods_Receipt[[#This Row],[ Invoice. /
 Received Qty ]]-Goods_Receipt[[#This Row],[ Accepted Qty ]]</f>
        <v>0</v>
      </c>
      <c r="O1494" s="87"/>
      <c r="P1494" s="87"/>
      <c r="Q1494" s="87"/>
      <c r="R1494" s="87"/>
      <c r="S1494" s="87"/>
      <c r="T1494" s="85"/>
      <c r="U1494" s="89"/>
      <c r="V1494" s="90"/>
      <c r="W1494" s="87"/>
      <c r="X1494" s="91"/>
      <c r="Y1494" s="84"/>
      <c r="Z1494" s="97"/>
    </row>
    <row r="1495" spans="1:26" s="98" customFormat="1" x14ac:dyDescent="0.35">
      <c r="A1495" s="86">
        <v>1492</v>
      </c>
      <c r="B1495" s="85"/>
      <c r="C1495" s="87"/>
      <c r="D1495" s="85"/>
      <c r="E1495" s="84"/>
      <c r="F1495" s="85"/>
      <c r="G1495" s="87"/>
      <c r="H1495" s="87"/>
      <c r="I1495" s="87"/>
      <c r="J1495" s="101"/>
      <c r="K1495" s="87"/>
      <c r="L1495" s="91"/>
      <c r="M1495" s="91"/>
      <c r="N1495" s="88">
        <f>Goods_Receipt[[#This Row],[ Invoice. /
 Received Qty ]]-Goods_Receipt[[#This Row],[ Accepted Qty ]]</f>
        <v>0</v>
      </c>
      <c r="O1495" s="87"/>
      <c r="P1495" s="87"/>
      <c r="Q1495" s="87"/>
      <c r="R1495" s="87"/>
      <c r="S1495" s="87"/>
      <c r="T1495" s="85"/>
      <c r="U1495" s="89"/>
      <c r="V1495" s="90"/>
      <c r="W1495" s="87"/>
      <c r="X1495" s="91"/>
      <c r="Y1495" s="84"/>
      <c r="Z1495" s="97"/>
    </row>
    <row r="1496" spans="1:26" s="98" customFormat="1" x14ac:dyDescent="0.35">
      <c r="A1496" s="86">
        <v>1493</v>
      </c>
      <c r="B1496" s="85"/>
      <c r="C1496" s="87"/>
      <c r="D1496" s="85"/>
      <c r="E1496" s="84"/>
      <c r="F1496" s="85"/>
      <c r="G1496" s="87"/>
      <c r="H1496" s="87"/>
      <c r="I1496" s="87"/>
      <c r="J1496" s="101"/>
      <c r="K1496" s="87"/>
      <c r="L1496" s="91"/>
      <c r="M1496" s="91"/>
      <c r="N1496" s="88">
        <f>Goods_Receipt[[#This Row],[ Invoice. /
 Received Qty ]]-Goods_Receipt[[#This Row],[ Accepted Qty ]]</f>
        <v>0</v>
      </c>
      <c r="O1496" s="87"/>
      <c r="P1496" s="87"/>
      <c r="Q1496" s="87"/>
      <c r="R1496" s="87"/>
      <c r="S1496" s="87"/>
      <c r="T1496" s="85"/>
      <c r="U1496" s="89"/>
      <c r="V1496" s="90"/>
      <c r="W1496" s="87"/>
      <c r="X1496" s="91"/>
      <c r="Y1496" s="84"/>
      <c r="Z1496" s="97"/>
    </row>
    <row r="1497" spans="1:26" s="98" customFormat="1" x14ac:dyDescent="0.35">
      <c r="A1497" s="86">
        <v>1494</v>
      </c>
      <c r="B1497" s="85"/>
      <c r="C1497" s="87"/>
      <c r="D1497" s="85"/>
      <c r="E1497" s="84"/>
      <c r="F1497" s="85"/>
      <c r="G1497" s="87"/>
      <c r="H1497" s="87"/>
      <c r="I1497" s="87"/>
      <c r="J1497" s="101"/>
      <c r="K1497" s="87"/>
      <c r="L1497" s="91"/>
      <c r="M1497" s="91"/>
      <c r="N1497" s="88">
        <f>Goods_Receipt[[#This Row],[ Invoice. /
 Received Qty ]]-Goods_Receipt[[#This Row],[ Accepted Qty ]]</f>
        <v>0</v>
      </c>
      <c r="O1497" s="87"/>
      <c r="P1497" s="87"/>
      <c r="Q1497" s="87"/>
      <c r="R1497" s="87"/>
      <c r="S1497" s="87"/>
      <c r="T1497" s="85"/>
      <c r="U1497" s="89"/>
      <c r="V1497" s="90"/>
      <c r="W1497" s="87"/>
      <c r="X1497" s="91"/>
      <c r="Y1497" s="84"/>
      <c r="Z1497" s="97"/>
    </row>
    <row r="1498" spans="1:26" s="98" customFormat="1" x14ac:dyDescent="0.35">
      <c r="A1498" s="86">
        <v>1495</v>
      </c>
      <c r="B1498" s="85"/>
      <c r="C1498" s="87"/>
      <c r="D1498" s="85"/>
      <c r="E1498" s="84"/>
      <c r="F1498" s="85"/>
      <c r="G1498" s="87"/>
      <c r="H1498" s="87"/>
      <c r="I1498" s="87"/>
      <c r="J1498" s="101"/>
      <c r="K1498" s="87"/>
      <c r="L1498" s="91"/>
      <c r="M1498" s="91"/>
      <c r="N1498" s="88">
        <f>Goods_Receipt[[#This Row],[ Invoice. /
 Received Qty ]]-Goods_Receipt[[#This Row],[ Accepted Qty ]]</f>
        <v>0</v>
      </c>
      <c r="O1498" s="87"/>
      <c r="P1498" s="87"/>
      <c r="Q1498" s="87"/>
      <c r="R1498" s="87"/>
      <c r="S1498" s="87"/>
      <c r="T1498" s="85"/>
      <c r="U1498" s="89"/>
      <c r="V1498" s="90"/>
      <c r="W1498" s="87"/>
      <c r="X1498" s="91"/>
      <c r="Y1498" s="84"/>
      <c r="Z1498" s="97"/>
    </row>
    <row r="1499" spans="1:26" s="98" customFormat="1" x14ac:dyDescent="0.35">
      <c r="A1499" s="86">
        <v>1496</v>
      </c>
      <c r="B1499" s="85"/>
      <c r="C1499" s="87"/>
      <c r="D1499" s="85"/>
      <c r="E1499" s="84"/>
      <c r="F1499" s="85"/>
      <c r="G1499" s="87"/>
      <c r="H1499" s="87"/>
      <c r="I1499" s="87"/>
      <c r="J1499" s="101"/>
      <c r="K1499" s="87"/>
      <c r="L1499" s="91"/>
      <c r="M1499" s="91"/>
      <c r="N1499" s="88">
        <f>Goods_Receipt[[#This Row],[ Invoice. /
 Received Qty ]]-Goods_Receipt[[#This Row],[ Accepted Qty ]]</f>
        <v>0</v>
      </c>
      <c r="O1499" s="87"/>
      <c r="P1499" s="87"/>
      <c r="Q1499" s="87"/>
      <c r="R1499" s="87"/>
      <c r="S1499" s="87"/>
      <c r="T1499" s="85"/>
      <c r="U1499" s="89"/>
      <c r="V1499" s="90"/>
      <c r="W1499" s="87"/>
      <c r="X1499" s="91"/>
      <c r="Y1499" s="84"/>
      <c r="Z1499" s="97"/>
    </row>
    <row r="1500" spans="1:26" s="98" customFormat="1" x14ac:dyDescent="0.35">
      <c r="A1500" s="86">
        <v>1497</v>
      </c>
      <c r="B1500" s="85"/>
      <c r="C1500" s="87"/>
      <c r="D1500" s="85"/>
      <c r="E1500" s="84"/>
      <c r="F1500" s="85"/>
      <c r="G1500" s="87"/>
      <c r="H1500" s="87"/>
      <c r="I1500" s="87"/>
      <c r="J1500" s="101"/>
      <c r="K1500" s="87"/>
      <c r="L1500" s="91"/>
      <c r="M1500" s="91"/>
      <c r="N1500" s="88">
        <f>Goods_Receipt[[#This Row],[ Invoice. /
 Received Qty ]]-Goods_Receipt[[#This Row],[ Accepted Qty ]]</f>
        <v>0</v>
      </c>
      <c r="O1500" s="87"/>
      <c r="P1500" s="87"/>
      <c r="Q1500" s="87"/>
      <c r="R1500" s="87"/>
      <c r="S1500" s="87"/>
      <c r="T1500" s="85"/>
      <c r="U1500" s="89"/>
      <c r="V1500" s="90"/>
      <c r="W1500" s="87"/>
      <c r="X1500" s="91"/>
      <c r="Y1500" s="84"/>
      <c r="Z1500" s="97"/>
    </row>
    <row r="1501" spans="1:26" s="98" customFormat="1" x14ac:dyDescent="0.35">
      <c r="A1501" s="86">
        <v>1498</v>
      </c>
      <c r="B1501" s="85"/>
      <c r="C1501" s="87"/>
      <c r="D1501" s="85"/>
      <c r="E1501" s="84"/>
      <c r="F1501" s="85"/>
      <c r="G1501" s="87"/>
      <c r="H1501" s="87"/>
      <c r="I1501" s="87"/>
      <c r="J1501" s="101"/>
      <c r="K1501" s="87"/>
      <c r="L1501" s="91"/>
      <c r="M1501" s="91"/>
      <c r="N1501" s="88">
        <f>Goods_Receipt[[#This Row],[ Invoice. /
 Received Qty ]]-Goods_Receipt[[#This Row],[ Accepted Qty ]]</f>
        <v>0</v>
      </c>
      <c r="O1501" s="87"/>
      <c r="P1501" s="87"/>
      <c r="Q1501" s="87"/>
      <c r="R1501" s="87"/>
      <c r="S1501" s="87"/>
      <c r="T1501" s="85"/>
      <c r="U1501" s="89"/>
      <c r="V1501" s="90"/>
      <c r="W1501" s="87"/>
      <c r="X1501" s="91"/>
      <c r="Y1501" s="84"/>
      <c r="Z1501" s="97"/>
    </row>
    <row r="1502" spans="1:26" s="98" customFormat="1" x14ac:dyDescent="0.35">
      <c r="A1502" s="86">
        <v>1499</v>
      </c>
      <c r="B1502" s="85"/>
      <c r="C1502" s="87"/>
      <c r="D1502" s="85"/>
      <c r="E1502" s="84"/>
      <c r="F1502" s="85"/>
      <c r="G1502" s="87"/>
      <c r="H1502" s="87"/>
      <c r="I1502" s="87"/>
      <c r="J1502" s="101"/>
      <c r="K1502" s="87"/>
      <c r="L1502" s="91"/>
      <c r="M1502" s="91"/>
      <c r="N1502" s="88">
        <f>Goods_Receipt[[#This Row],[ Invoice. /
 Received Qty ]]-Goods_Receipt[[#This Row],[ Accepted Qty ]]</f>
        <v>0</v>
      </c>
      <c r="O1502" s="87"/>
      <c r="P1502" s="87"/>
      <c r="Q1502" s="87"/>
      <c r="R1502" s="87"/>
      <c r="S1502" s="87"/>
      <c r="T1502" s="85"/>
      <c r="U1502" s="89"/>
      <c r="V1502" s="90"/>
      <c r="W1502" s="87"/>
      <c r="X1502" s="91"/>
      <c r="Y1502" s="84"/>
      <c r="Z1502" s="97"/>
    </row>
    <row r="1503" spans="1:26" s="98" customFormat="1" x14ac:dyDescent="0.35">
      <c r="A1503" s="86">
        <v>1500</v>
      </c>
      <c r="B1503" s="85"/>
      <c r="C1503" s="87"/>
      <c r="D1503" s="85"/>
      <c r="E1503" s="84"/>
      <c r="F1503" s="85"/>
      <c r="G1503" s="87"/>
      <c r="H1503" s="87"/>
      <c r="I1503" s="87"/>
      <c r="J1503" s="101"/>
      <c r="K1503" s="87"/>
      <c r="L1503" s="91"/>
      <c r="M1503" s="91"/>
      <c r="N1503" s="88">
        <f>Goods_Receipt[[#This Row],[ Invoice. /
 Received Qty ]]-Goods_Receipt[[#This Row],[ Accepted Qty ]]</f>
        <v>0</v>
      </c>
      <c r="O1503" s="87"/>
      <c r="P1503" s="87"/>
      <c r="Q1503" s="87"/>
      <c r="R1503" s="87"/>
      <c r="S1503" s="87"/>
      <c r="T1503" s="85"/>
      <c r="U1503" s="89"/>
      <c r="V1503" s="90"/>
      <c r="W1503" s="87"/>
      <c r="X1503" s="91"/>
      <c r="Y1503" s="84"/>
      <c r="Z1503" s="97"/>
    </row>
    <row r="1504" spans="1:26" s="98" customFormat="1" x14ac:dyDescent="0.35">
      <c r="A1504" s="86">
        <v>1501</v>
      </c>
      <c r="B1504" s="85"/>
      <c r="C1504" s="87"/>
      <c r="D1504" s="85"/>
      <c r="E1504" s="84"/>
      <c r="F1504" s="85"/>
      <c r="G1504" s="87"/>
      <c r="H1504" s="87"/>
      <c r="I1504" s="87"/>
      <c r="J1504" s="101"/>
      <c r="K1504" s="87"/>
      <c r="L1504" s="91"/>
      <c r="M1504" s="91"/>
      <c r="N1504" s="88">
        <f>Goods_Receipt[[#This Row],[ Invoice. /
 Received Qty ]]-Goods_Receipt[[#This Row],[ Accepted Qty ]]</f>
        <v>0</v>
      </c>
      <c r="O1504" s="87"/>
      <c r="P1504" s="87"/>
      <c r="Q1504" s="87"/>
      <c r="R1504" s="87"/>
      <c r="S1504" s="87"/>
      <c r="T1504" s="85"/>
      <c r="U1504" s="89"/>
      <c r="V1504" s="90"/>
      <c r="W1504" s="87"/>
      <c r="X1504" s="91"/>
      <c r="Y1504" s="84"/>
      <c r="Z1504" s="97"/>
    </row>
    <row r="1505" spans="1:26" s="98" customFormat="1" x14ac:dyDescent="0.35">
      <c r="A1505" s="86">
        <v>1502</v>
      </c>
      <c r="B1505" s="85"/>
      <c r="C1505" s="87"/>
      <c r="D1505" s="85"/>
      <c r="E1505" s="84"/>
      <c r="F1505" s="85"/>
      <c r="G1505" s="87"/>
      <c r="H1505" s="87"/>
      <c r="I1505" s="87"/>
      <c r="J1505" s="101"/>
      <c r="K1505" s="87"/>
      <c r="L1505" s="91"/>
      <c r="M1505" s="91"/>
      <c r="N1505" s="88">
        <f>Goods_Receipt[[#This Row],[ Invoice. /
 Received Qty ]]-Goods_Receipt[[#This Row],[ Accepted Qty ]]</f>
        <v>0</v>
      </c>
      <c r="O1505" s="87"/>
      <c r="P1505" s="87"/>
      <c r="Q1505" s="87"/>
      <c r="R1505" s="87"/>
      <c r="S1505" s="87"/>
      <c r="T1505" s="85"/>
      <c r="U1505" s="89"/>
      <c r="V1505" s="90"/>
      <c r="W1505" s="87"/>
      <c r="X1505" s="91"/>
      <c r="Y1505" s="84"/>
      <c r="Z1505" s="97"/>
    </row>
    <row r="1506" spans="1:26" s="98" customFormat="1" x14ac:dyDescent="0.35">
      <c r="A1506" s="86">
        <v>1503</v>
      </c>
      <c r="B1506" s="85"/>
      <c r="C1506" s="87"/>
      <c r="D1506" s="85"/>
      <c r="E1506" s="84"/>
      <c r="F1506" s="85"/>
      <c r="G1506" s="87"/>
      <c r="H1506" s="87"/>
      <c r="I1506" s="87"/>
      <c r="J1506" s="101"/>
      <c r="K1506" s="87"/>
      <c r="L1506" s="91"/>
      <c r="M1506" s="91"/>
      <c r="N1506" s="88">
        <f>Goods_Receipt[[#This Row],[ Invoice. /
 Received Qty ]]-Goods_Receipt[[#This Row],[ Accepted Qty ]]</f>
        <v>0</v>
      </c>
      <c r="O1506" s="87"/>
      <c r="P1506" s="87"/>
      <c r="Q1506" s="87"/>
      <c r="R1506" s="87"/>
      <c r="S1506" s="87"/>
      <c r="T1506" s="85"/>
      <c r="U1506" s="89"/>
      <c r="V1506" s="90"/>
      <c r="W1506" s="87"/>
      <c r="X1506" s="91"/>
      <c r="Y1506" s="84"/>
      <c r="Z1506" s="97"/>
    </row>
    <row r="1507" spans="1:26" s="98" customFormat="1" x14ac:dyDescent="0.35">
      <c r="A1507" s="86">
        <v>1504</v>
      </c>
      <c r="B1507" s="85"/>
      <c r="C1507" s="87"/>
      <c r="D1507" s="85"/>
      <c r="E1507" s="84"/>
      <c r="F1507" s="85"/>
      <c r="G1507" s="87"/>
      <c r="H1507" s="87"/>
      <c r="I1507" s="87"/>
      <c r="J1507" s="101"/>
      <c r="K1507" s="87"/>
      <c r="L1507" s="91"/>
      <c r="M1507" s="91"/>
      <c r="N1507" s="88">
        <f>Goods_Receipt[[#This Row],[ Invoice. /
 Received Qty ]]-Goods_Receipt[[#This Row],[ Accepted Qty ]]</f>
        <v>0</v>
      </c>
      <c r="O1507" s="87"/>
      <c r="P1507" s="87"/>
      <c r="Q1507" s="87"/>
      <c r="R1507" s="87"/>
      <c r="S1507" s="87"/>
      <c r="T1507" s="85"/>
      <c r="U1507" s="89"/>
      <c r="V1507" s="90"/>
      <c r="W1507" s="87"/>
      <c r="X1507" s="91"/>
      <c r="Y1507" s="84"/>
      <c r="Z1507" s="97"/>
    </row>
    <row r="1508" spans="1:26" s="98" customFormat="1" x14ac:dyDescent="0.35">
      <c r="A1508" s="86">
        <v>1505</v>
      </c>
      <c r="B1508" s="85"/>
      <c r="C1508" s="87"/>
      <c r="D1508" s="85"/>
      <c r="E1508" s="84"/>
      <c r="F1508" s="85"/>
      <c r="G1508" s="87"/>
      <c r="H1508" s="87"/>
      <c r="I1508" s="87"/>
      <c r="J1508" s="101"/>
      <c r="K1508" s="87"/>
      <c r="L1508" s="91"/>
      <c r="M1508" s="91"/>
      <c r="N1508" s="88">
        <f>Goods_Receipt[[#This Row],[ Invoice. /
 Received Qty ]]-Goods_Receipt[[#This Row],[ Accepted Qty ]]</f>
        <v>0</v>
      </c>
      <c r="O1508" s="87"/>
      <c r="P1508" s="87"/>
      <c r="Q1508" s="87"/>
      <c r="R1508" s="87"/>
      <c r="S1508" s="87"/>
      <c r="T1508" s="85"/>
      <c r="U1508" s="89"/>
      <c r="V1508" s="90"/>
      <c r="W1508" s="87"/>
      <c r="X1508" s="91"/>
      <c r="Y1508" s="84"/>
      <c r="Z1508" s="97"/>
    </row>
    <row r="1509" spans="1:26" s="98" customFormat="1" x14ac:dyDescent="0.35">
      <c r="A1509" s="86">
        <v>1506</v>
      </c>
      <c r="B1509" s="85"/>
      <c r="C1509" s="87"/>
      <c r="D1509" s="85"/>
      <c r="E1509" s="84"/>
      <c r="F1509" s="85"/>
      <c r="G1509" s="87"/>
      <c r="H1509" s="87"/>
      <c r="I1509" s="87"/>
      <c r="J1509" s="101"/>
      <c r="K1509" s="87"/>
      <c r="L1509" s="91"/>
      <c r="M1509" s="91"/>
      <c r="N1509" s="88">
        <f>Goods_Receipt[[#This Row],[ Invoice. /
 Received Qty ]]-Goods_Receipt[[#This Row],[ Accepted Qty ]]</f>
        <v>0</v>
      </c>
      <c r="O1509" s="87"/>
      <c r="P1509" s="87"/>
      <c r="Q1509" s="87"/>
      <c r="R1509" s="87"/>
      <c r="S1509" s="87"/>
      <c r="T1509" s="85"/>
      <c r="U1509" s="89"/>
      <c r="V1509" s="90"/>
      <c r="W1509" s="87"/>
      <c r="X1509" s="91"/>
      <c r="Y1509" s="84"/>
      <c r="Z1509" s="97"/>
    </row>
    <row r="1510" spans="1:26" s="98" customFormat="1" x14ac:dyDescent="0.35">
      <c r="A1510" s="86">
        <v>1507</v>
      </c>
      <c r="B1510" s="85"/>
      <c r="C1510" s="87"/>
      <c r="D1510" s="85"/>
      <c r="E1510" s="84"/>
      <c r="F1510" s="85"/>
      <c r="G1510" s="87"/>
      <c r="H1510" s="87"/>
      <c r="I1510" s="87"/>
      <c r="J1510" s="101"/>
      <c r="K1510" s="87"/>
      <c r="L1510" s="91"/>
      <c r="M1510" s="91"/>
      <c r="N1510" s="88">
        <f>Goods_Receipt[[#This Row],[ Invoice. /
 Received Qty ]]-Goods_Receipt[[#This Row],[ Accepted Qty ]]</f>
        <v>0</v>
      </c>
      <c r="O1510" s="87"/>
      <c r="P1510" s="87"/>
      <c r="Q1510" s="87"/>
      <c r="R1510" s="87"/>
      <c r="S1510" s="87"/>
      <c r="T1510" s="85"/>
      <c r="U1510" s="89"/>
      <c r="V1510" s="90"/>
      <c r="W1510" s="87"/>
      <c r="X1510" s="91"/>
      <c r="Y1510" s="84"/>
      <c r="Z1510" s="97"/>
    </row>
    <row r="1511" spans="1:26" s="98" customFormat="1" x14ac:dyDescent="0.35">
      <c r="A1511" s="86">
        <v>1508</v>
      </c>
      <c r="B1511" s="85"/>
      <c r="C1511" s="87"/>
      <c r="D1511" s="85"/>
      <c r="E1511" s="84"/>
      <c r="F1511" s="85"/>
      <c r="G1511" s="87"/>
      <c r="H1511" s="87"/>
      <c r="I1511" s="87"/>
      <c r="J1511" s="101"/>
      <c r="K1511" s="87"/>
      <c r="L1511" s="91"/>
      <c r="M1511" s="91"/>
      <c r="N1511" s="88">
        <f>Goods_Receipt[[#This Row],[ Invoice. /
 Received Qty ]]-Goods_Receipt[[#This Row],[ Accepted Qty ]]</f>
        <v>0</v>
      </c>
      <c r="O1511" s="87"/>
      <c r="P1511" s="87"/>
      <c r="Q1511" s="87"/>
      <c r="R1511" s="87"/>
      <c r="S1511" s="87"/>
      <c r="T1511" s="85"/>
      <c r="U1511" s="89"/>
      <c r="V1511" s="90"/>
      <c r="W1511" s="87"/>
      <c r="X1511" s="91"/>
      <c r="Y1511" s="84"/>
      <c r="Z1511" s="97"/>
    </row>
    <row r="1512" spans="1:26" s="98" customFormat="1" x14ac:dyDescent="0.35">
      <c r="A1512" s="86">
        <v>1509</v>
      </c>
      <c r="B1512" s="85"/>
      <c r="C1512" s="87"/>
      <c r="D1512" s="85"/>
      <c r="E1512" s="84"/>
      <c r="F1512" s="85"/>
      <c r="G1512" s="87"/>
      <c r="H1512" s="87"/>
      <c r="I1512" s="87"/>
      <c r="J1512" s="101"/>
      <c r="K1512" s="87"/>
      <c r="L1512" s="91"/>
      <c r="M1512" s="91"/>
      <c r="N1512" s="88">
        <f>Goods_Receipt[[#This Row],[ Invoice. /
 Received Qty ]]-Goods_Receipt[[#This Row],[ Accepted Qty ]]</f>
        <v>0</v>
      </c>
      <c r="O1512" s="87"/>
      <c r="P1512" s="87"/>
      <c r="Q1512" s="87"/>
      <c r="R1512" s="87"/>
      <c r="S1512" s="87"/>
      <c r="T1512" s="85"/>
      <c r="U1512" s="89"/>
      <c r="V1512" s="90"/>
      <c r="W1512" s="87"/>
      <c r="X1512" s="91"/>
      <c r="Y1512" s="84"/>
      <c r="Z1512" s="97"/>
    </row>
    <row r="1513" spans="1:26" s="98" customFormat="1" x14ac:dyDescent="0.35">
      <c r="A1513" s="86">
        <v>1510</v>
      </c>
      <c r="B1513" s="85"/>
      <c r="C1513" s="87"/>
      <c r="D1513" s="85"/>
      <c r="E1513" s="84"/>
      <c r="F1513" s="85"/>
      <c r="G1513" s="87"/>
      <c r="H1513" s="87"/>
      <c r="I1513" s="87"/>
      <c r="J1513" s="101"/>
      <c r="K1513" s="87"/>
      <c r="L1513" s="91"/>
      <c r="M1513" s="91"/>
      <c r="N1513" s="88">
        <f>Goods_Receipt[[#This Row],[ Invoice. /
 Received Qty ]]-Goods_Receipt[[#This Row],[ Accepted Qty ]]</f>
        <v>0</v>
      </c>
      <c r="O1513" s="87"/>
      <c r="P1513" s="87"/>
      <c r="Q1513" s="87"/>
      <c r="R1513" s="87"/>
      <c r="S1513" s="87"/>
      <c r="T1513" s="85"/>
      <c r="U1513" s="89"/>
      <c r="V1513" s="90"/>
      <c r="W1513" s="87"/>
      <c r="X1513" s="91"/>
      <c r="Y1513" s="84"/>
      <c r="Z1513" s="97"/>
    </row>
    <row r="1514" spans="1:26" s="98" customFormat="1" x14ac:dyDescent="0.35">
      <c r="A1514" s="86">
        <v>1511</v>
      </c>
      <c r="B1514" s="85"/>
      <c r="C1514" s="87"/>
      <c r="D1514" s="85"/>
      <c r="E1514" s="84"/>
      <c r="F1514" s="85"/>
      <c r="G1514" s="87"/>
      <c r="H1514" s="87"/>
      <c r="I1514" s="87"/>
      <c r="J1514" s="101"/>
      <c r="K1514" s="87"/>
      <c r="L1514" s="91"/>
      <c r="M1514" s="91"/>
      <c r="N1514" s="88">
        <f>Goods_Receipt[[#This Row],[ Invoice. /
 Received Qty ]]-Goods_Receipt[[#This Row],[ Accepted Qty ]]</f>
        <v>0</v>
      </c>
      <c r="O1514" s="87"/>
      <c r="P1514" s="87"/>
      <c r="Q1514" s="87"/>
      <c r="R1514" s="87"/>
      <c r="S1514" s="87"/>
      <c r="T1514" s="85"/>
      <c r="U1514" s="89"/>
      <c r="V1514" s="90"/>
      <c r="W1514" s="87"/>
      <c r="X1514" s="91"/>
      <c r="Y1514" s="84"/>
      <c r="Z1514" s="97"/>
    </row>
    <row r="1515" spans="1:26" s="98" customFormat="1" x14ac:dyDescent="0.35">
      <c r="A1515" s="86">
        <v>1512</v>
      </c>
      <c r="B1515" s="85"/>
      <c r="C1515" s="87"/>
      <c r="D1515" s="85"/>
      <c r="E1515" s="84"/>
      <c r="F1515" s="85"/>
      <c r="G1515" s="87"/>
      <c r="H1515" s="87"/>
      <c r="I1515" s="87"/>
      <c r="J1515" s="101"/>
      <c r="K1515" s="87"/>
      <c r="L1515" s="91"/>
      <c r="M1515" s="91"/>
      <c r="N1515" s="88">
        <f>Goods_Receipt[[#This Row],[ Invoice. /
 Received Qty ]]-Goods_Receipt[[#This Row],[ Accepted Qty ]]</f>
        <v>0</v>
      </c>
      <c r="O1515" s="87"/>
      <c r="P1515" s="87"/>
      <c r="Q1515" s="87"/>
      <c r="R1515" s="87"/>
      <c r="S1515" s="87"/>
      <c r="T1515" s="85"/>
      <c r="U1515" s="89"/>
      <c r="V1515" s="90"/>
      <c r="W1515" s="87"/>
      <c r="X1515" s="91"/>
      <c r="Y1515" s="84"/>
      <c r="Z1515" s="97"/>
    </row>
    <row r="1516" spans="1:26" s="98" customFormat="1" x14ac:dyDescent="0.35">
      <c r="A1516" s="86">
        <v>1513</v>
      </c>
      <c r="B1516" s="85"/>
      <c r="C1516" s="87"/>
      <c r="D1516" s="85"/>
      <c r="E1516" s="84"/>
      <c r="F1516" s="85"/>
      <c r="G1516" s="87"/>
      <c r="H1516" s="87"/>
      <c r="I1516" s="87"/>
      <c r="J1516" s="101"/>
      <c r="K1516" s="87"/>
      <c r="L1516" s="91"/>
      <c r="M1516" s="91"/>
      <c r="N1516" s="88">
        <f>Goods_Receipt[[#This Row],[ Invoice. /
 Received Qty ]]-Goods_Receipt[[#This Row],[ Accepted Qty ]]</f>
        <v>0</v>
      </c>
      <c r="O1516" s="87"/>
      <c r="P1516" s="87"/>
      <c r="Q1516" s="87"/>
      <c r="R1516" s="87"/>
      <c r="S1516" s="87"/>
      <c r="T1516" s="85"/>
      <c r="U1516" s="89"/>
      <c r="V1516" s="90"/>
      <c r="W1516" s="87"/>
      <c r="X1516" s="91"/>
      <c r="Y1516" s="84"/>
      <c r="Z1516" s="97"/>
    </row>
    <row r="1517" spans="1:26" s="98" customFormat="1" x14ac:dyDescent="0.35">
      <c r="A1517" s="86">
        <v>1514</v>
      </c>
      <c r="B1517" s="85"/>
      <c r="C1517" s="87"/>
      <c r="D1517" s="85"/>
      <c r="E1517" s="84"/>
      <c r="F1517" s="85"/>
      <c r="G1517" s="87"/>
      <c r="H1517" s="87"/>
      <c r="I1517" s="87"/>
      <c r="J1517" s="101"/>
      <c r="K1517" s="87"/>
      <c r="L1517" s="91"/>
      <c r="M1517" s="91"/>
      <c r="N1517" s="88">
        <f>Goods_Receipt[[#This Row],[ Invoice. /
 Received Qty ]]-Goods_Receipt[[#This Row],[ Accepted Qty ]]</f>
        <v>0</v>
      </c>
      <c r="O1517" s="87"/>
      <c r="P1517" s="87"/>
      <c r="Q1517" s="87"/>
      <c r="R1517" s="87"/>
      <c r="S1517" s="87"/>
      <c r="T1517" s="85"/>
      <c r="U1517" s="89"/>
      <c r="V1517" s="90"/>
      <c r="W1517" s="87"/>
      <c r="X1517" s="91"/>
      <c r="Y1517" s="84"/>
      <c r="Z1517" s="97"/>
    </row>
    <row r="1518" spans="1:26" s="98" customFormat="1" x14ac:dyDescent="0.35">
      <c r="A1518" s="86">
        <v>1515</v>
      </c>
      <c r="B1518" s="85"/>
      <c r="C1518" s="87"/>
      <c r="D1518" s="85"/>
      <c r="E1518" s="84"/>
      <c r="F1518" s="85"/>
      <c r="G1518" s="87"/>
      <c r="H1518" s="87"/>
      <c r="I1518" s="87"/>
      <c r="J1518" s="101"/>
      <c r="K1518" s="87"/>
      <c r="L1518" s="91"/>
      <c r="M1518" s="91"/>
      <c r="N1518" s="88">
        <f>Goods_Receipt[[#This Row],[ Invoice. /
 Received Qty ]]-Goods_Receipt[[#This Row],[ Accepted Qty ]]</f>
        <v>0</v>
      </c>
      <c r="O1518" s="87"/>
      <c r="P1518" s="87"/>
      <c r="Q1518" s="87"/>
      <c r="R1518" s="87"/>
      <c r="S1518" s="87"/>
      <c r="T1518" s="85"/>
      <c r="U1518" s="89"/>
      <c r="V1518" s="90"/>
      <c r="W1518" s="87"/>
      <c r="X1518" s="91"/>
      <c r="Y1518" s="84"/>
      <c r="Z1518" s="97"/>
    </row>
    <row r="1519" spans="1:26" s="98" customFormat="1" x14ac:dyDescent="0.35">
      <c r="A1519" s="86">
        <v>1516</v>
      </c>
      <c r="B1519" s="85"/>
      <c r="C1519" s="87"/>
      <c r="D1519" s="85"/>
      <c r="E1519" s="84"/>
      <c r="F1519" s="85"/>
      <c r="G1519" s="87"/>
      <c r="H1519" s="87"/>
      <c r="I1519" s="87"/>
      <c r="J1519" s="101"/>
      <c r="K1519" s="87"/>
      <c r="L1519" s="91"/>
      <c r="M1519" s="91"/>
      <c r="N1519" s="88">
        <f>Goods_Receipt[[#This Row],[ Invoice. /
 Received Qty ]]-Goods_Receipt[[#This Row],[ Accepted Qty ]]</f>
        <v>0</v>
      </c>
      <c r="O1519" s="87"/>
      <c r="P1519" s="87"/>
      <c r="Q1519" s="87"/>
      <c r="R1519" s="87"/>
      <c r="S1519" s="87"/>
      <c r="T1519" s="85"/>
      <c r="U1519" s="89"/>
      <c r="V1519" s="90"/>
      <c r="W1519" s="87"/>
      <c r="X1519" s="91"/>
      <c r="Y1519" s="84"/>
      <c r="Z1519" s="97"/>
    </row>
    <row r="1520" spans="1:26" s="98" customFormat="1" x14ac:dyDescent="0.35">
      <c r="A1520" s="86">
        <v>1517</v>
      </c>
      <c r="B1520" s="85"/>
      <c r="C1520" s="87"/>
      <c r="D1520" s="85"/>
      <c r="E1520" s="84"/>
      <c r="F1520" s="85"/>
      <c r="G1520" s="87"/>
      <c r="H1520" s="87"/>
      <c r="I1520" s="87"/>
      <c r="J1520" s="101"/>
      <c r="K1520" s="87"/>
      <c r="L1520" s="91"/>
      <c r="M1520" s="91"/>
      <c r="N1520" s="88">
        <f>Goods_Receipt[[#This Row],[ Invoice. /
 Received Qty ]]-Goods_Receipt[[#This Row],[ Accepted Qty ]]</f>
        <v>0</v>
      </c>
      <c r="O1520" s="87"/>
      <c r="P1520" s="87"/>
      <c r="Q1520" s="87"/>
      <c r="R1520" s="87"/>
      <c r="S1520" s="87"/>
      <c r="T1520" s="85"/>
      <c r="U1520" s="89"/>
      <c r="V1520" s="90"/>
      <c r="W1520" s="87"/>
      <c r="X1520" s="91"/>
      <c r="Y1520" s="84"/>
      <c r="Z1520" s="97"/>
    </row>
    <row r="1521" spans="1:26" s="98" customFormat="1" x14ac:dyDescent="0.35">
      <c r="A1521" s="86">
        <v>1518</v>
      </c>
      <c r="B1521" s="85"/>
      <c r="C1521" s="87"/>
      <c r="D1521" s="85"/>
      <c r="E1521" s="84"/>
      <c r="F1521" s="85"/>
      <c r="G1521" s="87"/>
      <c r="H1521" s="87"/>
      <c r="I1521" s="87"/>
      <c r="J1521" s="101"/>
      <c r="K1521" s="87"/>
      <c r="L1521" s="91"/>
      <c r="M1521" s="91"/>
      <c r="N1521" s="88">
        <f>Goods_Receipt[[#This Row],[ Invoice. /
 Received Qty ]]-Goods_Receipt[[#This Row],[ Accepted Qty ]]</f>
        <v>0</v>
      </c>
      <c r="O1521" s="87"/>
      <c r="P1521" s="87"/>
      <c r="Q1521" s="87"/>
      <c r="R1521" s="87"/>
      <c r="S1521" s="87"/>
      <c r="T1521" s="85"/>
      <c r="U1521" s="89"/>
      <c r="V1521" s="90"/>
      <c r="W1521" s="87"/>
      <c r="X1521" s="91"/>
      <c r="Y1521" s="84"/>
      <c r="Z1521" s="97"/>
    </row>
    <row r="1522" spans="1:26" s="98" customFormat="1" x14ac:dyDescent="0.35">
      <c r="A1522" s="86">
        <v>1519</v>
      </c>
      <c r="B1522" s="85"/>
      <c r="C1522" s="87"/>
      <c r="D1522" s="85"/>
      <c r="E1522" s="84"/>
      <c r="F1522" s="85"/>
      <c r="G1522" s="87"/>
      <c r="H1522" s="87"/>
      <c r="I1522" s="87"/>
      <c r="J1522" s="101"/>
      <c r="K1522" s="87"/>
      <c r="L1522" s="91"/>
      <c r="M1522" s="91"/>
      <c r="N1522" s="88">
        <f>Goods_Receipt[[#This Row],[ Invoice. /
 Received Qty ]]-Goods_Receipt[[#This Row],[ Accepted Qty ]]</f>
        <v>0</v>
      </c>
      <c r="O1522" s="87"/>
      <c r="P1522" s="87"/>
      <c r="Q1522" s="87"/>
      <c r="R1522" s="87"/>
      <c r="S1522" s="87"/>
      <c r="T1522" s="85"/>
      <c r="U1522" s="89"/>
      <c r="V1522" s="90"/>
      <c r="W1522" s="87"/>
      <c r="X1522" s="91"/>
      <c r="Y1522" s="84"/>
      <c r="Z1522" s="97"/>
    </row>
    <row r="1523" spans="1:26" s="98" customFormat="1" x14ac:dyDescent="0.35">
      <c r="A1523" s="86">
        <v>1520</v>
      </c>
      <c r="B1523" s="85"/>
      <c r="C1523" s="87"/>
      <c r="D1523" s="85"/>
      <c r="E1523" s="84"/>
      <c r="F1523" s="85"/>
      <c r="G1523" s="87"/>
      <c r="H1523" s="87"/>
      <c r="I1523" s="87"/>
      <c r="J1523" s="101"/>
      <c r="K1523" s="87"/>
      <c r="L1523" s="91"/>
      <c r="M1523" s="91"/>
      <c r="N1523" s="88">
        <f>Goods_Receipt[[#This Row],[ Invoice. /
 Received Qty ]]-Goods_Receipt[[#This Row],[ Accepted Qty ]]</f>
        <v>0</v>
      </c>
      <c r="O1523" s="87"/>
      <c r="P1523" s="87"/>
      <c r="Q1523" s="87"/>
      <c r="R1523" s="87"/>
      <c r="S1523" s="87"/>
      <c r="T1523" s="85"/>
      <c r="U1523" s="89"/>
      <c r="V1523" s="90"/>
      <c r="W1523" s="87"/>
      <c r="X1523" s="91"/>
      <c r="Y1523" s="84"/>
      <c r="Z1523" s="97"/>
    </row>
    <row r="1524" spans="1:26" s="98" customFormat="1" x14ac:dyDescent="0.35">
      <c r="A1524" s="86">
        <v>1521</v>
      </c>
      <c r="B1524" s="85"/>
      <c r="C1524" s="87"/>
      <c r="D1524" s="85"/>
      <c r="E1524" s="84"/>
      <c r="F1524" s="85"/>
      <c r="G1524" s="87"/>
      <c r="H1524" s="87"/>
      <c r="I1524" s="87"/>
      <c r="J1524" s="101"/>
      <c r="K1524" s="87"/>
      <c r="L1524" s="91"/>
      <c r="M1524" s="91"/>
      <c r="N1524" s="88">
        <f>Goods_Receipt[[#This Row],[ Invoice. /
 Received Qty ]]-Goods_Receipt[[#This Row],[ Accepted Qty ]]</f>
        <v>0</v>
      </c>
      <c r="O1524" s="87"/>
      <c r="P1524" s="87"/>
      <c r="Q1524" s="87"/>
      <c r="R1524" s="87"/>
      <c r="S1524" s="87"/>
      <c r="T1524" s="85"/>
      <c r="U1524" s="89"/>
      <c r="V1524" s="90"/>
      <c r="W1524" s="87"/>
      <c r="X1524" s="91"/>
      <c r="Y1524" s="84"/>
      <c r="Z1524" s="97"/>
    </row>
    <row r="1525" spans="1:26" s="98" customFormat="1" x14ac:dyDescent="0.35">
      <c r="A1525" s="86">
        <v>1522</v>
      </c>
      <c r="B1525" s="85"/>
      <c r="C1525" s="87"/>
      <c r="D1525" s="85"/>
      <c r="E1525" s="84"/>
      <c r="F1525" s="85"/>
      <c r="G1525" s="87"/>
      <c r="H1525" s="87"/>
      <c r="I1525" s="87"/>
      <c r="J1525" s="101"/>
      <c r="K1525" s="87"/>
      <c r="L1525" s="91"/>
      <c r="M1525" s="91"/>
      <c r="N1525" s="88">
        <f>Goods_Receipt[[#This Row],[ Invoice. /
 Received Qty ]]-Goods_Receipt[[#This Row],[ Accepted Qty ]]</f>
        <v>0</v>
      </c>
      <c r="O1525" s="87"/>
      <c r="P1525" s="87"/>
      <c r="Q1525" s="87"/>
      <c r="R1525" s="87"/>
      <c r="S1525" s="87"/>
      <c r="T1525" s="85"/>
      <c r="U1525" s="89"/>
      <c r="V1525" s="90"/>
      <c r="W1525" s="87"/>
      <c r="X1525" s="91"/>
      <c r="Y1525" s="84"/>
      <c r="Z1525" s="97"/>
    </row>
    <row r="1526" spans="1:26" s="98" customFormat="1" x14ac:dyDescent="0.35">
      <c r="A1526" s="86">
        <v>1523</v>
      </c>
      <c r="B1526" s="85"/>
      <c r="C1526" s="87"/>
      <c r="D1526" s="85"/>
      <c r="E1526" s="84"/>
      <c r="F1526" s="85"/>
      <c r="G1526" s="87"/>
      <c r="H1526" s="87"/>
      <c r="I1526" s="87"/>
      <c r="J1526" s="101"/>
      <c r="K1526" s="87"/>
      <c r="L1526" s="91"/>
      <c r="M1526" s="91"/>
      <c r="N1526" s="88">
        <f>Goods_Receipt[[#This Row],[ Invoice. /
 Received Qty ]]-Goods_Receipt[[#This Row],[ Accepted Qty ]]</f>
        <v>0</v>
      </c>
      <c r="O1526" s="87"/>
      <c r="P1526" s="87"/>
      <c r="Q1526" s="87"/>
      <c r="R1526" s="87"/>
      <c r="S1526" s="87"/>
      <c r="T1526" s="85"/>
      <c r="U1526" s="89"/>
      <c r="V1526" s="90"/>
      <c r="W1526" s="87"/>
      <c r="X1526" s="91"/>
      <c r="Y1526" s="84"/>
      <c r="Z1526" s="97"/>
    </row>
    <row r="1527" spans="1:26" s="98" customFormat="1" x14ac:dyDescent="0.35">
      <c r="A1527" s="86">
        <v>1524</v>
      </c>
      <c r="B1527" s="85"/>
      <c r="C1527" s="87"/>
      <c r="D1527" s="85"/>
      <c r="E1527" s="84"/>
      <c r="F1527" s="85"/>
      <c r="G1527" s="87"/>
      <c r="H1527" s="87"/>
      <c r="I1527" s="87"/>
      <c r="J1527" s="101"/>
      <c r="K1527" s="87"/>
      <c r="L1527" s="91"/>
      <c r="M1527" s="91"/>
      <c r="N1527" s="88">
        <f>Goods_Receipt[[#This Row],[ Invoice. /
 Received Qty ]]-Goods_Receipt[[#This Row],[ Accepted Qty ]]</f>
        <v>0</v>
      </c>
      <c r="O1527" s="87"/>
      <c r="P1527" s="87"/>
      <c r="Q1527" s="87"/>
      <c r="R1527" s="87"/>
      <c r="S1527" s="87"/>
      <c r="T1527" s="85"/>
      <c r="U1527" s="89"/>
      <c r="V1527" s="90"/>
      <c r="W1527" s="87"/>
      <c r="X1527" s="91"/>
      <c r="Y1527" s="84"/>
      <c r="Z1527" s="97"/>
    </row>
    <row r="1528" spans="1:26" s="98" customFormat="1" x14ac:dyDescent="0.35">
      <c r="A1528" s="86">
        <v>1525</v>
      </c>
      <c r="B1528" s="85"/>
      <c r="C1528" s="87"/>
      <c r="D1528" s="85"/>
      <c r="E1528" s="84"/>
      <c r="F1528" s="85"/>
      <c r="G1528" s="87"/>
      <c r="H1528" s="87"/>
      <c r="I1528" s="87"/>
      <c r="J1528" s="101"/>
      <c r="K1528" s="87"/>
      <c r="L1528" s="91"/>
      <c r="M1528" s="91"/>
      <c r="N1528" s="88">
        <f>Goods_Receipt[[#This Row],[ Invoice. /
 Received Qty ]]-Goods_Receipt[[#This Row],[ Accepted Qty ]]</f>
        <v>0</v>
      </c>
      <c r="O1528" s="87"/>
      <c r="P1528" s="87"/>
      <c r="Q1528" s="87"/>
      <c r="R1528" s="87"/>
      <c r="S1528" s="87"/>
      <c r="T1528" s="85"/>
      <c r="U1528" s="89"/>
      <c r="V1528" s="90"/>
      <c r="W1528" s="87"/>
      <c r="X1528" s="91"/>
      <c r="Y1528" s="84"/>
      <c r="Z1528" s="97"/>
    </row>
    <row r="1529" spans="1:26" s="98" customFormat="1" x14ac:dyDescent="0.35">
      <c r="A1529" s="86">
        <v>1526</v>
      </c>
      <c r="B1529" s="85"/>
      <c r="C1529" s="87"/>
      <c r="D1529" s="85"/>
      <c r="E1529" s="84"/>
      <c r="F1529" s="85"/>
      <c r="G1529" s="87"/>
      <c r="H1529" s="87"/>
      <c r="I1529" s="87"/>
      <c r="J1529" s="101"/>
      <c r="K1529" s="87"/>
      <c r="L1529" s="91"/>
      <c r="M1529" s="91"/>
      <c r="N1529" s="88">
        <f>Goods_Receipt[[#This Row],[ Invoice. /
 Received Qty ]]-Goods_Receipt[[#This Row],[ Accepted Qty ]]</f>
        <v>0</v>
      </c>
      <c r="O1529" s="87"/>
      <c r="P1529" s="87"/>
      <c r="Q1529" s="87"/>
      <c r="R1529" s="87"/>
      <c r="S1529" s="87"/>
      <c r="T1529" s="85"/>
      <c r="U1529" s="89"/>
      <c r="V1529" s="90"/>
      <c r="W1529" s="87"/>
      <c r="X1529" s="91"/>
      <c r="Y1529" s="84"/>
      <c r="Z1529" s="97"/>
    </row>
    <row r="1530" spans="1:26" s="98" customFormat="1" x14ac:dyDescent="0.35">
      <c r="A1530" s="86">
        <v>1527</v>
      </c>
      <c r="B1530" s="85"/>
      <c r="C1530" s="87"/>
      <c r="D1530" s="85"/>
      <c r="E1530" s="84"/>
      <c r="F1530" s="85"/>
      <c r="G1530" s="87"/>
      <c r="H1530" s="87"/>
      <c r="I1530" s="87"/>
      <c r="J1530" s="101"/>
      <c r="K1530" s="87"/>
      <c r="L1530" s="91"/>
      <c r="M1530" s="91"/>
      <c r="N1530" s="88">
        <f>Goods_Receipt[[#This Row],[ Invoice. /
 Received Qty ]]-Goods_Receipt[[#This Row],[ Accepted Qty ]]</f>
        <v>0</v>
      </c>
      <c r="O1530" s="87"/>
      <c r="P1530" s="87"/>
      <c r="Q1530" s="87"/>
      <c r="R1530" s="87"/>
      <c r="S1530" s="87"/>
      <c r="T1530" s="85"/>
      <c r="U1530" s="89"/>
      <c r="V1530" s="90"/>
      <c r="W1530" s="87"/>
      <c r="X1530" s="91"/>
      <c r="Y1530" s="84"/>
      <c r="Z1530" s="97"/>
    </row>
    <row r="1531" spans="1:26" s="98" customFormat="1" x14ac:dyDescent="0.35">
      <c r="A1531" s="86">
        <v>1528</v>
      </c>
      <c r="B1531" s="85"/>
      <c r="C1531" s="87"/>
      <c r="D1531" s="85"/>
      <c r="E1531" s="84"/>
      <c r="F1531" s="85"/>
      <c r="G1531" s="87"/>
      <c r="H1531" s="87"/>
      <c r="I1531" s="87"/>
      <c r="J1531" s="101"/>
      <c r="K1531" s="87"/>
      <c r="L1531" s="91"/>
      <c r="M1531" s="91"/>
      <c r="N1531" s="88">
        <f>Goods_Receipt[[#This Row],[ Invoice. /
 Received Qty ]]-Goods_Receipt[[#This Row],[ Accepted Qty ]]</f>
        <v>0</v>
      </c>
      <c r="O1531" s="87"/>
      <c r="P1531" s="87"/>
      <c r="Q1531" s="87"/>
      <c r="R1531" s="87"/>
      <c r="S1531" s="87"/>
      <c r="T1531" s="85"/>
      <c r="U1531" s="89"/>
      <c r="V1531" s="90"/>
      <c r="W1531" s="87"/>
      <c r="X1531" s="91"/>
      <c r="Y1531" s="84"/>
      <c r="Z1531" s="97"/>
    </row>
    <row r="1532" spans="1:26" s="98" customFormat="1" x14ac:dyDescent="0.35">
      <c r="A1532" s="86">
        <v>1529</v>
      </c>
      <c r="B1532" s="85"/>
      <c r="C1532" s="87"/>
      <c r="D1532" s="85"/>
      <c r="E1532" s="84"/>
      <c r="F1532" s="85"/>
      <c r="G1532" s="87"/>
      <c r="H1532" s="87"/>
      <c r="I1532" s="87"/>
      <c r="J1532" s="101"/>
      <c r="K1532" s="87"/>
      <c r="L1532" s="91"/>
      <c r="M1532" s="91"/>
      <c r="N1532" s="88">
        <f>Goods_Receipt[[#This Row],[ Invoice. /
 Received Qty ]]-Goods_Receipt[[#This Row],[ Accepted Qty ]]</f>
        <v>0</v>
      </c>
      <c r="O1532" s="87"/>
      <c r="P1532" s="87"/>
      <c r="Q1532" s="87"/>
      <c r="R1532" s="87"/>
      <c r="S1532" s="87"/>
      <c r="T1532" s="85"/>
      <c r="U1532" s="89"/>
      <c r="V1532" s="90"/>
      <c r="W1532" s="87"/>
      <c r="X1532" s="91"/>
      <c r="Y1532" s="84"/>
      <c r="Z1532" s="97"/>
    </row>
    <row r="1533" spans="1:26" s="98" customFormat="1" x14ac:dyDescent="0.35">
      <c r="A1533" s="86">
        <v>1530</v>
      </c>
      <c r="B1533" s="85"/>
      <c r="C1533" s="87"/>
      <c r="D1533" s="85"/>
      <c r="E1533" s="84"/>
      <c r="F1533" s="85"/>
      <c r="G1533" s="87"/>
      <c r="H1533" s="87"/>
      <c r="I1533" s="87"/>
      <c r="J1533" s="101"/>
      <c r="K1533" s="87"/>
      <c r="L1533" s="91"/>
      <c r="M1533" s="91"/>
      <c r="N1533" s="88">
        <f>Goods_Receipt[[#This Row],[ Invoice. /
 Received Qty ]]-Goods_Receipt[[#This Row],[ Accepted Qty ]]</f>
        <v>0</v>
      </c>
      <c r="O1533" s="87"/>
      <c r="P1533" s="87"/>
      <c r="Q1533" s="87"/>
      <c r="R1533" s="87"/>
      <c r="S1533" s="87"/>
      <c r="T1533" s="85"/>
      <c r="U1533" s="89"/>
      <c r="V1533" s="90"/>
      <c r="W1533" s="87"/>
      <c r="X1533" s="91"/>
      <c r="Y1533" s="84"/>
      <c r="Z1533" s="97"/>
    </row>
    <row r="1534" spans="1:26" s="98" customFormat="1" x14ac:dyDescent="0.35">
      <c r="A1534" s="86">
        <v>1531</v>
      </c>
      <c r="B1534" s="85"/>
      <c r="C1534" s="87"/>
      <c r="D1534" s="85"/>
      <c r="E1534" s="84"/>
      <c r="F1534" s="85"/>
      <c r="G1534" s="87"/>
      <c r="H1534" s="87"/>
      <c r="I1534" s="87"/>
      <c r="J1534" s="101"/>
      <c r="K1534" s="87"/>
      <c r="L1534" s="91"/>
      <c r="M1534" s="91"/>
      <c r="N1534" s="88">
        <f>Goods_Receipt[[#This Row],[ Invoice. /
 Received Qty ]]-Goods_Receipt[[#This Row],[ Accepted Qty ]]</f>
        <v>0</v>
      </c>
      <c r="O1534" s="87"/>
      <c r="P1534" s="87"/>
      <c r="Q1534" s="87"/>
      <c r="R1534" s="87"/>
      <c r="S1534" s="87"/>
      <c r="T1534" s="85"/>
      <c r="U1534" s="89"/>
      <c r="V1534" s="90"/>
      <c r="W1534" s="87"/>
      <c r="X1534" s="91"/>
      <c r="Y1534" s="84"/>
      <c r="Z1534" s="97"/>
    </row>
    <row r="1535" spans="1:26" s="98" customFormat="1" x14ac:dyDescent="0.35">
      <c r="A1535" s="86">
        <v>1532</v>
      </c>
      <c r="B1535" s="85"/>
      <c r="C1535" s="87"/>
      <c r="D1535" s="85"/>
      <c r="E1535" s="84"/>
      <c r="F1535" s="85"/>
      <c r="G1535" s="87"/>
      <c r="H1535" s="87"/>
      <c r="I1535" s="87"/>
      <c r="J1535" s="101"/>
      <c r="K1535" s="87"/>
      <c r="L1535" s="91"/>
      <c r="M1535" s="91"/>
      <c r="N1535" s="88">
        <f>Goods_Receipt[[#This Row],[ Invoice. /
 Received Qty ]]-Goods_Receipt[[#This Row],[ Accepted Qty ]]</f>
        <v>0</v>
      </c>
      <c r="O1535" s="87"/>
      <c r="P1535" s="87"/>
      <c r="Q1535" s="87"/>
      <c r="R1535" s="87"/>
      <c r="S1535" s="87"/>
      <c r="T1535" s="85"/>
      <c r="U1535" s="89"/>
      <c r="V1535" s="90"/>
      <c r="W1535" s="87"/>
      <c r="X1535" s="91"/>
      <c r="Y1535" s="84"/>
      <c r="Z1535" s="97"/>
    </row>
    <row r="1536" spans="1:26" s="98" customFormat="1" x14ac:dyDescent="0.35">
      <c r="A1536" s="86">
        <v>1533</v>
      </c>
      <c r="B1536" s="85"/>
      <c r="C1536" s="87"/>
      <c r="D1536" s="85"/>
      <c r="E1536" s="84"/>
      <c r="F1536" s="85"/>
      <c r="G1536" s="87"/>
      <c r="H1536" s="87"/>
      <c r="I1536" s="87"/>
      <c r="J1536" s="101"/>
      <c r="K1536" s="87"/>
      <c r="L1536" s="91"/>
      <c r="M1536" s="91"/>
      <c r="N1536" s="88">
        <f>Goods_Receipt[[#This Row],[ Invoice. /
 Received Qty ]]-Goods_Receipt[[#This Row],[ Accepted Qty ]]</f>
        <v>0</v>
      </c>
      <c r="O1536" s="87"/>
      <c r="P1536" s="87"/>
      <c r="Q1536" s="87"/>
      <c r="R1536" s="87"/>
      <c r="S1536" s="87"/>
      <c r="T1536" s="85"/>
      <c r="U1536" s="89"/>
      <c r="V1536" s="90"/>
      <c r="W1536" s="87"/>
      <c r="X1536" s="91"/>
      <c r="Y1536" s="84"/>
      <c r="Z1536" s="97"/>
    </row>
    <row r="1537" spans="1:26" s="98" customFormat="1" x14ac:dyDescent="0.35">
      <c r="A1537" s="86">
        <v>1534</v>
      </c>
      <c r="B1537" s="85"/>
      <c r="C1537" s="87"/>
      <c r="D1537" s="85"/>
      <c r="E1537" s="84"/>
      <c r="F1537" s="85"/>
      <c r="G1537" s="87"/>
      <c r="H1537" s="87"/>
      <c r="I1537" s="87"/>
      <c r="J1537" s="101"/>
      <c r="K1537" s="87"/>
      <c r="L1537" s="91"/>
      <c r="M1537" s="91"/>
      <c r="N1537" s="88">
        <f>Goods_Receipt[[#This Row],[ Invoice. /
 Received Qty ]]-Goods_Receipt[[#This Row],[ Accepted Qty ]]</f>
        <v>0</v>
      </c>
      <c r="O1537" s="87"/>
      <c r="P1537" s="87"/>
      <c r="Q1537" s="87"/>
      <c r="R1537" s="87"/>
      <c r="S1537" s="87"/>
      <c r="T1537" s="85"/>
      <c r="U1537" s="89"/>
      <c r="V1537" s="90"/>
      <c r="W1537" s="87"/>
      <c r="X1537" s="91"/>
      <c r="Y1537" s="84"/>
      <c r="Z1537" s="97"/>
    </row>
    <row r="1538" spans="1:26" s="98" customFormat="1" x14ac:dyDescent="0.35">
      <c r="A1538" s="86">
        <v>1535</v>
      </c>
      <c r="B1538" s="85"/>
      <c r="C1538" s="87"/>
      <c r="D1538" s="85"/>
      <c r="E1538" s="84"/>
      <c r="F1538" s="85"/>
      <c r="G1538" s="87"/>
      <c r="H1538" s="87"/>
      <c r="I1538" s="87"/>
      <c r="J1538" s="101"/>
      <c r="K1538" s="87"/>
      <c r="L1538" s="91"/>
      <c r="M1538" s="91"/>
      <c r="N1538" s="88">
        <f>Goods_Receipt[[#This Row],[ Invoice. /
 Received Qty ]]-Goods_Receipt[[#This Row],[ Accepted Qty ]]</f>
        <v>0</v>
      </c>
      <c r="O1538" s="87"/>
      <c r="P1538" s="87"/>
      <c r="Q1538" s="87"/>
      <c r="R1538" s="87"/>
      <c r="S1538" s="87"/>
      <c r="T1538" s="85"/>
      <c r="U1538" s="89"/>
      <c r="V1538" s="90"/>
      <c r="W1538" s="87"/>
      <c r="X1538" s="91"/>
      <c r="Y1538" s="84"/>
      <c r="Z1538" s="97"/>
    </row>
    <row r="1539" spans="1:26" s="98" customFormat="1" x14ac:dyDescent="0.35">
      <c r="A1539" s="86">
        <v>1536</v>
      </c>
      <c r="B1539" s="85"/>
      <c r="C1539" s="87"/>
      <c r="D1539" s="85"/>
      <c r="E1539" s="84"/>
      <c r="F1539" s="85"/>
      <c r="G1539" s="87"/>
      <c r="H1539" s="87"/>
      <c r="I1539" s="87"/>
      <c r="J1539" s="101"/>
      <c r="K1539" s="87"/>
      <c r="L1539" s="91"/>
      <c r="M1539" s="91"/>
      <c r="N1539" s="88">
        <f>Goods_Receipt[[#This Row],[ Invoice. /
 Received Qty ]]-Goods_Receipt[[#This Row],[ Accepted Qty ]]</f>
        <v>0</v>
      </c>
      <c r="O1539" s="87"/>
      <c r="P1539" s="87"/>
      <c r="Q1539" s="87"/>
      <c r="R1539" s="87"/>
      <c r="S1539" s="87"/>
      <c r="T1539" s="85"/>
      <c r="U1539" s="89"/>
      <c r="V1539" s="90"/>
      <c r="W1539" s="87"/>
      <c r="X1539" s="91"/>
      <c r="Y1539" s="84"/>
      <c r="Z1539" s="97"/>
    </row>
    <row r="1540" spans="1:26" s="98" customFormat="1" x14ac:dyDescent="0.35">
      <c r="A1540" s="86">
        <v>1537</v>
      </c>
      <c r="B1540" s="85"/>
      <c r="C1540" s="87"/>
      <c r="D1540" s="85"/>
      <c r="E1540" s="84"/>
      <c r="F1540" s="85"/>
      <c r="G1540" s="87"/>
      <c r="H1540" s="87"/>
      <c r="I1540" s="87"/>
      <c r="J1540" s="101"/>
      <c r="K1540" s="87"/>
      <c r="L1540" s="91"/>
      <c r="M1540" s="91"/>
      <c r="N1540" s="88">
        <f>Goods_Receipt[[#This Row],[ Invoice. /
 Received Qty ]]-Goods_Receipt[[#This Row],[ Accepted Qty ]]</f>
        <v>0</v>
      </c>
      <c r="O1540" s="87"/>
      <c r="P1540" s="87"/>
      <c r="Q1540" s="87"/>
      <c r="R1540" s="87"/>
      <c r="S1540" s="87"/>
      <c r="T1540" s="85"/>
      <c r="U1540" s="89"/>
      <c r="V1540" s="90"/>
      <c r="W1540" s="87"/>
      <c r="X1540" s="91"/>
      <c r="Y1540" s="84"/>
      <c r="Z1540" s="97"/>
    </row>
    <row r="1541" spans="1:26" s="98" customFormat="1" x14ac:dyDescent="0.35">
      <c r="A1541" s="86">
        <v>1538</v>
      </c>
      <c r="B1541" s="85"/>
      <c r="C1541" s="87"/>
      <c r="D1541" s="85"/>
      <c r="E1541" s="84"/>
      <c r="F1541" s="85"/>
      <c r="G1541" s="87"/>
      <c r="H1541" s="87"/>
      <c r="I1541" s="87"/>
      <c r="J1541" s="101"/>
      <c r="K1541" s="87"/>
      <c r="L1541" s="91"/>
      <c r="M1541" s="91"/>
      <c r="N1541" s="88">
        <f>Goods_Receipt[[#This Row],[ Invoice. /
 Received Qty ]]-Goods_Receipt[[#This Row],[ Accepted Qty ]]</f>
        <v>0</v>
      </c>
      <c r="O1541" s="87"/>
      <c r="P1541" s="87"/>
      <c r="Q1541" s="87"/>
      <c r="R1541" s="87"/>
      <c r="S1541" s="87"/>
      <c r="T1541" s="85"/>
      <c r="U1541" s="89"/>
      <c r="V1541" s="90"/>
      <c r="W1541" s="87"/>
      <c r="X1541" s="91"/>
      <c r="Y1541" s="84"/>
      <c r="Z1541" s="97"/>
    </row>
    <row r="1542" spans="1:26" s="98" customFormat="1" x14ac:dyDescent="0.35">
      <c r="A1542" s="86">
        <v>1539</v>
      </c>
      <c r="B1542" s="85"/>
      <c r="C1542" s="87"/>
      <c r="D1542" s="85"/>
      <c r="E1542" s="84"/>
      <c r="F1542" s="85"/>
      <c r="G1542" s="87"/>
      <c r="H1542" s="87"/>
      <c r="I1542" s="87"/>
      <c r="J1542" s="101"/>
      <c r="K1542" s="87"/>
      <c r="L1542" s="91"/>
      <c r="M1542" s="91"/>
      <c r="N1542" s="88">
        <f>Goods_Receipt[[#This Row],[ Invoice. /
 Received Qty ]]-Goods_Receipt[[#This Row],[ Accepted Qty ]]</f>
        <v>0</v>
      </c>
      <c r="O1542" s="87"/>
      <c r="P1542" s="87"/>
      <c r="Q1542" s="87"/>
      <c r="R1542" s="87"/>
      <c r="S1542" s="87"/>
      <c r="T1542" s="85"/>
      <c r="U1542" s="89"/>
      <c r="V1542" s="90"/>
      <c r="W1542" s="87"/>
      <c r="X1542" s="91"/>
      <c r="Y1542" s="84"/>
      <c r="Z1542" s="97"/>
    </row>
    <row r="1543" spans="1:26" s="98" customFormat="1" x14ac:dyDescent="0.35">
      <c r="A1543" s="86">
        <v>1540</v>
      </c>
      <c r="B1543" s="85"/>
      <c r="C1543" s="87"/>
      <c r="D1543" s="85"/>
      <c r="E1543" s="84"/>
      <c r="F1543" s="85"/>
      <c r="G1543" s="87"/>
      <c r="H1543" s="87"/>
      <c r="I1543" s="87"/>
      <c r="J1543" s="101"/>
      <c r="K1543" s="87"/>
      <c r="L1543" s="91"/>
      <c r="M1543" s="91"/>
      <c r="N1543" s="88">
        <f>Goods_Receipt[[#This Row],[ Invoice. /
 Received Qty ]]-Goods_Receipt[[#This Row],[ Accepted Qty ]]</f>
        <v>0</v>
      </c>
      <c r="O1543" s="87"/>
      <c r="P1543" s="87"/>
      <c r="Q1543" s="87"/>
      <c r="R1543" s="87"/>
      <c r="S1543" s="87"/>
      <c r="T1543" s="85"/>
      <c r="U1543" s="89"/>
      <c r="V1543" s="90"/>
      <c r="W1543" s="87"/>
      <c r="X1543" s="91"/>
      <c r="Y1543" s="84"/>
      <c r="Z1543" s="97"/>
    </row>
    <row r="1544" spans="1:26" s="98" customFormat="1" x14ac:dyDescent="0.35">
      <c r="A1544" s="86">
        <v>1541</v>
      </c>
      <c r="B1544" s="85"/>
      <c r="C1544" s="87"/>
      <c r="D1544" s="85"/>
      <c r="E1544" s="84"/>
      <c r="F1544" s="85"/>
      <c r="G1544" s="87"/>
      <c r="H1544" s="87"/>
      <c r="I1544" s="87"/>
      <c r="J1544" s="101"/>
      <c r="K1544" s="87"/>
      <c r="L1544" s="91"/>
      <c r="M1544" s="91"/>
      <c r="N1544" s="88">
        <f>Goods_Receipt[[#This Row],[ Invoice. /
 Received Qty ]]-Goods_Receipt[[#This Row],[ Accepted Qty ]]</f>
        <v>0</v>
      </c>
      <c r="O1544" s="87"/>
      <c r="P1544" s="87"/>
      <c r="Q1544" s="87"/>
      <c r="R1544" s="87"/>
      <c r="S1544" s="87"/>
      <c r="T1544" s="85"/>
      <c r="U1544" s="89"/>
      <c r="V1544" s="90"/>
      <c r="W1544" s="87"/>
      <c r="X1544" s="91"/>
      <c r="Y1544" s="84"/>
      <c r="Z1544" s="97"/>
    </row>
    <row r="1545" spans="1:26" s="98" customFormat="1" x14ac:dyDescent="0.35">
      <c r="A1545" s="86">
        <v>1542</v>
      </c>
      <c r="B1545" s="85"/>
      <c r="C1545" s="87"/>
      <c r="D1545" s="85"/>
      <c r="E1545" s="84"/>
      <c r="F1545" s="85"/>
      <c r="G1545" s="87"/>
      <c r="H1545" s="87"/>
      <c r="I1545" s="87"/>
      <c r="J1545" s="101"/>
      <c r="K1545" s="87"/>
      <c r="L1545" s="91"/>
      <c r="M1545" s="91"/>
      <c r="N1545" s="88">
        <f>Goods_Receipt[[#This Row],[ Invoice. /
 Received Qty ]]-Goods_Receipt[[#This Row],[ Accepted Qty ]]</f>
        <v>0</v>
      </c>
      <c r="O1545" s="87"/>
      <c r="P1545" s="87"/>
      <c r="Q1545" s="87"/>
      <c r="R1545" s="87"/>
      <c r="S1545" s="87"/>
      <c r="T1545" s="85"/>
      <c r="U1545" s="89"/>
      <c r="V1545" s="90"/>
      <c r="W1545" s="87"/>
      <c r="X1545" s="91"/>
      <c r="Y1545" s="84"/>
      <c r="Z1545" s="97"/>
    </row>
    <row r="1546" spans="1:26" s="98" customFormat="1" x14ac:dyDescent="0.35">
      <c r="A1546" s="86">
        <v>1543</v>
      </c>
      <c r="B1546" s="85"/>
      <c r="C1546" s="87"/>
      <c r="D1546" s="85"/>
      <c r="E1546" s="84"/>
      <c r="F1546" s="85"/>
      <c r="G1546" s="87"/>
      <c r="H1546" s="87"/>
      <c r="I1546" s="87"/>
      <c r="J1546" s="101"/>
      <c r="K1546" s="87"/>
      <c r="L1546" s="91"/>
      <c r="M1546" s="91"/>
      <c r="N1546" s="88">
        <f>Goods_Receipt[[#This Row],[ Invoice. /
 Received Qty ]]-Goods_Receipt[[#This Row],[ Accepted Qty ]]</f>
        <v>0</v>
      </c>
      <c r="O1546" s="87"/>
      <c r="P1546" s="87"/>
      <c r="Q1546" s="87"/>
      <c r="R1546" s="87"/>
      <c r="S1546" s="87"/>
      <c r="T1546" s="85"/>
      <c r="U1546" s="89"/>
      <c r="V1546" s="90"/>
      <c r="W1546" s="87"/>
      <c r="X1546" s="91"/>
      <c r="Y1546" s="84"/>
      <c r="Z1546" s="97"/>
    </row>
    <row r="1547" spans="1:26" s="98" customFormat="1" x14ac:dyDescent="0.35">
      <c r="A1547" s="86">
        <v>1544</v>
      </c>
      <c r="B1547" s="85"/>
      <c r="C1547" s="87"/>
      <c r="D1547" s="85"/>
      <c r="E1547" s="84"/>
      <c r="F1547" s="85"/>
      <c r="G1547" s="87"/>
      <c r="H1547" s="87"/>
      <c r="I1547" s="87"/>
      <c r="J1547" s="101"/>
      <c r="K1547" s="87"/>
      <c r="L1547" s="91"/>
      <c r="M1547" s="91"/>
      <c r="N1547" s="88">
        <f>Goods_Receipt[[#This Row],[ Invoice. /
 Received Qty ]]-Goods_Receipt[[#This Row],[ Accepted Qty ]]</f>
        <v>0</v>
      </c>
      <c r="O1547" s="87"/>
      <c r="P1547" s="87"/>
      <c r="Q1547" s="87"/>
      <c r="R1547" s="87"/>
      <c r="S1547" s="87"/>
      <c r="T1547" s="85"/>
      <c r="U1547" s="89"/>
      <c r="V1547" s="90"/>
      <c r="W1547" s="87"/>
      <c r="X1547" s="91"/>
      <c r="Y1547" s="84"/>
      <c r="Z1547" s="97"/>
    </row>
    <row r="1548" spans="1:26" s="98" customFormat="1" x14ac:dyDescent="0.35">
      <c r="A1548" s="86">
        <v>1545</v>
      </c>
      <c r="B1548" s="85"/>
      <c r="C1548" s="87"/>
      <c r="D1548" s="85"/>
      <c r="E1548" s="84"/>
      <c r="F1548" s="85"/>
      <c r="G1548" s="87"/>
      <c r="H1548" s="87"/>
      <c r="I1548" s="87"/>
      <c r="J1548" s="101"/>
      <c r="K1548" s="87"/>
      <c r="L1548" s="91"/>
      <c r="M1548" s="91"/>
      <c r="N1548" s="88">
        <f>Goods_Receipt[[#This Row],[ Invoice. /
 Received Qty ]]-Goods_Receipt[[#This Row],[ Accepted Qty ]]</f>
        <v>0</v>
      </c>
      <c r="O1548" s="87"/>
      <c r="P1548" s="87"/>
      <c r="Q1548" s="87"/>
      <c r="R1548" s="87"/>
      <c r="S1548" s="87"/>
      <c r="T1548" s="85"/>
      <c r="U1548" s="89"/>
      <c r="V1548" s="90"/>
      <c r="W1548" s="87"/>
      <c r="X1548" s="91"/>
      <c r="Y1548" s="84"/>
      <c r="Z1548" s="97"/>
    </row>
    <row r="1549" spans="1:26" s="98" customFormat="1" x14ac:dyDescent="0.35">
      <c r="A1549" s="86">
        <v>1546</v>
      </c>
      <c r="B1549" s="85"/>
      <c r="C1549" s="87"/>
      <c r="D1549" s="85"/>
      <c r="E1549" s="84"/>
      <c r="F1549" s="85"/>
      <c r="G1549" s="87"/>
      <c r="H1549" s="87"/>
      <c r="I1549" s="87"/>
      <c r="J1549" s="101"/>
      <c r="K1549" s="87"/>
      <c r="L1549" s="91"/>
      <c r="M1549" s="91"/>
      <c r="N1549" s="88">
        <f>Goods_Receipt[[#This Row],[ Invoice. /
 Received Qty ]]-Goods_Receipt[[#This Row],[ Accepted Qty ]]</f>
        <v>0</v>
      </c>
      <c r="O1549" s="87"/>
      <c r="P1549" s="87"/>
      <c r="Q1549" s="87"/>
      <c r="R1549" s="87"/>
      <c r="S1549" s="87"/>
      <c r="T1549" s="85"/>
      <c r="U1549" s="89"/>
      <c r="V1549" s="90"/>
      <c r="W1549" s="87"/>
      <c r="X1549" s="91"/>
      <c r="Y1549" s="84"/>
      <c r="Z1549" s="97"/>
    </row>
    <row r="1550" spans="1:26" s="98" customFormat="1" x14ac:dyDescent="0.35">
      <c r="A1550" s="86">
        <v>1547</v>
      </c>
      <c r="B1550" s="85"/>
      <c r="C1550" s="87"/>
      <c r="D1550" s="85"/>
      <c r="E1550" s="84"/>
      <c r="F1550" s="85"/>
      <c r="G1550" s="87"/>
      <c r="H1550" s="87"/>
      <c r="I1550" s="87"/>
      <c r="J1550" s="101"/>
      <c r="K1550" s="87"/>
      <c r="L1550" s="91"/>
      <c r="M1550" s="91"/>
      <c r="N1550" s="88">
        <f>Goods_Receipt[[#This Row],[ Invoice. /
 Received Qty ]]-Goods_Receipt[[#This Row],[ Accepted Qty ]]</f>
        <v>0</v>
      </c>
      <c r="O1550" s="87"/>
      <c r="P1550" s="87"/>
      <c r="Q1550" s="87"/>
      <c r="R1550" s="87"/>
      <c r="S1550" s="87"/>
      <c r="T1550" s="85"/>
      <c r="U1550" s="89"/>
      <c r="V1550" s="90"/>
      <c r="W1550" s="87"/>
      <c r="X1550" s="91"/>
      <c r="Y1550" s="84"/>
      <c r="Z1550" s="97"/>
    </row>
    <row r="1551" spans="1:26" s="98" customFormat="1" x14ac:dyDescent="0.35">
      <c r="A1551" s="86">
        <v>1548</v>
      </c>
      <c r="B1551" s="85"/>
      <c r="C1551" s="87"/>
      <c r="D1551" s="85"/>
      <c r="E1551" s="84"/>
      <c r="F1551" s="85"/>
      <c r="G1551" s="87"/>
      <c r="H1551" s="87"/>
      <c r="I1551" s="87"/>
      <c r="J1551" s="101"/>
      <c r="K1551" s="87"/>
      <c r="L1551" s="91"/>
      <c r="M1551" s="91"/>
      <c r="N1551" s="88">
        <f>Goods_Receipt[[#This Row],[ Invoice. /
 Received Qty ]]-Goods_Receipt[[#This Row],[ Accepted Qty ]]</f>
        <v>0</v>
      </c>
      <c r="O1551" s="87"/>
      <c r="P1551" s="87"/>
      <c r="Q1551" s="87"/>
      <c r="R1551" s="87"/>
      <c r="S1551" s="87"/>
      <c r="T1551" s="85"/>
      <c r="U1551" s="89"/>
      <c r="V1551" s="90"/>
      <c r="W1551" s="87"/>
      <c r="X1551" s="91"/>
      <c r="Y1551" s="84"/>
      <c r="Z1551" s="97"/>
    </row>
    <row r="1552" spans="1:26" s="98" customFormat="1" x14ac:dyDescent="0.35">
      <c r="A1552" s="86">
        <v>1549</v>
      </c>
      <c r="B1552" s="85"/>
      <c r="C1552" s="87"/>
      <c r="D1552" s="85"/>
      <c r="E1552" s="84"/>
      <c r="F1552" s="85"/>
      <c r="G1552" s="87"/>
      <c r="H1552" s="87"/>
      <c r="I1552" s="87"/>
      <c r="J1552" s="101"/>
      <c r="K1552" s="87"/>
      <c r="L1552" s="91"/>
      <c r="M1552" s="91"/>
      <c r="N1552" s="88">
        <f>Goods_Receipt[[#This Row],[ Invoice. /
 Received Qty ]]-Goods_Receipt[[#This Row],[ Accepted Qty ]]</f>
        <v>0</v>
      </c>
      <c r="O1552" s="87"/>
      <c r="P1552" s="87"/>
      <c r="Q1552" s="87"/>
      <c r="R1552" s="87"/>
      <c r="S1552" s="87"/>
      <c r="T1552" s="85"/>
      <c r="U1552" s="89"/>
      <c r="V1552" s="90"/>
      <c r="W1552" s="87"/>
      <c r="X1552" s="91"/>
      <c r="Y1552" s="84"/>
      <c r="Z1552" s="97"/>
    </row>
    <row r="1553" spans="1:26" s="98" customFormat="1" x14ac:dyDescent="0.35">
      <c r="A1553" s="86">
        <v>1550</v>
      </c>
      <c r="B1553" s="85"/>
      <c r="C1553" s="87"/>
      <c r="D1553" s="85"/>
      <c r="E1553" s="84"/>
      <c r="F1553" s="85"/>
      <c r="G1553" s="87"/>
      <c r="H1553" s="87"/>
      <c r="I1553" s="87"/>
      <c r="J1553" s="101"/>
      <c r="K1553" s="87"/>
      <c r="L1553" s="91"/>
      <c r="M1553" s="91"/>
      <c r="N1553" s="88">
        <f>Goods_Receipt[[#This Row],[ Invoice. /
 Received Qty ]]-Goods_Receipt[[#This Row],[ Accepted Qty ]]</f>
        <v>0</v>
      </c>
      <c r="O1553" s="87"/>
      <c r="P1553" s="87"/>
      <c r="Q1553" s="87"/>
      <c r="R1553" s="87"/>
      <c r="S1553" s="87"/>
      <c r="T1553" s="85"/>
      <c r="U1553" s="89"/>
      <c r="V1553" s="90"/>
      <c r="W1553" s="87"/>
      <c r="X1553" s="91"/>
      <c r="Y1553" s="84"/>
      <c r="Z1553" s="97"/>
    </row>
    <row r="1554" spans="1:26" s="98" customFormat="1" x14ac:dyDescent="0.35">
      <c r="A1554" s="86">
        <v>1551</v>
      </c>
      <c r="B1554" s="85"/>
      <c r="C1554" s="87"/>
      <c r="D1554" s="85"/>
      <c r="E1554" s="84"/>
      <c r="F1554" s="85"/>
      <c r="G1554" s="87"/>
      <c r="H1554" s="87"/>
      <c r="I1554" s="87"/>
      <c r="J1554" s="101"/>
      <c r="K1554" s="87"/>
      <c r="L1554" s="91"/>
      <c r="M1554" s="91"/>
      <c r="N1554" s="88">
        <f>Goods_Receipt[[#This Row],[ Invoice. /
 Received Qty ]]-Goods_Receipt[[#This Row],[ Accepted Qty ]]</f>
        <v>0</v>
      </c>
      <c r="O1554" s="87"/>
      <c r="P1554" s="87"/>
      <c r="Q1554" s="87"/>
      <c r="R1554" s="87"/>
      <c r="S1554" s="87"/>
      <c r="T1554" s="85"/>
      <c r="U1554" s="89"/>
      <c r="V1554" s="90"/>
      <c r="W1554" s="87"/>
      <c r="X1554" s="91"/>
      <c r="Y1554" s="84"/>
      <c r="Z1554" s="97"/>
    </row>
    <row r="1555" spans="1:26" s="98" customFormat="1" x14ac:dyDescent="0.35">
      <c r="A1555" s="86">
        <v>1552</v>
      </c>
      <c r="B1555" s="85"/>
      <c r="C1555" s="87"/>
      <c r="D1555" s="85"/>
      <c r="E1555" s="84"/>
      <c r="F1555" s="85"/>
      <c r="G1555" s="87"/>
      <c r="H1555" s="87"/>
      <c r="I1555" s="87"/>
      <c r="J1555" s="101"/>
      <c r="K1555" s="87"/>
      <c r="L1555" s="91"/>
      <c r="M1555" s="91"/>
      <c r="N1555" s="88">
        <f>Goods_Receipt[[#This Row],[ Invoice. /
 Received Qty ]]-Goods_Receipt[[#This Row],[ Accepted Qty ]]</f>
        <v>0</v>
      </c>
      <c r="O1555" s="87"/>
      <c r="P1555" s="87"/>
      <c r="Q1555" s="87"/>
      <c r="R1555" s="87"/>
      <c r="S1555" s="87"/>
      <c r="T1555" s="85"/>
      <c r="U1555" s="89"/>
      <c r="V1555" s="90"/>
      <c r="W1555" s="87"/>
      <c r="X1555" s="91"/>
      <c r="Y1555" s="84"/>
      <c r="Z1555" s="97"/>
    </row>
    <row r="1556" spans="1:26" s="98" customFormat="1" x14ac:dyDescent="0.35">
      <c r="A1556" s="86">
        <v>1553</v>
      </c>
      <c r="B1556" s="85"/>
      <c r="C1556" s="87"/>
      <c r="D1556" s="85"/>
      <c r="E1556" s="84"/>
      <c r="F1556" s="85"/>
      <c r="G1556" s="87"/>
      <c r="H1556" s="87"/>
      <c r="I1556" s="87"/>
      <c r="J1556" s="101"/>
      <c r="K1556" s="87"/>
      <c r="L1556" s="91"/>
      <c r="M1556" s="91"/>
      <c r="N1556" s="88">
        <f>Goods_Receipt[[#This Row],[ Invoice. /
 Received Qty ]]-Goods_Receipt[[#This Row],[ Accepted Qty ]]</f>
        <v>0</v>
      </c>
      <c r="O1556" s="87"/>
      <c r="P1556" s="87"/>
      <c r="Q1556" s="87"/>
      <c r="R1556" s="87"/>
      <c r="S1556" s="87"/>
      <c r="T1556" s="85"/>
      <c r="U1556" s="89"/>
      <c r="V1556" s="90"/>
      <c r="W1556" s="87"/>
      <c r="X1556" s="91"/>
      <c r="Y1556" s="84"/>
      <c r="Z1556" s="97"/>
    </row>
    <row r="1557" spans="1:26" s="98" customFormat="1" x14ac:dyDescent="0.35">
      <c r="A1557" s="86">
        <v>1554</v>
      </c>
      <c r="B1557" s="85"/>
      <c r="C1557" s="87"/>
      <c r="D1557" s="85"/>
      <c r="E1557" s="84"/>
      <c r="F1557" s="85"/>
      <c r="G1557" s="87"/>
      <c r="H1557" s="87"/>
      <c r="I1557" s="87"/>
      <c r="J1557" s="101"/>
      <c r="K1557" s="87"/>
      <c r="L1557" s="91"/>
      <c r="M1557" s="91"/>
      <c r="N1557" s="88">
        <f>Goods_Receipt[[#This Row],[ Invoice. /
 Received Qty ]]-Goods_Receipt[[#This Row],[ Accepted Qty ]]</f>
        <v>0</v>
      </c>
      <c r="O1557" s="87"/>
      <c r="P1557" s="87"/>
      <c r="Q1557" s="87"/>
      <c r="R1557" s="87"/>
      <c r="S1557" s="87"/>
      <c r="T1557" s="85"/>
      <c r="U1557" s="89"/>
      <c r="V1557" s="90"/>
      <c r="W1557" s="87"/>
      <c r="X1557" s="91"/>
      <c r="Y1557" s="84"/>
      <c r="Z1557" s="97"/>
    </row>
    <row r="1558" spans="1:26" s="98" customFormat="1" x14ac:dyDescent="0.35">
      <c r="A1558" s="86">
        <v>1555</v>
      </c>
      <c r="B1558" s="85"/>
      <c r="C1558" s="87"/>
      <c r="D1558" s="85"/>
      <c r="E1558" s="84"/>
      <c r="F1558" s="85"/>
      <c r="G1558" s="87"/>
      <c r="H1558" s="87"/>
      <c r="I1558" s="87"/>
      <c r="J1558" s="101"/>
      <c r="K1558" s="87"/>
      <c r="L1558" s="91"/>
      <c r="M1558" s="91"/>
      <c r="N1558" s="88">
        <f>Goods_Receipt[[#This Row],[ Invoice. /
 Received Qty ]]-Goods_Receipt[[#This Row],[ Accepted Qty ]]</f>
        <v>0</v>
      </c>
      <c r="O1558" s="87"/>
      <c r="P1558" s="87"/>
      <c r="Q1558" s="87"/>
      <c r="R1558" s="87"/>
      <c r="S1558" s="87"/>
      <c r="T1558" s="85"/>
      <c r="U1558" s="89"/>
      <c r="V1558" s="90"/>
      <c r="W1558" s="87"/>
      <c r="X1558" s="91"/>
      <c r="Y1558" s="84"/>
      <c r="Z1558" s="97"/>
    </row>
    <row r="1559" spans="1:26" s="98" customFormat="1" x14ac:dyDescent="0.35">
      <c r="A1559" s="86">
        <v>1556</v>
      </c>
      <c r="B1559" s="85"/>
      <c r="C1559" s="87"/>
      <c r="D1559" s="85"/>
      <c r="E1559" s="84"/>
      <c r="F1559" s="85"/>
      <c r="G1559" s="87"/>
      <c r="H1559" s="87"/>
      <c r="I1559" s="87"/>
      <c r="J1559" s="101"/>
      <c r="K1559" s="87"/>
      <c r="L1559" s="91"/>
      <c r="M1559" s="91"/>
      <c r="N1559" s="88">
        <f>Goods_Receipt[[#This Row],[ Invoice. /
 Received Qty ]]-Goods_Receipt[[#This Row],[ Accepted Qty ]]</f>
        <v>0</v>
      </c>
      <c r="O1559" s="87"/>
      <c r="P1559" s="87"/>
      <c r="Q1559" s="87"/>
      <c r="R1559" s="87"/>
      <c r="S1559" s="87"/>
      <c r="T1559" s="85"/>
      <c r="U1559" s="89"/>
      <c r="V1559" s="90"/>
      <c r="W1559" s="87"/>
      <c r="X1559" s="91"/>
      <c r="Y1559" s="84"/>
      <c r="Z1559" s="97"/>
    </row>
    <row r="1560" spans="1:26" s="98" customFormat="1" x14ac:dyDescent="0.35">
      <c r="A1560" s="86">
        <v>1557</v>
      </c>
      <c r="B1560" s="85"/>
      <c r="C1560" s="87"/>
      <c r="D1560" s="85"/>
      <c r="E1560" s="84"/>
      <c r="F1560" s="85"/>
      <c r="G1560" s="87"/>
      <c r="H1560" s="87"/>
      <c r="I1560" s="87"/>
      <c r="J1560" s="101"/>
      <c r="K1560" s="87"/>
      <c r="L1560" s="91"/>
      <c r="M1560" s="91"/>
      <c r="N1560" s="88">
        <f>Goods_Receipt[[#This Row],[ Invoice. /
 Received Qty ]]-Goods_Receipt[[#This Row],[ Accepted Qty ]]</f>
        <v>0</v>
      </c>
      <c r="O1560" s="87"/>
      <c r="P1560" s="87"/>
      <c r="Q1560" s="87"/>
      <c r="R1560" s="87"/>
      <c r="S1560" s="87"/>
      <c r="T1560" s="85"/>
      <c r="U1560" s="89"/>
      <c r="V1560" s="90"/>
      <c r="W1560" s="87"/>
      <c r="X1560" s="91"/>
      <c r="Y1560" s="84"/>
      <c r="Z1560" s="97"/>
    </row>
    <row r="1561" spans="1:26" s="98" customFormat="1" x14ac:dyDescent="0.35">
      <c r="A1561" s="86">
        <v>1558</v>
      </c>
      <c r="B1561" s="85"/>
      <c r="C1561" s="87"/>
      <c r="D1561" s="85"/>
      <c r="E1561" s="84"/>
      <c r="F1561" s="85"/>
      <c r="G1561" s="87"/>
      <c r="H1561" s="87"/>
      <c r="I1561" s="87"/>
      <c r="J1561" s="101"/>
      <c r="K1561" s="87"/>
      <c r="L1561" s="91"/>
      <c r="M1561" s="91"/>
      <c r="N1561" s="88">
        <f>Goods_Receipt[[#This Row],[ Invoice. /
 Received Qty ]]-Goods_Receipt[[#This Row],[ Accepted Qty ]]</f>
        <v>0</v>
      </c>
      <c r="O1561" s="87"/>
      <c r="P1561" s="87"/>
      <c r="Q1561" s="87"/>
      <c r="R1561" s="87"/>
      <c r="S1561" s="87"/>
      <c r="T1561" s="85"/>
      <c r="U1561" s="89"/>
      <c r="V1561" s="90"/>
      <c r="W1561" s="87"/>
      <c r="X1561" s="91"/>
      <c r="Y1561" s="84"/>
      <c r="Z1561" s="97"/>
    </row>
    <row r="1562" spans="1:26" s="98" customFormat="1" x14ac:dyDescent="0.35">
      <c r="A1562" s="86">
        <v>1559</v>
      </c>
      <c r="B1562" s="85"/>
      <c r="C1562" s="87"/>
      <c r="D1562" s="85"/>
      <c r="E1562" s="84"/>
      <c r="F1562" s="85"/>
      <c r="G1562" s="87"/>
      <c r="H1562" s="87"/>
      <c r="I1562" s="87"/>
      <c r="J1562" s="101"/>
      <c r="K1562" s="87"/>
      <c r="L1562" s="91"/>
      <c r="M1562" s="91"/>
      <c r="N1562" s="88">
        <f>Goods_Receipt[[#This Row],[ Invoice. /
 Received Qty ]]-Goods_Receipt[[#This Row],[ Accepted Qty ]]</f>
        <v>0</v>
      </c>
      <c r="O1562" s="87"/>
      <c r="P1562" s="87"/>
      <c r="Q1562" s="87"/>
      <c r="R1562" s="87"/>
      <c r="S1562" s="87"/>
      <c r="T1562" s="85"/>
      <c r="U1562" s="89"/>
      <c r="V1562" s="90"/>
      <c r="W1562" s="87"/>
      <c r="X1562" s="91"/>
      <c r="Y1562" s="84"/>
      <c r="Z1562" s="97"/>
    </row>
    <row r="1563" spans="1:26" s="98" customFormat="1" x14ac:dyDescent="0.35">
      <c r="A1563" s="86">
        <v>1560</v>
      </c>
      <c r="B1563" s="85"/>
      <c r="C1563" s="87"/>
      <c r="D1563" s="85"/>
      <c r="E1563" s="84"/>
      <c r="F1563" s="85"/>
      <c r="G1563" s="87"/>
      <c r="H1563" s="87"/>
      <c r="I1563" s="87"/>
      <c r="J1563" s="101"/>
      <c r="K1563" s="87"/>
      <c r="L1563" s="91"/>
      <c r="M1563" s="91"/>
      <c r="N1563" s="88">
        <f>Goods_Receipt[[#This Row],[ Invoice. /
 Received Qty ]]-Goods_Receipt[[#This Row],[ Accepted Qty ]]</f>
        <v>0</v>
      </c>
      <c r="O1563" s="87"/>
      <c r="P1563" s="87"/>
      <c r="Q1563" s="87"/>
      <c r="R1563" s="87"/>
      <c r="S1563" s="87"/>
      <c r="T1563" s="85"/>
      <c r="U1563" s="89"/>
      <c r="V1563" s="90"/>
      <c r="W1563" s="87"/>
      <c r="X1563" s="91"/>
      <c r="Y1563" s="84"/>
      <c r="Z1563" s="97"/>
    </row>
    <row r="1564" spans="1:26" s="98" customFormat="1" x14ac:dyDescent="0.35">
      <c r="A1564" s="86">
        <v>1561</v>
      </c>
      <c r="B1564" s="85"/>
      <c r="C1564" s="87"/>
      <c r="D1564" s="85"/>
      <c r="E1564" s="84"/>
      <c r="F1564" s="85"/>
      <c r="G1564" s="87"/>
      <c r="H1564" s="87"/>
      <c r="I1564" s="87"/>
      <c r="J1564" s="101"/>
      <c r="K1564" s="87"/>
      <c r="L1564" s="91"/>
      <c r="M1564" s="91"/>
      <c r="N1564" s="88">
        <f>Goods_Receipt[[#This Row],[ Invoice. /
 Received Qty ]]-Goods_Receipt[[#This Row],[ Accepted Qty ]]</f>
        <v>0</v>
      </c>
      <c r="O1564" s="87"/>
      <c r="P1564" s="87"/>
      <c r="Q1564" s="87"/>
      <c r="R1564" s="87"/>
      <c r="S1564" s="87"/>
      <c r="T1564" s="85"/>
      <c r="U1564" s="89"/>
      <c r="V1564" s="90"/>
      <c r="W1564" s="87"/>
      <c r="X1564" s="91"/>
      <c r="Y1564" s="84"/>
      <c r="Z1564" s="97"/>
    </row>
    <row r="1565" spans="1:26" s="98" customFormat="1" x14ac:dyDescent="0.35">
      <c r="A1565" s="86">
        <v>1562</v>
      </c>
      <c r="B1565" s="85"/>
      <c r="C1565" s="87"/>
      <c r="D1565" s="85"/>
      <c r="E1565" s="84"/>
      <c r="F1565" s="85"/>
      <c r="G1565" s="87"/>
      <c r="H1565" s="87"/>
      <c r="I1565" s="87"/>
      <c r="J1565" s="101"/>
      <c r="K1565" s="87"/>
      <c r="L1565" s="91"/>
      <c r="M1565" s="91"/>
      <c r="N1565" s="88">
        <f>Goods_Receipt[[#This Row],[ Invoice. /
 Received Qty ]]-Goods_Receipt[[#This Row],[ Accepted Qty ]]</f>
        <v>0</v>
      </c>
      <c r="O1565" s="87"/>
      <c r="P1565" s="87"/>
      <c r="Q1565" s="87"/>
      <c r="R1565" s="87"/>
      <c r="S1565" s="87"/>
      <c r="T1565" s="85"/>
      <c r="U1565" s="89"/>
      <c r="V1565" s="90"/>
      <c r="W1565" s="87"/>
      <c r="X1565" s="91"/>
      <c r="Y1565" s="84"/>
      <c r="Z1565" s="97"/>
    </row>
    <row r="1566" spans="1:26" s="98" customFormat="1" x14ac:dyDescent="0.35">
      <c r="A1566" s="86">
        <v>1563</v>
      </c>
      <c r="B1566" s="85"/>
      <c r="C1566" s="87"/>
      <c r="D1566" s="85"/>
      <c r="E1566" s="84"/>
      <c r="F1566" s="85"/>
      <c r="G1566" s="87"/>
      <c r="H1566" s="87"/>
      <c r="I1566" s="87"/>
      <c r="J1566" s="101"/>
      <c r="K1566" s="87"/>
      <c r="L1566" s="91"/>
      <c r="M1566" s="91"/>
      <c r="N1566" s="88">
        <f>Goods_Receipt[[#This Row],[ Invoice. /
 Received Qty ]]-Goods_Receipt[[#This Row],[ Accepted Qty ]]</f>
        <v>0</v>
      </c>
      <c r="O1566" s="87"/>
      <c r="P1566" s="87"/>
      <c r="Q1566" s="87"/>
      <c r="R1566" s="87"/>
      <c r="S1566" s="87"/>
      <c r="T1566" s="85"/>
      <c r="U1566" s="89"/>
      <c r="V1566" s="90"/>
      <c r="W1566" s="87"/>
      <c r="X1566" s="91"/>
      <c r="Y1566" s="84"/>
      <c r="Z1566" s="97"/>
    </row>
    <row r="1567" spans="1:26" s="98" customFormat="1" x14ac:dyDescent="0.35">
      <c r="A1567" s="86">
        <v>1564</v>
      </c>
      <c r="B1567" s="85"/>
      <c r="C1567" s="87"/>
      <c r="D1567" s="85"/>
      <c r="E1567" s="84"/>
      <c r="F1567" s="85"/>
      <c r="G1567" s="87"/>
      <c r="H1567" s="87"/>
      <c r="I1567" s="87"/>
      <c r="J1567" s="101"/>
      <c r="K1567" s="87"/>
      <c r="L1567" s="91"/>
      <c r="M1567" s="91"/>
      <c r="N1567" s="88">
        <f>Goods_Receipt[[#This Row],[ Invoice. /
 Received Qty ]]-Goods_Receipt[[#This Row],[ Accepted Qty ]]</f>
        <v>0</v>
      </c>
      <c r="O1567" s="87"/>
      <c r="P1567" s="87"/>
      <c r="Q1567" s="87"/>
      <c r="R1567" s="87"/>
      <c r="S1567" s="87"/>
      <c r="T1567" s="85"/>
      <c r="U1567" s="89"/>
      <c r="V1567" s="90"/>
      <c r="W1567" s="87"/>
      <c r="X1567" s="91"/>
      <c r="Y1567" s="84"/>
      <c r="Z1567" s="97"/>
    </row>
    <row r="1568" spans="1:26" s="98" customFormat="1" x14ac:dyDescent="0.35">
      <c r="A1568" s="86">
        <v>1565</v>
      </c>
      <c r="B1568" s="85"/>
      <c r="C1568" s="87"/>
      <c r="D1568" s="85"/>
      <c r="E1568" s="84"/>
      <c r="F1568" s="85"/>
      <c r="G1568" s="87"/>
      <c r="H1568" s="87"/>
      <c r="I1568" s="87"/>
      <c r="J1568" s="101"/>
      <c r="K1568" s="87"/>
      <c r="L1568" s="91"/>
      <c r="M1568" s="91"/>
      <c r="N1568" s="88">
        <f>Goods_Receipt[[#This Row],[ Invoice. /
 Received Qty ]]-Goods_Receipt[[#This Row],[ Accepted Qty ]]</f>
        <v>0</v>
      </c>
      <c r="O1568" s="87"/>
      <c r="P1568" s="87"/>
      <c r="Q1568" s="87"/>
      <c r="R1568" s="87"/>
      <c r="S1568" s="87"/>
      <c r="T1568" s="85"/>
      <c r="U1568" s="89"/>
      <c r="V1568" s="90"/>
      <c r="W1568" s="87"/>
      <c r="X1568" s="91"/>
      <c r="Y1568" s="84"/>
      <c r="Z1568" s="97"/>
    </row>
    <row r="1569" spans="1:26" s="98" customFormat="1" x14ac:dyDescent="0.35">
      <c r="A1569" s="86">
        <v>1566</v>
      </c>
      <c r="B1569" s="85"/>
      <c r="C1569" s="87"/>
      <c r="D1569" s="85"/>
      <c r="E1569" s="84"/>
      <c r="F1569" s="85"/>
      <c r="G1569" s="87"/>
      <c r="H1569" s="87"/>
      <c r="I1569" s="87"/>
      <c r="J1569" s="101"/>
      <c r="K1569" s="87"/>
      <c r="L1569" s="91"/>
      <c r="M1569" s="91"/>
      <c r="N1569" s="88">
        <f>Goods_Receipt[[#This Row],[ Invoice. /
 Received Qty ]]-Goods_Receipt[[#This Row],[ Accepted Qty ]]</f>
        <v>0</v>
      </c>
      <c r="O1569" s="87"/>
      <c r="P1569" s="87"/>
      <c r="Q1569" s="87"/>
      <c r="R1569" s="87"/>
      <c r="S1569" s="87"/>
      <c r="T1569" s="85"/>
      <c r="U1569" s="89"/>
      <c r="V1569" s="90"/>
      <c r="W1569" s="87"/>
      <c r="X1569" s="91"/>
      <c r="Y1569" s="84"/>
      <c r="Z1569" s="97"/>
    </row>
    <row r="1570" spans="1:26" s="98" customFormat="1" x14ac:dyDescent="0.35">
      <c r="A1570" s="86">
        <v>1567</v>
      </c>
      <c r="B1570" s="85"/>
      <c r="C1570" s="87"/>
      <c r="D1570" s="85"/>
      <c r="E1570" s="84"/>
      <c r="F1570" s="85"/>
      <c r="G1570" s="87"/>
      <c r="H1570" s="87"/>
      <c r="I1570" s="87"/>
      <c r="J1570" s="101"/>
      <c r="K1570" s="87"/>
      <c r="L1570" s="91"/>
      <c r="M1570" s="91"/>
      <c r="N1570" s="88">
        <f>Goods_Receipt[[#This Row],[ Invoice. /
 Received Qty ]]-Goods_Receipt[[#This Row],[ Accepted Qty ]]</f>
        <v>0</v>
      </c>
      <c r="O1570" s="87"/>
      <c r="P1570" s="87"/>
      <c r="Q1570" s="87"/>
      <c r="R1570" s="87"/>
      <c r="S1570" s="87"/>
      <c r="T1570" s="85"/>
      <c r="U1570" s="89"/>
      <c r="V1570" s="90"/>
      <c r="W1570" s="87"/>
      <c r="X1570" s="91"/>
      <c r="Y1570" s="84"/>
      <c r="Z1570" s="97"/>
    </row>
    <row r="1571" spans="1:26" s="98" customFormat="1" x14ac:dyDescent="0.35">
      <c r="A1571" s="86">
        <v>1568</v>
      </c>
      <c r="B1571" s="85"/>
      <c r="C1571" s="87"/>
      <c r="D1571" s="85"/>
      <c r="E1571" s="84"/>
      <c r="F1571" s="85"/>
      <c r="G1571" s="87"/>
      <c r="H1571" s="87"/>
      <c r="I1571" s="87"/>
      <c r="J1571" s="101"/>
      <c r="K1571" s="87"/>
      <c r="L1571" s="91"/>
      <c r="M1571" s="91"/>
      <c r="N1571" s="88">
        <f>Goods_Receipt[[#This Row],[ Invoice. /
 Received Qty ]]-Goods_Receipt[[#This Row],[ Accepted Qty ]]</f>
        <v>0</v>
      </c>
      <c r="O1571" s="87"/>
      <c r="P1571" s="87"/>
      <c r="Q1571" s="87"/>
      <c r="R1571" s="87"/>
      <c r="S1571" s="87"/>
      <c r="T1571" s="85"/>
      <c r="U1571" s="89"/>
      <c r="V1571" s="90"/>
      <c r="W1571" s="87"/>
      <c r="X1571" s="91"/>
      <c r="Y1571" s="84"/>
      <c r="Z1571" s="97"/>
    </row>
    <row r="1572" spans="1:26" s="98" customFormat="1" x14ac:dyDescent="0.35">
      <c r="A1572" s="86">
        <v>1569</v>
      </c>
      <c r="B1572" s="85"/>
      <c r="C1572" s="87"/>
      <c r="D1572" s="85"/>
      <c r="E1572" s="84"/>
      <c r="F1572" s="85"/>
      <c r="G1572" s="87"/>
      <c r="H1572" s="87"/>
      <c r="I1572" s="87"/>
      <c r="J1572" s="101"/>
      <c r="K1572" s="87"/>
      <c r="L1572" s="91"/>
      <c r="M1572" s="91"/>
      <c r="N1572" s="88">
        <f>Goods_Receipt[[#This Row],[ Invoice. /
 Received Qty ]]-Goods_Receipt[[#This Row],[ Accepted Qty ]]</f>
        <v>0</v>
      </c>
      <c r="O1572" s="87"/>
      <c r="P1572" s="87"/>
      <c r="Q1572" s="87"/>
      <c r="R1572" s="87"/>
      <c r="S1572" s="87"/>
      <c r="T1572" s="85"/>
      <c r="U1572" s="89"/>
      <c r="V1572" s="90"/>
      <c r="W1572" s="87"/>
      <c r="X1572" s="91"/>
      <c r="Y1572" s="84"/>
      <c r="Z1572" s="97"/>
    </row>
    <row r="1573" spans="1:26" s="98" customFormat="1" x14ac:dyDescent="0.35">
      <c r="A1573" s="86">
        <v>1570</v>
      </c>
      <c r="B1573" s="85"/>
      <c r="C1573" s="87"/>
      <c r="D1573" s="85"/>
      <c r="E1573" s="84"/>
      <c r="F1573" s="85"/>
      <c r="G1573" s="87"/>
      <c r="H1573" s="87"/>
      <c r="I1573" s="87"/>
      <c r="J1573" s="101"/>
      <c r="K1573" s="87"/>
      <c r="L1573" s="91"/>
      <c r="M1573" s="91"/>
      <c r="N1573" s="88">
        <f>Goods_Receipt[[#This Row],[ Invoice. /
 Received Qty ]]-Goods_Receipt[[#This Row],[ Accepted Qty ]]</f>
        <v>0</v>
      </c>
      <c r="O1573" s="87"/>
      <c r="P1573" s="87"/>
      <c r="Q1573" s="87"/>
      <c r="R1573" s="87"/>
      <c r="S1573" s="87"/>
      <c r="T1573" s="85"/>
      <c r="U1573" s="89"/>
      <c r="V1573" s="90"/>
      <c r="W1573" s="87"/>
      <c r="X1573" s="91"/>
      <c r="Y1573" s="84"/>
      <c r="Z1573" s="97"/>
    </row>
    <row r="1574" spans="1:26" s="98" customFormat="1" x14ac:dyDescent="0.35">
      <c r="A1574" s="86">
        <v>1571</v>
      </c>
      <c r="B1574" s="85"/>
      <c r="C1574" s="87"/>
      <c r="D1574" s="85"/>
      <c r="E1574" s="84"/>
      <c r="F1574" s="85"/>
      <c r="G1574" s="87"/>
      <c r="H1574" s="87"/>
      <c r="I1574" s="87"/>
      <c r="J1574" s="101"/>
      <c r="K1574" s="87"/>
      <c r="L1574" s="91"/>
      <c r="M1574" s="91"/>
      <c r="N1574" s="88">
        <f>Goods_Receipt[[#This Row],[ Invoice. /
 Received Qty ]]-Goods_Receipt[[#This Row],[ Accepted Qty ]]</f>
        <v>0</v>
      </c>
      <c r="O1574" s="87"/>
      <c r="P1574" s="87"/>
      <c r="Q1574" s="87"/>
      <c r="R1574" s="87"/>
      <c r="S1574" s="87"/>
      <c r="T1574" s="85"/>
      <c r="U1574" s="89"/>
      <c r="V1574" s="90"/>
      <c r="W1574" s="87"/>
      <c r="X1574" s="91"/>
      <c r="Y1574" s="84"/>
      <c r="Z1574" s="97"/>
    </row>
    <row r="1575" spans="1:26" s="98" customFormat="1" x14ac:dyDescent="0.35">
      <c r="A1575" s="86">
        <v>1572</v>
      </c>
      <c r="B1575" s="85"/>
      <c r="C1575" s="87"/>
      <c r="D1575" s="85"/>
      <c r="E1575" s="84"/>
      <c r="F1575" s="85"/>
      <c r="G1575" s="87"/>
      <c r="H1575" s="87"/>
      <c r="I1575" s="87"/>
      <c r="J1575" s="101"/>
      <c r="K1575" s="87"/>
      <c r="L1575" s="91"/>
      <c r="M1575" s="91"/>
      <c r="N1575" s="88">
        <f>Goods_Receipt[[#This Row],[ Invoice. /
 Received Qty ]]-Goods_Receipt[[#This Row],[ Accepted Qty ]]</f>
        <v>0</v>
      </c>
      <c r="O1575" s="87"/>
      <c r="P1575" s="87"/>
      <c r="Q1575" s="87"/>
      <c r="R1575" s="87"/>
      <c r="S1575" s="87"/>
      <c r="T1575" s="85"/>
      <c r="U1575" s="89"/>
      <c r="V1575" s="90"/>
      <c r="W1575" s="87"/>
      <c r="X1575" s="91"/>
      <c r="Y1575" s="84"/>
      <c r="Z1575" s="97"/>
    </row>
    <row r="1576" spans="1:26" s="98" customFormat="1" x14ac:dyDescent="0.35">
      <c r="A1576" s="86">
        <v>1573</v>
      </c>
      <c r="B1576" s="85"/>
      <c r="C1576" s="87"/>
      <c r="D1576" s="85"/>
      <c r="E1576" s="84"/>
      <c r="F1576" s="85"/>
      <c r="G1576" s="87"/>
      <c r="H1576" s="87"/>
      <c r="I1576" s="87"/>
      <c r="J1576" s="101"/>
      <c r="K1576" s="87"/>
      <c r="L1576" s="91"/>
      <c r="M1576" s="91"/>
      <c r="N1576" s="88">
        <f>Goods_Receipt[[#This Row],[ Invoice. /
 Received Qty ]]-Goods_Receipt[[#This Row],[ Accepted Qty ]]</f>
        <v>0</v>
      </c>
      <c r="O1576" s="87"/>
      <c r="P1576" s="87"/>
      <c r="Q1576" s="87"/>
      <c r="R1576" s="87"/>
      <c r="S1576" s="87"/>
      <c r="T1576" s="85"/>
      <c r="U1576" s="89"/>
      <c r="V1576" s="90"/>
      <c r="W1576" s="87"/>
      <c r="X1576" s="91"/>
      <c r="Y1576" s="84"/>
      <c r="Z1576" s="97"/>
    </row>
    <row r="1577" spans="1:26" s="98" customFormat="1" x14ac:dyDescent="0.35">
      <c r="A1577" s="86">
        <v>1574</v>
      </c>
      <c r="B1577" s="85"/>
      <c r="C1577" s="87"/>
      <c r="D1577" s="85"/>
      <c r="E1577" s="84"/>
      <c r="F1577" s="85"/>
      <c r="G1577" s="87"/>
      <c r="H1577" s="87"/>
      <c r="I1577" s="87"/>
      <c r="J1577" s="101"/>
      <c r="K1577" s="87"/>
      <c r="L1577" s="91"/>
      <c r="M1577" s="91"/>
      <c r="N1577" s="88">
        <f>Goods_Receipt[[#This Row],[ Invoice. /
 Received Qty ]]-Goods_Receipt[[#This Row],[ Accepted Qty ]]</f>
        <v>0</v>
      </c>
      <c r="O1577" s="87"/>
      <c r="P1577" s="87"/>
      <c r="Q1577" s="87"/>
      <c r="R1577" s="87"/>
      <c r="S1577" s="87"/>
      <c r="T1577" s="85"/>
      <c r="U1577" s="89"/>
      <c r="V1577" s="90"/>
      <c r="W1577" s="87"/>
      <c r="X1577" s="91"/>
      <c r="Y1577" s="84"/>
      <c r="Z1577" s="97"/>
    </row>
    <row r="1578" spans="1:26" s="98" customFormat="1" x14ac:dyDescent="0.35">
      <c r="A1578" s="86">
        <v>1575</v>
      </c>
      <c r="B1578" s="85"/>
      <c r="C1578" s="87"/>
      <c r="D1578" s="85"/>
      <c r="E1578" s="84"/>
      <c r="F1578" s="85"/>
      <c r="G1578" s="87"/>
      <c r="H1578" s="87"/>
      <c r="I1578" s="87"/>
      <c r="J1578" s="101"/>
      <c r="K1578" s="87"/>
      <c r="L1578" s="91"/>
      <c r="M1578" s="91"/>
      <c r="N1578" s="88">
        <f>Goods_Receipt[[#This Row],[ Invoice. /
 Received Qty ]]-Goods_Receipt[[#This Row],[ Accepted Qty ]]</f>
        <v>0</v>
      </c>
      <c r="O1578" s="87"/>
      <c r="P1578" s="87"/>
      <c r="Q1578" s="87"/>
      <c r="R1578" s="87"/>
      <c r="S1578" s="87"/>
      <c r="T1578" s="85"/>
      <c r="U1578" s="89"/>
      <c r="V1578" s="90"/>
      <c r="W1578" s="87"/>
      <c r="X1578" s="91"/>
      <c r="Y1578" s="84"/>
      <c r="Z1578" s="97"/>
    </row>
    <row r="1579" spans="1:26" s="98" customFormat="1" x14ac:dyDescent="0.35">
      <c r="A1579" s="86">
        <v>1576</v>
      </c>
      <c r="B1579" s="85"/>
      <c r="C1579" s="87"/>
      <c r="D1579" s="85"/>
      <c r="E1579" s="84"/>
      <c r="F1579" s="85"/>
      <c r="G1579" s="87"/>
      <c r="H1579" s="87"/>
      <c r="I1579" s="87"/>
      <c r="J1579" s="101"/>
      <c r="K1579" s="87"/>
      <c r="L1579" s="91"/>
      <c r="M1579" s="91"/>
      <c r="N1579" s="88">
        <f>Goods_Receipt[[#This Row],[ Invoice. /
 Received Qty ]]-Goods_Receipt[[#This Row],[ Accepted Qty ]]</f>
        <v>0</v>
      </c>
      <c r="O1579" s="87"/>
      <c r="P1579" s="87"/>
      <c r="Q1579" s="87"/>
      <c r="R1579" s="87"/>
      <c r="S1579" s="87"/>
      <c r="T1579" s="85"/>
      <c r="U1579" s="89"/>
      <c r="V1579" s="90"/>
      <c r="W1579" s="87"/>
      <c r="X1579" s="91"/>
      <c r="Y1579" s="84"/>
      <c r="Z1579" s="97"/>
    </row>
    <row r="1580" spans="1:26" s="98" customFormat="1" x14ac:dyDescent="0.35">
      <c r="A1580" s="86">
        <v>1577</v>
      </c>
      <c r="B1580" s="85"/>
      <c r="C1580" s="87"/>
      <c r="D1580" s="85"/>
      <c r="E1580" s="84"/>
      <c r="F1580" s="85"/>
      <c r="G1580" s="87"/>
      <c r="H1580" s="87"/>
      <c r="I1580" s="87"/>
      <c r="J1580" s="101"/>
      <c r="K1580" s="87"/>
      <c r="L1580" s="91"/>
      <c r="M1580" s="91"/>
      <c r="N1580" s="88">
        <f>Goods_Receipt[[#This Row],[ Invoice. /
 Received Qty ]]-Goods_Receipt[[#This Row],[ Accepted Qty ]]</f>
        <v>0</v>
      </c>
      <c r="O1580" s="87"/>
      <c r="P1580" s="87"/>
      <c r="Q1580" s="87"/>
      <c r="R1580" s="87"/>
      <c r="S1580" s="87"/>
      <c r="T1580" s="85"/>
      <c r="U1580" s="89"/>
      <c r="V1580" s="90"/>
      <c r="W1580" s="87"/>
      <c r="X1580" s="91"/>
      <c r="Y1580" s="84"/>
      <c r="Z1580" s="97"/>
    </row>
    <row r="1581" spans="1:26" s="98" customFormat="1" x14ac:dyDescent="0.35">
      <c r="A1581" s="86">
        <v>1578</v>
      </c>
      <c r="B1581" s="85"/>
      <c r="C1581" s="87"/>
      <c r="D1581" s="85"/>
      <c r="E1581" s="84"/>
      <c r="F1581" s="85"/>
      <c r="G1581" s="87"/>
      <c r="H1581" s="87"/>
      <c r="I1581" s="87"/>
      <c r="J1581" s="101"/>
      <c r="K1581" s="87"/>
      <c r="L1581" s="91"/>
      <c r="M1581" s="91"/>
      <c r="N1581" s="88">
        <f>Goods_Receipt[[#This Row],[ Invoice. /
 Received Qty ]]-Goods_Receipt[[#This Row],[ Accepted Qty ]]</f>
        <v>0</v>
      </c>
      <c r="O1581" s="87"/>
      <c r="P1581" s="87"/>
      <c r="Q1581" s="87"/>
      <c r="R1581" s="87"/>
      <c r="S1581" s="87"/>
      <c r="T1581" s="85"/>
      <c r="U1581" s="89"/>
      <c r="V1581" s="90"/>
      <c r="W1581" s="87"/>
      <c r="X1581" s="91"/>
      <c r="Y1581" s="84"/>
      <c r="Z1581" s="97"/>
    </row>
    <row r="1582" spans="1:26" s="98" customFormat="1" x14ac:dyDescent="0.35">
      <c r="A1582" s="86">
        <v>1579</v>
      </c>
      <c r="B1582" s="85"/>
      <c r="C1582" s="87"/>
      <c r="D1582" s="85"/>
      <c r="E1582" s="84"/>
      <c r="F1582" s="85"/>
      <c r="G1582" s="87"/>
      <c r="H1582" s="87"/>
      <c r="I1582" s="87"/>
      <c r="J1582" s="101"/>
      <c r="K1582" s="87"/>
      <c r="L1582" s="91"/>
      <c r="M1582" s="91"/>
      <c r="N1582" s="88">
        <f>Goods_Receipt[[#This Row],[ Invoice. /
 Received Qty ]]-Goods_Receipt[[#This Row],[ Accepted Qty ]]</f>
        <v>0</v>
      </c>
      <c r="O1582" s="87"/>
      <c r="P1582" s="87"/>
      <c r="Q1582" s="87"/>
      <c r="R1582" s="87"/>
      <c r="S1582" s="87"/>
      <c r="T1582" s="85"/>
      <c r="U1582" s="89"/>
      <c r="V1582" s="90"/>
      <c r="W1582" s="87"/>
      <c r="X1582" s="91"/>
      <c r="Y1582" s="84"/>
      <c r="Z1582" s="97"/>
    </row>
    <row r="1583" spans="1:26" s="98" customFormat="1" x14ac:dyDescent="0.35">
      <c r="A1583" s="86">
        <v>1580</v>
      </c>
      <c r="B1583" s="85"/>
      <c r="C1583" s="87"/>
      <c r="D1583" s="85"/>
      <c r="E1583" s="84"/>
      <c r="F1583" s="85"/>
      <c r="G1583" s="87"/>
      <c r="H1583" s="87"/>
      <c r="I1583" s="87"/>
      <c r="J1583" s="101"/>
      <c r="K1583" s="87"/>
      <c r="L1583" s="91"/>
      <c r="M1583" s="91"/>
      <c r="N1583" s="88">
        <f>Goods_Receipt[[#This Row],[ Invoice. /
 Received Qty ]]-Goods_Receipt[[#This Row],[ Accepted Qty ]]</f>
        <v>0</v>
      </c>
      <c r="O1583" s="87"/>
      <c r="P1583" s="87"/>
      <c r="Q1583" s="87"/>
      <c r="R1583" s="87"/>
      <c r="S1583" s="87"/>
      <c r="T1583" s="85"/>
      <c r="U1583" s="89"/>
      <c r="V1583" s="90"/>
      <c r="W1583" s="87"/>
      <c r="X1583" s="91"/>
      <c r="Y1583" s="84"/>
      <c r="Z1583" s="97"/>
    </row>
    <row r="1584" spans="1:26" s="98" customFormat="1" x14ac:dyDescent="0.35">
      <c r="A1584" s="86">
        <v>1581</v>
      </c>
      <c r="B1584" s="85"/>
      <c r="C1584" s="87"/>
      <c r="D1584" s="85"/>
      <c r="E1584" s="84"/>
      <c r="F1584" s="85"/>
      <c r="G1584" s="87"/>
      <c r="H1584" s="87"/>
      <c r="I1584" s="87"/>
      <c r="J1584" s="101"/>
      <c r="K1584" s="87"/>
      <c r="L1584" s="91"/>
      <c r="M1584" s="91"/>
      <c r="N1584" s="88">
        <f>Goods_Receipt[[#This Row],[ Invoice. /
 Received Qty ]]-Goods_Receipt[[#This Row],[ Accepted Qty ]]</f>
        <v>0</v>
      </c>
      <c r="O1584" s="87"/>
      <c r="P1584" s="87"/>
      <c r="Q1584" s="87"/>
      <c r="R1584" s="87"/>
      <c r="S1584" s="87"/>
      <c r="T1584" s="85"/>
      <c r="U1584" s="89"/>
      <c r="V1584" s="90"/>
      <c r="W1584" s="87"/>
      <c r="X1584" s="91"/>
      <c r="Y1584" s="84"/>
      <c r="Z1584" s="97"/>
    </row>
    <row r="1585" spans="1:26" s="98" customFormat="1" x14ac:dyDescent="0.35">
      <c r="A1585" s="86">
        <v>1582</v>
      </c>
      <c r="B1585" s="85"/>
      <c r="C1585" s="87"/>
      <c r="D1585" s="85"/>
      <c r="E1585" s="84"/>
      <c r="F1585" s="85"/>
      <c r="G1585" s="87"/>
      <c r="H1585" s="87"/>
      <c r="I1585" s="87"/>
      <c r="J1585" s="101"/>
      <c r="K1585" s="87"/>
      <c r="L1585" s="91"/>
      <c r="M1585" s="91"/>
      <c r="N1585" s="88">
        <f>Goods_Receipt[[#This Row],[ Invoice. /
 Received Qty ]]-Goods_Receipt[[#This Row],[ Accepted Qty ]]</f>
        <v>0</v>
      </c>
      <c r="O1585" s="87"/>
      <c r="P1585" s="87"/>
      <c r="Q1585" s="87"/>
      <c r="R1585" s="87"/>
      <c r="S1585" s="87"/>
      <c r="T1585" s="85"/>
      <c r="U1585" s="89"/>
      <c r="V1585" s="90"/>
      <c r="W1585" s="87"/>
      <c r="X1585" s="91"/>
      <c r="Y1585" s="84"/>
      <c r="Z1585" s="97"/>
    </row>
    <row r="1586" spans="1:26" s="98" customFormat="1" x14ac:dyDescent="0.35">
      <c r="A1586" s="86">
        <v>1583</v>
      </c>
      <c r="B1586" s="85"/>
      <c r="C1586" s="87"/>
      <c r="D1586" s="85"/>
      <c r="E1586" s="84"/>
      <c r="F1586" s="85"/>
      <c r="G1586" s="87"/>
      <c r="H1586" s="87"/>
      <c r="I1586" s="87"/>
      <c r="J1586" s="101"/>
      <c r="K1586" s="87"/>
      <c r="L1586" s="91"/>
      <c r="M1586" s="91"/>
      <c r="N1586" s="88">
        <f>Goods_Receipt[[#This Row],[ Invoice. /
 Received Qty ]]-Goods_Receipt[[#This Row],[ Accepted Qty ]]</f>
        <v>0</v>
      </c>
      <c r="O1586" s="87"/>
      <c r="P1586" s="87"/>
      <c r="Q1586" s="87"/>
      <c r="R1586" s="87"/>
      <c r="S1586" s="87"/>
      <c r="T1586" s="85"/>
      <c r="U1586" s="89"/>
      <c r="V1586" s="90"/>
      <c r="W1586" s="87"/>
      <c r="X1586" s="91"/>
      <c r="Y1586" s="84"/>
      <c r="Z1586" s="97"/>
    </row>
    <row r="1587" spans="1:26" s="98" customFormat="1" x14ac:dyDescent="0.35">
      <c r="A1587" s="86">
        <v>1584</v>
      </c>
      <c r="B1587" s="85"/>
      <c r="C1587" s="87"/>
      <c r="D1587" s="85"/>
      <c r="E1587" s="84"/>
      <c r="F1587" s="85"/>
      <c r="G1587" s="87"/>
      <c r="H1587" s="87"/>
      <c r="I1587" s="87"/>
      <c r="J1587" s="101"/>
      <c r="K1587" s="87"/>
      <c r="L1587" s="91"/>
      <c r="M1587" s="91"/>
      <c r="N1587" s="88">
        <f>Goods_Receipt[[#This Row],[ Invoice. /
 Received Qty ]]-Goods_Receipt[[#This Row],[ Accepted Qty ]]</f>
        <v>0</v>
      </c>
      <c r="O1587" s="87"/>
      <c r="P1587" s="87"/>
      <c r="Q1587" s="87"/>
      <c r="R1587" s="87"/>
      <c r="S1587" s="87"/>
      <c r="T1587" s="85"/>
      <c r="U1587" s="89"/>
      <c r="V1587" s="90"/>
      <c r="W1587" s="87"/>
      <c r="X1587" s="91"/>
      <c r="Y1587" s="84"/>
      <c r="Z1587" s="97"/>
    </row>
    <row r="1588" spans="1:26" s="98" customFormat="1" x14ac:dyDescent="0.35">
      <c r="A1588" s="86">
        <v>1585</v>
      </c>
      <c r="B1588" s="85"/>
      <c r="C1588" s="87"/>
      <c r="D1588" s="85"/>
      <c r="E1588" s="84"/>
      <c r="F1588" s="85"/>
      <c r="G1588" s="87"/>
      <c r="H1588" s="87"/>
      <c r="I1588" s="87"/>
      <c r="J1588" s="101"/>
      <c r="K1588" s="87"/>
      <c r="L1588" s="91"/>
      <c r="M1588" s="91"/>
      <c r="N1588" s="88">
        <f>Goods_Receipt[[#This Row],[ Invoice. /
 Received Qty ]]-Goods_Receipt[[#This Row],[ Accepted Qty ]]</f>
        <v>0</v>
      </c>
      <c r="O1588" s="87"/>
      <c r="P1588" s="87"/>
      <c r="Q1588" s="87"/>
      <c r="R1588" s="87"/>
      <c r="S1588" s="87"/>
      <c r="T1588" s="85"/>
      <c r="U1588" s="89"/>
      <c r="V1588" s="90"/>
      <c r="W1588" s="87"/>
      <c r="X1588" s="91"/>
      <c r="Y1588" s="84"/>
      <c r="Z1588" s="97"/>
    </row>
    <row r="1589" spans="1:26" s="98" customFormat="1" x14ac:dyDescent="0.35">
      <c r="A1589" s="86">
        <v>1586</v>
      </c>
      <c r="B1589" s="85"/>
      <c r="C1589" s="87"/>
      <c r="D1589" s="85"/>
      <c r="E1589" s="84"/>
      <c r="F1589" s="85"/>
      <c r="G1589" s="87"/>
      <c r="H1589" s="87"/>
      <c r="I1589" s="87"/>
      <c r="J1589" s="101"/>
      <c r="K1589" s="87"/>
      <c r="L1589" s="91"/>
      <c r="M1589" s="91"/>
      <c r="N1589" s="88">
        <f>Goods_Receipt[[#This Row],[ Invoice. /
 Received Qty ]]-Goods_Receipt[[#This Row],[ Accepted Qty ]]</f>
        <v>0</v>
      </c>
      <c r="O1589" s="87"/>
      <c r="P1589" s="87"/>
      <c r="Q1589" s="87"/>
      <c r="R1589" s="87"/>
      <c r="S1589" s="87"/>
      <c r="T1589" s="85"/>
      <c r="U1589" s="89"/>
      <c r="V1589" s="90"/>
      <c r="W1589" s="87"/>
      <c r="X1589" s="91"/>
      <c r="Y1589" s="84"/>
      <c r="Z1589" s="97"/>
    </row>
    <row r="1590" spans="1:26" s="98" customFormat="1" x14ac:dyDescent="0.35">
      <c r="A1590" s="86">
        <v>1587</v>
      </c>
      <c r="B1590" s="85"/>
      <c r="C1590" s="87"/>
      <c r="D1590" s="85"/>
      <c r="E1590" s="84"/>
      <c r="F1590" s="85"/>
      <c r="G1590" s="87"/>
      <c r="H1590" s="87"/>
      <c r="I1590" s="87"/>
      <c r="J1590" s="101"/>
      <c r="K1590" s="87"/>
      <c r="L1590" s="91"/>
      <c r="M1590" s="91"/>
      <c r="N1590" s="88">
        <f>Goods_Receipt[[#This Row],[ Invoice. /
 Received Qty ]]-Goods_Receipt[[#This Row],[ Accepted Qty ]]</f>
        <v>0</v>
      </c>
      <c r="O1590" s="87"/>
      <c r="P1590" s="87"/>
      <c r="Q1590" s="87"/>
      <c r="R1590" s="87"/>
      <c r="S1590" s="87"/>
      <c r="T1590" s="85"/>
      <c r="U1590" s="89"/>
      <c r="V1590" s="90"/>
      <c r="W1590" s="87"/>
      <c r="X1590" s="91"/>
      <c r="Y1590" s="84"/>
      <c r="Z1590" s="97"/>
    </row>
    <row r="1591" spans="1:26" s="98" customFormat="1" x14ac:dyDescent="0.35">
      <c r="A1591" s="86">
        <v>1588</v>
      </c>
      <c r="B1591" s="85"/>
      <c r="C1591" s="87"/>
      <c r="D1591" s="85"/>
      <c r="E1591" s="84"/>
      <c r="F1591" s="85"/>
      <c r="G1591" s="87"/>
      <c r="H1591" s="87"/>
      <c r="I1591" s="87"/>
      <c r="J1591" s="101"/>
      <c r="K1591" s="87"/>
      <c r="L1591" s="91"/>
      <c r="M1591" s="91"/>
      <c r="N1591" s="88">
        <f>Goods_Receipt[[#This Row],[ Invoice. /
 Received Qty ]]-Goods_Receipt[[#This Row],[ Accepted Qty ]]</f>
        <v>0</v>
      </c>
      <c r="O1591" s="87"/>
      <c r="P1591" s="87"/>
      <c r="Q1591" s="87"/>
      <c r="R1591" s="87"/>
      <c r="S1591" s="87"/>
      <c r="T1591" s="85"/>
      <c r="U1591" s="89"/>
      <c r="V1591" s="90"/>
      <c r="W1591" s="87"/>
      <c r="X1591" s="91"/>
      <c r="Y1591" s="84"/>
      <c r="Z1591" s="97"/>
    </row>
    <row r="1592" spans="1:26" s="98" customFormat="1" x14ac:dyDescent="0.35">
      <c r="A1592" s="86">
        <v>1589</v>
      </c>
      <c r="B1592" s="85"/>
      <c r="C1592" s="87"/>
      <c r="D1592" s="85"/>
      <c r="E1592" s="84"/>
      <c r="F1592" s="85"/>
      <c r="G1592" s="87"/>
      <c r="H1592" s="87"/>
      <c r="I1592" s="87"/>
      <c r="J1592" s="101"/>
      <c r="K1592" s="87"/>
      <c r="L1592" s="91"/>
      <c r="M1592" s="91"/>
      <c r="N1592" s="88">
        <f>Goods_Receipt[[#This Row],[ Invoice. /
 Received Qty ]]-Goods_Receipt[[#This Row],[ Accepted Qty ]]</f>
        <v>0</v>
      </c>
      <c r="O1592" s="87"/>
      <c r="P1592" s="87"/>
      <c r="Q1592" s="87"/>
      <c r="R1592" s="87"/>
      <c r="S1592" s="87"/>
      <c r="T1592" s="85"/>
      <c r="U1592" s="89"/>
      <c r="V1592" s="90"/>
      <c r="W1592" s="87"/>
      <c r="X1592" s="91"/>
      <c r="Y1592" s="84"/>
      <c r="Z1592" s="97"/>
    </row>
    <row r="1593" spans="1:26" s="98" customFormat="1" x14ac:dyDescent="0.35">
      <c r="A1593" s="86">
        <v>1590</v>
      </c>
      <c r="B1593" s="85"/>
      <c r="C1593" s="87"/>
      <c r="D1593" s="85"/>
      <c r="E1593" s="84"/>
      <c r="F1593" s="85"/>
      <c r="G1593" s="87"/>
      <c r="H1593" s="87"/>
      <c r="I1593" s="87"/>
      <c r="J1593" s="101"/>
      <c r="K1593" s="87"/>
      <c r="L1593" s="91"/>
      <c r="M1593" s="91"/>
      <c r="N1593" s="88">
        <f>Goods_Receipt[[#This Row],[ Invoice. /
 Received Qty ]]-Goods_Receipt[[#This Row],[ Accepted Qty ]]</f>
        <v>0</v>
      </c>
      <c r="O1593" s="87"/>
      <c r="P1593" s="87"/>
      <c r="Q1593" s="87"/>
      <c r="R1593" s="87"/>
      <c r="S1593" s="87"/>
      <c r="T1593" s="85"/>
      <c r="U1593" s="89"/>
      <c r="V1593" s="90"/>
      <c r="W1593" s="87"/>
      <c r="X1593" s="91"/>
      <c r="Y1593" s="84"/>
      <c r="Z1593" s="97"/>
    </row>
    <row r="1594" spans="1:26" s="98" customFormat="1" x14ac:dyDescent="0.35">
      <c r="A1594" s="86">
        <v>1591</v>
      </c>
      <c r="B1594" s="85"/>
      <c r="C1594" s="87"/>
      <c r="D1594" s="85"/>
      <c r="E1594" s="84"/>
      <c r="F1594" s="85"/>
      <c r="G1594" s="87"/>
      <c r="H1594" s="87"/>
      <c r="I1594" s="87"/>
      <c r="J1594" s="101"/>
      <c r="K1594" s="87"/>
      <c r="L1594" s="91"/>
      <c r="M1594" s="91"/>
      <c r="N1594" s="88">
        <f>Goods_Receipt[[#This Row],[ Invoice. /
 Received Qty ]]-Goods_Receipt[[#This Row],[ Accepted Qty ]]</f>
        <v>0</v>
      </c>
      <c r="O1594" s="87"/>
      <c r="P1594" s="87"/>
      <c r="Q1594" s="87"/>
      <c r="R1594" s="87"/>
      <c r="S1594" s="87"/>
      <c r="T1594" s="85"/>
      <c r="U1594" s="89"/>
      <c r="V1594" s="90"/>
      <c r="W1594" s="87"/>
      <c r="X1594" s="91"/>
      <c r="Y1594" s="84"/>
      <c r="Z1594" s="97"/>
    </row>
    <row r="1595" spans="1:26" s="98" customFormat="1" x14ac:dyDescent="0.35">
      <c r="A1595" s="86">
        <v>1592</v>
      </c>
      <c r="B1595" s="85"/>
      <c r="C1595" s="87"/>
      <c r="D1595" s="85"/>
      <c r="E1595" s="84"/>
      <c r="F1595" s="85"/>
      <c r="G1595" s="87"/>
      <c r="H1595" s="87"/>
      <c r="I1595" s="87"/>
      <c r="J1595" s="101"/>
      <c r="K1595" s="87"/>
      <c r="L1595" s="91"/>
      <c r="M1595" s="91"/>
      <c r="N1595" s="88">
        <f>Goods_Receipt[[#This Row],[ Invoice. /
 Received Qty ]]-Goods_Receipt[[#This Row],[ Accepted Qty ]]</f>
        <v>0</v>
      </c>
      <c r="O1595" s="87"/>
      <c r="P1595" s="87"/>
      <c r="Q1595" s="87"/>
      <c r="R1595" s="87"/>
      <c r="S1595" s="87"/>
      <c r="T1595" s="85"/>
      <c r="U1595" s="89"/>
      <c r="V1595" s="90"/>
      <c r="W1595" s="87"/>
      <c r="X1595" s="91"/>
      <c r="Y1595" s="84"/>
      <c r="Z1595" s="97"/>
    </row>
    <row r="1596" spans="1:26" s="98" customFormat="1" x14ac:dyDescent="0.35">
      <c r="A1596" s="86">
        <v>1593</v>
      </c>
      <c r="B1596" s="85"/>
      <c r="C1596" s="87"/>
      <c r="D1596" s="85"/>
      <c r="E1596" s="84"/>
      <c r="F1596" s="85"/>
      <c r="G1596" s="87"/>
      <c r="H1596" s="87"/>
      <c r="I1596" s="87"/>
      <c r="J1596" s="101"/>
      <c r="K1596" s="87"/>
      <c r="L1596" s="91"/>
      <c r="M1596" s="91"/>
      <c r="N1596" s="88">
        <f>Goods_Receipt[[#This Row],[ Invoice. /
 Received Qty ]]-Goods_Receipt[[#This Row],[ Accepted Qty ]]</f>
        <v>0</v>
      </c>
      <c r="O1596" s="87"/>
      <c r="P1596" s="87"/>
      <c r="Q1596" s="87"/>
      <c r="R1596" s="87"/>
      <c r="S1596" s="87"/>
      <c r="T1596" s="85"/>
      <c r="U1596" s="89"/>
      <c r="V1596" s="90"/>
      <c r="W1596" s="87"/>
      <c r="X1596" s="91"/>
      <c r="Y1596" s="84"/>
      <c r="Z1596" s="97"/>
    </row>
    <row r="1597" spans="1:26" s="98" customFormat="1" x14ac:dyDescent="0.35">
      <c r="A1597" s="86">
        <v>1594</v>
      </c>
      <c r="B1597" s="85"/>
      <c r="C1597" s="87"/>
      <c r="D1597" s="85"/>
      <c r="E1597" s="84"/>
      <c r="F1597" s="85"/>
      <c r="G1597" s="87"/>
      <c r="H1597" s="87"/>
      <c r="I1597" s="87"/>
      <c r="J1597" s="101"/>
      <c r="K1597" s="87"/>
      <c r="L1597" s="91"/>
      <c r="M1597" s="91"/>
      <c r="N1597" s="88">
        <f>Goods_Receipt[[#This Row],[ Invoice. /
 Received Qty ]]-Goods_Receipt[[#This Row],[ Accepted Qty ]]</f>
        <v>0</v>
      </c>
      <c r="O1597" s="87"/>
      <c r="P1597" s="87"/>
      <c r="Q1597" s="87"/>
      <c r="R1597" s="87"/>
      <c r="S1597" s="87"/>
      <c r="T1597" s="85"/>
      <c r="U1597" s="89"/>
      <c r="V1597" s="90"/>
      <c r="W1597" s="87"/>
      <c r="X1597" s="91"/>
      <c r="Y1597" s="84"/>
      <c r="Z1597" s="97"/>
    </row>
    <row r="1598" spans="1:26" s="98" customFormat="1" x14ac:dyDescent="0.35">
      <c r="A1598" s="86">
        <v>1595</v>
      </c>
      <c r="B1598" s="85"/>
      <c r="C1598" s="87"/>
      <c r="D1598" s="85"/>
      <c r="E1598" s="84"/>
      <c r="F1598" s="85"/>
      <c r="G1598" s="87"/>
      <c r="H1598" s="87"/>
      <c r="I1598" s="87"/>
      <c r="J1598" s="101"/>
      <c r="K1598" s="87"/>
      <c r="L1598" s="91"/>
      <c r="M1598" s="91"/>
      <c r="N1598" s="88">
        <f>Goods_Receipt[[#This Row],[ Invoice. /
 Received Qty ]]-Goods_Receipt[[#This Row],[ Accepted Qty ]]</f>
        <v>0</v>
      </c>
      <c r="O1598" s="87"/>
      <c r="P1598" s="87"/>
      <c r="Q1598" s="87"/>
      <c r="R1598" s="87"/>
      <c r="S1598" s="87"/>
      <c r="T1598" s="85"/>
      <c r="U1598" s="89"/>
      <c r="V1598" s="90"/>
      <c r="W1598" s="87"/>
      <c r="X1598" s="91"/>
      <c r="Y1598" s="84"/>
      <c r="Z1598" s="97"/>
    </row>
    <row r="1599" spans="1:26" s="98" customFormat="1" x14ac:dyDescent="0.35">
      <c r="A1599" s="86">
        <v>1596</v>
      </c>
      <c r="B1599" s="85"/>
      <c r="C1599" s="87"/>
      <c r="D1599" s="85"/>
      <c r="E1599" s="84"/>
      <c r="F1599" s="85"/>
      <c r="G1599" s="87"/>
      <c r="H1599" s="87"/>
      <c r="I1599" s="87"/>
      <c r="J1599" s="101"/>
      <c r="K1599" s="87"/>
      <c r="L1599" s="91"/>
      <c r="M1599" s="91"/>
      <c r="N1599" s="88">
        <f>Goods_Receipt[[#This Row],[ Invoice. /
 Received Qty ]]-Goods_Receipt[[#This Row],[ Accepted Qty ]]</f>
        <v>0</v>
      </c>
      <c r="O1599" s="87"/>
      <c r="P1599" s="87"/>
      <c r="Q1599" s="87"/>
      <c r="R1599" s="87"/>
      <c r="S1599" s="87"/>
      <c r="T1599" s="85"/>
      <c r="U1599" s="89"/>
      <c r="V1599" s="90"/>
      <c r="W1599" s="87"/>
      <c r="X1599" s="91"/>
      <c r="Y1599" s="84"/>
      <c r="Z1599" s="97"/>
    </row>
    <row r="1600" spans="1:26" s="98" customFormat="1" x14ac:dyDescent="0.35">
      <c r="A1600" s="86">
        <v>1597</v>
      </c>
      <c r="B1600" s="85"/>
      <c r="C1600" s="87"/>
      <c r="D1600" s="85"/>
      <c r="E1600" s="84"/>
      <c r="F1600" s="85"/>
      <c r="G1600" s="87"/>
      <c r="H1600" s="87"/>
      <c r="I1600" s="87"/>
      <c r="J1600" s="101"/>
      <c r="K1600" s="87"/>
      <c r="L1600" s="91"/>
      <c r="M1600" s="91"/>
      <c r="N1600" s="88">
        <f>Goods_Receipt[[#This Row],[ Invoice. /
 Received Qty ]]-Goods_Receipt[[#This Row],[ Accepted Qty ]]</f>
        <v>0</v>
      </c>
      <c r="O1600" s="87"/>
      <c r="P1600" s="87"/>
      <c r="Q1600" s="87"/>
      <c r="R1600" s="87"/>
      <c r="S1600" s="87"/>
      <c r="T1600" s="85"/>
      <c r="U1600" s="89"/>
      <c r="V1600" s="90"/>
      <c r="W1600" s="87"/>
      <c r="X1600" s="91"/>
      <c r="Y1600" s="84"/>
      <c r="Z1600" s="97"/>
    </row>
    <row r="1601" spans="1:26" s="98" customFormat="1" x14ac:dyDescent="0.35">
      <c r="A1601" s="86">
        <v>1598</v>
      </c>
      <c r="B1601" s="85"/>
      <c r="C1601" s="87"/>
      <c r="D1601" s="85"/>
      <c r="E1601" s="84"/>
      <c r="F1601" s="85"/>
      <c r="G1601" s="87"/>
      <c r="H1601" s="87"/>
      <c r="I1601" s="87"/>
      <c r="J1601" s="101"/>
      <c r="K1601" s="87"/>
      <c r="L1601" s="91"/>
      <c r="M1601" s="91"/>
      <c r="N1601" s="88">
        <f>Goods_Receipt[[#This Row],[ Invoice. /
 Received Qty ]]-Goods_Receipt[[#This Row],[ Accepted Qty ]]</f>
        <v>0</v>
      </c>
      <c r="O1601" s="87"/>
      <c r="P1601" s="87"/>
      <c r="Q1601" s="87"/>
      <c r="R1601" s="87"/>
      <c r="S1601" s="87"/>
      <c r="T1601" s="85"/>
      <c r="U1601" s="89"/>
      <c r="V1601" s="90"/>
      <c r="W1601" s="87"/>
      <c r="X1601" s="91"/>
      <c r="Y1601" s="84"/>
      <c r="Z1601" s="97"/>
    </row>
    <row r="1602" spans="1:26" s="98" customFormat="1" x14ac:dyDescent="0.35">
      <c r="A1602" s="86">
        <v>1599</v>
      </c>
      <c r="B1602" s="85"/>
      <c r="C1602" s="87"/>
      <c r="D1602" s="85"/>
      <c r="E1602" s="84"/>
      <c r="F1602" s="85"/>
      <c r="G1602" s="87"/>
      <c r="H1602" s="87"/>
      <c r="I1602" s="87"/>
      <c r="J1602" s="101"/>
      <c r="K1602" s="87"/>
      <c r="L1602" s="91"/>
      <c r="M1602" s="91"/>
      <c r="N1602" s="88">
        <f>Goods_Receipt[[#This Row],[ Invoice. /
 Received Qty ]]-Goods_Receipt[[#This Row],[ Accepted Qty ]]</f>
        <v>0</v>
      </c>
      <c r="O1602" s="87"/>
      <c r="P1602" s="87"/>
      <c r="Q1602" s="87"/>
      <c r="R1602" s="87"/>
      <c r="S1602" s="87"/>
      <c r="T1602" s="85"/>
      <c r="U1602" s="89"/>
      <c r="V1602" s="90"/>
      <c r="W1602" s="87"/>
      <c r="X1602" s="91"/>
      <c r="Y1602" s="84"/>
      <c r="Z1602" s="97"/>
    </row>
    <row r="1603" spans="1:26" s="98" customFormat="1" x14ac:dyDescent="0.35">
      <c r="A1603" s="86">
        <v>1600</v>
      </c>
      <c r="B1603" s="85"/>
      <c r="C1603" s="87"/>
      <c r="D1603" s="85"/>
      <c r="E1603" s="84"/>
      <c r="F1603" s="85"/>
      <c r="G1603" s="87"/>
      <c r="H1603" s="87"/>
      <c r="I1603" s="87"/>
      <c r="J1603" s="101"/>
      <c r="K1603" s="87"/>
      <c r="L1603" s="91"/>
      <c r="M1603" s="91"/>
      <c r="N1603" s="88">
        <f>Goods_Receipt[[#This Row],[ Invoice. /
 Received Qty ]]-Goods_Receipt[[#This Row],[ Accepted Qty ]]</f>
        <v>0</v>
      </c>
      <c r="O1603" s="87"/>
      <c r="P1603" s="87"/>
      <c r="Q1603" s="87"/>
      <c r="R1603" s="87"/>
      <c r="S1603" s="87"/>
      <c r="T1603" s="85"/>
      <c r="U1603" s="89"/>
      <c r="V1603" s="90"/>
      <c r="W1603" s="87"/>
      <c r="X1603" s="91"/>
      <c r="Y1603" s="84"/>
      <c r="Z1603" s="97"/>
    </row>
    <row r="1604" spans="1:26" s="98" customFormat="1" x14ac:dyDescent="0.35">
      <c r="A1604" s="86">
        <v>1601</v>
      </c>
      <c r="B1604" s="85"/>
      <c r="C1604" s="87"/>
      <c r="D1604" s="85"/>
      <c r="E1604" s="84"/>
      <c r="F1604" s="85"/>
      <c r="G1604" s="87"/>
      <c r="H1604" s="87"/>
      <c r="I1604" s="87"/>
      <c r="J1604" s="101"/>
      <c r="K1604" s="87"/>
      <c r="L1604" s="91"/>
      <c r="M1604" s="91"/>
      <c r="N1604" s="88">
        <f>Goods_Receipt[[#This Row],[ Invoice. /
 Received Qty ]]-Goods_Receipt[[#This Row],[ Accepted Qty ]]</f>
        <v>0</v>
      </c>
      <c r="O1604" s="87"/>
      <c r="P1604" s="87"/>
      <c r="Q1604" s="87"/>
      <c r="R1604" s="87"/>
      <c r="S1604" s="87"/>
      <c r="T1604" s="85"/>
      <c r="U1604" s="89"/>
      <c r="V1604" s="90"/>
      <c r="W1604" s="87"/>
      <c r="X1604" s="91"/>
      <c r="Y1604" s="84"/>
      <c r="Z1604" s="97"/>
    </row>
    <row r="1605" spans="1:26" s="98" customFormat="1" x14ac:dyDescent="0.35">
      <c r="A1605" s="86">
        <v>1602</v>
      </c>
      <c r="B1605" s="85"/>
      <c r="C1605" s="87"/>
      <c r="D1605" s="85"/>
      <c r="E1605" s="84"/>
      <c r="F1605" s="85"/>
      <c r="G1605" s="87"/>
      <c r="H1605" s="87"/>
      <c r="I1605" s="87"/>
      <c r="J1605" s="101"/>
      <c r="K1605" s="87"/>
      <c r="L1605" s="91"/>
      <c r="M1605" s="91"/>
      <c r="N1605" s="88">
        <f>Goods_Receipt[[#This Row],[ Invoice. /
 Received Qty ]]-Goods_Receipt[[#This Row],[ Accepted Qty ]]</f>
        <v>0</v>
      </c>
      <c r="O1605" s="87"/>
      <c r="P1605" s="87"/>
      <c r="Q1605" s="87"/>
      <c r="R1605" s="87"/>
      <c r="S1605" s="87"/>
      <c r="T1605" s="85"/>
      <c r="U1605" s="89"/>
      <c r="V1605" s="90"/>
      <c r="W1605" s="87"/>
      <c r="X1605" s="91"/>
      <c r="Y1605" s="84"/>
      <c r="Z1605" s="97"/>
    </row>
    <row r="1606" spans="1:26" s="98" customFormat="1" x14ac:dyDescent="0.35">
      <c r="A1606" s="86">
        <v>1603</v>
      </c>
      <c r="B1606" s="85"/>
      <c r="C1606" s="87"/>
      <c r="D1606" s="85"/>
      <c r="E1606" s="84"/>
      <c r="F1606" s="85"/>
      <c r="G1606" s="87"/>
      <c r="H1606" s="87"/>
      <c r="I1606" s="87"/>
      <c r="J1606" s="101"/>
      <c r="K1606" s="87"/>
      <c r="L1606" s="91"/>
      <c r="M1606" s="91"/>
      <c r="N1606" s="88">
        <f>Goods_Receipt[[#This Row],[ Invoice. /
 Received Qty ]]-Goods_Receipt[[#This Row],[ Accepted Qty ]]</f>
        <v>0</v>
      </c>
      <c r="O1606" s="87"/>
      <c r="P1606" s="87"/>
      <c r="Q1606" s="87"/>
      <c r="R1606" s="87"/>
      <c r="S1606" s="87"/>
      <c r="T1606" s="85"/>
      <c r="U1606" s="89"/>
      <c r="V1606" s="90"/>
      <c r="W1606" s="87"/>
      <c r="X1606" s="91"/>
      <c r="Y1606" s="84"/>
      <c r="Z1606" s="97"/>
    </row>
    <row r="1607" spans="1:26" s="98" customFormat="1" x14ac:dyDescent="0.35">
      <c r="A1607" s="86">
        <v>1604</v>
      </c>
      <c r="B1607" s="85"/>
      <c r="C1607" s="87"/>
      <c r="D1607" s="85"/>
      <c r="E1607" s="84"/>
      <c r="F1607" s="85"/>
      <c r="G1607" s="87"/>
      <c r="H1607" s="87"/>
      <c r="I1607" s="87"/>
      <c r="J1607" s="101"/>
      <c r="K1607" s="87"/>
      <c r="L1607" s="91"/>
      <c r="M1607" s="91"/>
      <c r="N1607" s="88">
        <f>Goods_Receipt[[#This Row],[ Invoice. /
 Received Qty ]]-Goods_Receipt[[#This Row],[ Accepted Qty ]]</f>
        <v>0</v>
      </c>
      <c r="O1607" s="87"/>
      <c r="P1607" s="87"/>
      <c r="Q1607" s="87"/>
      <c r="R1607" s="87"/>
      <c r="S1607" s="87"/>
      <c r="T1607" s="85"/>
      <c r="U1607" s="89"/>
      <c r="V1607" s="90"/>
      <c r="W1607" s="87"/>
      <c r="X1607" s="91"/>
      <c r="Y1607" s="84"/>
      <c r="Z1607" s="97"/>
    </row>
    <row r="1608" spans="1:26" s="98" customFormat="1" x14ac:dyDescent="0.35">
      <c r="A1608" s="86">
        <v>1605</v>
      </c>
      <c r="B1608" s="85"/>
      <c r="C1608" s="87"/>
      <c r="D1608" s="85"/>
      <c r="E1608" s="84"/>
      <c r="F1608" s="85"/>
      <c r="G1608" s="87"/>
      <c r="H1608" s="87"/>
      <c r="I1608" s="87"/>
      <c r="J1608" s="101"/>
      <c r="K1608" s="87"/>
      <c r="L1608" s="91"/>
      <c r="M1608" s="91"/>
      <c r="N1608" s="88">
        <f>Goods_Receipt[[#This Row],[ Invoice. /
 Received Qty ]]-Goods_Receipt[[#This Row],[ Accepted Qty ]]</f>
        <v>0</v>
      </c>
      <c r="O1608" s="87"/>
      <c r="P1608" s="87"/>
      <c r="Q1608" s="87"/>
      <c r="R1608" s="87"/>
      <c r="S1608" s="87"/>
      <c r="T1608" s="85"/>
      <c r="U1608" s="89"/>
      <c r="V1608" s="90"/>
      <c r="W1608" s="87"/>
      <c r="X1608" s="91"/>
      <c r="Y1608" s="84"/>
      <c r="Z1608" s="97"/>
    </row>
    <row r="1609" spans="1:26" s="98" customFormat="1" x14ac:dyDescent="0.35">
      <c r="A1609" s="86">
        <v>1606</v>
      </c>
      <c r="B1609" s="85"/>
      <c r="C1609" s="87"/>
      <c r="D1609" s="85"/>
      <c r="E1609" s="84"/>
      <c r="F1609" s="85"/>
      <c r="G1609" s="87"/>
      <c r="H1609" s="87"/>
      <c r="I1609" s="87"/>
      <c r="J1609" s="101"/>
      <c r="K1609" s="87"/>
      <c r="L1609" s="91"/>
      <c r="M1609" s="91"/>
      <c r="N1609" s="88">
        <f>Goods_Receipt[[#This Row],[ Invoice. /
 Received Qty ]]-Goods_Receipt[[#This Row],[ Accepted Qty ]]</f>
        <v>0</v>
      </c>
      <c r="O1609" s="87"/>
      <c r="P1609" s="87"/>
      <c r="Q1609" s="87"/>
      <c r="R1609" s="87"/>
      <c r="S1609" s="87"/>
      <c r="T1609" s="85"/>
      <c r="U1609" s="89"/>
      <c r="V1609" s="90"/>
      <c r="W1609" s="87"/>
      <c r="X1609" s="91"/>
      <c r="Y1609" s="84"/>
      <c r="Z1609" s="97"/>
    </row>
    <row r="1610" spans="1:26" s="98" customFormat="1" x14ac:dyDescent="0.35">
      <c r="A1610" s="86">
        <v>1607</v>
      </c>
      <c r="B1610" s="85"/>
      <c r="C1610" s="87"/>
      <c r="D1610" s="85"/>
      <c r="E1610" s="84"/>
      <c r="F1610" s="85"/>
      <c r="G1610" s="87"/>
      <c r="H1610" s="87"/>
      <c r="I1610" s="87"/>
      <c r="J1610" s="101"/>
      <c r="K1610" s="87"/>
      <c r="L1610" s="91"/>
      <c r="M1610" s="91"/>
      <c r="N1610" s="88">
        <f>Goods_Receipt[[#This Row],[ Invoice. /
 Received Qty ]]-Goods_Receipt[[#This Row],[ Accepted Qty ]]</f>
        <v>0</v>
      </c>
      <c r="O1610" s="87"/>
      <c r="P1610" s="87"/>
      <c r="Q1610" s="87"/>
      <c r="R1610" s="87"/>
      <c r="S1610" s="87"/>
      <c r="T1610" s="85"/>
      <c r="U1610" s="89"/>
      <c r="V1610" s="90"/>
      <c r="W1610" s="87"/>
      <c r="X1610" s="91"/>
      <c r="Y1610" s="84"/>
      <c r="Z1610" s="97"/>
    </row>
    <row r="1611" spans="1:26" s="98" customFormat="1" x14ac:dyDescent="0.35">
      <c r="A1611" s="86">
        <v>1608</v>
      </c>
      <c r="B1611" s="85"/>
      <c r="C1611" s="87"/>
      <c r="D1611" s="85"/>
      <c r="E1611" s="84"/>
      <c r="F1611" s="85"/>
      <c r="G1611" s="87"/>
      <c r="H1611" s="87"/>
      <c r="I1611" s="87"/>
      <c r="J1611" s="101"/>
      <c r="K1611" s="87"/>
      <c r="L1611" s="91"/>
      <c r="M1611" s="91"/>
      <c r="N1611" s="88">
        <f>Goods_Receipt[[#This Row],[ Invoice. /
 Received Qty ]]-Goods_Receipt[[#This Row],[ Accepted Qty ]]</f>
        <v>0</v>
      </c>
      <c r="O1611" s="87"/>
      <c r="P1611" s="87"/>
      <c r="Q1611" s="87"/>
      <c r="R1611" s="87"/>
      <c r="S1611" s="87"/>
      <c r="T1611" s="85"/>
      <c r="U1611" s="89"/>
      <c r="V1611" s="90"/>
      <c r="W1611" s="87"/>
      <c r="X1611" s="91"/>
      <c r="Y1611" s="84"/>
      <c r="Z1611" s="97"/>
    </row>
    <row r="1612" spans="1:26" s="98" customFormat="1" x14ac:dyDescent="0.35">
      <c r="A1612" s="86">
        <v>1609</v>
      </c>
      <c r="B1612" s="85"/>
      <c r="C1612" s="87"/>
      <c r="D1612" s="85"/>
      <c r="E1612" s="84"/>
      <c r="F1612" s="85"/>
      <c r="G1612" s="87"/>
      <c r="H1612" s="87"/>
      <c r="I1612" s="87"/>
      <c r="J1612" s="101"/>
      <c r="K1612" s="87"/>
      <c r="L1612" s="91"/>
      <c r="M1612" s="91"/>
      <c r="N1612" s="88">
        <f>Goods_Receipt[[#This Row],[ Invoice. /
 Received Qty ]]-Goods_Receipt[[#This Row],[ Accepted Qty ]]</f>
        <v>0</v>
      </c>
      <c r="O1612" s="87"/>
      <c r="P1612" s="87"/>
      <c r="Q1612" s="87"/>
      <c r="R1612" s="87"/>
      <c r="S1612" s="87"/>
      <c r="T1612" s="85"/>
      <c r="U1612" s="89"/>
      <c r="V1612" s="90"/>
      <c r="W1612" s="87"/>
      <c r="X1612" s="91"/>
      <c r="Y1612" s="84"/>
      <c r="Z1612" s="97"/>
    </row>
    <row r="1613" spans="1:26" s="98" customFormat="1" x14ac:dyDescent="0.35">
      <c r="A1613" s="86">
        <v>1610</v>
      </c>
      <c r="B1613" s="85"/>
      <c r="C1613" s="87"/>
      <c r="D1613" s="85"/>
      <c r="E1613" s="84"/>
      <c r="F1613" s="85"/>
      <c r="G1613" s="87"/>
      <c r="H1613" s="87"/>
      <c r="I1613" s="87"/>
      <c r="J1613" s="101"/>
      <c r="K1613" s="87"/>
      <c r="L1613" s="91"/>
      <c r="M1613" s="91"/>
      <c r="N1613" s="88">
        <f>Goods_Receipt[[#This Row],[ Invoice. /
 Received Qty ]]-Goods_Receipt[[#This Row],[ Accepted Qty ]]</f>
        <v>0</v>
      </c>
      <c r="O1613" s="87"/>
      <c r="P1613" s="87"/>
      <c r="Q1613" s="87"/>
      <c r="R1613" s="87"/>
      <c r="S1613" s="87"/>
      <c r="T1613" s="85"/>
      <c r="U1613" s="89"/>
      <c r="V1613" s="90"/>
      <c r="W1613" s="87"/>
      <c r="X1613" s="91"/>
      <c r="Y1613" s="84"/>
      <c r="Z1613" s="97"/>
    </row>
    <row r="1614" spans="1:26" s="98" customFormat="1" x14ac:dyDescent="0.35">
      <c r="A1614" s="86">
        <v>1611</v>
      </c>
      <c r="B1614" s="85"/>
      <c r="C1614" s="87"/>
      <c r="D1614" s="85"/>
      <c r="E1614" s="84"/>
      <c r="F1614" s="85"/>
      <c r="G1614" s="87"/>
      <c r="H1614" s="87"/>
      <c r="I1614" s="87"/>
      <c r="J1614" s="101"/>
      <c r="K1614" s="87"/>
      <c r="L1614" s="91"/>
      <c r="M1614" s="91"/>
      <c r="N1614" s="88">
        <f>Goods_Receipt[[#This Row],[ Invoice. /
 Received Qty ]]-Goods_Receipt[[#This Row],[ Accepted Qty ]]</f>
        <v>0</v>
      </c>
      <c r="O1614" s="87"/>
      <c r="P1614" s="87"/>
      <c r="Q1614" s="87"/>
      <c r="R1614" s="87"/>
      <c r="S1614" s="87"/>
      <c r="T1614" s="85"/>
      <c r="U1614" s="89"/>
      <c r="V1614" s="90"/>
      <c r="W1614" s="87"/>
      <c r="X1614" s="91"/>
      <c r="Y1614" s="84"/>
      <c r="Z1614" s="97"/>
    </row>
    <row r="1615" spans="1:26" s="98" customFormat="1" x14ac:dyDescent="0.35">
      <c r="A1615" s="86">
        <v>1612</v>
      </c>
      <c r="B1615" s="85"/>
      <c r="C1615" s="87"/>
      <c r="D1615" s="85"/>
      <c r="E1615" s="84"/>
      <c r="F1615" s="85"/>
      <c r="G1615" s="87"/>
      <c r="H1615" s="87"/>
      <c r="I1615" s="87"/>
      <c r="J1615" s="101"/>
      <c r="K1615" s="87"/>
      <c r="L1615" s="91"/>
      <c r="M1615" s="91"/>
      <c r="N1615" s="88">
        <f>Goods_Receipt[[#This Row],[ Invoice. /
 Received Qty ]]-Goods_Receipt[[#This Row],[ Accepted Qty ]]</f>
        <v>0</v>
      </c>
      <c r="O1615" s="87"/>
      <c r="P1615" s="87"/>
      <c r="Q1615" s="87"/>
      <c r="R1615" s="87"/>
      <c r="S1615" s="87"/>
      <c r="T1615" s="85"/>
      <c r="U1615" s="89"/>
      <c r="V1615" s="90"/>
      <c r="W1615" s="87"/>
      <c r="X1615" s="91"/>
      <c r="Y1615" s="84"/>
      <c r="Z1615" s="97"/>
    </row>
    <row r="1616" spans="1:26" s="98" customFormat="1" x14ac:dyDescent="0.35">
      <c r="A1616" s="86">
        <v>1613</v>
      </c>
      <c r="B1616" s="85"/>
      <c r="C1616" s="87"/>
      <c r="D1616" s="85"/>
      <c r="E1616" s="84"/>
      <c r="F1616" s="85"/>
      <c r="G1616" s="87"/>
      <c r="H1616" s="87"/>
      <c r="I1616" s="87"/>
      <c r="J1616" s="101"/>
      <c r="K1616" s="87"/>
      <c r="L1616" s="91"/>
      <c r="M1616" s="91"/>
      <c r="N1616" s="88">
        <f>Goods_Receipt[[#This Row],[ Invoice. /
 Received Qty ]]-Goods_Receipt[[#This Row],[ Accepted Qty ]]</f>
        <v>0</v>
      </c>
      <c r="O1616" s="87"/>
      <c r="P1616" s="87"/>
      <c r="Q1616" s="87"/>
      <c r="R1616" s="87"/>
      <c r="S1616" s="87"/>
      <c r="T1616" s="85"/>
      <c r="U1616" s="89"/>
      <c r="V1616" s="90"/>
      <c r="W1616" s="87"/>
      <c r="X1616" s="91"/>
      <c r="Y1616" s="84"/>
      <c r="Z1616" s="97"/>
    </row>
    <row r="1617" spans="1:26" s="98" customFormat="1" x14ac:dyDescent="0.35">
      <c r="A1617" s="86">
        <v>1614</v>
      </c>
      <c r="B1617" s="85"/>
      <c r="C1617" s="87"/>
      <c r="D1617" s="85"/>
      <c r="E1617" s="84"/>
      <c r="F1617" s="85"/>
      <c r="G1617" s="87"/>
      <c r="H1617" s="87"/>
      <c r="I1617" s="87"/>
      <c r="J1617" s="101"/>
      <c r="K1617" s="87"/>
      <c r="L1617" s="91"/>
      <c r="M1617" s="91"/>
      <c r="N1617" s="88">
        <f>Goods_Receipt[[#This Row],[ Invoice. /
 Received Qty ]]-Goods_Receipt[[#This Row],[ Accepted Qty ]]</f>
        <v>0</v>
      </c>
      <c r="O1617" s="87"/>
      <c r="P1617" s="87"/>
      <c r="Q1617" s="87"/>
      <c r="R1617" s="87"/>
      <c r="S1617" s="87"/>
      <c r="T1617" s="85"/>
      <c r="U1617" s="89"/>
      <c r="V1617" s="90"/>
      <c r="W1617" s="87"/>
      <c r="X1617" s="91"/>
      <c r="Y1617" s="84"/>
      <c r="Z1617" s="97"/>
    </row>
    <row r="1618" spans="1:26" s="98" customFormat="1" x14ac:dyDescent="0.35">
      <c r="A1618" s="86">
        <v>1615</v>
      </c>
      <c r="B1618" s="85"/>
      <c r="C1618" s="87"/>
      <c r="D1618" s="85"/>
      <c r="E1618" s="84"/>
      <c r="F1618" s="85"/>
      <c r="G1618" s="87"/>
      <c r="H1618" s="87"/>
      <c r="I1618" s="87"/>
      <c r="J1618" s="101"/>
      <c r="K1618" s="87"/>
      <c r="L1618" s="91"/>
      <c r="M1618" s="91"/>
      <c r="N1618" s="88">
        <f>Goods_Receipt[[#This Row],[ Invoice. /
 Received Qty ]]-Goods_Receipt[[#This Row],[ Accepted Qty ]]</f>
        <v>0</v>
      </c>
      <c r="O1618" s="87"/>
      <c r="P1618" s="87"/>
      <c r="Q1618" s="87"/>
      <c r="R1618" s="87"/>
      <c r="S1618" s="87"/>
      <c r="T1618" s="85"/>
      <c r="U1618" s="89"/>
      <c r="V1618" s="90"/>
      <c r="W1618" s="87"/>
      <c r="X1618" s="91"/>
      <c r="Y1618" s="84"/>
      <c r="Z1618" s="97"/>
    </row>
    <row r="1619" spans="1:26" s="98" customFormat="1" x14ac:dyDescent="0.35">
      <c r="A1619" s="86">
        <v>1616</v>
      </c>
      <c r="B1619" s="85"/>
      <c r="C1619" s="87"/>
      <c r="D1619" s="85"/>
      <c r="E1619" s="84"/>
      <c r="F1619" s="85"/>
      <c r="G1619" s="87"/>
      <c r="H1619" s="87"/>
      <c r="I1619" s="87"/>
      <c r="J1619" s="101"/>
      <c r="K1619" s="87"/>
      <c r="L1619" s="91"/>
      <c r="M1619" s="91"/>
      <c r="N1619" s="88">
        <f>Goods_Receipt[[#This Row],[ Invoice. /
 Received Qty ]]-Goods_Receipt[[#This Row],[ Accepted Qty ]]</f>
        <v>0</v>
      </c>
      <c r="O1619" s="87"/>
      <c r="P1619" s="87"/>
      <c r="Q1619" s="87"/>
      <c r="R1619" s="87"/>
      <c r="S1619" s="87"/>
      <c r="T1619" s="85"/>
      <c r="U1619" s="89"/>
      <c r="V1619" s="90"/>
      <c r="W1619" s="87"/>
      <c r="X1619" s="91"/>
      <c r="Y1619" s="84"/>
      <c r="Z1619" s="97"/>
    </row>
    <row r="1620" spans="1:26" s="98" customFormat="1" x14ac:dyDescent="0.35">
      <c r="A1620" s="86">
        <v>1617</v>
      </c>
      <c r="B1620" s="85"/>
      <c r="C1620" s="87"/>
      <c r="D1620" s="85"/>
      <c r="E1620" s="84"/>
      <c r="F1620" s="85"/>
      <c r="G1620" s="87"/>
      <c r="H1620" s="87"/>
      <c r="I1620" s="87"/>
      <c r="J1620" s="101"/>
      <c r="K1620" s="87"/>
      <c r="L1620" s="91"/>
      <c r="M1620" s="91"/>
      <c r="N1620" s="88">
        <f>Goods_Receipt[[#This Row],[ Invoice. /
 Received Qty ]]-Goods_Receipt[[#This Row],[ Accepted Qty ]]</f>
        <v>0</v>
      </c>
      <c r="O1620" s="87"/>
      <c r="P1620" s="87"/>
      <c r="Q1620" s="87"/>
      <c r="R1620" s="87"/>
      <c r="S1620" s="87"/>
      <c r="T1620" s="85"/>
      <c r="U1620" s="89"/>
      <c r="V1620" s="90"/>
      <c r="W1620" s="87"/>
      <c r="X1620" s="91"/>
      <c r="Y1620" s="84"/>
      <c r="Z1620" s="97"/>
    </row>
    <row r="1621" spans="1:26" s="98" customFormat="1" x14ac:dyDescent="0.35">
      <c r="A1621" s="86">
        <v>1618</v>
      </c>
      <c r="B1621" s="85"/>
      <c r="C1621" s="87"/>
      <c r="D1621" s="85"/>
      <c r="E1621" s="84"/>
      <c r="F1621" s="85"/>
      <c r="G1621" s="87"/>
      <c r="H1621" s="87"/>
      <c r="I1621" s="87"/>
      <c r="J1621" s="101"/>
      <c r="K1621" s="87"/>
      <c r="L1621" s="91"/>
      <c r="M1621" s="91"/>
      <c r="N1621" s="88">
        <f>Goods_Receipt[[#This Row],[ Invoice. /
 Received Qty ]]-Goods_Receipt[[#This Row],[ Accepted Qty ]]</f>
        <v>0</v>
      </c>
      <c r="O1621" s="87"/>
      <c r="P1621" s="87"/>
      <c r="Q1621" s="87"/>
      <c r="R1621" s="87"/>
      <c r="S1621" s="87"/>
      <c r="T1621" s="85"/>
      <c r="U1621" s="89"/>
      <c r="V1621" s="90"/>
      <c r="W1621" s="87"/>
      <c r="X1621" s="91"/>
      <c r="Y1621" s="84"/>
      <c r="Z1621" s="97"/>
    </row>
    <row r="1622" spans="1:26" s="98" customFormat="1" x14ac:dyDescent="0.35">
      <c r="A1622" s="86">
        <v>1619</v>
      </c>
      <c r="B1622" s="85"/>
      <c r="C1622" s="87"/>
      <c r="D1622" s="85"/>
      <c r="E1622" s="84"/>
      <c r="F1622" s="85"/>
      <c r="G1622" s="87"/>
      <c r="H1622" s="87"/>
      <c r="I1622" s="87"/>
      <c r="J1622" s="101"/>
      <c r="K1622" s="87"/>
      <c r="L1622" s="91"/>
      <c r="M1622" s="91"/>
      <c r="N1622" s="88">
        <f>Goods_Receipt[[#This Row],[ Invoice. /
 Received Qty ]]-Goods_Receipt[[#This Row],[ Accepted Qty ]]</f>
        <v>0</v>
      </c>
      <c r="O1622" s="87"/>
      <c r="P1622" s="87"/>
      <c r="Q1622" s="87"/>
      <c r="R1622" s="87"/>
      <c r="S1622" s="87"/>
      <c r="T1622" s="85"/>
      <c r="U1622" s="89"/>
      <c r="V1622" s="90"/>
      <c r="W1622" s="87"/>
      <c r="X1622" s="91"/>
      <c r="Y1622" s="84"/>
      <c r="Z1622" s="97"/>
    </row>
    <row r="1623" spans="1:26" s="98" customFormat="1" x14ac:dyDescent="0.35">
      <c r="A1623" s="86">
        <v>1620</v>
      </c>
      <c r="B1623" s="85"/>
      <c r="C1623" s="87"/>
      <c r="D1623" s="85"/>
      <c r="E1623" s="84"/>
      <c r="F1623" s="85"/>
      <c r="G1623" s="87"/>
      <c r="H1623" s="87"/>
      <c r="I1623" s="87"/>
      <c r="J1623" s="101"/>
      <c r="K1623" s="87"/>
      <c r="L1623" s="91"/>
      <c r="M1623" s="91"/>
      <c r="N1623" s="88">
        <f>Goods_Receipt[[#This Row],[ Invoice. /
 Received Qty ]]-Goods_Receipt[[#This Row],[ Accepted Qty ]]</f>
        <v>0</v>
      </c>
      <c r="O1623" s="87"/>
      <c r="P1623" s="87"/>
      <c r="Q1623" s="87"/>
      <c r="R1623" s="87"/>
      <c r="S1623" s="87"/>
      <c r="T1623" s="85"/>
      <c r="U1623" s="89"/>
      <c r="V1623" s="90"/>
      <c r="W1623" s="87"/>
      <c r="X1623" s="91"/>
      <c r="Y1623" s="84"/>
      <c r="Z1623" s="97"/>
    </row>
    <row r="1624" spans="1:26" s="98" customFormat="1" x14ac:dyDescent="0.35">
      <c r="A1624" s="86">
        <v>1621</v>
      </c>
      <c r="B1624" s="85"/>
      <c r="C1624" s="87"/>
      <c r="D1624" s="85"/>
      <c r="E1624" s="84"/>
      <c r="F1624" s="85"/>
      <c r="G1624" s="87"/>
      <c r="H1624" s="87"/>
      <c r="I1624" s="87"/>
      <c r="J1624" s="101"/>
      <c r="K1624" s="87"/>
      <c r="L1624" s="91"/>
      <c r="M1624" s="91"/>
      <c r="N1624" s="88">
        <f>Goods_Receipt[[#This Row],[ Invoice. /
 Received Qty ]]-Goods_Receipt[[#This Row],[ Accepted Qty ]]</f>
        <v>0</v>
      </c>
      <c r="O1624" s="87"/>
      <c r="P1624" s="87"/>
      <c r="Q1624" s="87"/>
      <c r="R1624" s="87"/>
      <c r="S1624" s="87"/>
      <c r="T1624" s="85"/>
      <c r="U1624" s="89"/>
      <c r="V1624" s="90"/>
      <c r="W1624" s="87"/>
      <c r="X1624" s="91"/>
      <c r="Y1624" s="84"/>
      <c r="Z1624" s="97"/>
    </row>
    <row r="1625" spans="1:26" s="98" customFormat="1" x14ac:dyDescent="0.35">
      <c r="A1625" s="86">
        <v>1622</v>
      </c>
      <c r="B1625" s="85"/>
      <c r="C1625" s="87"/>
      <c r="D1625" s="85"/>
      <c r="E1625" s="84"/>
      <c r="F1625" s="85"/>
      <c r="G1625" s="87"/>
      <c r="H1625" s="87"/>
      <c r="I1625" s="87"/>
      <c r="J1625" s="101"/>
      <c r="K1625" s="87"/>
      <c r="L1625" s="91"/>
      <c r="M1625" s="91"/>
      <c r="N1625" s="88">
        <f>Goods_Receipt[[#This Row],[ Invoice. /
 Received Qty ]]-Goods_Receipt[[#This Row],[ Accepted Qty ]]</f>
        <v>0</v>
      </c>
      <c r="O1625" s="87"/>
      <c r="P1625" s="87"/>
      <c r="Q1625" s="87"/>
      <c r="R1625" s="87"/>
      <c r="S1625" s="87"/>
      <c r="T1625" s="85"/>
      <c r="U1625" s="89"/>
      <c r="V1625" s="90"/>
      <c r="W1625" s="87"/>
      <c r="X1625" s="91"/>
      <c r="Y1625" s="84"/>
      <c r="Z1625" s="97"/>
    </row>
    <row r="1626" spans="1:26" s="98" customFormat="1" x14ac:dyDescent="0.35">
      <c r="A1626" s="86">
        <v>1623</v>
      </c>
      <c r="B1626" s="85"/>
      <c r="C1626" s="87"/>
      <c r="D1626" s="85"/>
      <c r="E1626" s="84"/>
      <c r="F1626" s="85"/>
      <c r="G1626" s="87"/>
      <c r="H1626" s="87"/>
      <c r="I1626" s="87"/>
      <c r="J1626" s="101"/>
      <c r="K1626" s="87"/>
      <c r="L1626" s="91"/>
      <c r="M1626" s="91"/>
      <c r="N1626" s="88">
        <f>Goods_Receipt[[#This Row],[ Invoice. /
 Received Qty ]]-Goods_Receipt[[#This Row],[ Accepted Qty ]]</f>
        <v>0</v>
      </c>
      <c r="O1626" s="87"/>
      <c r="P1626" s="87"/>
      <c r="Q1626" s="87"/>
      <c r="R1626" s="87"/>
      <c r="S1626" s="87"/>
      <c r="T1626" s="85"/>
      <c r="U1626" s="89"/>
      <c r="V1626" s="90"/>
      <c r="W1626" s="87"/>
      <c r="X1626" s="91"/>
      <c r="Y1626" s="84"/>
      <c r="Z1626" s="97"/>
    </row>
    <row r="1627" spans="1:26" s="98" customFormat="1" x14ac:dyDescent="0.35">
      <c r="A1627" s="86">
        <v>1624</v>
      </c>
      <c r="B1627" s="85"/>
      <c r="C1627" s="87"/>
      <c r="D1627" s="85"/>
      <c r="E1627" s="84"/>
      <c r="F1627" s="85"/>
      <c r="G1627" s="87"/>
      <c r="H1627" s="87"/>
      <c r="I1627" s="87"/>
      <c r="J1627" s="101"/>
      <c r="K1627" s="87"/>
      <c r="L1627" s="91"/>
      <c r="M1627" s="91"/>
      <c r="N1627" s="88">
        <f>Goods_Receipt[[#This Row],[ Invoice. /
 Received Qty ]]-Goods_Receipt[[#This Row],[ Accepted Qty ]]</f>
        <v>0</v>
      </c>
      <c r="O1627" s="87"/>
      <c r="P1627" s="87"/>
      <c r="Q1627" s="87"/>
      <c r="R1627" s="87"/>
      <c r="S1627" s="87"/>
      <c r="T1627" s="85"/>
      <c r="U1627" s="89"/>
      <c r="V1627" s="90"/>
      <c r="W1627" s="87"/>
      <c r="X1627" s="91"/>
      <c r="Y1627" s="84"/>
      <c r="Z1627" s="97"/>
    </row>
    <row r="1628" spans="1:26" s="98" customFormat="1" x14ac:dyDescent="0.35">
      <c r="A1628" s="86">
        <v>1625</v>
      </c>
      <c r="B1628" s="85"/>
      <c r="C1628" s="87"/>
      <c r="D1628" s="85"/>
      <c r="E1628" s="84"/>
      <c r="F1628" s="85"/>
      <c r="G1628" s="87"/>
      <c r="H1628" s="87"/>
      <c r="I1628" s="87"/>
      <c r="J1628" s="101"/>
      <c r="K1628" s="87"/>
      <c r="L1628" s="91"/>
      <c r="M1628" s="91"/>
      <c r="N1628" s="88">
        <f>Goods_Receipt[[#This Row],[ Invoice. /
 Received Qty ]]-Goods_Receipt[[#This Row],[ Accepted Qty ]]</f>
        <v>0</v>
      </c>
      <c r="O1628" s="87"/>
      <c r="P1628" s="87"/>
      <c r="Q1628" s="87"/>
      <c r="R1628" s="87"/>
      <c r="S1628" s="87"/>
      <c r="T1628" s="85"/>
      <c r="U1628" s="89"/>
      <c r="V1628" s="90"/>
      <c r="W1628" s="87"/>
      <c r="X1628" s="91"/>
      <c r="Y1628" s="84"/>
      <c r="Z1628" s="97"/>
    </row>
    <row r="1629" spans="1:26" s="98" customFormat="1" x14ac:dyDescent="0.35">
      <c r="A1629" s="86">
        <v>1626</v>
      </c>
      <c r="B1629" s="85"/>
      <c r="C1629" s="87"/>
      <c r="D1629" s="85"/>
      <c r="E1629" s="84"/>
      <c r="F1629" s="85"/>
      <c r="G1629" s="87"/>
      <c r="H1629" s="87"/>
      <c r="I1629" s="87"/>
      <c r="J1629" s="101"/>
      <c r="K1629" s="87"/>
      <c r="L1629" s="91"/>
      <c r="M1629" s="91"/>
      <c r="N1629" s="88">
        <f>Goods_Receipt[[#This Row],[ Invoice. /
 Received Qty ]]-Goods_Receipt[[#This Row],[ Accepted Qty ]]</f>
        <v>0</v>
      </c>
      <c r="O1629" s="87"/>
      <c r="P1629" s="87"/>
      <c r="Q1629" s="87"/>
      <c r="R1629" s="87"/>
      <c r="S1629" s="87"/>
      <c r="T1629" s="85"/>
      <c r="U1629" s="89"/>
      <c r="V1629" s="90"/>
      <c r="W1629" s="87"/>
      <c r="X1629" s="91"/>
      <c r="Y1629" s="84"/>
      <c r="Z1629" s="97"/>
    </row>
    <row r="1630" spans="1:26" s="98" customFormat="1" x14ac:dyDescent="0.35">
      <c r="A1630" s="86">
        <v>1627</v>
      </c>
      <c r="B1630" s="85"/>
      <c r="C1630" s="87"/>
      <c r="D1630" s="85"/>
      <c r="E1630" s="84"/>
      <c r="F1630" s="85"/>
      <c r="G1630" s="87"/>
      <c r="H1630" s="87"/>
      <c r="I1630" s="87"/>
      <c r="J1630" s="101"/>
      <c r="K1630" s="87"/>
      <c r="L1630" s="91"/>
      <c r="M1630" s="91"/>
      <c r="N1630" s="88">
        <f>Goods_Receipt[[#This Row],[ Invoice. /
 Received Qty ]]-Goods_Receipt[[#This Row],[ Accepted Qty ]]</f>
        <v>0</v>
      </c>
      <c r="O1630" s="87"/>
      <c r="P1630" s="87"/>
      <c r="Q1630" s="87"/>
      <c r="R1630" s="87"/>
      <c r="S1630" s="87"/>
      <c r="T1630" s="85"/>
      <c r="U1630" s="89"/>
      <c r="V1630" s="90"/>
      <c r="W1630" s="87"/>
      <c r="X1630" s="91"/>
      <c r="Y1630" s="84"/>
      <c r="Z1630" s="97"/>
    </row>
    <row r="1631" spans="1:26" s="98" customFormat="1" x14ac:dyDescent="0.35">
      <c r="A1631" s="86">
        <v>1628</v>
      </c>
      <c r="B1631" s="85"/>
      <c r="C1631" s="87"/>
      <c r="D1631" s="85"/>
      <c r="E1631" s="84"/>
      <c r="F1631" s="85"/>
      <c r="G1631" s="87"/>
      <c r="H1631" s="87"/>
      <c r="I1631" s="87"/>
      <c r="J1631" s="101"/>
      <c r="K1631" s="87"/>
      <c r="L1631" s="91"/>
      <c r="M1631" s="91"/>
      <c r="N1631" s="88">
        <f>Goods_Receipt[[#This Row],[ Invoice. /
 Received Qty ]]-Goods_Receipt[[#This Row],[ Accepted Qty ]]</f>
        <v>0</v>
      </c>
      <c r="O1631" s="87"/>
      <c r="P1631" s="87"/>
      <c r="Q1631" s="87"/>
      <c r="R1631" s="87"/>
      <c r="S1631" s="87"/>
      <c r="T1631" s="85"/>
      <c r="U1631" s="89"/>
      <c r="V1631" s="90"/>
      <c r="W1631" s="87"/>
      <c r="X1631" s="91"/>
      <c r="Y1631" s="84"/>
      <c r="Z1631" s="97"/>
    </row>
    <row r="1632" spans="1:26" s="98" customFormat="1" x14ac:dyDescent="0.35">
      <c r="A1632" s="86">
        <v>1629</v>
      </c>
      <c r="B1632" s="85"/>
      <c r="C1632" s="87"/>
      <c r="D1632" s="85"/>
      <c r="E1632" s="84"/>
      <c r="F1632" s="85"/>
      <c r="G1632" s="87"/>
      <c r="H1632" s="87"/>
      <c r="I1632" s="87"/>
      <c r="J1632" s="101"/>
      <c r="K1632" s="87"/>
      <c r="L1632" s="91"/>
      <c r="M1632" s="91"/>
      <c r="N1632" s="88">
        <f>Goods_Receipt[[#This Row],[ Invoice. /
 Received Qty ]]-Goods_Receipt[[#This Row],[ Accepted Qty ]]</f>
        <v>0</v>
      </c>
      <c r="O1632" s="87"/>
      <c r="P1632" s="87"/>
      <c r="Q1632" s="87"/>
      <c r="R1632" s="87"/>
      <c r="S1632" s="87"/>
      <c r="T1632" s="85"/>
      <c r="U1632" s="89"/>
      <c r="V1632" s="90"/>
      <c r="W1632" s="87"/>
      <c r="X1632" s="91"/>
      <c r="Y1632" s="84"/>
      <c r="Z1632" s="97"/>
    </row>
    <row r="1633" spans="1:26" s="98" customFormat="1" x14ac:dyDescent="0.35">
      <c r="A1633" s="86">
        <v>1630</v>
      </c>
      <c r="B1633" s="85"/>
      <c r="C1633" s="87"/>
      <c r="D1633" s="85"/>
      <c r="E1633" s="84"/>
      <c r="F1633" s="85"/>
      <c r="G1633" s="87"/>
      <c r="H1633" s="87"/>
      <c r="I1633" s="87"/>
      <c r="J1633" s="101"/>
      <c r="K1633" s="87"/>
      <c r="L1633" s="91"/>
      <c r="M1633" s="91"/>
      <c r="N1633" s="88">
        <f>Goods_Receipt[[#This Row],[ Invoice. /
 Received Qty ]]-Goods_Receipt[[#This Row],[ Accepted Qty ]]</f>
        <v>0</v>
      </c>
      <c r="O1633" s="87"/>
      <c r="P1633" s="87"/>
      <c r="Q1633" s="87"/>
      <c r="R1633" s="87"/>
      <c r="S1633" s="87"/>
      <c r="T1633" s="85"/>
      <c r="U1633" s="89"/>
      <c r="V1633" s="90"/>
      <c r="W1633" s="87"/>
      <c r="X1633" s="91"/>
      <c r="Y1633" s="84"/>
      <c r="Z1633" s="97"/>
    </row>
    <row r="1634" spans="1:26" s="98" customFormat="1" x14ac:dyDescent="0.35">
      <c r="A1634" s="86">
        <v>1631</v>
      </c>
      <c r="B1634" s="85"/>
      <c r="C1634" s="87"/>
      <c r="D1634" s="85"/>
      <c r="E1634" s="84"/>
      <c r="F1634" s="85"/>
      <c r="G1634" s="87"/>
      <c r="H1634" s="87"/>
      <c r="I1634" s="87"/>
      <c r="J1634" s="101"/>
      <c r="K1634" s="87"/>
      <c r="L1634" s="91"/>
      <c r="M1634" s="91"/>
      <c r="N1634" s="88">
        <f>Goods_Receipt[[#This Row],[ Invoice. /
 Received Qty ]]-Goods_Receipt[[#This Row],[ Accepted Qty ]]</f>
        <v>0</v>
      </c>
      <c r="O1634" s="87"/>
      <c r="P1634" s="87"/>
      <c r="Q1634" s="87"/>
      <c r="R1634" s="87"/>
      <c r="S1634" s="87"/>
      <c r="T1634" s="85"/>
      <c r="U1634" s="89"/>
      <c r="V1634" s="90"/>
      <c r="W1634" s="87"/>
      <c r="X1634" s="91"/>
      <c r="Y1634" s="84"/>
      <c r="Z1634" s="97"/>
    </row>
    <row r="1635" spans="1:26" s="98" customFormat="1" x14ac:dyDescent="0.35">
      <c r="A1635" s="86">
        <v>1632</v>
      </c>
      <c r="B1635" s="85"/>
      <c r="C1635" s="87"/>
      <c r="D1635" s="85"/>
      <c r="E1635" s="84"/>
      <c r="F1635" s="85"/>
      <c r="G1635" s="87"/>
      <c r="H1635" s="87"/>
      <c r="I1635" s="87"/>
      <c r="J1635" s="101"/>
      <c r="K1635" s="87"/>
      <c r="L1635" s="91"/>
      <c r="M1635" s="91"/>
      <c r="N1635" s="88">
        <f>Goods_Receipt[[#This Row],[ Invoice. /
 Received Qty ]]-Goods_Receipt[[#This Row],[ Accepted Qty ]]</f>
        <v>0</v>
      </c>
      <c r="O1635" s="87"/>
      <c r="P1635" s="87"/>
      <c r="Q1635" s="87"/>
      <c r="R1635" s="87"/>
      <c r="S1635" s="87"/>
      <c r="T1635" s="85"/>
      <c r="U1635" s="89"/>
      <c r="V1635" s="90"/>
      <c r="W1635" s="87"/>
      <c r="X1635" s="91"/>
      <c r="Y1635" s="84"/>
      <c r="Z1635" s="97"/>
    </row>
    <row r="1636" spans="1:26" s="98" customFormat="1" x14ac:dyDescent="0.35">
      <c r="A1636" s="86">
        <v>1633</v>
      </c>
      <c r="B1636" s="85"/>
      <c r="C1636" s="87"/>
      <c r="D1636" s="85"/>
      <c r="E1636" s="84"/>
      <c r="F1636" s="85"/>
      <c r="G1636" s="87"/>
      <c r="H1636" s="87"/>
      <c r="I1636" s="87"/>
      <c r="J1636" s="101"/>
      <c r="K1636" s="87"/>
      <c r="L1636" s="91"/>
      <c r="M1636" s="91"/>
      <c r="N1636" s="88">
        <f>Goods_Receipt[[#This Row],[ Invoice. /
 Received Qty ]]-Goods_Receipt[[#This Row],[ Accepted Qty ]]</f>
        <v>0</v>
      </c>
      <c r="O1636" s="87"/>
      <c r="P1636" s="87"/>
      <c r="Q1636" s="87"/>
      <c r="R1636" s="87"/>
      <c r="S1636" s="87"/>
      <c r="T1636" s="85"/>
      <c r="U1636" s="89"/>
      <c r="V1636" s="90"/>
      <c r="W1636" s="87"/>
      <c r="X1636" s="91"/>
      <c r="Y1636" s="84"/>
      <c r="Z1636" s="97"/>
    </row>
    <row r="1637" spans="1:26" s="98" customFormat="1" x14ac:dyDescent="0.35">
      <c r="A1637" s="86">
        <v>1634</v>
      </c>
      <c r="B1637" s="85"/>
      <c r="C1637" s="87"/>
      <c r="D1637" s="85"/>
      <c r="E1637" s="84"/>
      <c r="F1637" s="85"/>
      <c r="G1637" s="87"/>
      <c r="H1637" s="87"/>
      <c r="I1637" s="87"/>
      <c r="J1637" s="101"/>
      <c r="K1637" s="87"/>
      <c r="L1637" s="91"/>
      <c r="M1637" s="91"/>
      <c r="N1637" s="88">
        <f>Goods_Receipt[[#This Row],[ Invoice. /
 Received Qty ]]-Goods_Receipt[[#This Row],[ Accepted Qty ]]</f>
        <v>0</v>
      </c>
      <c r="O1637" s="87"/>
      <c r="P1637" s="87"/>
      <c r="Q1637" s="87"/>
      <c r="R1637" s="87"/>
      <c r="S1637" s="87"/>
      <c r="T1637" s="85"/>
      <c r="U1637" s="89"/>
      <c r="V1637" s="90"/>
      <c r="W1637" s="87"/>
      <c r="X1637" s="91"/>
      <c r="Y1637" s="84"/>
      <c r="Z1637" s="97"/>
    </row>
    <row r="1638" spans="1:26" s="98" customFormat="1" x14ac:dyDescent="0.35">
      <c r="A1638" s="86">
        <v>1635</v>
      </c>
      <c r="B1638" s="85"/>
      <c r="C1638" s="87"/>
      <c r="D1638" s="85"/>
      <c r="E1638" s="84"/>
      <c r="F1638" s="85"/>
      <c r="G1638" s="87"/>
      <c r="H1638" s="87"/>
      <c r="I1638" s="87"/>
      <c r="J1638" s="101"/>
      <c r="K1638" s="87"/>
      <c r="L1638" s="91"/>
      <c r="M1638" s="91"/>
      <c r="N1638" s="88">
        <f>Goods_Receipt[[#This Row],[ Invoice. /
 Received Qty ]]-Goods_Receipt[[#This Row],[ Accepted Qty ]]</f>
        <v>0</v>
      </c>
      <c r="O1638" s="87"/>
      <c r="P1638" s="87"/>
      <c r="Q1638" s="87"/>
      <c r="R1638" s="87"/>
      <c r="S1638" s="87"/>
      <c r="T1638" s="85"/>
      <c r="U1638" s="89"/>
      <c r="V1638" s="90"/>
      <c r="W1638" s="87"/>
      <c r="X1638" s="91"/>
      <c r="Y1638" s="84"/>
      <c r="Z1638" s="97"/>
    </row>
    <row r="1639" spans="1:26" s="98" customFormat="1" x14ac:dyDescent="0.35">
      <c r="A1639" s="86">
        <v>1636</v>
      </c>
      <c r="B1639" s="85"/>
      <c r="C1639" s="87"/>
      <c r="D1639" s="85"/>
      <c r="E1639" s="84"/>
      <c r="F1639" s="85"/>
      <c r="G1639" s="87"/>
      <c r="H1639" s="87"/>
      <c r="I1639" s="87"/>
      <c r="J1639" s="101"/>
      <c r="K1639" s="87"/>
      <c r="L1639" s="91"/>
      <c r="M1639" s="91"/>
      <c r="N1639" s="88">
        <f>Goods_Receipt[[#This Row],[ Invoice. /
 Received Qty ]]-Goods_Receipt[[#This Row],[ Accepted Qty ]]</f>
        <v>0</v>
      </c>
      <c r="O1639" s="87"/>
      <c r="P1639" s="87"/>
      <c r="Q1639" s="87"/>
      <c r="R1639" s="87"/>
      <c r="S1639" s="87"/>
      <c r="T1639" s="85"/>
      <c r="U1639" s="89"/>
      <c r="V1639" s="90"/>
      <c r="W1639" s="87"/>
      <c r="X1639" s="91"/>
      <c r="Y1639" s="84"/>
      <c r="Z1639" s="97"/>
    </row>
    <row r="1640" spans="1:26" s="98" customFormat="1" x14ac:dyDescent="0.35">
      <c r="A1640" s="86">
        <v>1637</v>
      </c>
      <c r="B1640" s="85"/>
      <c r="C1640" s="87"/>
      <c r="D1640" s="85"/>
      <c r="E1640" s="84"/>
      <c r="F1640" s="85"/>
      <c r="G1640" s="87"/>
      <c r="H1640" s="87"/>
      <c r="I1640" s="87"/>
      <c r="J1640" s="101"/>
      <c r="K1640" s="87"/>
      <c r="L1640" s="91"/>
      <c r="M1640" s="91"/>
      <c r="N1640" s="88">
        <f>Goods_Receipt[[#This Row],[ Invoice. /
 Received Qty ]]-Goods_Receipt[[#This Row],[ Accepted Qty ]]</f>
        <v>0</v>
      </c>
      <c r="O1640" s="87"/>
      <c r="P1640" s="87"/>
      <c r="Q1640" s="87"/>
      <c r="R1640" s="87"/>
      <c r="S1640" s="87"/>
      <c r="T1640" s="85"/>
      <c r="U1640" s="89"/>
      <c r="V1640" s="90"/>
      <c r="W1640" s="87"/>
      <c r="X1640" s="91"/>
      <c r="Y1640" s="84"/>
      <c r="Z1640" s="97"/>
    </row>
    <row r="1641" spans="1:26" s="98" customFormat="1" x14ac:dyDescent="0.35">
      <c r="A1641" s="86">
        <v>1638</v>
      </c>
      <c r="B1641" s="85"/>
      <c r="C1641" s="87"/>
      <c r="D1641" s="85"/>
      <c r="E1641" s="84"/>
      <c r="F1641" s="85"/>
      <c r="G1641" s="87"/>
      <c r="H1641" s="87"/>
      <c r="I1641" s="87"/>
      <c r="J1641" s="101"/>
      <c r="K1641" s="87"/>
      <c r="L1641" s="91"/>
      <c r="M1641" s="91"/>
      <c r="N1641" s="88">
        <f>Goods_Receipt[[#This Row],[ Invoice. /
 Received Qty ]]-Goods_Receipt[[#This Row],[ Accepted Qty ]]</f>
        <v>0</v>
      </c>
      <c r="O1641" s="87"/>
      <c r="P1641" s="87"/>
      <c r="Q1641" s="87"/>
      <c r="R1641" s="87"/>
      <c r="S1641" s="87"/>
      <c r="T1641" s="85"/>
      <c r="U1641" s="89"/>
      <c r="V1641" s="90"/>
      <c r="W1641" s="87"/>
      <c r="X1641" s="91"/>
      <c r="Y1641" s="84"/>
      <c r="Z1641" s="97"/>
    </row>
    <row r="1642" spans="1:26" s="98" customFormat="1" x14ac:dyDescent="0.35">
      <c r="A1642" s="86">
        <v>1639</v>
      </c>
      <c r="B1642" s="85"/>
      <c r="C1642" s="87"/>
      <c r="D1642" s="85"/>
      <c r="E1642" s="84"/>
      <c r="F1642" s="85"/>
      <c r="G1642" s="87"/>
      <c r="H1642" s="87"/>
      <c r="I1642" s="87"/>
      <c r="J1642" s="101"/>
      <c r="K1642" s="87"/>
      <c r="L1642" s="91"/>
      <c r="M1642" s="91"/>
      <c r="N1642" s="88">
        <f>Goods_Receipt[[#This Row],[ Invoice. /
 Received Qty ]]-Goods_Receipt[[#This Row],[ Accepted Qty ]]</f>
        <v>0</v>
      </c>
      <c r="O1642" s="87"/>
      <c r="P1642" s="87"/>
      <c r="Q1642" s="87"/>
      <c r="R1642" s="87"/>
      <c r="S1642" s="87"/>
      <c r="T1642" s="85"/>
      <c r="U1642" s="89"/>
      <c r="V1642" s="90"/>
      <c r="W1642" s="87"/>
      <c r="X1642" s="91"/>
      <c r="Y1642" s="84"/>
      <c r="Z1642" s="97"/>
    </row>
    <row r="1643" spans="1:26" s="98" customFormat="1" x14ac:dyDescent="0.35">
      <c r="A1643" s="86">
        <v>1640</v>
      </c>
      <c r="B1643" s="85"/>
      <c r="C1643" s="87"/>
      <c r="D1643" s="85"/>
      <c r="E1643" s="84"/>
      <c r="F1643" s="85"/>
      <c r="G1643" s="87"/>
      <c r="H1643" s="87"/>
      <c r="I1643" s="87"/>
      <c r="J1643" s="101"/>
      <c r="K1643" s="87"/>
      <c r="L1643" s="91"/>
      <c r="M1643" s="91"/>
      <c r="N1643" s="88">
        <f>Goods_Receipt[[#This Row],[ Invoice. /
 Received Qty ]]-Goods_Receipt[[#This Row],[ Accepted Qty ]]</f>
        <v>0</v>
      </c>
      <c r="O1643" s="87"/>
      <c r="P1643" s="87"/>
      <c r="Q1643" s="87"/>
      <c r="R1643" s="87"/>
      <c r="S1643" s="87"/>
      <c r="T1643" s="85"/>
      <c r="U1643" s="89"/>
      <c r="V1643" s="90"/>
      <c r="W1643" s="87"/>
      <c r="X1643" s="91"/>
      <c r="Y1643" s="84"/>
      <c r="Z1643" s="97"/>
    </row>
    <row r="1644" spans="1:26" s="98" customFormat="1" x14ac:dyDescent="0.35">
      <c r="A1644" s="86">
        <v>1641</v>
      </c>
      <c r="B1644" s="85"/>
      <c r="C1644" s="87"/>
      <c r="D1644" s="85"/>
      <c r="E1644" s="84"/>
      <c r="F1644" s="85"/>
      <c r="G1644" s="87"/>
      <c r="H1644" s="87"/>
      <c r="I1644" s="87"/>
      <c r="J1644" s="101"/>
      <c r="K1644" s="87"/>
      <c r="L1644" s="91"/>
      <c r="M1644" s="91"/>
      <c r="N1644" s="88">
        <f>Goods_Receipt[[#This Row],[ Invoice. /
 Received Qty ]]-Goods_Receipt[[#This Row],[ Accepted Qty ]]</f>
        <v>0</v>
      </c>
      <c r="O1644" s="87"/>
      <c r="P1644" s="87"/>
      <c r="Q1644" s="87"/>
      <c r="R1644" s="87"/>
      <c r="S1644" s="87"/>
      <c r="T1644" s="85"/>
      <c r="U1644" s="89"/>
      <c r="V1644" s="90"/>
      <c r="W1644" s="87"/>
      <c r="X1644" s="91"/>
      <c r="Y1644" s="84"/>
      <c r="Z1644" s="97"/>
    </row>
    <row r="1645" spans="1:26" s="98" customFormat="1" x14ac:dyDescent="0.35">
      <c r="A1645" s="86">
        <v>1642</v>
      </c>
      <c r="B1645" s="85"/>
      <c r="C1645" s="87"/>
      <c r="D1645" s="85"/>
      <c r="E1645" s="84"/>
      <c r="F1645" s="85"/>
      <c r="G1645" s="87"/>
      <c r="H1645" s="87"/>
      <c r="I1645" s="87"/>
      <c r="J1645" s="101"/>
      <c r="K1645" s="87"/>
      <c r="L1645" s="91"/>
      <c r="M1645" s="91"/>
      <c r="N1645" s="88">
        <f>Goods_Receipt[[#This Row],[ Invoice. /
 Received Qty ]]-Goods_Receipt[[#This Row],[ Accepted Qty ]]</f>
        <v>0</v>
      </c>
      <c r="O1645" s="87"/>
      <c r="P1645" s="87"/>
      <c r="Q1645" s="87"/>
      <c r="R1645" s="87"/>
      <c r="S1645" s="87"/>
      <c r="T1645" s="85"/>
      <c r="U1645" s="89"/>
      <c r="V1645" s="90"/>
      <c r="W1645" s="87"/>
      <c r="X1645" s="91"/>
      <c r="Y1645" s="84"/>
      <c r="Z1645" s="97"/>
    </row>
    <row r="1646" spans="1:26" s="98" customFormat="1" x14ac:dyDescent="0.35">
      <c r="A1646" s="86">
        <v>1643</v>
      </c>
      <c r="B1646" s="85"/>
      <c r="C1646" s="87"/>
      <c r="D1646" s="85"/>
      <c r="E1646" s="84"/>
      <c r="F1646" s="85"/>
      <c r="G1646" s="87"/>
      <c r="H1646" s="87"/>
      <c r="I1646" s="87"/>
      <c r="J1646" s="101"/>
      <c r="K1646" s="87"/>
      <c r="L1646" s="91"/>
      <c r="M1646" s="91"/>
      <c r="N1646" s="88">
        <f>Goods_Receipt[[#This Row],[ Invoice. /
 Received Qty ]]-Goods_Receipt[[#This Row],[ Accepted Qty ]]</f>
        <v>0</v>
      </c>
      <c r="O1646" s="87"/>
      <c r="P1646" s="87"/>
      <c r="Q1646" s="87"/>
      <c r="R1646" s="87"/>
      <c r="S1646" s="87"/>
      <c r="T1646" s="85"/>
      <c r="U1646" s="89"/>
      <c r="V1646" s="90"/>
      <c r="W1646" s="87"/>
      <c r="X1646" s="91"/>
      <c r="Y1646" s="84"/>
      <c r="Z1646" s="97"/>
    </row>
    <row r="1647" spans="1:26" s="98" customFormat="1" x14ac:dyDescent="0.35">
      <c r="A1647" s="86">
        <v>1644</v>
      </c>
      <c r="B1647" s="85"/>
      <c r="C1647" s="87"/>
      <c r="D1647" s="85"/>
      <c r="E1647" s="84"/>
      <c r="F1647" s="85"/>
      <c r="G1647" s="87"/>
      <c r="H1647" s="87"/>
      <c r="I1647" s="87"/>
      <c r="J1647" s="101"/>
      <c r="K1647" s="87"/>
      <c r="L1647" s="91"/>
      <c r="M1647" s="91"/>
      <c r="N1647" s="88">
        <f>Goods_Receipt[[#This Row],[ Invoice. /
 Received Qty ]]-Goods_Receipt[[#This Row],[ Accepted Qty ]]</f>
        <v>0</v>
      </c>
      <c r="O1647" s="87"/>
      <c r="P1647" s="87"/>
      <c r="Q1647" s="87"/>
      <c r="R1647" s="87"/>
      <c r="S1647" s="87"/>
      <c r="T1647" s="85"/>
      <c r="U1647" s="89"/>
      <c r="V1647" s="90"/>
      <c r="W1647" s="87"/>
      <c r="X1647" s="91"/>
      <c r="Y1647" s="84"/>
      <c r="Z1647" s="97"/>
    </row>
    <row r="1648" spans="1:26" s="98" customFormat="1" x14ac:dyDescent="0.35">
      <c r="A1648" s="86">
        <v>1645</v>
      </c>
      <c r="B1648" s="85"/>
      <c r="C1648" s="87"/>
      <c r="D1648" s="85"/>
      <c r="E1648" s="84"/>
      <c r="F1648" s="85"/>
      <c r="G1648" s="87"/>
      <c r="H1648" s="87"/>
      <c r="I1648" s="87"/>
      <c r="J1648" s="101"/>
      <c r="K1648" s="87"/>
      <c r="L1648" s="91"/>
      <c r="M1648" s="91"/>
      <c r="N1648" s="88">
        <f>Goods_Receipt[[#This Row],[ Invoice. /
 Received Qty ]]-Goods_Receipt[[#This Row],[ Accepted Qty ]]</f>
        <v>0</v>
      </c>
      <c r="O1648" s="87"/>
      <c r="P1648" s="87"/>
      <c r="Q1648" s="87"/>
      <c r="R1648" s="87"/>
      <c r="S1648" s="87"/>
      <c r="T1648" s="85"/>
      <c r="U1648" s="89"/>
      <c r="V1648" s="90"/>
      <c r="W1648" s="87"/>
      <c r="X1648" s="91"/>
      <c r="Y1648" s="84"/>
      <c r="Z1648" s="97"/>
    </row>
    <row r="1649" spans="1:26" s="98" customFormat="1" x14ac:dyDescent="0.35">
      <c r="A1649" s="86">
        <v>1646</v>
      </c>
      <c r="B1649" s="85"/>
      <c r="C1649" s="87"/>
      <c r="D1649" s="85"/>
      <c r="E1649" s="84"/>
      <c r="F1649" s="85"/>
      <c r="G1649" s="87"/>
      <c r="H1649" s="87"/>
      <c r="I1649" s="87"/>
      <c r="J1649" s="101"/>
      <c r="K1649" s="87"/>
      <c r="L1649" s="91"/>
      <c r="M1649" s="91"/>
      <c r="N1649" s="88">
        <f>Goods_Receipt[[#This Row],[ Invoice. /
 Received Qty ]]-Goods_Receipt[[#This Row],[ Accepted Qty ]]</f>
        <v>0</v>
      </c>
      <c r="O1649" s="87"/>
      <c r="P1649" s="87"/>
      <c r="Q1649" s="87"/>
      <c r="R1649" s="87"/>
      <c r="S1649" s="87"/>
      <c r="T1649" s="85"/>
      <c r="U1649" s="89"/>
      <c r="V1649" s="90"/>
      <c r="W1649" s="87"/>
      <c r="X1649" s="91"/>
      <c r="Y1649" s="84"/>
      <c r="Z1649" s="97"/>
    </row>
    <row r="1650" spans="1:26" s="98" customFormat="1" x14ac:dyDescent="0.35">
      <c r="A1650" s="86">
        <v>1647</v>
      </c>
      <c r="B1650" s="85"/>
      <c r="C1650" s="87"/>
      <c r="D1650" s="85"/>
      <c r="E1650" s="84"/>
      <c r="F1650" s="85"/>
      <c r="G1650" s="87"/>
      <c r="H1650" s="87"/>
      <c r="I1650" s="87"/>
      <c r="J1650" s="101"/>
      <c r="K1650" s="87"/>
      <c r="L1650" s="91"/>
      <c r="M1650" s="91"/>
      <c r="N1650" s="88">
        <f>Goods_Receipt[[#This Row],[ Invoice. /
 Received Qty ]]-Goods_Receipt[[#This Row],[ Accepted Qty ]]</f>
        <v>0</v>
      </c>
      <c r="O1650" s="87"/>
      <c r="P1650" s="87"/>
      <c r="Q1650" s="87"/>
      <c r="R1650" s="87"/>
      <c r="S1650" s="87"/>
      <c r="T1650" s="85"/>
      <c r="U1650" s="89"/>
      <c r="V1650" s="90"/>
      <c r="W1650" s="87"/>
      <c r="X1650" s="91"/>
      <c r="Y1650" s="84"/>
      <c r="Z1650" s="97"/>
    </row>
    <row r="1651" spans="1:26" s="98" customFormat="1" x14ac:dyDescent="0.35">
      <c r="A1651" s="86">
        <v>1648</v>
      </c>
      <c r="B1651" s="85"/>
      <c r="C1651" s="87"/>
      <c r="D1651" s="85"/>
      <c r="E1651" s="84"/>
      <c r="F1651" s="85"/>
      <c r="G1651" s="87"/>
      <c r="H1651" s="87"/>
      <c r="I1651" s="87"/>
      <c r="J1651" s="101"/>
      <c r="K1651" s="87"/>
      <c r="L1651" s="91"/>
      <c r="M1651" s="91"/>
      <c r="N1651" s="88">
        <f>Goods_Receipt[[#This Row],[ Invoice. /
 Received Qty ]]-Goods_Receipt[[#This Row],[ Accepted Qty ]]</f>
        <v>0</v>
      </c>
      <c r="O1651" s="87"/>
      <c r="P1651" s="87"/>
      <c r="Q1651" s="87"/>
      <c r="R1651" s="87"/>
      <c r="S1651" s="87"/>
      <c r="T1651" s="85"/>
      <c r="U1651" s="89"/>
      <c r="V1651" s="90"/>
      <c r="W1651" s="87"/>
      <c r="X1651" s="91"/>
      <c r="Y1651" s="84"/>
      <c r="Z1651" s="97"/>
    </row>
    <row r="1652" spans="1:26" s="98" customFormat="1" x14ac:dyDescent="0.35">
      <c r="A1652" s="86">
        <v>1649</v>
      </c>
      <c r="B1652" s="85"/>
      <c r="C1652" s="87"/>
      <c r="D1652" s="85"/>
      <c r="E1652" s="84"/>
      <c r="F1652" s="85"/>
      <c r="G1652" s="87"/>
      <c r="H1652" s="87"/>
      <c r="I1652" s="87"/>
      <c r="J1652" s="101"/>
      <c r="K1652" s="87"/>
      <c r="L1652" s="91"/>
      <c r="M1652" s="91"/>
      <c r="N1652" s="88">
        <f>Goods_Receipt[[#This Row],[ Invoice. /
 Received Qty ]]-Goods_Receipt[[#This Row],[ Accepted Qty ]]</f>
        <v>0</v>
      </c>
      <c r="O1652" s="87"/>
      <c r="P1652" s="87"/>
      <c r="Q1652" s="87"/>
      <c r="R1652" s="87"/>
      <c r="S1652" s="87"/>
      <c r="T1652" s="85"/>
      <c r="U1652" s="89"/>
      <c r="V1652" s="90"/>
      <c r="W1652" s="87"/>
      <c r="X1652" s="91"/>
      <c r="Y1652" s="84"/>
      <c r="Z1652" s="97"/>
    </row>
    <row r="1653" spans="1:26" s="98" customFormat="1" x14ac:dyDescent="0.35">
      <c r="A1653" s="86">
        <v>1650</v>
      </c>
      <c r="B1653" s="85"/>
      <c r="C1653" s="87"/>
      <c r="D1653" s="85"/>
      <c r="E1653" s="84"/>
      <c r="F1653" s="85"/>
      <c r="G1653" s="87"/>
      <c r="H1653" s="87"/>
      <c r="I1653" s="87"/>
      <c r="J1653" s="101"/>
      <c r="K1653" s="87"/>
      <c r="L1653" s="91"/>
      <c r="M1653" s="91"/>
      <c r="N1653" s="88">
        <f>Goods_Receipt[[#This Row],[ Invoice. /
 Received Qty ]]-Goods_Receipt[[#This Row],[ Accepted Qty ]]</f>
        <v>0</v>
      </c>
      <c r="O1653" s="87"/>
      <c r="P1653" s="87"/>
      <c r="Q1653" s="87"/>
      <c r="R1653" s="87"/>
      <c r="S1653" s="87"/>
      <c r="T1653" s="85"/>
      <c r="U1653" s="89"/>
      <c r="V1653" s="90"/>
      <c r="W1653" s="87"/>
      <c r="X1653" s="91"/>
      <c r="Y1653" s="84"/>
      <c r="Z1653" s="97"/>
    </row>
    <row r="1654" spans="1:26" s="98" customFormat="1" x14ac:dyDescent="0.35">
      <c r="A1654" s="86">
        <v>1651</v>
      </c>
      <c r="B1654" s="85"/>
      <c r="C1654" s="87"/>
      <c r="D1654" s="85"/>
      <c r="E1654" s="84"/>
      <c r="F1654" s="85"/>
      <c r="G1654" s="87"/>
      <c r="H1654" s="87"/>
      <c r="I1654" s="87"/>
      <c r="J1654" s="101"/>
      <c r="K1654" s="87"/>
      <c r="L1654" s="91"/>
      <c r="M1654" s="91"/>
      <c r="N1654" s="88">
        <f>Goods_Receipt[[#This Row],[ Invoice. /
 Received Qty ]]-Goods_Receipt[[#This Row],[ Accepted Qty ]]</f>
        <v>0</v>
      </c>
      <c r="O1654" s="87"/>
      <c r="P1654" s="87"/>
      <c r="Q1654" s="87"/>
      <c r="R1654" s="87"/>
      <c r="S1654" s="87"/>
      <c r="T1654" s="85"/>
      <c r="U1654" s="89"/>
      <c r="V1654" s="90"/>
      <c r="W1654" s="87"/>
      <c r="X1654" s="91"/>
      <c r="Y1654" s="84"/>
      <c r="Z1654" s="97"/>
    </row>
    <row r="1655" spans="1:26" s="98" customFormat="1" x14ac:dyDescent="0.35">
      <c r="A1655" s="86">
        <v>1652</v>
      </c>
      <c r="B1655" s="85"/>
      <c r="C1655" s="87"/>
      <c r="D1655" s="85"/>
      <c r="E1655" s="84"/>
      <c r="F1655" s="85"/>
      <c r="G1655" s="87"/>
      <c r="H1655" s="87"/>
      <c r="I1655" s="87"/>
      <c r="J1655" s="101"/>
      <c r="K1655" s="87"/>
      <c r="L1655" s="91"/>
      <c r="M1655" s="91"/>
      <c r="N1655" s="88">
        <f>Goods_Receipt[[#This Row],[ Invoice. /
 Received Qty ]]-Goods_Receipt[[#This Row],[ Accepted Qty ]]</f>
        <v>0</v>
      </c>
      <c r="O1655" s="87"/>
      <c r="P1655" s="87"/>
      <c r="Q1655" s="87"/>
      <c r="R1655" s="87"/>
      <c r="S1655" s="87"/>
      <c r="T1655" s="85"/>
      <c r="U1655" s="89"/>
      <c r="V1655" s="90"/>
      <c r="W1655" s="87"/>
      <c r="X1655" s="91"/>
      <c r="Y1655" s="84"/>
      <c r="Z1655" s="97"/>
    </row>
    <row r="1656" spans="1:26" s="98" customFormat="1" x14ac:dyDescent="0.35">
      <c r="A1656" s="86">
        <v>1653</v>
      </c>
      <c r="B1656" s="85"/>
      <c r="C1656" s="87"/>
      <c r="D1656" s="85"/>
      <c r="E1656" s="84"/>
      <c r="F1656" s="85"/>
      <c r="G1656" s="87"/>
      <c r="H1656" s="87"/>
      <c r="I1656" s="87"/>
      <c r="J1656" s="101"/>
      <c r="K1656" s="87"/>
      <c r="L1656" s="91"/>
      <c r="M1656" s="91"/>
      <c r="N1656" s="88">
        <f>Goods_Receipt[[#This Row],[ Invoice. /
 Received Qty ]]-Goods_Receipt[[#This Row],[ Accepted Qty ]]</f>
        <v>0</v>
      </c>
      <c r="O1656" s="87"/>
      <c r="P1656" s="87"/>
      <c r="Q1656" s="87"/>
      <c r="R1656" s="87"/>
      <c r="S1656" s="87"/>
      <c r="T1656" s="85"/>
      <c r="U1656" s="89"/>
      <c r="V1656" s="90"/>
      <c r="W1656" s="87"/>
      <c r="X1656" s="91"/>
      <c r="Y1656" s="84"/>
      <c r="Z1656" s="97"/>
    </row>
    <row r="1657" spans="1:26" s="98" customFormat="1" x14ac:dyDescent="0.35">
      <c r="A1657" s="86">
        <v>1654</v>
      </c>
      <c r="B1657" s="85"/>
      <c r="C1657" s="87"/>
      <c r="D1657" s="85"/>
      <c r="E1657" s="84"/>
      <c r="F1657" s="85"/>
      <c r="G1657" s="87"/>
      <c r="H1657" s="87"/>
      <c r="I1657" s="87"/>
      <c r="J1657" s="101"/>
      <c r="K1657" s="87"/>
      <c r="L1657" s="91"/>
      <c r="M1657" s="91"/>
      <c r="N1657" s="88">
        <f>Goods_Receipt[[#This Row],[ Invoice. /
 Received Qty ]]-Goods_Receipt[[#This Row],[ Accepted Qty ]]</f>
        <v>0</v>
      </c>
      <c r="O1657" s="87"/>
      <c r="P1657" s="87"/>
      <c r="Q1657" s="87"/>
      <c r="R1657" s="87"/>
      <c r="S1657" s="87"/>
      <c r="T1657" s="85"/>
      <c r="U1657" s="89"/>
      <c r="V1657" s="90"/>
      <c r="W1657" s="87"/>
      <c r="X1657" s="91"/>
      <c r="Y1657" s="84"/>
      <c r="Z1657" s="97"/>
    </row>
    <row r="1658" spans="1:26" s="98" customFormat="1" x14ac:dyDescent="0.35">
      <c r="A1658" s="86">
        <v>1655</v>
      </c>
      <c r="B1658" s="85"/>
      <c r="C1658" s="87"/>
      <c r="D1658" s="85"/>
      <c r="E1658" s="84"/>
      <c r="F1658" s="85"/>
      <c r="G1658" s="87"/>
      <c r="H1658" s="87"/>
      <c r="I1658" s="87"/>
      <c r="J1658" s="101"/>
      <c r="K1658" s="87"/>
      <c r="L1658" s="91"/>
      <c r="M1658" s="91"/>
      <c r="N1658" s="88">
        <f>Goods_Receipt[[#This Row],[ Invoice. /
 Received Qty ]]-Goods_Receipt[[#This Row],[ Accepted Qty ]]</f>
        <v>0</v>
      </c>
      <c r="O1658" s="87"/>
      <c r="P1658" s="87"/>
      <c r="Q1658" s="87"/>
      <c r="R1658" s="87"/>
      <c r="S1658" s="87"/>
      <c r="T1658" s="85"/>
      <c r="U1658" s="89"/>
      <c r="V1658" s="90"/>
      <c r="W1658" s="87"/>
      <c r="X1658" s="91"/>
      <c r="Y1658" s="84"/>
      <c r="Z1658" s="97"/>
    </row>
    <row r="1659" spans="1:26" s="98" customFormat="1" x14ac:dyDescent="0.35">
      <c r="A1659" s="86">
        <v>1656</v>
      </c>
      <c r="B1659" s="85"/>
      <c r="C1659" s="87"/>
      <c r="D1659" s="85"/>
      <c r="E1659" s="84"/>
      <c r="F1659" s="85"/>
      <c r="G1659" s="87"/>
      <c r="H1659" s="87"/>
      <c r="I1659" s="87"/>
      <c r="J1659" s="101"/>
      <c r="K1659" s="87"/>
      <c r="L1659" s="91"/>
      <c r="M1659" s="91"/>
      <c r="N1659" s="88">
        <f>Goods_Receipt[[#This Row],[ Invoice. /
 Received Qty ]]-Goods_Receipt[[#This Row],[ Accepted Qty ]]</f>
        <v>0</v>
      </c>
      <c r="O1659" s="87"/>
      <c r="P1659" s="87"/>
      <c r="Q1659" s="87"/>
      <c r="R1659" s="87"/>
      <c r="S1659" s="87"/>
      <c r="T1659" s="85"/>
      <c r="U1659" s="89"/>
      <c r="V1659" s="90"/>
      <c r="W1659" s="87"/>
      <c r="X1659" s="91"/>
      <c r="Y1659" s="84"/>
      <c r="Z1659" s="97"/>
    </row>
    <row r="1660" spans="1:26" s="98" customFormat="1" x14ac:dyDescent="0.35">
      <c r="A1660" s="86">
        <v>1657</v>
      </c>
      <c r="B1660" s="85"/>
      <c r="C1660" s="87"/>
      <c r="D1660" s="85"/>
      <c r="E1660" s="84"/>
      <c r="F1660" s="85"/>
      <c r="G1660" s="87"/>
      <c r="H1660" s="87"/>
      <c r="I1660" s="87"/>
      <c r="J1660" s="101"/>
      <c r="K1660" s="87"/>
      <c r="L1660" s="91"/>
      <c r="M1660" s="91"/>
      <c r="N1660" s="88">
        <f>Goods_Receipt[[#This Row],[ Invoice. /
 Received Qty ]]-Goods_Receipt[[#This Row],[ Accepted Qty ]]</f>
        <v>0</v>
      </c>
      <c r="O1660" s="87"/>
      <c r="P1660" s="87"/>
      <c r="Q1660" s="87"/>
      <c r="R1660" s="87"/>
      <c r="S1660" s="87"/>
      <c r="T1660" s="85"/>
      <c r="U1660" s="89"/>
      <c r="V1660" s="90"/>
      <c r="W1660" s="87"/>
      <c r="X1660" s="91"/>
      <c r="Y1660" s="84"/>
      <c r="Z1660" s="97"/>
    </row>
    <row r="1661" spans="1:26" s="98" customFormat="1" x14ac:dyDescent="0.35">
      <c r="A1661" s="86">
        <v>1658</v>
      </c>
      <c r="B1661" s="85"/>
      <c r="C1661" s="87"/>
      <c r="D1661" s="85"/>
      <c r="E1661" s="84"/>
      <c r="F1661" s="85"/>
      <c r="G1661" s="87"/>
      <c r="H1661" s="87"/>
      <c r="I1661" s="87"/>
      <c r="J1661" s="101"/>
      <c r="K1661" s="87"/>
      <c r="L1661" s="91"/>
      <c r="M1661" s="91"/>
      <c r="N1661" s="88">
        <f>Goods_Receipt[[#This Row],[ Invoice. /
 Received Qty ]]-Goods_Receipt[[#This Row],[ Accepted Qty ]]</f>
        <v>0</v>
      </c>
      <c r="O1661" s="87"/>
      <c r="P1661" s="87"/>
      <c r="Q1661" s="87"/>
      <c r="R1661" s="87"/>
      <c r="S1661" s="87"/>
      <c r="T1661" s="85"/>
      <c r="U1661" s="89"/>
      <c r="V1661" s="90"/>
      <c r="W1661" s="87"/>
      <c r="X1661" s="91"/>
      <c r="Y1661" s="84"/>
      <c r="Z1661" s="97"/>
    </row>
    <row r="1662" spans="1:26" s="98" customFormat="1" x14ac:dyDescent="0.35">
      <c r="A1662" s="86">
        <v>1659</v>
      </c>
      <c r="B1662" s="85"/>
      <c r="C1662" s="87"/>
      <c r="D1662" s="85"/>
      <c r="E1662" s="84"/>
      <c r="F1662" s="85"/>
      <c r="G1662" s="87"/>
      <c r="H1662" s="87"/>
      <c r="I1662" s="87"/>
      <c r="J1662" s="101"/>
      <c r="K1662" s="87"/>
      <c r="L1662" s="91"/>
      <c r="M1662" s="91"/>
      <c r="N1662" s="88">
        <f>Goods_Receipt[[#This Row],[ Invoice. /
 Received Qty ]]-Goods_Receipt[[#This Row],[ Accepted Qty ]]</f>
        <v>0</v>
      </c>
      <c r="O1662" s="87"/>
      <c r="P1662" s="87"/>
      <c r="Q1662" s="87"/>
      <c r="R1662" s="87"/>
      <c r="S1662" s="87"/>
      <c r="T1662" s="85"/>
      <c r="U1662" s="89"/>
      <c r="V1662" s="90"/>
      <c r="W1662" s="87"/>
      <c r="X1662" s="91"/>
      <c r="Y1662" s="84"/>
      <c r="Z1662" s="97"/>
    </row>
    <row r="1663" spans="1:26" s="98" customFormat="1" x14ac:dyDescent="0.35">
      <c r="A1663" s="86">
        <v>1660</v>
      </c>
      <c r="B1663" s="85"/>
      <c r="C1663" s="87"/>
      <c r="D1663" s="85"/>
      <c r="E1663" s="84"/>
      <c r="F1663" s="85"/>
      <c r="G1663" s="87"/>
      <c r="H1663" s="87"/>
      <c r="I1663" s="87"/>
      <c r="J1663" s="101"/>
      <c r="K1663" s="87"/>
      <c r="L1663" s="91"/>
      <c r="M1663" s="91"/>
      <c r="N1663" s="88">
        <f>Goods_Receipt[[#This Row],[ Invoice. /
 Received Qty ]]-Goods_Receipt[[#This Row],[ Accepted Qty ]]</f>
        <v>0</v>
      </c>
      <c r="O1663" s="87"/>
      <c r="P1663" s="87"/>
      <c r="Q1663" s="87"/>
      <c r="R1663" s="87"/>
      <c r="S1663" s="87"/>
      <c r="T1663" s="85"/>
      <c r="U1663" s="89"/>
      <c r="V1663" s="90"/>
      <c r="W1663" s="87"/>
      <c r="X1663" s="91"/>
      <c r="Y1663" s="84"/>
      <c r="Z1663" s="97"/>
    </row>
    <row r="1664" spans="1:26" s="98" customFormat="1" x14ac:dyDescent="0.35">
      <c r="A1664" s="86">
        <v>1661</v>
      </c>
      <c r="B1664" s="85"/>
      <c r="C1664" s="87"/>
      <c r="D1664" s="85"/>
      <c r="E1664" s="84"/>
      <c r="F1664" s="85"/>
      <c r="G1664" s="87"/>
      <c r="H1664" s="87"/>
      <c r="I1664" s="87"/>
      <c r="J1664" s="101"/>
      <c r="K1664" s="87"/>
      <c r="L1664" s="91"/>
      <c r="M1664" s="91"/>
      <c r="N1664" s="88">
        <f>Goods_Receipt[[#This Row],[ Invoice. /
 Received Qty ]]-Goods_Receipt[[#This Row],[ Accepted Qty ]]</f>
        <v>0</v>
      </c>
      <c r="O1664" s="87"/>
      <c r="P1664" s="87"/>
      <c r="Q1664" s="87"/>
      <c r="R1664" s="87"/>
      <c r="S1664" s="87"/>
      <c r="T1664" s="85"/>
      <c r="U1664" s="89"/>
      <c r="V1664" s="90"/>
      <c r="W1664" s="87"/>
      <c r="X1664" s="91"/>
      <c r="Y1664" s="84"/>
      <c r="Z1664" s="97"/>
    </row>
    <row r="1665" spans="1:26" s="98" customFormat="1" x14ac:dyDescent="0.35">
      <c r="A1665" s="86">
        <v>1662</v>
      </c>
      <c r="B1665" s="85"/>
      <c r="C1665" s="87"/>
      <c r="D1665" s="85"/>
      <c r="E1665" s="84"/>
      <c r="F1665" s="85"/>
      <c r="G1665" s="87"/>
      <c r="H1665" s="87"/>
      <c r="I1665" s="87"/>
      <c r="J1665" s="101"/>
      <c r="K1665" s="87"/>
      <c r="L1665" s="91"/>
      <c r="M1665" s="91"/>
      <c r="N1665" s="88">
        <f>Goods_Receipt[[#This Row],[ Invoice. /
 Received Qty ]]-Goods_Receipt[[#This Row],[ Accepted Qty ]]</f>
        <v>0</v>
      </c>
      <c r="O1665" s="87"/>
      <c r="P1665" s="87"/>
      <c r="Q1665" s="87"/>
      <c r="R1665" s="87"/>
      <c r="S1665" s="87"/>
      <c r="T1665" s="85"/>
      <c r="U1665" s="89"/>
      <c r="V1665" s="90"/>
      <c r="W1665" s="87"/>
      <c r="X1665" s="91"/>
      <c r="Y1665" s="84"/>
      <c r="Z1665" s="97"/>
    </row>
    <row r="1666" spans="1:26" s="98" customFormat="1" x14ac:dyDescent="0.35">
      <c r="A1666" s="86">
        <v>1663</v>
      </c>
      <c r="B1666" s="85"/>
      <c r="C1666" s="87"/>
      <c r="D1666" s="85"/>
      <c r="E1666" s="84"/>
      <c r="F1666" s="85"/>
      <c r="G1666" s="87"/>
      <c r="H1666" s="87"/>
      <c r="I1666" s="87"/>
      <c r="J1666" s="101"/>
      <c r="K1666" s="87"/>
      <c r="L1666" s="91"/>
      <c r="M1666" s="91"/>
      <c r="N1666" s="88">
        <f>Goods_Receipt[[#This Row],[ Invoice. /
 Received Qty ]]-Goods_Receipt[[#This Row],[ Accepted Qty ]]</f>
        <v>0</v>
      </c>
      <c r="O1666" s="87"/>
      <c r="P1666" s="87"/>
      <c r="Q1666" s="87"/>
      <c r="R1666" s="87"/>
      <c r="S1666" s="87"/>
      <c r="T1666" s="85"/>
      <c r="U1666" s="89"/>
      <c r="V1666" s="90"/>
      <c r="W1666" s="87"/>
      <c r="X1666" s="91"/>
      <c r="Y1666" s="84"/>
      <c r="Z1666" s="97"/>
    </row>
    <row r="1667" spans="1:26" s="98" customFormat="1" x14ac:dyDescent="0.35">
      <c r="A1667" s="86">
        <v>1664</v>
      </c>
      <c r="B1667" s="85"/>
      <c r="C1667" s="87"/>
      <c r="D1667" s="85"/>
      <c r="E1667" s="84"/>
      <c r="F1667" s="85"/>
      <c r="G1667" s="87"/>
      <c r="H1667" s="87"/>
      <c r="I1667" s="87"/>
      <c r="J1667" s="101"/>
      <c r="K1667" s="87"/>
      <c r="L1667" s="91"/>
      <c r="M1667" s="91"/>
      <c r="N1667" s="88">
        <f>Goods_Receipt[[#This Row],[ Invoice. /
 Received Qty ]]-Goods_Receipt[[#This Row],[ Accepted Qty ]]</f>
        <v>0</v>
      </c>
      <c r="O1667" s="87"/>
      <c r="P1667" s="87"/>
      <c r="Q1667" s="87"/>
      <c r="R1667" s="87"/>
      <c r="S1667" s="87"/>
      <c r="T1667" s="85"/>
      <c r="U1667" s="89"/>
      <c r="V1667" s="90"/>
      <c r="W1667" s="87"/>
      <c r="X1667" s="91"/>
      <c r="Y1667" s="84"/>
      <c r="Z1667" s="97"/>
    </row>
    <row r="1668" spans="1:26" s="98" customFormat="1" x14ac:dyDescent="0.35">
      <c r="A1668" s="86">
        <v>1665</v>
      </c>
      <c r="B1668" s="85"/>
      <c r="C1668" s="87"/>
      <c r="D1668" s="85"/>
      <c r="E1668" s="84"/>
      <c r="F1668" s="85"/>
      <c r="G1668" s="87"/>
      <c r="H1668" s="87"/>
      <c r="I1668" s="87"/>
      <c r="J1668" s="101"/>
      <c r="K1668" s="87"/>
      <c r="L1668" s="91"/>
      <c r="M1668" s="91"/>
      <c r="N1668" s="88">
        <f>Goods_Receipt[[#This Row],[ Invoice. /
 Received Qty ]]-Goods_Receipt[[#This Row],[ Accepted Qty ]]</f>
        <v>0</v>
      </c>
      <c r="O1668" s="87"/>
      <c r="P1668" s="87"/>
      <c r="Q1668" s="87"/>
      <c r="R1668" s="87"/>
      <c r="S1668" s="87"/>
      <c r="T1668" s="85"/>
      <c r="U1668" s="89"/>
      <c r="V1668" s="90"/>
      <c r="W1668" s="87"/>
      <c r="X1668" s="91"/>
      <c r="Y1668" s="84"/>
      <c r="Z1668" s="97"/>
    </row>
    <row r="1669" spans="1:26" s="98" customFormat="1" x14ac:dyDescent="0.35">
      <c r="A1669" s="86">
        <v>1666</v>
      </c>
      <c r="B1669" s="85"/>
      <c r="C1669" s="87"/>
      <c r="D1669" s="85"/>
      <c r="E1669" s="84"/>
      <c r="F1669" s="85"/>
      <c r="G1669" s="87"/>
      <c r="H1669" s="87"/>
      <c r="I1669" s="87"/>
      <c r="J1669" s="101"/>
      <c r="K1669" s="87"/>
      <c r="L1669" s="91"/>
      <c r="M1669" s="91"/>
      <c r="N1669" s="88">
        <f>Goods_Receipt[[#This Row],[ Invoice. /
 Received Qty ]]-Goods_Receipt[[#This Row],[ Accepted Qty ]]</f>
        <v>0</v>
      </c>
      <c r="O1669" s="87"/>
      <c r="P1669" s="87"/>
      <c r="Q1669" s="87"/>
      <c r="R1669" s="87"/>
      <c r="S1669" s="87"/>
      <c r="T1669" s="85"/>
      <c r="U1669" s="89"/>
      <c r="V1669" s="90"/>
      <c r="W1669" s="87"/>
      <c r="X1669" s="91"/>
      <c r="Y1669" s="84"/>
      <c r="Z1669" s="97"/>
    </row>
    <row r="1670" spans="1:26" s="98" customFormat="1" x14ac:dyDescent="0.35">
      <c r="A1670" s="86">
        <v>1667</v>
      </c>
      <c r="B1670" s="85"/>
      <c r="C1670" s="87"/>
      <c r="D1670" s="85"/>
      <c r="E1670" s="84"/>
      <c r="F1670" s="85"/>
      <c r="G1670" s="87"/>
      <c r="H1670" s="87"/>
      <c r="I1670" s="87"/>
      <c r="J1670" s="101"/>
      <c r="K1670" s="87"/>
      <c r="L1670" s="91"/>
      <c r="M1670" s="91"/>
      <c r="N1670" s="88">
        <f>Goods_Receipt[[#This Row],[ Invoice. /
 Received Qty ]]-Goods_Receipt[[#This Row],[ Accepted Qty ]]</f>
        <v>0</v>
      </c>
      <c r="O1670" s="87"/>
      <c r="P1670" s="87"/>
      <c r="Q1670" s="87"/>
      <c r="R1670" s="87"/>
      <c r="S1670" s="87"/>
      <c r="T1670" s="85"/>
      <c r="U1670" s="89"/>
      <c r="V1670" s="90"/>
      <c r="W1670" s="87"/>
      <c r="X1670" s="91"/>
      <c r="Y1670" s="84"/>
      <c r="Z1670" s="97"/>
    </row>
    <row r="1671" spans="1:26" s="98" customFormat="1" x14ac:dyDescent="0.35">
      <c r="A1671" s="86">
        <v>1668</v>
      </c>
      <c r="B1671" s="85"/>
      <c r="C1671" s="87"/>
      <c r="D1671" s="85"/>
      <c r="E1671" s="84"/>
      <c r="F1671" s="85"/>
      <c r="G1671" s="87"/>
      <c r="H1671" s="87"/>
      <c r="I1671" s="87"/>
      <c r="J1671" s="101"/>
      <c r="K1671" s="87"/>
      <c r="L1671" s="91"/>
      <c r="M1671" s="91"/>
      <c r="N1671" s="88">
        <f>Goods_Receipt[[#This Row],[ Invoice. /
 Received Qty ]]-Goods_Receipt[[#This Row],[ Accepted Qty ]]</f>
        <v>0</v>
      </c>
      <c r="O1671" s="87"/>
      <c r="P1671" s="87"/>
      <c r="Q1671" s="87"/>
      <c r="R1671" s="87"/>
      <c r="S1671" s="87"/>
      <c r="T1671" s="85"/>
      <c r="U1671" s="89"/>
      <c r="V1671" s="90"/>
      <c r="W1671" s="87"/>
      <c r="X1671" s="91"/>
      <c r="Y1671" s="84"/>
      <c r="Z1671" s="97"/>
    </row>
    <row r="1672" spans="1:26" s="98" customFormat="1" x14ac:dyDescent="0.35">
      <c r="A1672" s="86">
        <v>1669</v>
      </c>
      <c r="B1672" s="85"/>
      <c r="C1672" s="87"/>
      <c r="D1672" s="85"/>
      <c r="E1672" s="84"/>
      <c r="F1672" s="85"/>
      <c r="G1672" s="87"/>
      <c r="H1672" s="87"/>
      <c r="I1672" s="87"/>
      <c r="J1672" s="101"/>
      <c r="K1672" s="87"/>
      <c r="L1672" s="91"/>
      <c r="M1672" s="91"/>
      <c r="N1672" s="88">
        <f>Goods_Receipt[[#This Row],[ Invoice. /
 Received Qty ]]-Goods_Receipt[[#This Row],[ Accepted Qty ]]</f>
        <v>0</v>
      </c>
      <c r="O1672" s="87"/>
      <c r="P1672" s="87"/>
      <c r="Q1672" s="87"/>
      <c r="R1672" s="87"/>
      <c r="S1672" s="87"/>
      <c r="T1672" s="85"/>
      <c r="U1672" s="89"/>
      <c r="V1672" s="90"/>
      <c r="W1672" s="87"/>
      <c r="X1672" s="91"/>
      <c r="Y1672" s="84"/>
      <c r="Z1672" s="97"/>
    </row>
    <row r="1673" spans="1:26" s="98" customFormat="1" x14ac:dyDescent="0.35">
      <c r="A1673" s="86">
        <v>1670</v>
      </c>
      <c r="B1673" s="85"/>
      <c r="C1673" s="87"/>
      <c r="D1673" s="85"/>
      <c r="E1673" s="84"/>
      <c r="F1673" s="85"/>
      <c r="G1673" s="87"/>
      <c r="H1673" s="87"/>
      <c r="I1673" s="87"/>
      <c r="J1673" s="101"/>
      <c r="K1673" s="87"/>
      <c r="L1673" s="91"/>
      <c r="M1673" s="91"/>
      <c r="N1673" s="88">
        <f>Goods_Receipt[[#This Row],[ Invoice. /
 Received Qty ]]-Goods_Receipt[[#This Row],[ Accepted Qty ]]</f>
        <v>0</v>
      </c>
      <c r="O1673" s="87"/>
      <c r="P1673" s="87"/>
      <c r="Q1673" s="87"/>
      <c r="R1673" s="87"/>
      <c r="S1673" s="87"/>
      <c r="T1673" s="85"/>
      <c r="U1673" s="89"/>
      <c r="V1673" s="90"/>
      <c r="W1673" s="87"/>
      <c r="X1673" s="91"/>
      <c r="Y1673" s="84"/>
      <c r="Z1673" s="97"/>
    </row>
    <row r="1674" spans="1:26" s="98" customFormat="1" x14ac:dyDescent="0.35">
      <c r="A1674" s="86">
        <v>1671</v>
      </c>
      <c r="B1674" s="85"/>
      <c r="C1674" s="87"/>
      <c r="D1674" s="85"/>
      <c r="E1674" s="84"/>
      <c r="F1674" s="85"/>
      <c r="G1674" s="87"/>
      <c r="H1674" s="87"/>
      <c r="I1674" s="87"/>
      <c r="J1674" s="101"/>
      <c r="K1674" s="87"/>
      <c r="L1674" s="91"/>
      <c r="M1674" s="91"/>
      <c r="N1674" s="88">
        <f>Goods_Receipt[[#This Row],[ Invoice. /
 Received Qty ]]-Goods_Receipt[[#This Row],[ Accepted Qty ]]</f>
        <v>0</v>
      </c>
      <c r="O1674" s="87"/>
      <c r="P1674" s="87"/>
      <c r="Q1674" s="87"/>
      <c r="R1674" s="87"/>
      <c r="S1674" s="87"/>
      <c r="T1674" s="85"/>
      <c r="U1674" s="89"/>
      <c r="V1674" s="90"/>
      <c r="W1674" s="87"/>
      <c r="X1674" s="91"/>
      <c r="Y1674" s="84"/>
      <c r="Z1674" s="97"/>
    </row>
    <row r="1675" spans="1:26" s="98" customFormat="1" x14ac:dyDescent="0.35">
      <c r="A1675" s="86">
        <v>1672</v>
      </c>
      <c r="B1675" s="85"/>
      <c r="C1675" s="87"/>
      <c r="D1675" s="85"/>
      <c r="E1675" s="84"/>
      <c r="F1675" s="85"/>
      <c r="G1675" s="87"/>
      <c r="H1675" s="87"/>
      <c r="I1675" s="87"/>
      <c r="J1675" s="101"/>
      <c r="K1675" s="87"/>
      <c r="L1675" s="91"/>
      <c r="M1675" s="91"/>
      <c r="N1675" s="88">
        <f>Goods_Receipt[[#This Row],[ Invoice. /
 Received Qty ]]-Goods_Receipt[[#This Row],[ Accepted Qty ]]</f>
        <v>0</v>
      </c>
      <c r="O1675" s="87"/>
      <c r="P1675" s="87"/>
      <c r="Q1675" s="87"/>
      <c r="R1675" s="87"/>
      <c r="S1675" s="87"/>
      <c r="T1675" s="85"/>
      <c r="U1675" s="89"/>
      <c r="V1675" s="90"/>
      <c r="W1675" s="87"/>
      <c r="X1675" s="91"/>
      <c r="Y1675" s="84"/>
      <c r="Z1675" s="97"/>
    </row>
    <row r="1676" spans="1:26" s="98" customFormat="1" x14ac:dyDescent="0.35">
      <c r="A1676" s="86">
        <v>1673</v>
      </c>
      <c r="B1676" s="85"/>
      <c r="C1676" s="87"/>
      <c r="D1676" s="85"/>
      <c r="E1676" s="84"/>
      <c r="F1676" s="85"/>
      <c r="G1676" s="87"/>
      <c r="H1676" s="87"/>
      <c r="I1676" s="87"/>
      <c r="J1676" s="101"/>
      <c r="K1676" s="87"/>
      <c r="L1676" s="91"/>
      <c r="M1676" s="91"/>
      <c r="N1676" s="88">
        <f>Goods_Receipt[[#This Row],[ Invoice. /
 Received Qty ]]-Goods_Receipt[[#This Row],[ Accepted Qty ]]</f>
        <v>0</v>
      </c>
      <c r="O1676" s="87"/>
      <c r="P1676" s="87"/>
      <c r="Q1676" s="87"/>
      <c r="R1676" s="87"/>
      <c r="S1676" s="87"/>
      <c r="T1676" s="85"/>
      <c r="U1676" s="89"/>
      <c r="V1676" s="90"/>
      <c r="W1676" s="87"/>
      <c r="X1676" s="91"/>
      <c r="Y1676" s="84"/>
      <c r="Z1676" s="97"/>
    </row>
    <row r="1677" spans="1:26" s="98" customFormat="1" x14ac:dyDescent="0.35">
      <c r="A1677" s="86">
        <v>1674</v>
      </c>
      <c r="B1677" s="85"/>
      <c r="C1677" s="87"/>
      <c r="D1677" s="85"/>
      <c r="E1677" s="84"/>
      <c r="F1677" s="85"/>
      <c r="G1677" s="87"/>
      <c r="H1677" s="87"/>
      <c r="I1677" s="87"/>
      <c r="J1677" s="101"/>
      <c r="K1677" s="87"/>
      <c r="L1677" s="91"/>
      <c r="M1677" s="91"/>
      <c r="N1677" s="88">
        <f>Goods_Receipt[[#This Row],[ Invoice. /
 Received Qty ]]-Goods_Receipt[[#This Row],[ Accepted Qty ]]</f>
        <v>0</v>
      </c>
      <c r="O1677" s="87"/>
      <c r="P1677" s="87"/>
      <c r="Q1677" s="87"/>
      <c r="R1677" s="87"/>
      <c r="S1677" s="87"/>
      <c r="T1677" s="85"/>
      <c r="U1677" s="89"/>
      <c r="V1677" s="90"/>
      <c r="W1677" s="87"/>
      <c r="X1677" s="91"/>
      <c r="Y1677" s="84"/>
      <c r="Z1677" s="97"/>
    </row>
    <row r="1678" spans="1:26" s="98" customFormat="1" x14ac:dyDescent="0.35">
      <c r="A1678" s="86">
        <v>1675</v>
      </c>
      <c r="B1678" s="85"/>
      <c r="C1678" s="87"/>
      <c r="D1678" s="85"/>
      <c r="E1678" s="84"/>
      <c r="F1678" s="85"/>
      <c r="G1678" s="87"/>
      <c r="H1678" s="87"/>
      <c r="I1678" s="87"/>
      <c r="J1678" s="101"/>
      <c r="K1678" s="87"/>
      <c r="L1678" s="91"/>
      <c r="M1678" s="91"/>
      <c r="N1678" s="88">
        <f>Goods_Receipt[[#This Row],[ Invoice. /
 Received Qty ]]-Goods_Receipt[[#This Row],[ Accepted Qty ]]</f>
        <v>0</v>
      </c>
      <c r="O1678" s="87"/>
      <c r="P1678" s="87"/>
      <c r="Q1678" s="87"/>
      <c r="R1678" s="87"/>
      <c r="S1678" s="87"/>
      <c r="T1678" s="85"/>
      <c r="U1678" s="89"/>
      <c r="V1678" s="90"/>
      <c r="W1678" s="87"/>
      <c r="X1678" s="91"/>
      <c r="Y1678" s="84"/>
      <c r="Z1678" s="97"/>
    </row>
    <row r="1679" spans="1:26" s="98" customFormat="1" x14ac:dyDescent="0.35">
      <c r="A1679" s="86">
        <v>1676</v>
      </c>
      <c r="B1679" s="85"/>
      <c r="C1679" s="87"/>
      <c r="D1679" s="85"/>
      <c r="E1679" s="84"/>
      <c r="F1679" s="85"/>
      <c r="G1679" s="87"/>
      <c r="H1679" s="87"/>
      <c r="I1679" s="87"/>
      <c r="J1679" s="101"/>
      <c r="K1679" s="87"/>
      <c r="L1679" s="91"/>
      <c r="M1679" s="91"/>
      <c r="N1679" s="88">
        <f>Goods_Receipt[[#This Row],[ Invoice. /
 Received Qty ]]-Goods_Receipt[[#This Row],[ Accepted Qty ]]</f>
        <v>0</v>
      </c>
      <c r="O1679" s="87"/>
      <c r="P1679" s="87"/>
      <c r="Q1679" s="87"/>
      <c r="R1679" s="87"/>
      <c r="S1679" s="87"/>
      <c r="T1679" s="85"/>
      <c r="U1679" s="89"/>
      <c r="V1679" s="90"/>
      <c r="W1679" s="87"/>
      <c r="X1679" s="91"/>
      <c r="Y1679" s="84"/>
      <c r="Z1679" s="97"/>
    </row>
    <row r="1680" spans="1:26" s="98" customFormat="1" x14ac:dyDescent="0.35">
      <c r="A1680" s="86">
        <v>1677</v>
      </c>
      <c r="B1680" s="85"/>
      <c r="C1680" s="87"/>
      <c r="D1680" s="85"/>
      <c r="E1680" s="84"/>
      <c r="F1680" s="85"/>
      <c r="G1680" s="87"/>
      <c r="H1680" s="87"/>
      <c r="I1680" s="87"/>
      <c r="J1680" s="101"/>
      <c r="K1680" s="87"/>
      <c r="L1680" s="91"/>
      <c r="M1680" s="91"/>
      <c r="N1680" s="88">
        <f>Goods_Receipt[[#This Row],[ Invoice. /
 Received Qty ]]-Goods_Receipt[[#This Row],[ Accepted Qty ]]</f>
        <v>0</v>
      </c>
      <c r="O1680" s="87"/>
      <c r="P1680" s="87"/>
      <c r="Q1680" s="87"/>
      <c r="R1680" s="87"/>
      <c r="S1680" s="87"/>
      <c r="T1680" s="85"/>
      <c r="U1680" s="89"/>
      <c r="V1680" s="90"/>
      <c r="W1680" s="87"/>
      <c r="X1680" s="91"/>
      <c r="Y1680" s="84"/>
      <c r="Z1680" s="97"/>
    </row>
    <row r="1681" spans="1:26" s="98" customFormat="1" x14ac:dyDescent="0.35">
      <c r="A1681" s="86">
        <v>1678</v>
      </c>
      <c r="B1681" s="85"/>
      <c r="C1681" s="87"/>
      <c r="D1681" s="85"/>
      <c r="E1681" s="84"/>
      <c r="F1681" s="85"/>
      <c r="G1681" s="87"/>
      <c r="H1681" s="87"/>
      <c r="I1681" s="87"/>
      <c r="J1681" s="101"/>
      <c r="K1681" s="87"/>
      <c r="L1681" s="91"/>
      <c r="M1681" s="91"/>
      <c r="N1681" s="88">
        <f>Goods_Receipt[[#This Row],[ Invoice. /
 Received Qty ]]-Goods_Receipt[[#This Row],[ Accepted Qty ]]</f>
        <v>0</v>
      </c>
      <c r="O1681" s="87"/>
      <c r="P1681" s="87"/>
      <c r="Q1681" s="87"/>
      <c r="R1681" s="87"/>
      <c r="S1681" s="87"/>
      <c r="T1681" s="85"/>
      <c r="U1681" s="89"/>
      <c r="V1681" s="90"/>
      <c r="W1681" s="87"/>
      <c r="X1681" s="91"/>
      <c r="Y1681" s="84"/>
      <c r="Z1681" s="97"/>
    </row>
    <row r="1682" spans="1:26" s="98" customFormat="1" x14ac:dyDescent="0.35">
      <c r="A1682" s="86">
        <v>1679</v>
      </c>
      <c r="B1682" s="85"/>
      <c r="C1682" s="87"/>
      <c r="D1682" s="85"/>
      <c r="E1682" s="84"/>
      <c r="F1682" s="85"/>
      <c r="G1682" s="87"/>
      <c r="H1682" s="87"/>
      <c r="I1682" s="87"/>
      <c r="J1682" s="101"/>
      <c r="K1682" s="87"/>
      <c r="L1682" s="91"/>
      <c r="M1682" s="91"/>
      <c r="N1682" s="88">
        <f>Goods_Receipt[[#This Row],[ Invoice. /
 Received Qty ]]-Goods_Receipt[[#This Row],[ Accepted Qty ]]</f>
        <v>0</v>
      </c>
      <c r="O1682" s="87"/>
      <c r="P1682" s="87"/>
      <c r="Q1682" s="87"/>
      <c r="R1682" s="87"/>
      <c r="S1682" s="87"/>
      <c r="T1682" s="85"/>
      <c r="U1682" s="89"/>
      <c r="V1682" s="90"/>
      <c r="W1682" s="87"/>
      <c r="X1682" s="91"/>
      <c r="Y1682" s="84"/>
      <c r="Z1682" s="97"/>
    </row>
    <row r="1683" spans="1:26" s="98" customFormat="1" x14ac:dyDescent="0.35">
      <c r="A1683" s="86">
        <v>1680</v>
      </c>
      <c r="B1683" s="85"/>
      <c r="C1683" s="87"/>
      <c r="D1683" s="85"/>
      <c r="E1683" s="84"/>
      <c r="F1683" s="85"/>
      <c r="G1683" s="87"/>
      <c r="H1683" s="87"/>
      <c r="I1683" s="87"/>
      <c r="J1683" s="101"/>
      <c r="K1683" s="87"/>
      <c r="L1683" s="91"/>
      <c r="M1683" s="91"/>
      <c r="N1683" s="88">
        <f>Goods_Receipt[[#This Row],[ Invoice. /
 Received Qty ]]-Goods_Receipt[[#This Row],[ Accepted Qty ]]</f>
        <v>0</v>
      </c>
      <c r="O1683" s="87"/>
      <c r="P1683" s="87"/>
      <c r="Q1683" s="87"/>
      <c r="R1683" s="87"/>
      <c r="S1683" s="87"/>
      <c r="T1683" s="85"/>
      <c r="U1683" s="89"/>
      <c r="V1683" s="90"/>
      <c r="W1683" s="87"/>
      <c r="X1683" s="91"/>
      <c r="Y1683" s="84"/>
      <c r="Z1683" s="97"/>
    </row>
    <row r="1684" spans="1:26" s="98" customFormat="1" x14ac:dyDescent="0.35">
      <c r="A1684" s="86">
        <v>1681</v>
      </c>
      <c r="B1684" s="85"/>
      <c r="C1684" s="87"/>
      <c r="D1684" s="85"/>
      <c r="E1684" s="84"/>
      <c r="F1684" s="85"/>
      <c r="G1684" s="87"/>
      <c r="H1684" s="87"/>
      <c r="I1684" s="87"/>
      <c r="J1684" s="101"/>
      <c r="K1684" s="87"/>
      <c r="L1684" s="91"/>
      <c r="M1684" s="91"/>
      <c r="N1684" s="88">
        <f>Goods_Receipt[[#This Row],[ Invoice. /
 Received Qty ]]-Goods_Receipt[[#This Row],[ Accepted Qty ]]</f>
        <v>0</v>
      </c>
      <c r="O1684" s="87"/>
      <c r="P1684" s="87"/>
      <c r="Q1684" s="87"/>
      <c r="R1684" s="87"/>
      <c r="S1684" s="87"/>
      <c r="T1684" s="85"/>
      <c r="U1684" s="89"/>
      <c r="V1684" s="90"/>
      <c r="W1684" s="87"/>
      <c r="X1684" s="91"/>
      <c r="Y1684" s="84"/>
      <c r="Z1684" s="97"/>
    </row>
    <row r="1685" spans="1:26" s="98" customFormat="1" x14ac:dyDescent="0.35">
      <c r="A1685" s="86">
        <v>1682</v>
      </c>
      <c r="B1685" s="85"/>
      <c r="C1685" s="87"/>
      <c r="D1685" s="85"/>
      <c r="E1685" s="84"/>
      <c r="F1685" s="85"/>
      <c r="G1685" s="87"/>
      <c r="H1685" s="87"/>
      <c r="I1685" s="87"/>
      <c r="J1685" s="101"/>
      <c r="K1685" s="87"/>
      <c r="L1685" s="91"/>
      <c r="M1685" s="91"/>
      <c r="N1685" s="88">
        <f>Goods_Receipt[[#This Row],[ Invoice. /
 Received Qty ]]-Goods_Receipt[[#This Row],[ Accepted Qty ]]</f>
        <v>0</v>
      </c>
      <c r="O1685" s="87"/>
      <c r="P1685" s="87"/>
      <c r="Q1685" s="87"/>
      <c r="R1685" s="87"/>
      <c r="S1685" s="87"/>
      <c r="T1685" s="85"/>
      <c r="U1685" s="89"/>
      <c r="V1685" s="90"/>
      <c r="W1685" s="87"/>
      <c r="X1685" s="91"/>
      <c r="Y1685" s="84"/>
      <c r="Z1685" s="97"/>
    </row>
    <row r="1686" spans="1:26" s="98" customFormat="1" x14ac:dyDescent="0.35">
      <c r="A1686" s="86">
        <v>1683</v>
      </c>
      <c r="B1686" s="85"/>
      <c r="C1686" s="87"/>
      <c r="D1686" s="85"/>
      <c r="E1686" s="84"/>
      <c r="F1686" s="85"/>
      <c r="G1686" s="87"/>
      <c r="H1686" s="87"/>
      <c r="I1686" s="87"/>
      <c r="J1686" s="101"/>
      <c r="K1686" s="87"/>
      <c r="L1686" s="91"/>
      <c r="M1686" s="91"/>
      <c r="N1686" s="88">
        <f>Goods_Receipt[[#This Row],[ Invoice. /
 Received Qty ]]-Goods_Receipt[[#This Row],[ Accepted Qty ]]</f>
        <v>0</v>
      </c>
      <c r="O1686" s="87"/>
      <c r="P1686" s="87"/>
      <c r="Q1686" s="87"/>
      <c r="R1686" s="87"/>
      <c r="S1686" s="87"/>
      <c r="T1686" s="85"/>
      <c r="U1686" s="89"/>
      <c r="V1686" s="90"/>
      <c r="W1686" s="87"/>
      <c r="X1686" s="91"/>
      <c r="Y1686" s="84"/>
      <c r="Z1686" s="97"/>
    </row>
    <row r="1687" spans="1:26" s="98" customFormat="1" x14ac:dyDescent="0.35">
      <c r="A1687" s="86">
        <v>1684</v>
      </c>
      <c r="B1687" s="85"/>
      <c r="C1687" s="87"/>
      <c r="D1687" s="85"/>
      <c r="E1687" s="84"/>
      <c r="F1687" s="85"/>
      <c r="G1687" s="87"/>
      <c r="H1687" s="87"/>
      <c r="I1687" s="87"/>
      <c r="J1687" s="101"/>
      <c r="K1687" s="87"/>
      <c r="L1687" s="91"/>
      <c r="M1687" s="91"/>
      <c r="N1687" s="88">
        <f>Goods_Receipt[[#This Row],[ Invoice. /
 Received Qty ]]-Goods_Receipt[[#This Row],[ Accepted Qty ]]</f>
        <v>0</v>
      </c>
      <c r="O1687" s="87"/>
      <c r="P1687" s="87"/>
      <c r="Q1687" s="87"/>
      <c r="R1687" s="87"/>
      <c r="S1687" s="87"/>
      <c r="T1687" s="85"/>
      <c r="U1687" s="89"/>
      <c r="V1687" s="90"/>
      <c r="W1687" s="87"/>
      <c r="X1687" s="91"/>
      <c r="Y1687" s="84"/>
      <c r="Z1687" s="97"/>
    </row>
    <row r="1688" spans="1:26" s="98" customFormat="1" x14ac:dyDescent="0.35">
      <c r="A1688" s="86">
        <v>1685</v>
      </c>
      <c r="B1688" s="85"/>
      <c r="C1688" s="87"/>
      <c r="D1688" s="85"/>
      <c r="E1688" s="84"/>
      <c r="F1688" s="85"/>
      <c r="G1688" s="87"/>
      <c r="H1688" s="87"/>
      <c r="I1688" s="87"/>
      <c r="J1688" s="101"/>
      <c r="K1688" s="87"/>
      <c r="L1688" s="91"/>
      <c r="M1688" s="91"/>
      <c r="N1688" s="88">
        <f>Goods_Receipt[[#This Row],[ Invoice. /
 Received Qty ]]-Goods_Receipt[[#This Row],[ Accepted Qty ]]</f>
        <v>0</v>
      </c>
      <c r="O1688" s="87"/>
      <c r="P1688" s="87"/>
      <c r="Q1688" s="87"/>
      <c r="R1688" s="87"/>
      <c r="S1688" s="87"/>
      <c r="T1688" s="85"/>
      <c r="U1688" s="89"/>
      <c r="V1688" s="90"/>
      <c r="W1688" s="87"/>
      <c r="X1688" s="91"/>
      <c r="Y1688" s="84"/>
      <c r="Z1688" s="97"/>
    </row>
    <row r="1689" spans="1:26" s="98" customFormat="1" x14ac:dyDescent="0.35">
      <c r="A1689" s="86">
        <v>1686</v>
      </c>
      <c r="B1689" s="85"/>
      <c r="C1689" s="87"/>
      <c r="D1689" s="85"/>
      <c r="E1689" s="84"/>
      <c r="F1689" s="85"/>
      <c r="G1689" s="87"/>
      <c r="H1689" s="87"/>
      <c r="I1689" s="87"/>
      <c r="J1689" s="101"/>
      <c r="K1689" s="87"/>
      <c r="L1689" s="91"/>
      <c r="M1689" s="91"/>
      <c r="N1689" s="88">
        <f>Goods_Receipt[[#This Row],[ Invoice. /
 Received Qty ]]-Goods_Receipt[[#This Row],[ Accepted Qty ]]</f>
        <v>0</v>
      </c>
      <c r="O1689" s="87"/>
      <c r="P1689" s="87"/>
      <c r="Q1689" s="87"/>
      <c r="R1689" s="87"/>
      <c r="S1689" s="87"/>
      <c r="T1689" s="85"/>
      <c r="U1689" s="89"/>
      <c r="V1689" s="90"/>
      <c r="W1689" s="87"/>
      <c r="X1689" s="91"/>
      <c r="Y1689" s="84"/>
      <c r="Z1689" s="97"/>
    </row>
    <row r="1690" spans="1:26" s="98" customFormat="1" x14ac:dyDescent="0.35">
      <c r="A1690" s="86">
        <v>1687</v>
      </c>
      <c r="B1690" s="85"/>
      <c r="C1690" s="87"/>
      <c r="D1690" s="85"/>
      <c r="E1690" s="84"/>
      <c r="F1690" s="85"/>
      <c r="G1690" s="87"/>
      <c r="H1690" s="87"/>
      <c r="I1690" s="87"/>
      <c r="J1690" s="101"/>
      <c r="K1690" s="87"/>
      <c r="L1690" s="91"/>
      <c r="M1690" s="91"/>
      <c r="N1690" s="88">
        <f>Goods_Receipt[[#This Row],[ Invoice. /
 Received Qty ]]-Goods_Receipt[[#This Row],[ Accepted Qty ]]</f>
        <v>0</v>
      </c>
      <c r="O1690" s="87"/>
      <c r="P1690" s="87"/>
      <c r="Q1690" s="87"/>
      <c r="R1690" s="87"/>
      <c r="S1690" s="87"/>
      <c r="T1690" s="85"/>
      <c r="U1690" s="89"/>
      <c r="V1690" s="90"/>
      <c r="W1690" s="87"/>
      <c r="X1690" s="91"/>
      <c r="Y1690" s="84"/>
      <c r="Z1690" s="97"/>
    </row>
    <row r="1691" spans="1:26" s="98" customFormat="1" x14ac:dyDescent="0.35">
      <c r="A1691" s="86">
        <v>1688</v>
      </c>
      <c r="B1691" s="85"/>
      <c r="C1691" s="87"/>
      <c r="D1691" s="85"/>
      <c r="E1691" s="84"/>
      <c r="F1691" s="85"/>
      <c r="G1691" s="87"/>
      <c r="H1691" s="87"/>
      <c r="I1691" s="87"/>
      <c r="J1691" s="101"/>
      <c r="K1691" s="87"/>
      <c r="L1691" s="91"/>
      <c r="M1691" s="91"/>
      <c r="N1691" s="88">
        <f>Goods_Receipt[[#This Row],[ Invoice. /
 Received Qty ]]-Goods_Receipt[[#This Row],[ Accepted Qty ]]</f>
        <v>0</v>
      </c>
      <c r="O1691" s="87"/>
      <c r="P1691" s="87"/>
      <c r="Q1691" s="87"/>
      <c r="R1691" s="87"/>
      <c r="S1691" s="87"/>
      <c r="T1691" s="85"/>
      <c r="U1691" s="89"/>
      <c r="V1691" s="90"/>
      <c r="W1691" s="87"/>
      <c r="X1691" s="91"/>
      <c r="Y1691" s="84"/>
      <c r="Z1691" s="97"/>
    </row>
    <row r="1692" spans="1:26" s="98" customFormat="1" x14ac:dyDescent="0.35">
      <c r="A1692" s="86">
        <v>1689</v>
      </c>
      <c r="B1692" s="85"/>
      <c r="C1692" s="87"/>
      <c r="D1692" s="85"/>
      <c r="E1692" s="84"/>
      <c r="F1692" s="85"/>
      <c r="G1692" s="87"/>
      <c r="H1692" s="87"/>
      <c r="I1692" s="87"/>
      <c r="J1692" s="101"/>
      <c r="K1692" s="87"/>
      <c r="L1692" s="91"/>
      <c r="M1692" s="91"/>
      <c r="N1692" s="88">
        <f>Goods_Receipt[[#This Row],[ Invoice. /
 Received Qty ]]-Goods_Receipt[[#This Row],[ Accepted Qty ]]</f>
        <v>0</v>
      </c>
      <c r="O1692" s="87"/>
      <c r="P1692" s="87"/>
      <c r="Q1692" s="87"/>
      <c r="R1692" s="87"/>
      <c r="S1692" s="87"/>
      <c r="T1692" s="85"/>
      <c r="U1692" s="89"/>
      <c r="V1692" s="90"/>
      <c r="W1692" s="87"/>
      <c r="X1692" s="91"/>
      <c r="Y1692" s="84"/>
      <c r="Z1692" s="97"/>
    </row>
    <row r="1693" spans="1:26" s="98" customFormat="1" x14ac:dyDescent="0.35">
      <c r="A1693" s="86">
        <v>1690</v>
      </c>
      <c r="B1693" s="85"/>
      <c r="C1693" s="87"/>
      <c r="D1693" s="85"/>
      <c r="E1693" s="84"/>
      <c r="F1693" s="85"/>
      <c r="G1693" s="87"/>
      <c r="H1693" s="87"/>
      <c r="I1693" s="87"/>
      <c r="J1693" s="101"/>
      <c r="K1693" s="87"/>
      <c r="L1693" s="91"/>
      <c r="M1693" s="91"/>
      <c r="N1693" s="88">
        <f>Goods_Receipt[[#This Row],[ Invoice. /
 Received Qty ]]-Goods_Receipt[[#This Row],[ Accepted Qty ]]</f>
        <v>0</v>
      </c>
      <c r="O1693" s="87"/>
      <c r="P1693" s="87"/>
      <c r="Q1693" s="87"/>
      <c r="R1693" s="87"/>
      <c r="S1693" s="87"/>
      <c r="T1693" s="85"/>
      <c r="U1693" s="89"/>
      <c r="V1693" s="90"/>
      <c r="W1693" s="87"/>
      <c r="X1693" s="91"/>
      <c r="Y1693" s="84"/>
      <c r="Z1693" s="97"/>
    </row>
    <row r="1694" spans="1:26" s="98" customFormat="1" x14ac:dyDescent="0.35">
      <c r="A1694" s="86">
        <v>1691</v>
      </c>
      <c r="B1694" s="85"/>
      <c r="C1694" s="87"/>
      <c r="D1694" s="85"/>
      <c r="E1694" s="84"/>
      <c r="F1694" s="85"/>
      <c r="G1694" s="87"/>
      <c r="H1694" s="87"/>
      <c r="I1694" s="87"/>
      <c r="J1694" s="101"/>
      <c r="K1694" s="87"/>
      <c r="L1694" s="91"/>
      <c r="M1694" s="91"/>
      <c r="N1694" s="88">
        <f>Goods_Receipt[[#This Row],[ Invoice. /
 Received Qty ]]-Goods_Receipt[[#This Row],[ Accepted Qty ]]</f>
        <v>0</v>
      </c>
      <c r="O1694" s="87"/>
      <c r="P1694" s="87"/>
      <c r="Q1694" s="87"/>
      <c r="R1694" s="87"/>
      <c r="S1694" s="87"/>
      <c r="T1694" s="85"/>
      <c r="U1694" s="89"/>
      <c r="V1694" s="90"/>
      <c r="W1694" s="87"/>
      <c r="X1694" s="91"/>
      <c r="Y1694" s="84"/>
      <c r="Z1694" s="97"/>
    </row>
    <row r="1695" spans="1:26" s="98" customFormat="1" x14ac:dyDescent="0.35">
      <c r="A1695" s="86">
        <v>1692</v>
      </c>
      <c r="B1695" s="85"/>
      <c r="C1695" s="87"/>
      <c r="D1695" s="85"/>
      <c r="E1695" s="84"/>
      <c r="F1695" s="85"/>
      <c r="G1695" s="87"/>
      <c r="H1695" s="87"/>
      <c r="I1695" s="87"/>
      <c r="J1695" s="101"/>
      <c r="K1695" s="87"/>
      <c r="L1695" s="91"/>
      <c r="M1695" s="91"/>
      <c r="N1695" s="88">
        <f>Goods_Receipt[[#This Row],[ Invoice. /
 Received Qty ]]-Goods_Receipt[[#This Row],[ Accepted Qty ]]</f>
        <v>0</v>
      </c>
      <c r="O1695" s="87"/>
      <c r="P1695" s="87"/>
      <c r="Q1695" s="87"/>
      <c r="R1695" s="87"/>
      <c r="S1695" s="87"/>
      <c r="T1695" s="85"/>
      <c r="U1695" s="89"/>
      <c r="V1695" s="90"/>
      <c r="W1695" s="87"/>
      <c r="X1695" s="91"/>
      <c r="Y1695" s="84"/>
      <c r="Z1695" s="97"/>
    </row>
    <row r="1696" spans="1:26" s="98" customFormat="1" x14ac:dyDescent="0.35">
      <c r="A1696" s="86">
        <v>1693</v>
      </c>
      <c r="B1696" s="85"/>
      <c r="C1696" s="87"/>
      <c r="D1696" s="85"/>
      <c r="E1696" s="84"/>
      <c r="F1696" s="85"/>
      <c r="G1696" s="87"/>
      <c r="H1696" s="87"/>
      <c r="I1696" s="87"/>
      <c r="J1696" s="101"/>
      <c r="K1696" s="87"/>
      <c r="L1696" s="91"/>
      <c r="M1696" s="91"/>
      <c r="N1696" s="88">
        <f>Goods_Receipt[[#This Row],[ Invoice. /
 Received Qty ]]-Goods_Receipt[[#This Row],[ Accepted Qty ]]</f>
        <v>0</v>
      </c>
      <c r="O1696" s="87"/>
      <c r="P1696" s="87"/>
      <c r="Q1696" s="87"/>
      <c r="R1696" s="87"/>
      <c r="S1696" s="87"/>
      <c r="T1696" s="85"/>
      <c r="U1696" s="89"/>
      <c r="V1696" s="90"/>
      <c r="W1696" s="87"/>
      <c r="X1696" s="91"/>
      <c r="Y1696" s="84"/>
      <c r="Z1696" s="97"/>
    </row>
    <row r="1697" spans="1:26" s="98" customFormat="1" x14ac:dyDescent="0.35">
      <c r="A1697" s="86">
        <v>1694</v>
      </c>
      <c r="B1697" s="85"/>
      <c r="C1697" s="87"/>
      <c r="D1697" s="85"/>
      <c r="E1697" s="84"/>
      <c r="F1697" s="85"/>
      <c r="G1697" s="87"/>
      <c r="H1697" s="87"/>
      <c r="I1697" s="87"/>
      <c r="J1697" s="101"/>
      <c r="K1697" s="87"/>
      <c r="L1697" s="91"/>
      <c r="M1697" s="91"/>
      <c r="N1697" s="88">
        <f>Goods_Receipt[[#This Row],[ Invoice. /
 Received Qty ]]-Goods_Receipt[[#This Row],[ Accepted Qty ]]</f>
        <v>0</v>
      </c>
      <c r="O1697" s="87"/>
      <c r="P1697" s="87"/>
      <c r="Q1697" s="87"/>
      <c r="R1697" s="87"/>
      <c r="S1697" s="87"/>
      <c r="T1697" s="85"/>
      <c r="U1697" s="89"/>
      <c r="V1697" s="90"/>
      <c r="W1697" s="87"/>
      <c r="X1697" s="91"/>
      <c r="Y1697" s="84"/>
      <c r="Z1697" s="97"/>
    </row>
    <row r="1698" spans="1:26" s="98" customFormat="1" x14ac:dyDescent="0.35">
      <c r="A1698" s="86">
        <v>1695</v>
      </c>
      <c r="B1698" s="85"/>
      <c r="C1698" s="87"/>
      <c r="D1698" s="85"/>
      <c r="E1698" s="84"/>
      <c r="F1698" s="85"/>
      <c r="G1698" s="87"/>
      <c r="H1698" s="87"/>
      <c r="I1698" s="87"/>
      <c r="J1698" s="101"/>
      <c r="K1698" s="87"/>
      <c r="L1698" s="91"/>
      <c r="M1698" s="91"/>
      <c r="N1698" s="88">
        <f>Goods_Receipt[[#This Row],[ Invoice. /
 Received Qty ]]-Goods_Receipt[[#This Row],[ Accepted Qty ]]</f>
        <v>0</v>
      </c>
      <c r="O1698" s="87"/>
      <c r="P1698" s="87"/>
      <c r="Q1698" s="87"/>
      <c r="R1698" s="87"/>
      <c r="S1698" s="87"/>
      <c r="T1698" s="85"/>
      <c r="U1698" s="89"/>
      <c r="V1698" s="90"/>
      <c r="W1698" s="87"/>
      <c r="X1698" s="91"/>
      <c r="Y1698" s="84"/>
      <c r="Z1698" s="97"/>
    </row>
    <row r="1699" spans="1:26" s="98" customFormat="1" x14ac:dyDescent="0.35">
      <c r="A1699" s="86">
        <v>1696</v>
      </c>
      <c r="B1699" s="85"/>
      <c r="C1699" s="87"/>
      <c r="D1699" s="85"/>
      <c r="E1699" s="84"/>
      <c r="F1699" s="85"/>
      <c r="G1699" s="87"/>
      <c r="H1699" s="87"/>
      <c r="I1699" s="87"/>
      <c r="J1699" s="101"/>
      <c r="K1699" s="87"/>
      <c r="L1699" s="91"/>
      <c r="M1699" s="91"/>
      <c r="N1699" s="88">
        <f>Goods_Receipt[[#This Row],[ Invoice. /
 Received Qty ]]-Goods_Receipt[[#This Row],[ Accepted Qty ]]</f>
        <v>0</v>
      </c>
      <c r="O1699" s="87"/>
      <c r="P1699" s="87"/>
      <c r="Q1699" s="87"/>
      <c r="R1699" s="87"/>
      <c r="S1699" s="87"/>
      <c r="T1699" s="85"/>
      <c r="U1699" s="89"/>
      <c r="V1699" s="90"/>
      <c r="W1699" s="87"/>
      <c r="X1699" s="91"/>
      <c r="Y1699" s="84"/>
      <c r="Z1699" s="97"/>
    </row>
    <row r="1700" spans="1:26" s="98" customFormat="1" x14ac:dyDescent="0.35">
      <c r="A1700" s="86">
        <v>1697</v>
      </c>
      <c r="B1700" s="85"/>
      <c r="C1700" s="87"/>
      <c r="D1700" s="85"/>
      <c r="E1700" s="84"/>
      <c r="F1700" s="85"/>
      <c r="G1700" s="87"/>
      <c r="H1700" s="87"/>
      <c r="I1700" s="87"/>
      <c r="J1700" s="101"/>
      <c r="K1700" s="87"/>
      <c r="L1700" s="91"/>
      <c r="M1700" s="91"/>
      <c r="N1700" s="88">
        <f>Goods_Receipt[[#This Row],[ Invoice. /
 Received Qty ]]-Goods_Receipt[[#This Row],[ Accepted Qty ]]</f>
        <v>0</v>
      </c>
      <c r="O1700" s="87"/>
      <c r="P1700" s="87"/>
      <c r="Q1700" s="87"/>
      <c r="R1700" s="87"/>
      <c r="S1700" s="87"/>
      <c r="T1700" s="85"/>
      <c r="U1700" s="89"/>
      <c r="V1700" s="90"/>
      <c r="W1700" s="87"/>
      <c r="X1700" s="91"/>
      <c r="Y1700" s="84"/>
      <c r="Z1700" s="97"/>
    </row>
    <row r="1701" spans="1:26" s="98" customFormat="1" x14ac:dyDescent="0.35">
      <c r="A1701" s="86">
        <v>1698</v>
      </c>
      <c r="B1701" s="85"/>
      <c r="C1701" s="87"/>
      <c r="D1701" s="85"/>
      <c r="E1701" s="84"/>
      <c r="F1701" s="85"/>
      <c r="G1701" s="87"/>
      <c r="H1701" s="87"/>
      <c r="I1701" s="87"/>
      <c r="J1701" s="101"/>
      <c r="K1701" s="87"/>
      <c r="L1701" s="91"/>
      <c r="M1701" s="91"/>
      <c r="N1701" s="88">
        <f>Goods_Receipt[[#This Row],[ Invoice. /
 Received Qty ]]-Goods_Receipt[[#This Row],[ Accepted Qty ]]</f>
        <v>0</v>
      </c>
      <c r="O1701" s="87"/>
      <c r="P1701" s="87"/>
      <c r="Q1701" s="87"/>
      <c r="R1701" s="87"/>
      <c r="S1701" s="87"/>
      <c r="T1701" s="85"/>
      <c r="U1701" s="89"/>
      <c r="V1701" s="90"/>
      <c r="W1701" s="87"/>
      <c r="X1701" s="91"/>
      <c r="Y1701" s="84"/>
      <c r="Z1701" s="97"/>
    </row>
    <row r="1702" spans="1:26" s="98" customFormat="1" x14ac:dyDescent="0.35">
      <c r="A1702" s="86">
        <v>1699</v>
      </c>
      <c r="B1702" s="85"/>
      <c r="C1702" s="87"/>
      <c r="D1702" s="85"/>
      <c r="E1702" s="84"/>
      <c r="F1702" s="85"/>
      <c r="G1702" s="87"/>
      <c r="H1702" s="87"/>
      <c r="I1702" s="87"/>
      <c r="J1702" s="101"/>
      <c r="K1702" s="87"/>
      <c r="L1702" s="91"/>
      <c r="M1702" s="91"/>
      <c r="N1702" s="88">
        <f>Goods_Receipt[[#This Row],[ Invoice. /
 Received Qty ]]-Goods_Receipt[[#This Row],[ Accepted Qty ]]</f>
        <v>0</v>
      </c>
      <c r="O1702" s="87"/>
      <c r="P1702" s="87"/>
      <c r="Q1702" s="87"/>
      <c r="R1702" s="87"/>
      <c r="S1702" s="87"/>
      <c r="T1702" s="85"/>
      <c r="U1702" s="89"/>
      <c r="V1702" s="90"/>
      <c r="W1702" s="87"/>
      <c r="X1702" s="91"/>
      <c r="Y1702" s="84"/>
      <c r="Z1702" s="97"/>
    </row>
    <row r="1703" spans="1:26" s="98" customFormat="1" x14ac:dyDescent="0.35">
      <c r="A1703" s="86">
        <v>1700</v>
      </c>
      <c r="B1703" s="85"/>
      <c r="C1703" s="87"/>
      <c r="D1703" s="85"/>
      <c r="E1703" s="84"/>
      <c r="F1703" s="85"/>
      <c r="G1703" s="87"/>
      <c r="H1703" s="87"/>
      <c r="I1703" s="87"/>
      <c r="J1703" s="101"/>
      <c r="K1703" s="87"/>
      <c r="L1703" s="91"/>
      <c r="M1703" s="91"/>
      <c r="N1703" s="88">
        <f>Goods_Receipt[[#This Row],[ Invoice. /
 Received Qty ]]-Goods_Receipt[[#This Row],[ Accepted Qty ]]</f>
        <v>0</v>
      </c>
      <c r="O1703" s="87"/>
      <c r="P1703" s="87"/>
      <c r="Q1703" s="87"/>
      <c r="R1703" s="87"/>
      <c r="S1703" s="87"/>
      <c r="T1703" s="85"/>
      <c r="U1703" s="89"/>
      <c r="V1703" s="90"/>
      <c r="W1703" s="87"/>
      <c r="X1703" s="91"/>
      <c r="Y1703" s="84"/>
      <c r="Z1703" s="97"/>
    </row>
    <row r="1704" spans="1:26" s="98" customFormat="1" x14ac:dyDescent="0.35">
      <c r="A1704" s="86">
        <v>1701</v>
      </c>
      <c r="B1704" s="85"/>
      <c r="C1704" s="87"/>
      <c r="D1704" s="85"/>
      <c r="E1704" s="84"/>
      <c r="F1704" s="85"/>
      <c r="G1704" s="87"/>
      <c r="H1704" s="87"/>
      <c r="I1704" s="87"/>
      <c r="J1704" s="101"/>
      <c r="K1704" s="87"/>
      <c r="L1704" s="91"/>
      <c r="M1704" s="91"/>
      <c r="N1704" s="88">
        <f>Goods_Receipt[[#This Row],[ Invoice. /
 Received Qty ]]-Goods_Receipt[[#This Row],[ Accepted Qty ]]</f>
        <v>0</v>
      </c>
      <c r="O1704" s="87"/>
      <c r="P1704" s="87"/>
      <c r="Q1704" s="87"/>
      <c r="R1704" s="87"/>
      <c r="S1704" s="87"/>
      <c r="T1704" s="85"/>
      <c r="U1704" s="89"/>
      <c r="V1704" s="90"/>
      <c r="W1704" s="87"/>
      <c r="X1704" s="91"/>
      <c r="Y1704" s="84"/>
      <c r="Z1704" s="97"/>
    </row>
    <row r="1705" spans="1:26" s="98" customFormat="1" x14ac:dyDescent="0.35">
      <c r="A1705" s="86">
        <v>1702</v>
      </c>
      <c r="B1705" s="85"/>
      <c r="C1705" s="87"/>
      <c r="D1705" s="85"/>
      <c r="E1705" s="84"/>
      <c r="F1705" s="85"/>
      <c r="G1705" s="87"/>
      <c r="H1705" s="87"/>
      <c r="I1705" s="87"/>
      <c r="J1705" s="101"/>
      <c r="K1705" s="87"/>
      <c r="L1705" s="91"/>
      <c r="M1705" s="91"/>
      <c r="N1705" s="88">
        <f>Goods_Receipt[[#This Row],[ Invoice. /
 Received Qty ]]-Goods_Receipt[[#This Row],[ Accepted Qty ]]</f>
        <v>0</v>
      </c>
      <c r="O1705" s="87"/>
      <c r="P1705" s="87"/>
      <c r="Q1705" s="87"/>
      <c r="R1705" s="87"/>
      <c r="S1705" s="87"/>
      <c r="T1705" s="85"/>
      <c r="U1705" s="89"/>
      <c r="V1705" s="90"/>
      <c r="W1705" s="87"/>
      <c r="X1705" s="91"/>
      <c r="Y1705" s="84"/>
      <c r="Z1705" s="97"/>
    </row>
    <row r="1706" spans="1:26" s="98" customFormat="1" x14ac:dyDescent="0.35">
      <c r="A1706" s="86">
        <v>1703</v>
      </c>
      <c r="B1706" s="85"/>
      <c r="C1706" s="87"/>
      <c r="D1706" s="85"/>
      <c r="E1706" s="84"/>
      <c r="F1706" s="85"/>
      <c r="G1706" s="87"/>
      <c r="H1706" s="87"/>
      <c r="I1706" s="87"/>
      <c r="J1706" s="101"/>
      <c r="K1706" s="87"/>
      <c r="L1706" s="91"/>
      <c r="M1706" s="91"/>
      <c r="N1706" s="88">
        <f>Goods_Receipt[[#This Row],[ Invoice. /
 Received Qty ]]-Goods_Receipt[[#This Row],[ Accepted Qty ]]</f>
        <v>0</v>
      </c>
      <c r="O1706" s="87"/>
      <c r="P1706" s="87"/>
      <c r="Q1706" s="87"/>
      <c r="R1706" s="87"/>
      <c r="S1706" s="87"/>
      <c r="T1706" s="85"/>
      <c r="U1706" s="89"/>
      <c r="V1706" s="90"/>
      <c r="W1706" s="87"/>
      <c r="X1706" s="91"/>
      <c r="Y1706" s="84"/>
      <c r="Z1706" s="97"/>
    </row>
    <row r="1707" spans="1:26" s="98" customFormat="1" x14ac:dyDescent="0.35">
      <c r="A1707" s="86">
        <v>1704</v>
      </c>
      <c r="B1707" s="85"/>
      <c r="C1707" s="87"/>
      <c r="D1707" s="85"/>
      <c r="E1707" s="84"/>
      <c r="F1707" s="85"/>
      <c r="G1707" s="87"/>
      <c r="H1707" s="87"/>
      <c r="I1707" s="87"/>
      <c r="J1707" s="101"/>
      <c r="K1707" s="87"/>
      <c r="L1707" s="91"/>
      <c r="M1707" s="91"/>
      <c r="N1707" s="88">
        <f>Goods_Receipt[[#This Row],[ Invoice. /
 Received Qty ]]-Goods_Receipt[[#This Row],[ Accepted Qty ]]</f>
        <v>0</v>
      </c>
      <c r="O1707" s="87"/>
      <c r="P1707" s="87"/>
      <c r="Q1707" s="87"/>
      <c r="R1707" s="87"/>
      <c r="S1707" s="87"/>
      <c r="T1707" s="85"/>
      <c r="U1707" s="89"/>
      <c r="V1707" s="90"/>
      <c r="W1707" s="87"/>
      <c r="X1707" s="91"/>
      <c r="Y1707" s="84"/>
      <c r="Z1707" s="97"/>
    </row>
    <row r="1708" spans="1:26" s="98" customFormat="1" x14ac:dyDescent="0.35">
      <c r="A1708" s="86">
        <v>1705</v>
      </c>
      <c r="B1708" s="85"/>
      <c r="C1708" s="87"/>
      <c r="D1708" s="85"/>
      <c r="E1708" s="84"/>
      <c r="F1708" s="85"/>
      <c r="G1708" s="87"/>
      <c r="H1708" s="87"/>
      <c r="I1708" s="87"/>
      <c r="J1708" s="101"/>
      <c r="K1708" s="87"/>
      <c r="L1708" s="91"/>
      <c r="M1708" s="91"/>
      <c r="N1708" s="88">
        <f>Goods_Receipt[[#This Row],[ Invoice. /
 Received Qty ]]-Goods_Receipt[[#This Row],[ Accepted Qty ]]</f>
        <v>0</v>
      </c>
      <c r="O1708" s="87"/>
      <c r="P1708" s="87"/>
      <c r="Q1708" s="87"/>
      <c r="R1708" s="87"/>
      <c r="S1708" s="87"/>
      <c r="T1708" s="85"/>
      <c r="U1708" s="89"/>
      <c r="V1708" s="90"/>
      <c r="W1708" s="87"/>
      <c r="X1708" s="91"/>
      <c r="Y1708" s="84"/>
      <c r="Z1708" s="97"/>
    </row>
    <row r="1709" spans="1:26" s="98" customFormat="1" x14ac:dyDescent="0.35">
      <c r="A1709" s="86">
        <v>1706</v>
      </c>
      <c r="B1709" s="85"/>
      <c r="C1709" s="87"/>
      <c r="D1709" s="85"/>
      <c r="E1709" s="84"/>
      <c r="F1709" s="85"/>
      <c r="G1709" s="87"/>
      <c r="H1709" s="87"/>
      <c r="I1709" s="87"/>
      <c r="J1709" s="101"/>
      <c r="K1709" s="87"/>
      <c r="L1709" s="91"/>
      <c r="M1709" s="91"/>
      <c r="N1709" s="88">
        <f>Goods_Receipt[[#This Row],[ Invoice. /
 Received Qty ]]-Goods_Receipt[[#This Row],[ Accepted Qty ]]</f>
        <v>0</v>
      </c>
      <c r="O1709" s="87"/>
      <c r="P1709" s="87"/>
      <c r="Q1709" s="87"/>
      <c r="R1709" s="87"/>
      <c r="S1709" s="87"/>
      <c r="T1709" s="85"/>
      <c r="U1709" s="89"/>
      <c r="V1709" s="90"/>
      <c r="W1709" s="87"/>
      <c r="X1709" s="91"/>
      <c r="Y1709" s="84"/>
      <c r="Z1709" s="97"/>
    </row>
    <row r="1710" spans="1:26" s="98" customFormat="1" x14ac:dyDescent="0.35">
      <c r="A1710" s="86">
        <v>1707</v>
      </c>
      <c r="B1710" s="85"/>
      <c r="C1710" s="87"/>
      <c r="D1710" s="85"/>
      <c r="E1710" s="84"/>
      <c r="F1710" s="85"/>
      <c r="G1710" s="87"/>
      <c r="H1710" s="87"/>
      <c r="I1710" s="87"/>
      <c r="J1710" s="101"/>
      <c r="K1710" s="87"/>
      <c r="L1710" s="91"/>
      <c r="M1710" s="91"/>
      <c r="N1710" s="88">
        <f>Goods_Receipt[[#This Row],[ Invoice. /
 Received Qty ]]-Goods_Receipt[[#This Row],[ Accepted Qty ]]</f>
        <v>0</v>
      </c>
      <c r="O1710" s="87"/>
      <c r="P1710" s="87"/>
      <c r="Q1710" s="87"/>
      <c r="R1710" s="87"/>
      <c r="S1710" s="87"/>
      <c r="T1710" s="85"/>
      <c r="U1710" s="89"/>
      <c r="V1710" s="90"/>
      <c r="W1710" s="87"/>
      <c r="X1710" s="91"/>
      <c r="Y1710" s="84"/>
      <c r="Z1710" s="97"/>
    </row>
    <row r="1711" spans="1:26" s="98" customFormat="1" x14ac:dyDescent="0.35">
      <c r="A1711" s="86">
        <v>1708</v>
      </c>
      <c r="B1711" s="85"/>
      <c r="C1711" s="87"/>
      <c r="D1711" s="85"/>
      <c r="E1711" s="84"/>
      <c r="F1711" s="85"/>
      <c r="G1711" s="87"/>
      <c r="H1711" s="87"/>
      <c r="I1711" s="87"/>
      <c r="J1711" s="101"/>
      <c r="K1711" s="87"/>
      <c r="L1711" s="91"/>
      <c r="M1711" s="91"/>
      <c r="N1711" s="88">
        <f>Goods_Receipt[[#This Row],[ Invoice. /
 Received Qty ]]-Goods_Receipt[[#This Row],[ Accepted Qty ]]</f>
        <v>0</v>
      </c>
      <c r="O1711" s="87"/>
      <c r="P1711" s="87"/>
      <c r="Q1711" s="87"/>
      <c r="R1711" s="87"/>
      <c r="S1711" s="87"/>
      <c r="T1711" s="85"/>
      <c r="U1711" s="89"/>
      <c r="V1711" s="90"/>
      <c r="W1711" s="87"/>
      <c r="X1711" s="91"/>
      <c r="Y1711" s="84"/>
      <c r="Z1711" s="97"/>
    </row>
    <row r="1712" spans="1:26" s="98" customFormat="1" x14ac:dyDescent="0.35">
      <c r="A1712" s="86">
        <v>1709</v>
      </c>
      <c r="B1712" s="85"/>
      <c r="C1712" s="87"/>
      <c r="D1712" s="85"/>
      <c r="E1712" s="84"/>
      <c r="F1712" s="85"/>
      <c r="G1712" s="87"/>
      <c r="H1712" s="87"/>
      <c r="I1712" s="87"/>
      <c r="J1712" s="101"/>
      <c r="K1712" s="87"/>
      <c r="L1712" s="91"/>
      <c r="M1712" s="91"/>
      <c r="N1712" s="88">
        <f>Goods_Receipt[[#This Row],[ Invoice. /
 Received Qty ]]-Goods_Receipt[[#This Row],[ Accepted Qty ]]</f>
        <v>0</v>
      </c>
      <c r="O1712" s="87"/>
      <c r="P1712" s="87"/>
      <c r="Q1712" s="87"/>
      <c r="R1712" s="87"/>
      <c r="S1712" s="87"/>
      <c r="T1712" s="85"/>
      <c r="U1712" s="89"/>
      <c r="V1712" s="90"/>
      <c r="W1712" s="87"/>
      <c r="X1712" s="91"/>
      <c r="Y1712" s="84"/>
      <c r="Z1712" s="97"/>
    </row>
    <row r="1713" spans="1:26" s="98" customFormat="1" x14ac:dyDescent="0.35">
      <c r="A1713" s="86">
        <v>1710</v>
      </c>
      <c r="B1713" s="85"/>
      <c r="C1713" s="87"/>
      <c r="D1713" s="85"/>
      <c r="E1713" s="84"/>
      <c r="F1713" s="85"/>
      <c r="G1713" s="87"/>
      <c r="H1713" s="87"/>
      <c r="I1713" s="87"/>
      <c r="J1713" s="101"/>
      <c r="K1713" s="87"/>
      <c r="L1713" s="91"/>
      <c r="M1713" s="91"/>
      <c r="N1713" s="88">
        <f>Goods_Receipt[[#This Row],[ Invoice. /
 Received Qty ]]-Goods_Receipt[[#This Row],[ Accepted Qty ]]</f>
        <v>0</v>
      </c>
      <c r="O1713" s="87"/>
      <c r="P1713" s="87"/>
      <c r="Q1713" s="87"/>
      <c r="R1713" s="87"/>
      <c r="S1713" s="87"/>
      <c r="T1713" s="85"/>
      <c r="U1713" s="89"/>
      <c r="V1713" s="90"/>
      <c r="W1713" s="87"/>
      <c r="X1713" s="91"/>
      <c r="Y1713" s="84"/>
      <c r="Z1713" s="97"/>
    </row>
    <row r="1714" spans="1:26" s="98" customFormat="1" x14ac:dyDescent="0.35">
      <c r="A1714" s="86">
        <v>1711</v>
      </c>
      <c r="B1714" s="85"/>
      <c r="C1714" s="87"/>
      <c r="D1714" s="85"/>
      <c r="E1714" s="84"/>
      <c r="F1714" s="85"/>
      <c r="G1714" s="87"/>
      <c r="H1714" s="87"/>
      <c r="I1714" s="87"/>
      <c r="J1714" s="101"/>
      <c r="K1714" s="87"/>
      <c r="L1714" s="91"/>
      <c r="M1714" s="91"/>
      <c r="N1714" s="88">
        <f>Goods_Receipt[[#This Row],[ Invoice. /
 Received Qty ]]-Goods_Receipt[[#This Row],[ Accepted Qty ]]</f>
        <v>0</v>
      </c>
      <c r="O1714" s="87"/>
      <c r="P1714" s="87"/>
      <c r="Q1714" s="87"/>
      <c r="R1714" s="87"/>
      <c r="S1714" s="87"/>
      <c r="T1714" s="85"/>
      <c r="U1714" s="89"/>
      <c r="V1714" s="90"/>
      <c r="W1714" s="87"/>
      <c r="X1714" s="91"/>
      <c r="Y1714" s="84"/>
      <c r="Z1714" s="97"/>
    </row>
    <row r="1715" spans="1:26" s="98" customFormat="1" x14ac:dyDescent="0.35">
      <c r="A1715" s="86">
        <v>1712</v>
      </c>
      <c r="B1715" s="85"/>
      <c r="C1715" s="87"/>
      <c r="D1715" s="85"/>
      <c r="E1715" s="84"/>
      <c r="F1715" s="85"/>
      <c r="G1715" s="87"/>
      <c r="H1715" s="87"/>
      <c r="I1715" s="87"/>
      <c r="J1715" s="101"/>
      <c r="K1715" s="87"/>
      <c r="L1715" s="91"/>
      <c r="M1715" s="91"/>
      <c r="N1715" s="88">
        <f>Goods_Receipt[[#This Row],[ Invoice. /
 Received Qty ]]-Goods_Receipt[[#This Row],[ Accepted Qty ]]</f>
        <v>0</v>
      </c>
      <c r="O1715" s="87"/>
      <c r="P1715" s="87"/>
      <c r="Q1715" s="87"/>
      <c r="R1715" s="87"/>
      <c r="S1715" s="87"/>
      <c r="T1715" s="85"/>
      <c r="U1715" s="89"/>
      <c r="V1715" s="90"/>
      <c r="W1715" s="87"/>
      <c r="X1715" s="91"/>
      <c r="Y1715" s="84"/>
      <c r="Z1715" s="97"/>
    </row>
    <row r="1716" spans="1:26" s="98" customFormat="1" x14ac:dyDescent="0.35">
      <c r="A1716" s="86">
        <v>1713</v>
      </c>
      <c r="B1716" s="85"/>
      <c r="C1716" s="87"/>
      <c r="D1716" s="85"/>
      <c r="E1716" s="84"/>
      <c r="F1716" s="85"/>
      <c r="G1716" s="87"/>
      <c r="H1716" s="87"/>
      <c r="I1716" s="87"/>
      <c r="J1716" s="101"/>
      <c r="K1716" s="87"/>
      <c r="L1716" s="91"/>
      <c r="M1716" s="91"/>
      <c r="N1716" s="88">
        <f>Goods_Receipt[[#This Row],[ Invoice. /
 Received Qty ]]-Goods_Receipt[[#This Row],[ Accepted Qty ]]</f>
        <v>0</v>
      </c>
      <c r="O1716" s="87"/>
      <c r="P1716" s="87"/>
      <c r="Q1716" s="87"/>
      <c r="R1716" s="87"/>
      <c r="S1716" s="87"/>
      <c r="T1716" s="85"/>
      <c r="U1716" s="89"/>
      <c r="V1716" s="90"/>
      <c r="W1716" s="87"/>
      <c r="X1716" s="91"/>
      <c r="Y1716" s="84"/>
      <c r="Z1716" s="97"/>
    </row>
    <row r="1717" spans="1:26" s="98" customFormat="1" x14ac:dyDescent="0.35">
      <c r="A1717" s="86">
        <v>1714</v>
      </c>
      <c r="B1717" s="85"/>
      <c r="C1717" s="87"/>
      <c r="D1717" s="85"/>
      <c r="E1717" s="84"/>
      <c r="F1717" s="85"/>
      <c r="G1717" s="87"/>
      <c r="H1717" s="87"/>
      <c r="I1717" s="87"/>
      <c r="J1717" s="101"/>
      <c r="K1717" s="87"/>
      <c r="L1717" s="91"/>
      <c r="M1717" s="91"/>
      <c r="N1717" s="88">
        <f>Goods_Receipt[[#This Row],[ Invoice. /
 Received Qty ]]-Goods_Receipt[[#This Row],[ Accepted Qty ]]</f>
        <v>0</v>
      </c>
      <c r="O1717" s="87"/>
      <c r="P1717" s="87"/>
      <c r="Q1717" s="87"/>
      <c r="R1717" s="87"/>
      <c r="S1717" s="87"/>
      <c r="T1717" s="85"/>
      <c r="U1717" s="89"/>
      <c r="V1717" s="90"/>
      <c r="W1717" s="87"/>
      <c r="X1717" s="91"/>
      <c r="Y1717" s="84"/>
      <c r="Z1717" s="97"/>
    </row>
    <row r="1718" spans="1:26" s="98" customFormat="1" x14ac:dyDescent="0.35">
      <c r="A1718" s="86">
        <v>1715</v>
      </c>
      <c r="B1718" s="85"/>
      <c r="C1718" s="87"/>
      <c r="D1718" s="85"/>
      <c r="E1718" s="84"/>
      <c r="F1718" s="85"/>
      <c r="G1718" s="87"/>
      <c r="H1718" s="87"/>
      <c r="I1718" s="87"/>
      <c r="J1718" s="101"/>
      <c r="K1718" s="87"/>
      <c r="L1718" s="91"/>
      <c r="M1718" s="91"/>
      <c r="N1718" s="88">
        <f>Goods_Receipt[[#This Row],[ Invoice. /
 Received Qty ]]-Goods_Receipt[[#This Row],[ Accepted Qty ]]</f>
        <v>0</v>
      </c>
      <c r="O1718" s="87"/>
      <c r="P1718" s="87"/>
      <c r="Q1718" s="87"/>
      <c r="R1718" s="87"/>
      <c r="S1718" s="87"/>
      <c r="T1718" s="85"/>
      <c r="U1718" s="89"/>
      <c r="V1718" s="90"/>
      <c r="W1718" s="87"/>
      <c r="X1718" s="91"/>
      <c r="Y1718" s="84"/>
      <c r="Z1718" s="97"/>
    </row>
    <row r="1719" spans="1:26" s="98" customFormat="1" x14ac:dyDescent="0.35">
      <c r="A1719" s="86">
        <v>1716</v>
      </c>
      <c r="B1719" s="85"/>
      <c r="C1719" s="87"/>
      <c r="D1719" s="85"/>
      <c r="E1719" s="84"/>
      <c r="F1719" s="85"/>
      <c r="G1719" s="87"/>
      <c r="H1719" s="87"/>
      <c r="I1719" s="87"/>
      <c r="J1719" s="101"/>
      <c r="K1719" s="87"/>
      <c r="L1719" s="91"/>
      <c r="M1719" s="91"/>
      <c r="N1719" s="88">
        <f>Goods_Receipt[[#This Row],[ Invoice. /
 Received Qty ]]-Goods_Receipt[[#This Row],[ Accepted Qty ]]</f>
        <v>0</v>
      </c>
      <c r="O1719" s="87"/>
      <c r="P1719" s="87"/>
      <c r="Q1719" s="87"/>
      <c r="R1719" s="87"/>
      <c r="S1719" s="87"/>
      <c r="T1719" s="85"/>
      <c r="U1719" s="89"/>
      <c r="V1719" s="90"/>
      <c r="W1719" s="87"/>
      <c r="X1719" s="91"/>
      <c r="Y1719" s="84"/>
      <c r="Z1719" s="97"/>
    </row>
    <row r="1720" spans="1:26" s="98" customFormat="1" x14ac:dyDescent="0.35">
      <c r="A1720" s="86">
        <v>1717</v>
      </c>
      <c r="B1720" s="85"/>
      <c r="C1720" s="87"/>
      <c r="D1720" s="85"/>
      <c r="E1720" s="84"/>
      <c r="F1720" s="85"/>
      <c r="G1720" s="87"/>
      <c r="H1720" s="87"/>
      <c r="I1720" s="87"/>
      <c r="J1720" s="101"/>
      <c r="K1720" s="87"/>
      <c r="L1720" s="91"/>
      <c r="M1720" s="91"/>
      <c r="N1720" s="88">
        <f>Goods_Receipt[[#This Row],[ Invoice. /
 Received Qty ]]-Goods_Receipt[[#This Row],[ Accepted Qty ]]</f>
        <v>0</v>
      </c>
      <c r="O1720" s="87"/>
      <c r="P1720" s="87"/>
      <c r="Q1720" s="87"/>
      <c r="R1720" s="87"/>
      <c r="S1720" s="87"/>
      <c r="T1720" s="85"/>
      <c r="U1720" s="89"/>
      <c r="V1720" s="90"/>
      <c r="W1720" s="87"/>
      <c r="X1720" s="91"/>
      <c r="Y1720" s="84"/>
      <c r="Z1720" s="97"/>
    </row>
    <row r="1721" spans="1:26" s="98" customFormat="1" x14ac:dyDescent="0.35">
      <c r="A1721" s="86">
        <v>1718</v>
      </c>
      <c r="B1721" s="85"/>
      <c r="C1721" s="87"/>
      <c r="D1721" s="85"/>
      <c r="E1721" s="84"/>
      <c r="F1721" s="85"/>
      <c r="G1721" s="87"/>
      <c r="H1721" s="87"/>
      <c r="I1721" s="87"/>
      <c r="J1721" s="101"/>
      <c r="K1721" s="87"/>
      <c r="L1721" s="91"/>
      <c r="M1721" s="91"/>
      <c r="N1721" s="88">
        <f>Goods_Receipt[[#This Row],[ Invoice. /
 Received Qty ]]-Goods_Receipt[[#This Row],[ Accepted Qty ]]</f>
        <v>0</v>
      </c>
      <c r="O1721" s="87"/>
      <c r="P1721" s="87"/>
      <c r="Q1721" s="87"/>
      <c r="R1721" s="87"/>
      <c r="S1721" s="87"/>
      <c r="T1721" s="85"/>
      <c r="U1721" s="89"/>
      <c r="V1721" s="90"/>
      <c r="W1721" s="87"/>
      <c r="X1721" s="91"/>
      <c r="Y1721" s="84"/>
      <c r="Z1721" s="97"/>
    </row>
    <row r="1722" spans="1:26" s="98" customFormat="1" x14ac:dyDescent="0.35">
      <c r="A1722" s="86">
        <v>1719</v>
      </c>
      <c r="B1722" s="85"/>
      <c r="C1722" s="87"/>
      <c r="D1722" s="85"/>
      <c r="E1722" s="84"/>
      <c r="F1722" s="85"/>
      <c r="G1722" s="87"/>
      <c r="H1722" s="87"/>
      <c r="I1722" s="87"/>
      <c r="J1722" s="101"/>
      <c r="K1722" s="87"/>
      <c r="L1722" s="91"/>
      <c r="M1722" s="91"/>
      <c r="N1722" s="88">
        <f>Goods_Receipt[[#This Row],[ Invoice. /
 Received Qty ]]-Goods_Receipt[[#This Row],[ Accepted Qty ]]</f>
        <v>0</v>
      </c>
      <c r="O1722" s="87"/>
      <c r="P1722" s="87"/>
      <c r="Q1722" s="87"/>
      <c r="R1722" s="87"/>
      <c r="S1722" s="87"/>
      <c r="T1722" s="85"/>
      <c r="U1722" s="89"/>
      <c r="V1722" s="90"/>
      <c r="W1722" s="87"/>
      <c r="X1722" s="91"/>
      <c r="Y1722" s="84"/>
      <c r="Z1722" s="97"/>
    </row>
    <row r="1723" spans="1:26" s="98" customFormat="1" x14ac:dyDescent="0.35">
      <c r="A1723" s="86">
        <v>1720</v>
      </c>
      <c r="B1723" s="85"/>
      <c r="C1723" s="87"/>
      <c r="D1723" s="85"/>
      <c r="E1723" s="84"/>
      <c r="F1723" s="85"/>
      <c r="G1723" s="87"/>
      <c r="H1723" s="87"/>
      <c r="I1723" s="87"/>
      <c r="J1723" s="101"/>
      <c r="K1723" s="87"/>
      <c r="L1723" s="91"/>
      <c r="M1723" s="91"/>
      <c r="N1723" s="88">
        <f>Goods_Receipt[[#This Row],[ Invoice. /
 Received Qty ]]-Goods_Receipt[[#This Row],[ Accepted Qty ]]</f>
        <v>0</v>
      </c>
      <c r="O1723" s="87"/>
      <c r="P1723" s="87"/>
      <c r="Q1723" s="87"/>
      <c r="R1723" s="87"/>
      <c r="S1723" s="87"/>
      <c r="T1723" s="85"/>
      <c r="U1723" s="89"/>
      <c r="V1723" s="90"/>
      <c r="W1723" s="87"/>
      <c r="X1723" s="91"/>
      <c r="Y1723" s="84"/>
      <c r="Z1723" s="97"/>
    </row>
    <row r="1724" spans="1:26" s="98" customFormat="1" x14ac:dyDescent="0.35">
      <c r="A1724" s="86">
        <v>1721</v>
      </c>
      <c r="B1724" s="85"/>
      <c r="C1724" s="87"/>
      <c r="D1724" s="85"/>
      <c r="E1724" s="84"/>
      <c r="F1724" s="85"/>
      <c r="G1724" s="87"/>
      <c r="H1724" s="87"/>
      <c r="I1724" s="87"/>
      <c r="J1724" s="101"/>
      <c r="K1724" s="87"/>
      <c r="L1724" s="91"/>
      <c r="M1724" s="91"/>
      <c r="N1724" s="88">
        <f>Goods_Receipt[[#This Row],[ Invoice. /
 Received Qty ]]-Goods_Receipt[[#This Row],[ Accepted Qty ]]</f>
        <v>0</v>
      </c>
      <c r="O1724" s="87"/>
      <c r="P1724" s="87"/>
      <c r="Q1724" s="87"/>
      <c r="R1724" s="87"/>
      <c r="S1724" s="87"/>
      <c r="T1724" s="85"/>
      <c r="U1724" s="89"/>
      <c r="V1724" s="90"/>
      <c r="W1724" s="87"/>
      <c r="X1724" s="91"/>
      <c r="Y1724" s="84"/>
      <c r="Z1724" s="97"/>
    </row>
    <row r="1725" spans="1:26" s="98" customFormat="1" x14ac:dyDescent="0.35">
      <c r="A1725" s="86">
        <v>1722</v>
      </c>
      <c r="B1725" s="85"/>
      <c r="C1725" s="87"/>
      <c r="D1725" s="85"/>
      <c r="E1725" s="84"/>
      <c r="F1725" s="85"/>
      <c r="G1725" s="87"/>
      <c r="H1725" s="87"/>
      <c r="I1725" s="87"/>
      <c r="J1725" s="101"/>
      <c r="K1725" s="87"/>
      <c r="L1725" s="91"/>
      <c r="M1725" s="91"/>
      <c r="N1725" s="88">
        <f>Goods_Receipt[[#This Row],[ Invoice. /
 Received Qty ]]-Goods_Receipt[[#This Row],[ Accepted Qty ]]</f>
        <v>0</v>
      </c>
      <c r="O1725" s="87"/>
      <c r="P1725" s="87"/>
      <c r="Q1725" s="87"/>
      <c r="R1725" s="87"/>
      <c r="S1725" s="87"/>
      <c r="T1725" s="85"/>
      <c r="U1725" s="89"/>
      <c r="V1725" s="90"/>
      <c r="W1725" s="87"/>
      <c r="X1725" s="91"/>
      <c r="Y1725" s="84"/>
      <c r="Z1725" s="97"/>
    </row>
    <row r="1726" spans="1:26" s="98" customFormat="1" x14ac:dyDescent="0.35">
      <c r="A1726" s="86">
        <v>1723</v>
      </c>
      <c r="B1726" s="85"/>
      <c r="C1726" s="87"/>
      <c r="D1726" s="85"/>
      <c r="E1726" s="84"/>
      <c r="F1726" s="85"/>
      <c r="G1726" s="87"/>
      <c r="H1726" s="87"/>
      <c r="I1726" s="87"/>
      <c r="J1726" s="101"/>
      <c r="K1726" s="87"/>
      <c r="L1726" s="91"/>
      <c r="M1726" s="91"/>
      <c r="N1726" s="88">
        <f>Goods_Receipt[[#This Row],[ Invoice. /
 Received Qty ]]-Goods_Receipt[[#This Row],[ Accepted Qty ]]</f>
        <v>0</v>
      </c>
      <c r="O1726" s="87"/>
      <c r="P1726" s="87"/>
      <c r="Q1726" s="87"/>
      <c r="R1726" s="87"/>
      <c r="S1726" s="87"/>
      <c r="T1726" s="85"/>
      <c r="U1726" s="89"/>
      <c r="V1726" s="90"/>
      <c r="W1726" s="87"/>
      <c r="X1726" s="91"/>
      <c r="Y1726" s="84"/>
      <c r="Z1726" s="97"/>
    </row>
    <row r="1727" spans="1:26" s="98" customFormat="1" x14ac:dyDescent="0.35">
      <c r="A1727" s="86">
        <v>1724</v>
      </c>
      <c r="B1727" s="85"/>
      <c r="C1727" s="87"/>
      <c r="D1727" s="85"/>
      <c r="E1727" s="84"/>
      <c r="F1727" s="85"/>
      <c r="G1727" s="87"/>
      <c r="H1727" s="87"/>
      <c r="I1727" s="87"/>
      <c r="J1727" s="101"/>
      <c r="K1727" s="87"/>
      <c r="L1727" s="91"/>
      <c r="M1727" s="91"/>
      <c r="N1727" s="88">
        <f>Goods_Receipt[[#This Row],[ Invoice. /
 Received Qty ]]-Goods_Receipt[[#This Row],[ Accepted Qty ]]</f>
        <v>0</v>
      </c>
      <c r="O1727" s="87"/>
      <c r="P1727" s="87"/>
      <c r="Q1727" s="87"/>
      <c r="R1727" s="87"/>
      <c r="S1727" s="87"/>
      <c r="T1727" s="85"/>
      <c r="U1727" s="89"/>
      <c r="V1727" s="90"/>
      <c r="W1727" s="87"/>
      <c r="X1727" s="91"/>
      <c r="Y1727" s="84"/>
      <c r="Z1727" s="97"/>
    </row>
    <row r="1728" spans="1:26" s="98" customFormat="1" x14ac:dyDescent="0.35">
      <c r="A1728" s="86">
        <v>1725</v>
      </c>
      <c r="B1728" s="85"/>
      <c r="C1728" s="87"/>
      <c r="D1728" s="85"/>
      <c r="E1728" s="84"/>
      <c r="F1728" s="85"/>
      <c r="G1728" s="87"/>
      <c r="H1728" s="87"/>
      <c r="I1728" s="87"/>
      <c r="J1728" s="101"/>
      <c r="K1728" s="87"/>
      <c r="L1728" s="91"/>
      <c r="M1728" s="91"/>
      <c r="N1728" s="88">
        <f>Goods_Receipt[[#This Row],[ Invoice. /
 Received Qty ]]-Goods_Receipt[[#This Row],[ Accepted Qty ]]</f>
        <v>0</v>
      </c>
      <c r="O1728" s="87"/>
      <c r="P1728" s="87"/>
      <c r="Q1728" s="87"/>
      <c r="R1728" s="87"/>
      <c r="S1728" s="87"/>
      <c r="T1728" s="85"/>
      <c r="U1728" s="89"/>
      <c r="V1728" s="90"/>
      <c r="W1728" s="87"/>
      <c r="X1728" s="91"/>
      <c r="Y1728" s="84"/>
      <c r="Z1728" s="97"/>
    </row>
    <row r="1729" spans="1:26" s="98" customFormat="1" x14ac:dyDescent="0.35">
      <c r="A1729" s="86">
        <v>1726</v>
      </c>
      <c r="B1729" s="85"/>
      <c r="C1729" s="87"/>
      <c r="D1729" s="85"/>
      <c r="E1729" s="84"/>
      <c r="F1729" s="85"/>
      <c r="G1729" s="87"/>
      <c r="H1729" s="87"/>
      <c r="I1729" s="87"/>
      <c r="J1729" s="101"/>
      <c r="K1729" s="87"/>
      <c r="L1729" s="91"/>
      <c r="M1729" s="91"/>
      <c r="N1729" s="88">
        <f>Goods_Receipt[[#This Row],[ Invoice. /
 Received Qty ]]-Goods_Receipt[[#This Row],[ Accepted Qty ]]</f>
        <v>0</v>
      </c>
      <c r="O1729" s="87"/>
      <c r="P1729" s="87"/>
      <c r="Q1729" s="87"/>
      <c r="R1729" s="87"/>
      <c r="S1729" s="87"/>
      <c r="T1729" s="85"/>
      <c r="U1729" s="89"/>
      <c r="V1729" s="90"/>
      <c r="W1729" s="87"/>
      <c r="X1729" s="91"/>
      <c r="Y1729" s="84"/>
      <c r="Z1729" s="97"/>
    </row>
    <row r="1730" spans="1:26" s="98" customFormat="1" x14ac:dyDescent="0.35">
      <c r="A1730" s="86">
        <v>1727</v>
      </c>
      <c r="B1730" s="85"/>
      <c r="C1730" s="87"/>
      <c r="D1730" s="85"/>
      <c r="E1730" s="84"/>
      <c r="F1730" s="85"/>
      <c r="G1730" s="87"/>
      <c r="H1730" s="87"/>
      <c r="I1730" s="87"/>
      <c r="J1730" s="101"/>
      <c r="K1730" s="87"/>
      <c r="L1730" s="91"/>
      <c r="M1730" s="91"/>
      <c r="N1730" s="88">
        <f>Goods_Receipt[[#This Row],[ Invoice. /
 Received Qty ]]-Goods_Receipt[[#This Row],[ Accepted Qty ]]</f>
        <v>0</v>
      </c>
      <c r="O1730" s="87"/>
      <c r="P1730" s="87"/>
      <c r="Q1730" s="87"/>
      <c r="R1730" s="87"/>
      <c r="S1730" s="87"/>
      <c r="T1730" s="85"/>
      <c r="U1730" s="89"/>
      <c r="V1730" s="90"/>
      <c r="W1730" s="87"/>
      <c r="X1730" s="91"/>
      <c r="Y1730" s="84"/>
      <c r="Z1730" s="97"/>
    </row>
    <row r="1731" spans="1:26" s="98" customFormat="1" x14ac:dyDescent="0.35">
      <c r="A1731" s="86">
        <v>1728</v>
      </c>
      <c r="B1731" s="85"/>
      <c r="C1731" s="87"/>
      <c r="D1731" s="85"/>
      <c r="E1731" s="84"/>
      <c r="F1731" s="85"/>
      <c r="G1731" s="87"/>
      <c r="H1731" s="87"/>
      <c r="I1731" s="87"/>
      <c r="J1731" s="101"/>
      <c r="K1731" s="87"/>
      <c r="L1731" s="91"/>
      <c r="M1731" s="91"/>
      <c r="N1731" s="88">
        <f>Goods_Receipt[[#This Row],[ Invoice. /
 Received Qty ]]-Goods_Receipt[[#This Row],[ Accepted Qty ]]</f>
        <v>0</v>
      </c>
      <c r="O1731" s="87"/>
      <c r="P1731" s="87"/>
      <c r="Q1731" s="87"/>
      <c r="R1731" s="87"/>
      <c r="S1731" s="87"/>
      <c r="T1731" s="85"/>
      <c r="U1731" s="89"/>
      <c r="V1731" s="90"/>
      <c r="W1731" s="87"/>
      <c r="X1731" s="91"/>
      <c r="Y1731" s="84"/>
      <c r="Z1731" s="97"/>
    </row>
    <row r="1732" spans="1:26" s="98" customFormat="1" x14ac:dyDescent="0.35">
      <c r="A1732" s="86">
        <v>1729</v>
      </c>
      <c r="B1732" s="85"/>
      <c r="C1732" s="87"/>
      <c r="D1732" s="85"/>
      <c r="E1732" s="84"/>
      <c r="F1732" s="85"/>
      <c r="G1732" s="87"/>
      <c r="H1732" s="87"/>
      <c r="I1732" s="87"/>
      <c r="J1732" s="101"/>
      <c r="K1732" s="87"/>
      <c r="L1732" s="91"/>
      <c r="M1732" s="91"/>
      <c r="N1732" s="88">
        <f>Goods_Receipt[[#This Row],[ Invoice. /
 Received Qty ]]-Goods_Receipt[[#This Row],[ Accepted Qty ]]</f>
        <v>0</v>
      </c>
      <c r="O1732" s="87"/>
      <c r="P1732" s="87"/>
      <c r="Q1732" s="87"/>
      <c r="R1732" s="87"/>
      <c r="S1732" s="87"/>
      <c r="T1732" s="85"/>
      <c r="U1732" s="89"/>
      <c r="V1732" s="90"/>
      <c r="W1732" s="87"/>
      <c r="X1732" s="91"/>
      <c r="Y1732" s="84"/>
      <c r="Z1732" s="97"/>
    </row>
    <row r="1733" spans="1:26" s="98" customFormat="1" x14ac:dyDescent="0.35">
      <c r="A1733" s="86">
        <v>1730</v>
      </c>
      <c r="B1733" s="85"/>
      <c r="C1733" s="87"/>
      <c r="D1733" s="85"/>
      <c r="E1733" s="84"/>
      <c r="F1733" s="85"/>
      <c r="G1733" s="87"/>
      <c r="H1733" s="87"/>
      <c r="I1733" s="87"/>
      <c r="J1733" s="101"/>
      <c r="K1733" s="87"/>
      <c r="L1733" s="91"/>
      <c r="M1733" s="91"/>
      <c r="N1733" s="88">
        <f>Goods_Receipt[[#This Row],[ Invoice. /
 Received Qty ]]-Goods_Receipt[[#This Row],[ Accepted Qty ]]</f>
        <v>0</v>
      </c>
      <c r="O1733" s="87"/>
      <c r="P1733" s="87"/>
      <c r="Q1733" s="87"/>
      <c r="R1733" s="87"/>
      <c r="S1733" s="87"/>
      <c r="T1733" s="85"/>
      <c r="U1733" s="89"/>
      <c r="V1733" s="90"/>
      <c r="W1733" s="87"/>
      <c r="X1733" s="91"/>
      <c r="Y1733" s="84"/>
      <c r="Z1733" s="97"/>
    </row>
    <row r="1734" spans="1:26" s="98" customFormat="1" x14ac:dyDescent="0.35">
      <c r="A1734" s="86">
        <v>1731</v>
      </c>
      <c r="B1734" s="85"/>
      <c r="C1734" s="87"/>
      <c r="D1734" s="85"/>
      <c r="E1734" s="84"/>
      <c r="F1734" s="85"/>
      <c r="G1734" s="87"/>
      <c r="H1734" s="87"/>
      <c r="I1734" s="87"/>
      <c r="J1734" s="101"/>
      <c r="K1734" s="87"/>
      <c r="L1734" s="91"/>
      <c r="M1734" s="91"/>
      <c r="N1734" s="88">
        <f>Goods_Receipt[[#This Row],[ Invoice. /
 Received Qty ]]-Goods_Receipt[[#This Row],[ Accepted Qty ]]</f>
        <v>0</v>
      </c>
      <c r="O1734" s="87"/>
      <c r="P1734" s="87"/>
      <c r="Q1734" s="87"/>
      <c r="R1734" s="87"/>
      <c r="S1734" s="87"/>
      <c r="T1734" s="85"/>
      <c r="U1734" s="89"/>
      <c r="V1734" s="90"/>
      <c r="W1734" s="87"/>
      <c r="X1734" s="91"/>
      <c r="Y1734" s="84"/>
      <c r="Z1734" s="97"/>
    </row>
    <row r="1735" spans="1:26" s="98" customFormat="1" x14ac:dyDescent="0.35">
      <c r="A1735" s="86">
        <v>1732</v>
      </c>
      <c r="B1735" s="85"/>
      <c r="C1735" s="87"/>
      <c r="D1735" s="85"/>
      <c r="E1735" s="84"/>
      <c r="F1735" s="85"/>
      <c r="G1735" s="87"/>
      <c r="H1735" s="87"/>
      <c r="I1735" s="87"/>
      <c r="J1735" s="101"/>
      <c r="K1735" s="87"/>
      <c r="L1735" s="91"/>
      <c r="M1735" s="91"/>
      <c r="N1735" s="88">
        <f>Goods_Receipt[[#This Row],[ Invoice. /
 Received Qty ]]-Goods_Receipt[[#This Row],[ Accepted Qty ]]</f>
        <v>0</v>
      </c>
      <c r="O1735" s="87"/>
      <c r="P1735" s="87"/>
      <c r="Q1735" s="87"/>
      <c r="R1735" s="87"/>
      <c r="S1735" s="87"/>
      <c r="T1735" s="85"/>
      <c r="U1735" s="89"/>
      <c r="V1735" s="90"/>
      <c r="W1735" s="87"/>
      <c r="X1735" s="91"/>
      <c r="Y1735" s="84"/>
      <c r="Z1735" s="97"/>
    </row>
    <row r="1736" spans="1:26" s="98" customFormat="1" x14ac:dyDescent="0.35">
      <c r="A1736" s="86">
        <v>1733</v>
      </c>
      <c r="B1736" s="85"/>
      <c r="C1736" s="87"/>
      <c r="D1736" s="85"/>
      <c r="E1736" s="84"/>
      <c r="F1736" s="85"/>
      <c r="G1736" s="87"/>
      <c r="H1736" s="87"/>
      <c r="I1736" s="87"/>
      <c r="J1736" s="101"/>
      <c r="K1736" s="87"/>
      <c r="L1736" s="91"/>
      <c r="M1736" s="91"/>
      <c r="N1736" s="88">
        <f>Goods_Receipt[[#This Row],[ Invoice. /
 Received Qty ]]-Goods_Receipt[[#This Row],[ Accepted Qty ]]</f>
        <v>0</v>
      </c>
      <c r="O1736" s="87"/>
      <c r="P1736" s="87"/>
      <c r="Q1736" s="87"/>
      <c r="R1736" s="87"/>
      <c r="S1736" s="87"/>
      <c r="T1736" s="85"/>
      <c r="U1736" s="89"/>
      <c r="V1736" s="90"/>
      <c r="W1736" s="87"/>
      <c r="X1736" s="91"/>
      <c r="Y1736" s="84"/>
      <c r="Z1736" s="97"/>
    </row>
    <row r="1737" spans="1:26" s="98" customFormat="1" x14ac:dyDescent="0.35">
      <c r="A1737" s="86">
        <v>1734</v>
      </c>
      <c r="B1737" s="85"/>
      <c r="C1737" s="87"/>
      <c r="D1737" s="85"/>
      <c r="E1737" s="84"/>
      <c r="F1737" s="85"/>
      <c r="G1737" s="87"/>
      <c r="H1737" s="87"/>
      <c r="I1737" s="87"/>
      <c r="J1737" s="101"/>
      <c r="K1737" s="87"/>
      <c r="L1737" s="91"/>
      <c r="M1737" s="91"/>
      <c r="N1737" s="88">
        <f>Goods_Receipt[[#This Row],[ Invoice. /
 Received Qty ]]-Goods_Receipt[[#This Row],[ Accepted Qty ]]</f>
        <v>0</v>
      </c>
      <c r="O1737" s="87"/>
      <c r="P1737" s="87"/>
      <c r="Q1737" s="87"/>
      <c r="R1737" s="87"/>
      <c r="S1737" s="87"/>
      <c r="T1737" s="85"/>
      <c r="U1737" s="89"/>
      <c r="V1737" s="90"/>
      <c r="W1737" s="87"/>
      <c r="X1737" s="91"/>
      <c r="Y1737" s="84"/>
      <c r="Z1737" s="97"/>
    </row>
    <row r="1738" spans="1:26" s="98" customFormat="1" x14ac:dyDescent="0.35">
      <c r="A1738" s="86">
        <v>1735</v>
      </c>
      <c r="B1738" s="85"/>
      <c r="C1738" s="87"/>
      <c r="D1738" s="85"/>
      <c r="E1738" s="84"/>
      <c r="F1738" s="85"/>
      <c r="G1738" s="87"/>
      <c r="H1738" s="87"/>
      <c r="I1738" s="87"/>
      <c r="J1738" s="101"/>
      <c r="K1738" s="87"/>
      <c r="L1738" s="91"/>
      <c r="M1738" s="91"/>
      <c r="N1738" s="88">
        <f>Goods_Receipt[[#This Row],[ Invoice. /
 Received Qty ]]-Goods_Receipt[[#This Row],[ Accepted Qty ]]</f>
        <v>0</v>
      </c>
      <c r="O1738" s="87"/>
      <c r="P1738" s="87"/>
      <c r="Q1738" s="87"/>
      <c r="R1738" s="87"/>
      <c r="S1738" s="87"/>
      <c r="T1738" s="85"/>
      <c r="U1738" s="89"/>
      <c r="V1738" s="90"/>
      <c r="W1738" s="87"/>
      <c r="X1738" s="91"/>
      <c r="Y1738" s="84"/>
      <c r="Z1738" s="97"/>
    </row>
    <row r="1739" spans="1:26" s="98" customFormat="1" x14ac:dyDescent="0.35">
      <c r="A1739" s="86">
        <v>1736</v>
      </c>
      <c r="B1739" s="85"/>
      <c r="C1739" s="87"/>
      <c r="D1739" s="85"/>
      <c r="E1739" s="84"/>
      <c r="F1739" s="85"/>
      <c r="G1739" s="87"/>
      <c r="H1739" s="87"/>
      <c r="I1739" s="87"/>
      <c r="J1739" s="101"/>
      <c r="K1739" s="87"/>
      <c r="L1739" s="91"/>
      <c r="M1739" s="91"/>
      <c r="N1739" s="88">
        <f>Goods_Receipt[[#This Row],[ Invoice. /
 Received Qty ]]-Goods_Receipt[[#This Row],[ Accepted Qty ]]</f>
        <v>0</v>
      </c>
      <c r="O1739" s="87"/>
      <c r="P1739" s="87"/>
      <c r="Q1739" s="87"/>
      <c r="R1739" s="87"/>
      <c r="S1739" s="87"/>
      <c r="T1739" s="85"/>
      <c r="U1739" s="89"/>
      <c r="V1739" s="90"/>
      <c r="W1739" s="87"/>
      <c r="X1739" s="91"/>
      <c r="Y1739" s="84"/>
      <c r="Z1739" s="97"/>
    </row>
    <row r="1740" spans="1:26" s="98" customFormat="1" x14ac:dyDescent="0.35">
      <c r="A1740" s="86">
        <v>1737</v>
      </c>
      <c r="B1740" s="85"/>
      <c r="C1740" s="87"/>
      <c r="D1740" s="85"/>
      <c r="E1740" s="84"/>
      <c r="F1740" s="85"/>
      <c r="G1740" s="87"/>
      <c r="H1740" s="87"/>
      <c r="I1740" s="87"/>
      <c r="J1740" s="101"/>
      <c r="K1740" s="87"/>
      <c r="L1740" s="91"/>
      <c r="M1740" s="91"/>
      <c r="N1740" s="88">
        <f>Goods_Receipt[[#This Row],[ Invoice. /
 Received Qty ]]-Goods_Receipt[[#This Row],[ Accepted Qty ]]</f>
        <v>0</v>
      </c>
      <c r="O1740" s="87"/>
      <c r="P1740" s="87"/>
      <c r="Q1740" s="87"/>
      <c r="R1740" s="87"/>
      <c r="S1740" s="87"/>
      <c r="T1740" s="85"/>
      <c r="U1740" s="89"/>
      <c r="V1740" s="90"/>
      <c r="W1740" s="87"/>
      <c r="X1740" s="91"/>
      <c r="Y1740" s="84"/>
      <c r="Z1740" s="97"/>
    </row>
    <row r="1741" spans="1:26" s="98" customFormat="1" x14ac:dyDescent="0.35">
      <c r="A1741" s="86">
        <v>1738</v>
      </c>
      <c r="B1741" s="85"/>
      <c r="C1741" s="87"/>
      <c r="D1741" s="85"/>
      <c r="E1741" s="84"/>
      <c r="F1741" s="85"/>
      <c r="G1741" s="87"/>
      <c r="H1741" s="87"/>
      <c r="I1741" s="87"/>
      <c r="J1741" s="101"/>
      <c r="K1741" s="87"/>
      <c r="L1741" s="91"/>
      <c r="M1741" s="91"/>
      <c r="N1741" s="88">
        <f>Goods_Receipt[[#This Row],[ Invoice. /
 Received Qty ]]-Goods_Receipt[[#This Row],[ Accepted Qty ]]</f>
        <v>0</v>
      </c>
      <c r="O1741" s="87"/>
      <c r="P1741" s="87"/>
      <c r="Q1741" s="87"/>
      <c r="R1741" s="87"/>
      <c r="S1741" s="87"/>
      <c r="T1741" s="85"/>
      <c r="U1741" s="89"/>
      <c r="V1741" s="90"/>
      <c r="W1741" s="87"/>
      <c r="X1741" s="91"/>
      <c r="Y1741" s="84"/>
      <c r="Z1741" s="97"/>
    </row>
    <row r="1742" spans="1:26" s="98" customFormat="1" x14ac:dyDescent="0.35">
      <c r="A1742" s="86">
        <v>1739</v>
      </c>
      <c r="B1742" s="85"/>
      <c r="C1742" s="87"/>
      <c r="D1742" s="85"/>
      <c r="E1742" s="84"/>
      <c r="F1742" s="85"/>
      <c r="G1742" s="87"/>
      <c r="H1742" s="87"/>
      <c r="I1742" s="87"/>
      <c r="J1742" s="101"/>
      <c r="K1742" s="87"/>
      <c r="L1742" s="91"/>
      <c r="M1742" s="91"/>
      <c r="N1742" s="88">
        <f>Goods_Receipt[[#This Row],[ Invoice. /
 Received Qty ]]-Goods_Receipt[[#This Row],[ Accepted Qty ]]</f>
        <v>0</v>
      </c>
      <c r="O1742" s="87"/>
      <c r="P1742" s="87"/>
      <c r="Q1742" s="87"/>
      <c r="R1742" s="87"/>
      <c r="S1742" s="87"/>
      <c r="T1742" s="85"/>
      <c r="U1742" s="89"/>
      <c r="V1742" s="90"/>
      <c r="W1742" s="87"/>
      <c r="X1742" s="91"/>
      <c r="Y1742" s="84"/>
      <c r="Z1742" s="97"/>
    </row>
    <row r="1743" spans="1:26" s="98" customFormat="1" x14ac:dyDescent="0.35">
      <c r="A1743" s="86">
        <v>1740</v>
      </c>
      <c r="B1743" s="85"/>
      <c r="C1743" s="87"/>
      <c r="D1743" s="85"/>
      <c r="E1743" s="84"/>
      <c r="F1743" s="85"/>
      <c r="G1743" s="87"/>
      <c r="H1743" s="87"/>
      <c r="I1743" s="87"/>
      <c r="J1743" s="101"/>
      <c r="K1743" s="87"/>
      <c r="L1743" s="91"/>
      <c r="M1743" s="91"/>
      <c r="N1743" s="88">
        <f>Goods_Receipt[[#This Row],[ Invoice. /
 Received Qty ]]-Goods_Receipt[[#This Row],[ Accepted Qty ]]</f>
        <v>0</v>
      </c>
      <c r="O1743" s="87"/>
      <c r="P1743" s="87"/>
      <c r="Q1743" s="87"/>
      <c r="R1743" s="87"/>
      <c r="S1743" s="87"/>
      <c r="T1743" s="85"/>
      <c r="U1743" s="89"/>
      <c r="V1743" s="90"/>
      <c r="W1743" s="87"/>
      <c r="X1743" s="91"/>
      <c r="Y1743" s="84"/>
      <c r="Z1743" s="97"/>
    </row>
    <row r="1744" spans="1:26" s="98" customFormat="1" x14ac:dyDescent="0.35">
      <c r="A1744" s="86">
        <v>1741</v>
      </c>
      <c r="B1744" s="85"/>
      <c r="C1744" s="87"/>
      <c r="D1744" s="85"/>
      <c r="E1744" s="84"/>
      <c r="F1744" s="85"/>
      <c r="G1744" s="87"/>
      <c r="H1744" s="87"/>
      <c r="I1744" s="87"/>
      <c r="J1744" s="101"/>
      <c r="K1744" s="87"/>
      <c r="L1744" s="91"/>
      <c r="M1744" s="91"/>
      <c r="N1744" s="88">
        <f>Goods_Receipt[[#This Row],[ Invoice. /
 Received Qty ]]-Goods_Receipt[[#This Row],[ Accepted Qty ]]</f>
        <v>0</v>
      </c>
      <c r="O1744" s="87"/>
      <c r="P1744" s="87"/>
      <c r="Q1744" s="87"/>
      <c r="R1744" s="87"/>
      <c r="S1744" s="87"/>
      <c r="T1744" s="85"/>
      <c r="U1744" s="89"/>
      <c r="V1744" s="90"/>
      <c r="W1744" s="87"/>
      <c r="X1744" s="91"/>
      <c r="Y1744" s="84"/>
      <c r="Z1744" s="97"/>
    </row>
    <row r="1745" spans="1:26" s="98" customFormat="1" x14ac:dyDescent="0.35">
      <c r="A1745" s="86">
        <v>1742</v>
      </c>
      <c r="B1745" s="85"/>
      <c r="C1745" s="87"/>
      <c r="D1745" s="85"/>
      <c r="E1745" s="84"/>
      <c r="F1745" s="85"/>
      <c r="G1745" s="87"/>
      <c r="H1745" s="87"/>
      <c r="I1745" s="87"/>
      <c r="J1745" s="101"/>
      <c r="K1745" s="87"/>
      <c r="L1745" s="91"/>
      <c r="M1745" s="91"/>
      <c r="N1745" s="88">
        <f>Goods_Receipt[[#This Row],[ Invoice. /
 Received Qty ]]-Goods_Receipt[[#This Row],[ Accepted Qty ]]</f>
        <v>0</v>
      </c>
      <c r="O1745" s="87"/>
      <c r="P1745" s="87"/>
      <c r="Q1745" s="87"/>
      <c r="R1745" s="87"/>
      <c r="S1745" s="87"/>
      <c r="T1745" s="85"/>
      <c r="U1745" s="89"/>
      <c r="V1745" s="90"/>
      <c r="W1745" s="87"/>
      <c r="X1745" s="91"/>
      <c r="Y1745" s="84"/>
      <c r="Z1745" s="97"/>
    </row>
    <row r="1746" spans="1:26" s="98" customFormat="1" x14ac:dyDescent="0.35">
      <c r="A1746" s="86">
        <v>1743</v>
      </c>
      <c r="B1746" s="85"/>
      <c r="C1746" s="87"/>
      <c r="D1746" s="85"/>
      <c r="E1746" s="84"/>
      <c r="F1746" s="85"/>
      <c r="G1746" s="87"/>
      <c r="H1746" s="87"/>
      <c r="I1746" s="87"/>
      <c r="J1746" s="101"/>
      <c r="K1746" s="87"/>
      <c r="L1746" s="91"/>
      <c r="M1746" s="91"/>
      <c r="N1746" s="88">
        <f>Goods_Receipt[[#This Row],[ Invoice. /
 Received Qty ]]-Goods_Receipt[[#This Row],[ Accepted Qty ]]</f>
        <v>0</v>
      </c>
      <c r="O1746" s="87"/>
      <c r="P1746" s="87"/>
      <c r="Q1746" s="87"/>
      <c r="R1746" s="87"/>
      <c r="S1746" s="87"/>
      <c r="T1746" s="85"/>
      <c r="U1746" s="89"/>
      <c r="V1746" s="90"/>
      <c r="W1746" s="87"/>
      <c r="X1746" s="91"/>
      <c r="Y1746" s="84"/>
      <c r="Z1746" s="97"/>
    </row>
    <row r="1747" spans="1:26" s="98" customFormat="1" x14ac:dyDescent="0.35">
      <c r="A1747" s="86">
        <v>1744</v>
      </c>
      <c r="B1747" s="85"/>
      <c r="C1747" s="87"/>
      <c r="D1747" s="85"/>
      <c r="E1747" s="84"/>
      <c r="F1747" s="85"/>
      <c r="G1747" s="87"/>
      <c r="H1747" s="87"/>
      <c r="I1747" s="87"/>
      <c r="J1747" s="101"/>
      <c r="K1747" s="87"/>
      <c r="L1747" s="91"/>
      <c r="M1747" s="91"/>
      <c r="N1747" s="88">
        <f>Goods_Receipt[[#This Row],[ Invoice. /
 Received Qty ]]-Goods_Receipt[[#This Row],[ Accepted Qty ]]</f>
        <v>0</v>
      </c>
      <c r="O1747" s="87"/>
      <c r="P1747" s="87"/>
      <c r="Q1747" s="87"/>
      <c r="R1747" s="87"/>
      <c r="S1747" s="87"/>
      <c r="T1747" s="85"/>
      <c r="U1747" s="89"/>
      <c r="V1747" s="90"/>
      <c r="W1747" s="87"/>
      <c r="X1747" s="91"/>
      <c r="Y1747" s="84"/>
      <c r="Z1747" s="97"/>
    </row>
    <row r="1748" spans="1:26" s="98" customFormat="1" x14ac:dyDescent="0.35">
      <c r="A1748" s="86">
        <v>1745</v>
      </c>
      <c r="B1748" s="85"/>
      <c r="C1748" s="87"/>
      <c r="D1748" s="85"/>
      <c r="E1748" s="84"/>
      <c r="F1748" s="85"/>
      <c r="G1748" s="87"/>
      <c r="H1748" s="87"/>
      <c r="I1748" s="87"/>
      <c r="J1748" s="101"/>
      <c r="K1748" s="87"/>
      <c r="L1748" s="91"/>
      <c r="M1748" s="91"/>
      <c r="N1748" s="88">
        <f>Goods_Receipt[[#This Row],[ Invoice. /
 Received Qty ]]-Goods_Receipt[[#This Row],[ Accepted Qty ]]</f>
        <v>0</v>
      </c>
      <c r="O1748" s="87"/>
      <c r="P1748" s="87"/>
      <c r="Q1748" s="87"/>
      <c r="R1748" s="87"/>
      <c r="S1748" s="87"/>
      <c r="T1748" s="85"/>
      <c r="U1748" s="89"/>
      <c r="V1748" s="90"/>
      <c r="W1748" s="87"/>
      <c r="X1748" s="91"/>
      <c r="Y1748" s="84"/>
      <c r="Z1748" s="97"/>
    </row>
    <row r="1749" spans="1:26" s="98" customFormat="1" x14ac:dyDescent="0.35">
      <c r="A1749" s="86">
        <v>1746</v>
      </c>
      <c r="B1749" s="85"/>
      <c r="C1749" s="87"/>
      <c r="D1749" s="85"/>
      <c r="E1749" s="84"/>
      <c r="F1749" s="85"/>
      <c r="G1749" s="87"/>
      <c r="H1749" s="87"/>
      <c r="I1749" s="87"/>
      <c r="J1749" s="101"/>
      <c r="K1749" s="87"/>
      <c r="L1749" s="91"/>
      <c r="M1749" s="91"/>
      <c r="N1749" s="88">
        <f>Goods_Receipt[[#This Row],[ Invoice. /
 Received Qty ]]-Goods_Receipt[[#This Row],[ Accepted Qty ]]</f>
        <v>0</v>
      </c>
      <c r="O1749" s="87"/>
      <c r="P1749" s="87"/>
      <c r="Q1749" s="87"/>
      <c r="R1749" s="87"/>
      <c r="S1749" s="87"/>
      <c r="T1749" s="85"/>
      <c r="U1749" s="89"/>
      <c r="V1749" s="90"/>
      <c r="W1749" s="87"/>
      <c r="X1749" s="91"/>
      <c r="Y1749" s="84"/>
      <c r="Z1749" s="97"/>
    </row>
    <row r="1750" spans="1:26" s="98" customFormat="1" x14ac:dyDescent="0.35">
      <c r="A1750" s="86">
        <v>1747</v>
      </c>
      <c r="B1750" s="85"/>
      <c r="C1750" s="87"/>
      <c r="D1750" s="85"/>
      <c r="E1750" s="84"/>
      <c r="F1750" s="85"/>
      <c r="G1750" s="87"/>
      <c r="H1750" s="87"/>
      <c r="I1750" s="87"/>
      <c r="J1750" s="101"/>
      <c r="K1750" s="87"/>
      <c r="L1750" s="91"/>
      <c r="M1750" s="91"/>
      <c r="N1750" s="88">
        <f>Goods_Receipt[[#This Row],[ Invoice. /
 Received Qty ]]-Goods_Receipt[[#This Row],[ Accepted Qty ]]</f>
        <v>0</v>
      </c>
      <c r="O1750" s="87"/>
      <c r="P1750" s="87"/>
      <c r="Q1750" s="87"/>
      <c r="R1750" s="87"/>
      <c r="S1750" s="87"/>
      <c r="T1750" s="85"/>
      <c r="U1750" s="89"/>
      <c r="V1750" s="90"/>
      <c r="W1750" s="87"/>
      <c r="X1750" s="91"/>
      <c r="Y1750" s="84"/>
      <c r="Z1750" s="97"/>
    </row>
    <row r="1751" spans="1:26" s="98" customFormat="1" x14ac:dyDescent="0.35">
      <c r="A1751" s="86">
        <v>1748</v>
      </c>
      <c r="B1751" s="85"/>
      <c r="C1751" s="87"/>
      <c r="D1751" s="85"/>
      <c r="E1751" s="84"/>
      <c r="F1751" s="85"/>
      <c r="G1751" s="87"/>
      <c r="H1751" s="87"/>
      <c r="I1751" s="87"/>
      <c r="J1751" s="101"/>
      <c r="K1751" s="87"/>
      <c r="L1751" s="91"/>
      <c r="M1751" s="91"/>
      <c r="N1751" s="88">
        <f>Goods_Receipt[[#This Row],[ Invoice. /
 Received Qty ]]-Goods_Receipt[[#This Row],[ Accepted Qty ]]</f>
        <v>0</v>
      </c>
      <c r="O1751" s="87"/>
      <c r="P1751" s="87"/>
      <c r="Q1751" s="87"/>
      <c r="R1751" s="87"/>
      <c r="S1751" s="87"/>
      <c r="T1751" s="85"/>
      <c r="U1751" s="89"/>
      <c r="V1751" s="90"/>
      <c r="W1751" s="87"/>
      <c r="X1751" s="91"/>
      <c r="Y1751" s="84"/>
      <c r="Z1751" s="97"/>
    </row>
    <row r="1752" spans="1:26" s="98" customFormat="1" x14ac:dyDescent="0.35">
      <c r="A1752" s="86">
        <v>1749</v>
      </c>
      <c r="B1752" s="85"/>
      <c r="C1752" s="87"/>
      <c r="D1752" s="85"/>
      <c r="E1752" s="84"/>
      <c r="F1752" s="85"/>
      <c r="G1752" s="87"/>
      <c r="H1752" s="87"/>
      <c r="I1752" s="87"/>
      <c r="J1752" s="101"/>
      <c r="K1752" s="87"/>
      <c r="L1752" s="91"/>
      <c r="M1752" s="91"/>
      <c r="N1752" s="88">
        <f>Goods_Receipt[[#This Row],[ Invoice. /
 Received Qty ]]-Goods_Receipt[[#This Row],[ Accepted Qty ]]</f>
        <v>0</v>
      </c>
      <c r="O1752" s="87"/>
      <c r="P1752" s="87"/>
      <c r="Q1752" s="87"/>
      <c r="R1752" s="87"/>
      <c r="S1752" s="87"/>
      <c r="T1752" s="85"/>
      <c r="U1752" s="89"/>
      <c r="V1752" s="90"/>
      <c r="W1752" s="87"/>
      <c r="X1752" s="91"/>
      <c r="Y1752" s="84"/>
      <c r="Z1752" s="97"/>
    </row>
    <row r="1753" spans="1:26" s="98" customFormat="1" x14ac:dyDescent="0.35">
      <c r="A1753" s="86">
        <v>1750</v>
      </c>
      <c r="B1753" s="85"/>
      <c r="C1753" s="87"/>
      <c r="D1753" s="85"/>
      <c r="E1753" s="84"/>
      <c r="F1753" s="85"/>
      <c r="G1753" s="87"/>
      <c r="H1753" s="87"/>
      <c r="I1753" s="87"/>
      <c r="J1753" s="101"/>
      <c r="K1753" s="87"/>
      <c r="L1753" s="91"/>
      <c r="M1753" s="91"/>
      <c r="N1753" s="88">
        <f>Goods_Receipt[[#This Row],[ Invoice. /
 Received Qty ]]-Goods_Receipt[[#This Row],[ Accepted Qty ]]</f>
        <v>0</v>
      </c>
      <c r="O1753" s="87"/>
      <c r="P1753" s="87"/>
      <c r="Q1753" s="87"/>
      <c r="R1753" s="87"/>
      <c r="S1753" s="87"/>
      <c r="T1753" s="85"/>
      <c r="U1753" s="89"/>
      <c r="V1753" s="90"/>
      <c r="W1753" s="87"/>
      <c r="X1753" s="91"/>
      <c r="Y1753" s="84"/>
      <c r="Z1753" s="97"/>
    </row>
    <row r="1754" spans="1:26" s="98" customFormat="1" x14ac:dyDescent="0.35">
      <c r="A1754" s="86">
        <v>1751</v>
      </c>
      <c r="B1754" s="85"/>
      <c r="C1754" s="87"/>
      <c r="D1754" s="85"/>
      <c r="E1754" s="84"/>
      <c r="F1754" s="85"/>
      <c r="G1754" s="87"/>
      <c r="H1754" s="87"/>
      <c r="I1754" s="87"/>
      <c r="J1754" s="101"/>
      <c r="K1754" s="87"/>
      <c r="L1754" s="91"/>
      <c r="M1754" s="91"/>
      <c r="N1754" s="88">
        <f>Goods_Receipt[[#This Row],[ Invoice. /
 Received Qty ]]-Goods_Receipt[[#This Row],[ Accepted Qty ]]</f>
        <v>0</v>
      </c>
      <c r="O1754" s="87"/>
      <c r="P1754" s="87"/>
      <c r="Q1754" s="87"/>
      <c r="R1754" s="87"/>
      <c r="S1754" s="87"/>
      <c r="T1754" s="85"/>
      <c r="U1754" s="89"/>
      <c r="V1754" s="90"/>
      <c r="W1754" s="87"/>
      <c r="X1754" s="91"/>
      <c r="Y1754" s="84"/>
      <c r="Z1754" s="97"/>
    </row>
    <row r="1755" spans="1:26" s="98" customFormat="1" x14ac:dyDescent="0.35">
      <c r="A1755" s="86">
        <v>1752</v>
      </c>
      <c r="B1755" s="85"/>
      <c r="C1755" s="87"/>
      <c r="D1755" s="85"/>
      <c r="E1755" s="84"/>
      <c r="F1755" s="85"/>
      <c r="G1755" s="87"/>
      <c r="H1755" s="87"/>
      <c r="I1755" s="87"/>
      <c r="J1755" s="101"/>
      <c r="K1755" s="87"/>
      <c r="L1755" s="91"/>
      <c r="M1755" s="91"/>
      <c r="N1755" s="88">
        <f>Goods_Receipt[[#This Row],[ Invoice. /
 Received Qty ]]-Goods_Receipt[[#This Row],[ Accepted Qty ]]</f>
        <v>0</v>
      </c>
      <c r="O1755" s="87"/>
      <c r="P1755" s="87"/>
      <c r="Q1755" s="87"/>
      <c r="R1755" s="87"/>
      <c r="S1755" s="87"/>
      <c r="T1755" s="85"/>
      <c r="U1755" s="89"/>
      <c r="V1755" s="90"/>
      <c r="W1755" s="87"/>
      <c r="X1755" s="91"/>
      <c r="Y1755" s="84"/>
      <c r="Z1755" s="97"/>
    </row>
    <row r="1756" spans="1:26" s="98" customFormat="1" x14ac:dyDescent="0.35">
      <c r="A1756" s="86">
        <v>1753</v>
      </c>
      <c r="B1756" s="85"/>
      <c r="C1756" s="87"/>
      <c r="D1756" s="85"/>
      <c r="E1756" s="84"/>
      <c r="F1756" s="85"/>
      <c r="G1756" s="87"/>
      <c r="H1756" s="87"/>
      <c r="I1756" s="87"/>
      <c r="J1756" s="101"/>
      <c r="K1756" s="87"/>
      <c r="L1756" s="91"/>
      <c r="M1756" s="91"/>
      <c r="N1756" s="88">
        <f>Goods_Receipt[[#This Row],[ Invoice. /
 Received Qty ]]-Goods_Receipt[[#This Row],[ Accepted Qty ]]</f>
        <v>0</v>
      </c>
      <c r="O1756" s="87"/>
      <c r="P1756" s="87"/>
      <c r="Q1756" s="87"/>
      <c r="R1756" s="87"/>
      <c r="S1756" s="87"/>
      <c r="T1756" s="85"/>
      <c r="U1756" s="89"/>
      <c r="V1756" s="90"/>
      <c r="W1756" s="87"/>
      <c r="X1756" s="91"/>
      <c r="Y1756" s="84"/>
      <c r="Z1756" s="97"/>
    </row>
    <row r="1757" spans="1:26" s="98" customFormat="1" x14ac:dyDescent="0.35">
      <c r="A1757" s="86">
        <v>1754</v>
      </c>
      <c r="B1757" s="85"/>
      <c r="C1757" s="87"/>
      <c r="D1757" s="85"/>
      <c r="E1757" s="84"/>
      <c r="F1757" s="85"/>
      <c r="G1757" s="87"/>
      <c r="H1757" s="87"/>
      <c r="I1757" s="87"/>
      <c r="J1757" s="101"/>
      <c r="K1757" s="87"/>
      <c r="L1757" s="91"/>
      <c r="M1757" s="91"/>
      <c r="N1757" s="88">
        <f>Goods_Receipt[[#This Row],[ Invoice. /
 Received Qty ]]-Goods_Receipt[[#This Row],[ Accepted Qty ]]</f>
        <v>0</v>
      </c>
      <c r="O1757" s="87"/>
      <c r="P1757" s="87"/>
      <c r="Q1757" s="87"/>
      <c r="R1757" s="87"/>
      <c r="S1757" s="87"/>
      <c r="T1757" s="85"/>
      <c r="U1757" s="89"/>
      <c r="V1757" s="90"/>
      <c r="W1757" s="87"/>
      <c r="X1757" s="91"/>
      <c r="Y1757" s="84"/>
      <c r="Z1757" s="97"/>
    </row>
    <row r="1758" spans="1:26" s="98" customFormat="1" x14ac:dyDescent="0.35">
      <c r="A1758" s="86">
        <v>1755</v>
      </c>
      <c r="B1758" s="85"/>
      <c r="C1758" s="87"/>
      <c r="D1758" s="85"/>
      <c r="E1758" s="84"/>
      <c r="F1758" s="85"/>
      <c r="G1758" s="87"/>
      <c r="H1758" s="87"/>
      <c r="I1758" s="87"/>
      <c r="J1758" s="101"/>
      <c r="K1758" s="87"/>
      <c r="L1758" s="91"/>
      <c r="M1758" s="91"/>
      <c r="N1758" s="88">
        <f>Goods_Receipt[[#This Row],[ Invoice. /
 Received Qty ]]-Goods_Receipt[[#This Row],[ Accepted Qty ]]</f>
        <v>0</v>
      </c>
      <c r="O1758" s="87"/>
      <c r="P1758" s="87"/>
      <c r="Q1758" s="87"/>
      <c r="R1758" s="87"/>
      <c r="S1758" s="87"/>
      <c r="T1758" s="85"/>
      <c r="U1758" s="89"/>
      <c r="V1758" s="90"/>
      <c r="W1758" s="87"/>
      <c r="X1758" s="91"/>
      <c r="Y1758" s="84"/>
      <c r="Z1758" s="97"/>
    </row>
    <row r="1759" spans="1:26" s="98" customFormat="1" x14ac:dyDescent="0.35">
      <c r="A1759" s="86">
        <v>1756</v>
      </c>
      <c r="B1759" s="85"/>
      <c r="C1759" s="87"/>
      <c r="D1759" s="85"/>
      <c r="E1759" s="84"/>
      <c r="F1759" s="85"/>
      <c r="G1759" s="87"/>
      <c r="H1759" s="87"/>
      <c r="I1759" s="87"/>
      <c r="J1759" s="101"/>
      <c r="K1759" s="87"/>
      <c r="L1759" s="91"/>
      <c r="M1759" s="91"/>
      <c r="N1759" s="88">
        <f>Goods_Receipt[[#This Row],[ Invoice. /
 Received Qty ]]-Goods_Receipt[[#This Row],[ Accepted Qty ]]</f>
        <v>0</v>
      </c>
      <c r="O1759" s="87"/>
      <c r="P1759" s="87"/>
      <c r="Q1759" s="87"/>
      <c r="R1759" s="87"/>
      <c r="S1759" s="87"/>
      <c r="T1759" s="85"/>
      <c r="U1759" s="89"/>
      <c r="V1759" s="90"/>
      <c r="W1759" s="87"/>
      <c r="X1759" s="91"/>
      <c r="Y1759" s="84"/>
      <c r="Z1759" s="97"/>
    </row>
    <row r="1760" spans="1:26" s="98" customFormat="1" x14ac:dyDescent="0.35">
      <c r="A1760" s="86">
        <v>1757</v>
      </c>
      <c r="B1760" s="85"/>
      <c r="C1760" s="87"/>
      <c r="D1760" s="85"/>
      <c r="E1760" s="84"/>
      <c r="F1760" s="85"/>
      <c r="G1760" s="87"/>
      <c r="H1760" s="87"/>
      <c r="I1760" s="87"/>
      <c r="J1760" s="101"/>
      <c r="K1760" s="87"/>
      <c r="L1760" s="91"/>
      <c r="M1760" s="91"/>
      <c r="N1760" s="88">
        <f>Goods_Receipt[[#This Row],[ Invoice. /
 Received Qty ]]-Goods_Receipt[[#This Row],[ Accepted Qty ]]</f>
        <v>0</v>
      </c>
      <c r="O1760" s="87"/>
      <c r="P1760" s="87"/>
      <c r="Q1760" s="87"/>
      <c r="R1760" s="87"/>
      <c r="S1760" s="87"/>
      <c r="T1760" s="85"/>
      <c r="U1760" s="89"/>
      <c r="V1760" s="90"/>
      <c r="W1760" s="87"/>
      <c r="X1760" s="91"/>
      <c r="Y1760" s="84"/>
      <c r="Z1760" s="97"/>
    </row>
    <row r="1761" spans="1:26" s="98" customFormat="1" x14ac:dyDescent="0.35">
      <c r="A1761" s="86">
        <v>1758</v>
      </c>
      <c r="B1761" s="85"/>
      <c r="C1761" s="87"/>
      <c r="D1761" s="85"/>
      <c r="E1761" s="84"/>
      <c r="F1761" s="85"/>
      <c r="G1761" s="87"/>
      <c r="H1761" s="87"/>
      <c r="I1761" s="87"/>
      <c r="J1761" s="101"/>
      <c r="K1761" s="87"/>
      <c r="L1761" s="91"/>
      <c r="M1761" s="91"/>
      <c r="N1761" s="88">
        <f>Goods_Receipt[[#This Row],[ Invoice. /
 Received Qty ]]-Goods_Receipt[[#This Row],[ Accepted Qty ]]</f>
        <v>0</v>
      </c>
      <c r="O1761" s="87"/>
      <c r="P1761" s="87"/>
      <c r="Q1761" s="87"/>
      <c r="R1761" s="87"/>
      <c r="S1761" s="87"/>
      <c r="T1761" s="85"/>
      <c r="U1761" s="89"/>
      <c r="V1761" s="90"/>
      <c r="W1761" s="87"/>
      <c r="X1761" s="91"/>
      <c r="Y1761" s="84"/>
      <c r="Z1761" s="97"/>
    </row>
    <row r="1762" spans="1:26" s="98" customFormat="1" x14ac:dyDescent="0.35">
      <c r="A1762" s="86">
        <v>1759</v>
      </c>
      <c r="B1762" s="85"/>
      <c r="C1762" s="87"/>
      <c r="D1762" s="85"/>
      <c r="E1762" s="84"/>
      <c r="F1762" s="85"/>
      <c r="G1762" s="87"/>
      <c r="H1762" s="87"/>
      <c r="I1762" s="87"/>
      <c r="J1762" s="101"/>
      <c r="K1762" s="87"/>
      <c r="L1762" s="91"/>
      <c r="M1762" s="91"/>
      <c r="N1762" s="88">
        <f>Goods_Receipt[[#This Row],[ Invoice. /
 Received Qty ]]-Goods_Receipt[[#This Row],[ Accepted Qty ]]</f>
        <v>0</v>
      </c>
      <c r="O1762" s="87"/>
      <c r="P1762" s="87"/>
      <c r="Q1762" s="87"/>
      <c r="R1762" s="87"/>
      <c r="S1762" s="87"/>
      <c r="T1762" s="85"/>
      <c r="U1762" s="89"/>
      <c r="V1762" s="90"/>
      <c r="W1762" s="87"/>
      <c r="X1762" s="91"/>
      <c r="Y1762" s="84"/>
      <c r="Z1762" s="97"/>
    </row>
    <row r="1763" spans="1:26" s="98" customFormat="1" x14ac:dyDescent="0.35">
      <c r="A1763" s="86">
        <v>1760</v>
      </c>
      <c r="B1763" s="85"/>
      <c r="C1763" s="87"/>
      <c r="D1763" s="85"/>
      <c r="E1763" s="84"/>
      <c r="F1763" s="85"/>
      <c r="G1763" s="87"/>
      <c r="H1763" s="87"/>
      <c r="I1763" s="87"/>
      <c r="J1763" s="101"/>
      <c r="K1763" s="87"/>
      <c r="L1763" s="91"/>
      <c r="M1763" s="91"/>
      <c r="N1763" s="88">
        <f>Goods_Receipt[[#This Row],[ Invoice. /
 Received Qty ]]-Goods_Receipt[[#This Row],[ Accepted Qty ]]</f>
        <v>0</v>
      </c>
      <c r="O1763" s="87"/>
      <c r="P1763" s="87"/>
      <c r="Q1763" s="87"/>
      <c r="R1763" s="87"/>
      <c r="S1763" s="87"/>
      <c r="T1763" s="85"/>
      <c r="U1763" s="89"/>
      <c r="V1763" s="90"/>
      <c r="W1763" s="87"/>
      <c r="X1763" s="91"/>
      <c r="Y1763" s="84"/>
      <c r="Z1763" s="97"/>
    </row>
    <row r="1764" spans="1:26" s="98" customFormat="1" x14ac:dyDescent="0.35">
      <c r="A1764" s="86">
        <v>1761</v>
      </c>
      <c r="B1764" s="85"/>
      <c r="C1764" s="87"/>
      <c r="D1764" s="85"/>
      <c r="E1764" s="84"/>
      <c r="F1764" s="85"/>
      <c r="G1764" s="87"/>
      <c r="H1764" s="87"/>
      <c r="I1764" s="87"/>
      <c r="J1764" s="101"/>
      <c r="K1764" s="87"/>
      <c r="L1764" s="91"/>
      <c r="M1764" s="91"/>
      <c r="N1764" s="88">
        <f>Goods_Receipt[[#This Row],[ Invoice. /
 Received Qty ]]-Goods_Receipt[[#This Row],[ Accepted Qty ]]</f>
        <v>0</v>
      </c>
      <c r="O1764" s="87"/>
      <c r="P1764" s="87"/>
      <c r="Q1764" s="87"/>
      <c r="R1764" s="87"/>
      <c r="S1764" s="87"/>
      <c r="T1764" s="85"/>
      <c r="U1764" s="89"/>
      <c r="V1764" s="90"/>
      <c r="W1764" s="87"/>
      <c r="X1764" s="91"/>
      <c r="Y1764" s="84"/>
      <c r="Z1764" s="97"/>
    </row>
    <row r="1765" spans="1:26" s="98" customFormat="1" x14ac:dyDescent="0.35">
      <c r="A1765" s="86">
        <v>1762</v>
      </c>
      <c r="B1765" s="85"/>
      <c r="C1765" s="87"/>
      <c r="D1765" s="85"/>
      <c r="E1765" s="84"/>
      <c r="F1765" s="85"/>
      <c r="G1765" s="87"/>
      <c r="H1765" s="87"/>
      <c r="I1765" s="87"/>
      <c r="J1765" s="101"/>
      <c r="K1765" s="87"/>
      <c r="L1765" s="91"/>
      <c r="M1765" s="91"/>
      <c r="N1765" s="88">
        <f>Goods_Receipt[[#This Row],[ Invoice. /
 Received Qty ]]-Goods_Receipt[[#This Row],[ Accepted Qty ]]</f>
        <v>0</v>
      </c>
      <c r="O1765" s="87"/>
      <c r="P1765" s="87"/>
      <c r="Q1765" s="87"/>
      <c r="R1765" s="87"/>
      <c r="S1765" s="87"/>
      <c r="T1765" s="85"/>
      <c r="U1765" s="89"/>
      <c r="V1765" s="90"/>
      <c r="W1765" s="87"/>
      <c r="X1765" s="91"/>
      <c r="Y1765" s="84"/>
      <c r="Z1765" s="97"/>
    </row>
    <row r="1766" spans="1:26" s="98" customFormat="1" x14ac:dyDescent="0.35">
      <c r="A1766" s="86">
        <v>1763</v>
      </c>
      <c r="B1766" s="85"/>
      <c r="C1766" s="87"/>
      <c r="D1766" s="85"/>
      <c r="E1766" s="84"/>
      <c r="F1766" s="85"/>
      <c r="G1766" s="87"/>
      <c r="H1766" s="87"/>
      <c r="I1766" s="87"/>
      <c r="J1766" s="101"/>
      <c r="K1766" s="87"/>
      <c r="L1766" s="91"/>
      <c r="M1766" s="91"/>
      <c r="N1766" s="88">
        <f>Goods_Receipt[[#This Row],[ Invoice. /
 Received Qty ]]-Goods_Receipt[[#This Row],[ Accepted Qty ]]</f>
        <v>0</v>
      </c>
      <c r="O1766" s="87"/>
      <c r="P1766" s="87"/>
      <c r="Q1766" s="87"/>
      <c r="R1766" s="87"/>
      <c r="S1766" s="87"/>
      <c r="T1766" s="85"/>
      <c r="U1766" s="89"/>
      <c r="V1766" s="90"/>
      <c r="W1766" s="87"/>
      <c r="X1766" s="91"/>
      <c r="Y1766" s="84"/>
      <c r="Z1766" s="97"/>
    </row>
    <row r="1767" spans="1:26" s="98" customFormat="1" x14ac:dyDescent="0.35">
      <c r="A1767" s="86">
        <v>1764</v>
      </c>
      <c r="B1767" s="85"/>
      <c r="C1767" s="87"/>
      <c r="D1767" s="85"/>
      <c r="E1767" s="84"/>
      <c r="F1767" s="85"/>
      <c r="G1767" s="87"/>
      <c r="H1767" s="87"/>
      <c r="I1767" s="87"/>
      <c r="J1767" s="101"/>
      <c r="K1767" s="87"/>
      <c r="L1767" s="91"/>
      <c r="M1767" s="91"/>
      <c r="N1767" s="88">
        <f>Goods_Receipt[[#This Row],[ Invoice. /
 Received Qty ]]-Goods_Receipt[[#This Row],[ Accepted Qty ]]</f>
        <v>0</v>
      </c>
      <c r="O1767" s="87"/>
      <c r="P1767" s="87"/>
      <c r="Q1767" s="87"/>
      <c r="R1767" s="87"/>
      <c r="S1767" s="87"/>
      <c r="T1767" s="85"/>
      <c r="U1767" s="89"/>
      <c r="V1767" s="90"/>
      <c r="W1767" s="87"/>
      <c r="X1767" s="91"/>
      <c r="Y1767" s="84"/>
      <c r="Z1767" s="97"/>
    </row>
    <row r="1768" spans="1:26" s="98" customFormat="1" x14ac:dyDescent="0.35">
      <c r="A1768" s="86">
        <v>1765</v>
      </c>
      <c r="B1768" s="85"/>
      <c r="C1768" s="87"/>
      <c r="D1768" s="85"/>
      <c r="E1768" s="84"/>
      <c r="F1768" s="85"/>
      <c r="G1768" s="87"/>
      <c r="H1768" s="87"/>
      <c r="I1768" s="87"/>
      <c r="J1768" s="101"/>
      <c r="K1768" s="87"/>
      <c r="L1768" s="91"/>
      <c r="M1768" s="91"/>
      <c r="N1768" s="88">
        <f>Goods_Receipt[[#This Row],[ Invoice. /
 Received Qty ]]-Goods_Receipt[[#This Row],[ Accepted Qty ]]</f>
        <v>0</v>
      </c>
      <c r="O1768" s="87"/>
      <c r="P1768" s="87"/>
      <c r="Q1768" s="87"/>
      <c r="R1768" s="87"/>
      <c r="S1768" s="87"/>
      <c r="T1768" s="85"/>
      <c r="U1768" s="89"/>
      <c r="V1768" s="90"/>
      <c r="W1768" s="87"/>
      <c r="X1768" s="91"/>
      <c r="Y1768" s="84"/>
      <c r="Z1768" s="97"/>
    </row>
    <row r="1769" spans="1:26" s="98" customFormat="1" x14ac:dyDescent="0.35">
      <c r="A1769" s="86">
        <v>1766</v>
      </c>
      <c r="B1769" s="85"/>
      <c r="C1769" s="87"/>
      <c r="D1769" s="85"/>
      <c r="E1769" s="84"/>
      <c r="F1769" s="85"/>
      <c r="G1769" s="87"/>
      <c r="H1769" s="87"/>
      <c r="I1769" s="87"/>
      <c r="J1769" s="101"/>
      <c r="K1769" s="87"/>
      <c r="L1769" s="91"/>
      <c r="M1769" s="91"/>
      <c r="N1769" s="88">
        <f>Goods_Receipt[[#This Row],[ Invoice. /
 Received Qty ]]-Goods_Receipt[[#This Row],[ Accepted Qty ]]</f>
        <v>0</v>
      </c>
      <c r="O1769" s="87"/>
      <c r="P1769" s="87"/>
      <c r="Q1769" s="87"/>
      <c r="R1769" s="87"/>
      <c r="S1769" s="87"/>
      <c r="T1769" s="85"/>
      <c r="U1769" s="89"/>
      <c r="V1769" s="90"/>
      <c r="W1769" s="87"/>
      <c r="X1769" s="91"/>
      <c r="Y1769" s="84"/>
      <c r="Z1769" s="97"/>
    </row>
    <row r="1770" spans="1:26" s="98" customFormat="1" x14ac:dyDescent="0.35">
      <c r="A1770" s="86">
        <v>1767</v>
      </c>
      <c r="B1770" s="85"/>
      <c r="C1770" s="87"/>
      <c r="D1770" s="85"/>
      <c r="E1770" s="84"/>
      <c r="F1770" s="85"/>
      <c r="G1770" s="87"/>
      <c r="H1770" s="87"/>
      <c r="I1770" s="87"/>
      <c r="J1770" s="101"/>
      <c r="K1770" s="87"/>
      <c r="L1770" s="91"/>
      <c r="M1770" s="91"/>
      <c r="N1770" s="88">
        <f>Goods_Receipt[[#This Row],[ Invoice. /
 Received Qty ]]-Goods_Receipt[[#This Row],[ Accepted Qty ]]</f>
        <v>0</v>
      </c>
      <c r="O1770" s="87"/>
      <c r="P1770" s="87"/>
      <c r="Q1770" s="87"/>
      <c r="R1770" s="87"/>
      <c r="S1770" s="87"/>
      <c r="T1770" s="85"/>
      <c r="U1770" s="89"/>
      <c r="V1770" s="90"/>
      <c r="W1770" s="87"/>
      <c r="X1770" s="91"/>
      <c r="Y1770" s="84"/>
      <c r="Z1770" s="97"/>
    </row>
    <row r="1771" spans="1:26" s="98" customFormat="1" x14ac:dyDescent="0.35">
      <c r="A1771" s="86">
        <v>1768</v>
      </c>
      <c r="B1771" s="85"/>
      <c r="C1771" s="87"/>
      <c r="D1771" s="85"/>
      <c r="E1771" s="84"/>
      <c r="F1771" s="85"/>
      <c r="G1771" s="87"/>
      <c r="H1771" s="87"/>
      <c r="I1771" s="87"/>
      <c r="J1771" s="101"/>
      <c r="K1771" s="87"/>
      <c r="L1771" s="91"/>
      <c r="M1771" s="91"/>
      <c r="N1771" s="88">
        <f>Goods_Receipt[[#This Row],[ Invoice. /
 Received Qty ]]-Goods_Receipt[[#This Row],[ Accepted Qty ]]</f>
        <v>0</v>
      </c>
      <c r="O1771" s="87"/>
      <c r="P1771" s="87"/>
      <c r="Q1771" s="87"/>
      <c r="R1771" s="87"/>
      <c r="S1771" s="87"/>
      <c r="T1771" s="85"/>
      <c r="U1771" s="89"/>
      <c r="V1771" s="90"/>
      <c r="W1771" s="87"/>
      <c r="X1771" s="91"/>
      <c r="Y1771" s="84"/>
      <c r="Z1771" s="97"/>
    </row>
    <row r="1772" spans="1:26" s="98" customFormat="1" x14ac:dyDescent="0.35">
      <c r="A1772" s="86">
        <v>1769</v>
      </c>
      <c r="B1772" s="85"/>
      <c r="C1772" s="87"/>
      <c r="D1772" s="85"/>
      <c r="E1772" s="84"/>
      <c r="F1772" s="85"/>
      <c r="G1772" s="87"/>
      <c r="H1772" s="87"/>
      <c r="I1772" s="87"/>
      <c r="J1772" s="101"/>
      <c r="K1772" s="87"/>
      <c r="L1772" s="91"/>
      <c r="M1772" s="91"/>
      <c r="N1772" s="88">
        <f>Goods_Receipt[[#This Row],[ Invoice. /
 Received Qty ]]-Goods_Receipt[[#This Row],[ Accepted Qty ]]</f>
        <v>0</v>
      </c>
      <c r="O1772" s="87"/>
      <c r="P1772" s="87"/>
      <c r="Q1772" s="87"/>
      <c r="R1772" s="87"/>
      <c r="S1772" s="87"/>
      <c r="T1772" s="85"/>
      <c r="U1772" s="89"/>
      <c r="V1772" s="90"/>
      <c r="W1772" s="87"/>
      <c r="X1772" s="91"/>
      <c r="Y1772" s="84"/>
      <c r="Z1772" s="97"/>
    </row>
    <row r="1773" spans="1:26" s="98" customFormat="1" x14ac:dyDescent="0.35">
      <c r="A1773" s="86">
        <v>1770</v>
      </c>
      <c r="B1773" s="85"/>
      <c r="C1773" s="87"/>
      <c r="D1773" s="85"/>
      <c r="E1773" s="84"/>
      <c r="F1773" s="85"/>
      <c r="G1773" s="87"/>
      <c r="H1773" s="87"/>
      <c r="I1773" s="87"/>
      <c r="J1773" s="101"/>
      <c r="K1773" s="87"/>
      <c r="L1773" s="91"/>
      <c r="M1773" s="91"/>
      <c r="N1773" s="88">
        <f>Goods_Receipt[[#This Row],[ Invoice. /
 Received Qty ]]-Goods_Receipt[[#This Row],[ Accepted Qty ]]</f>
        <v>0</v>
      </c>
      <c r="O1773" s="87"/>
      <c r="P1773" s="87"/>
      <c r="Q1773" s="87"/>
      <c r="R1773" s="87"/>
      <c r="S1773" s="87"/>
      <c r="T1773" s="85"/>
      <c r="U1773" s="89"/>
      <c r="V1773" s="90"/>
      <c r="W1773" s="87"/>
      <c r="X1773" s="91"/>
      <c r="Y1773" s="84"/>
      <c r="Z1773" s="97"/>
    </row>
    <row r="1774" spans="1:26" s="98" customFormat="1" x14ac:dyDescent="0.35">
      <c r="A1774" s="86">
        <v>1771</v>
      </c>
      <c r="B1774" s="85"/>
      <c r="C1774" s="87"/>
      <c r="D1774" s="85"/>
      <c r="E1774" s="84"/>
      <c r="F1774" s="85"/>
      <c r="G1774" s="87"/>
      <c r="H1774" s="87"/>
      <c r="I1774" s="87"/>
      <c r="J1774" s="101"/>
      <c r="K1774" s="87"/>
      <c r="L1774" s="91"/>
      <c r="M1774" s="91"/>
      <c r="N1774" s="88">
        <f>Goods_Receipt[[#This Row],[ Invoice. /
 Received Qty ]]-Goods_Receipt[[#This Row],[ Accepted Qty ]]</f>
        <v>0</v>
      </c>
      <c r="O1774" s="87"/>
      <c r="P1774" s="87"/>
      <c r="Q1774" s="87"/>
      <c r="R1774" s="87"/>
      <c r="S1774" s="87"/>
      <c r="T1774" s="85"/>
      <c r="U1774" s="89"/>
      <c r="V1774" s="90"/>
      <c r="W1774" s="87"/>
      <c r="X1774" s="91"/>
      <c r="Y1774" s="84"/>
      <c r="Z1774" s="97"/>
    </row>
    <row r="1775" spans="1:26" s="98" customFormat="1" x14ac:dyDescent="0.35">
      <c r="A1775" s="86">
        <v>1772</v>
      </c>
      <c r="B1775" s="85"/>
      <c r="C1775" s="87"/>
      <c r="D1775" s="85"/>
      <c r="E1775" s="84"/>
      <c r="F1775" s="85"/>
      <c r="G1775" s="87"/>
      <c r="H1775" s="87"/>
      <c r="I1775" s="87"/>
      <c r="J1775" s="101"/>
      <c r="K1775" s="87"/>
      <c r="L1775" s="91"/>
      <c r="M1775" s="91"/>
      <c r="N1775" s="88">
        <f>Goods_Receipt[[#This Row],[ Invoice. /
 Received Qty ]]-Goods_Receipt[[#This Row],[ Accepted Qty ]]</f>
        <v>0</v>
      </c>
      <c r="O1775" s="87"/>
      <c r="P1775" s="87"/>
      <c r="Q1775" s="87"/>
      <c r="R1775" s="87"/>
      <c r="S1775" s="87"/>
      <c r="T1775" s="85"/>
      <c r="U1775" s="89"/>
      <c r="V1775" s="90"/>
      <c r="W1775" s="87"/>
      <c r="X1775" s="91"/>
      <c r="Y1775" s="84"/>
      <c r="Z1775" s="97"/>
    </row>
    <row r="1776" spans="1:26" s="98" customFormat="1" x14ac:dyDescent="0.35">
      <c r="A1776" s="86">
        <v>1773</v>
      </c>
      <c r="B1776" s="85"/>
      <c r="C1776" s="87"/>
      <c r="D1776" s="85"/>
      <c r="E1776" s="84"/>
      <c r="F1776" s="85"/>
      <c r="G1776" s="87"/>
      <c r="H1776" s="87"/>
      <c r="I1776" s="87"/>
      <c r="J1776" s="101"/>
      <c r="K1776" s="87"/>
      <c r="L1776" s="91"/>
      <c r="M1776" s="91"/>
      <c r="N1776" s="88">
        <f>Goods_Receipt[[#This Row],[ Invoice. /
 Received Qty ]]-Goods_Receipt[[#This Row],[ Accepted Qty ]]</f>
        <v>0</v>
      </c>
      <c r="O1776" s="87"/>
      <c r="P1776" s="87"/>
      <c r="Q1776" s="87"/>
      <c r="R1776" s="87"/>
      <c r="S1776" s="87"/>
      <c r="T1776" s="85"/>
      <c r="U1776" s="89"/>
      <c r="V1776" s="90"/>
      <c r="W1776" s="87"/>
      <c r="X1776" s="91"/>
      <c r="Y1776" s="84"/>
      <c r="Z1776" s="97"/>
    </row>
    <row r="1777" spans="1:26" s="98" customFormat="1" x14ac:dyDescent="0.35">
      <c r="A1777" s="86">
        <v>1774</v>
      </c>
      <c r="B1777" s="85"/>
      <c r="C1777" s="87"/>
      <c r="D1777" s="85"/>
      <c r="E1777" s="84"/>
      <c r="F1777" s="85"/>
      <c r="G1777" s="87"/>
      <c r="H1777" s="87"/>
      <c r="I1777" s="87"/>
      <c r="J1777" s="101"/>
      <c r="K1777" s="87"/>
      <c r="L1777" s="91"/>
      <c r="M1777" s="91"/>
      <c r="N1777" s="88">
        <f>Goods_Receipt[[#This Row],[ Invoice. /
 Received Qty ]]-Goods_Receipt[[#This Row],[ Accepted Qty ]]</f>
        <v>0</v>
      </c>
      <c r="O1777" s="87"/>
      <c r="P1777" s="87"/>
      <c r="Q1777" s="87"/>
      <c r="R1777" s="87"/>
      <c r="S1777" s="87"/>
      <c r="T1777" s="85"/>
      <c r="U1777" s="89"/>
      <c r="V1777" s="90"/>
      <c r="W1777" s="87"/>
      <c r="X1777" s="91"/>
      <c r="Y1777" s="84"/>
      <c r="Z1777" s="97"/>
    </row>
    <row r="1778" spans="1:26" s="98" customFormat="1" x14ac:dyDescent="0.35">
      <c r="A1778" s="86">
        <v>1775</v>
      </c>
      <c r="B1778" s="85"/>
      <c r="C1778" s="87"/>
      <c r="D1778" s="85"/>
      <c r="E1778" s="84"/>
      <c r="F1778" s="85"/>
      <c r="G1778" s="87"/>
      <c r="H1778" s="87"/>
      <c r="I1778" s="87"/>
      <c r="J1778" s="101"/>
      <c r="K1778" s="87"/>
      <c r="L1778" s="91"/>
      <c r="M1778" s="91"/>
      <c r="N1778" s="88">
        <f>Goods_Receipt[[#This Row],[ Invoice. /
 Received Qty ]]-Goods_Receipt[[#This Row],[ Accepted Qty ]]</f>
        <v>0</v>
      </c>
      <c r="O1778" s="87"/>
      <c r="P1778" s="87"/>
      <c r="Q1778" s="87"/>
      <c r="R1778" s="87"/>
      <c r="S1778" s="87"/>
      <c r="T1778" s="85"/>
      <c r="U1778" s="89"/>
      <c r="V1778" s="90"/>
      <c r="W1778" s="87"/>
      <c r="X1778" s="91"/>
      <c r="Y1778" s="84"/>
      <c r="Z1778" s="97"/>
    </row>
    <row r="1779" spans="1:26" s="98" customFormat="1" x14ac:dyDescent="0.35">
      <c r="A1779" s="86">
        <v>1776</v>
      </c>
      <c r="B1779" s="85"/>
      <c r="C1779" s="87"/>
      <c r="D1779" s="85"/>
      <c r="E1779" s="84"/>
      <c r="F1779" s="85"/>
      <c r="G1779" s="87"/>
      <c r="H1779" s="87"/>
      <c r="I1779" s="87"/>
      <c r="J1779" s="101"/>
      <c r="K1779" s="87"/>
      <c r="L1779" s="91"/>
      <c r="M1779" s="91"/>
      <c r="N1779" s="88">
        <f>Goods_Receipt[[#This Row],[ Invoice. /
 Received Qty ]]-Goods_Receipt[[#This Row],[ Accepted Qty ]]</f>
        <v>0</v>
      </c>
      <c r="O1779" s="87"/>
      <c r="P1779" s="87"/>
      <c r="Q1779" s="87"/>
      <c r="R1779" s="87"/>
      <c r="S1779" s="87"/>
      <c r="T1779" s="85"/>
      <c r="U1779" s="89"/>
      <c r="V1779" s="90"/>
      <c r="W1779" s="87"/>
      <c r="X1779" s="91"/>
      <c r="Y1779" s="84"/>
      <c r="Z1779" s="97"/>
    </row>
    <row r="1780" spans="1:26" s="98" customFormat="1" x14ac:dyDescent="0.35">
      <c r="A1780" s="86">
        <v>1777</v>
      </c>
      <c r="B1780" s="85"/>
      <c r="C1780" s="87"/>
      <c r="D1780" s="85"/>
      <c r="E1780" s="84"/>
      <c r="F1780" s="85"/>
      <c r="G1780" s="87"/>
      <c r="H1780" s="87"/>
      <c r="I1780" s="87"/>
      <c r="J1780" s="101"/>
      <c r="K1780" s="87"/>
      <c r="L1780" s="91"/>
      <c r="M1780" s="91"/>
      <c r="N1780" s="88">
        <f>Goods_Receipt[[#This Row],[ Invoice. /
 Received Qty ]]-Goods_Receipt[[#This Row],[ Accepted Qty ]]</f>
        <v>0</v>
      </c>
      <c r="O1780" s="87"/>
      <c r="P1780" s="87"/>
      <c r="Q1780" s="87"/>
      <c r="R1780" s="87"/>
      <c r="S1780" s="87"/>
      <c r="T1780" s="85"/>
      <c r="U1780" s="89"/>
      <c r="V1780" s="90"/>
      <c r="W1780" s="87"/>
      <c r="X1780" s="91"/>
      <c r="Y1780" s="84"/>
      <c r="Z1780" s="97"/>
    </row>
    <row r="1781" spans="1:26" s="98" customFormat="1" x14ac:dyDescent="0.35">
      <c r="A1781" s="86">
        <v>1778</v>
      </c>
      <c r="B1781" s="85"/>
      <c r="C1781" s="87"/>
      <c r="D1781" s="85"/>
      <c r="E1781" s="84"/>
      <c r="F1781" s="85"/>
      <c r="G1781" s="87"/>
      <c r="H1781" s="87"/>
      <c r="I1781" s="87"/>
      <c r="J1781" s="101"/>
      <c r="K1781" s="87"/>
      <c r="L1781" s="91"/>
      <c r="M1781" s="91"/>
      <c r="N1781" s="88">
        <f>Goods_Receipt[[#This Row],[ Invoice. /
 Received Qty ]]-Goods_Receipt[[#This Row],[ Accepted Qty ]]</f>
        <v>0</v>
      </c>
      <c r="O1781" s="87"/>
      <c r="P1781" s="87"/>
      <c r="Q1781" s="87"/>
      <c r="R1781" s="87"/>
      <c r="S1781" s="87"/>
      <c r="T1781" s="85"/>
      <c r="U1781" s="89"/>
      <c r="V1781" s="90"/>
      <c r="W1781" s="87"/>
      <c r="X1781" s="91"/>
      <c r="Y1781" s="84"/>
      <c r="Z1781" s="97"/>
    </row>
    <row r="1782" spans="1:26" s="98" customFormat="1" x14ac:dyDescent="0.35">
      <c r="A1782" s="86">
        <v>1779</v>
      </c>
      <c r="B1782" s="85"/>
      <c r="C1782" s="87"/>
      <c r="D1782" s="85"/>
      <c r="E1782" s="84"/>
      <c r="F1782" s="85"/>
      <c r="G1782" s="87"/>
      <c r="H1782" s="87"/>
      <c r="I1782" s="87"/>
      <c r="J1782" s="101"/>
      <c r="K1782" s="87"/>
      <c r="L1782" s="91"/>
      <c r="M1782" s="91"/>
      <c r="N1782" s="88">
        <f>Goods_Receipt[[#This Row],[ Invoice. /
 Received Qty ]]-Goods_Receipt[[#This Row],[ Accepted Qty ]]</f>
        <v>0</v>
      </c>
      <c r="O1782" s="87"/>
      <c r="P1782" s="87"/>
      <c r="Q1782" s="87"/>
      <c r="R1782" s="87"/>
      <c r="S1782" s="87"/>
      <c r="T1782" s="85"/>
      <c r="U1782" s="89"/>
      <c r="V1782" s="90"/>
      <c r="W1782" s="87"/>
      <c r="X1782" s="91"/>
      <c r="Y1782" s="84"/>
      <c r="Z1782" s="97"/>
    </row>
    <row r="1783" spans="1:26" s="98" customFormat="1" x14ac:dyDescent="0.35">
      <c r="A1783" s="86">
        <v>1780</v>
      </c>
      <c r="B1783" s="85"/>
      <c r="C1783" s="87"/>
      <c r="D1783" s="85"/>
      <c r="E1783" s="84"/>
      <c r="F1783" s="85"/>
      <c r="G1783" s="87"/>
      <c r="H1783" s="87"/>
      <c r="I1783" s="87"/>
      <c r="J1783" s="101"/>
      <c r="K1783" s="87"/>
      <c r="L1783" s="91"/>
      <c r="M1783" s="91"/>
      <c r="N1783" s="88">
        <f>Goods_Receipt[[#This Row],[ Invoice. /
 Received Qty ]]-Goods_Receipt[[#This Row],[ Accepted Qty ]]</f>
        <v>0</v>
      </c>
      <c r="O1783" s="87"/>
      <c r="P1783" s="87"/>
      <c r="Q1783" s="87"/>
      <c r="R1783" s="87"/>
      <c r="S1783" s="87"/>
      <c r="T1783" s="85"/>
      <c r="U1783" s="89"/>
      <c r="V1783" s="90"/>
      <c r="W1783" s="87"/>
      <c r="X1783" s="91"/>
      <c r="Y1783" s="84"/>
      <c r="Z1783" s="97"/>
    </row>
    <row r="1784" spans="1:26" s="98" customFormat="1" x14ac:dyDescent="0.35">
      <c r="A1784" s="86">
        <v>1781</v>
      </c>
      <c r="B1784" s="85"/>
      <c r="C1784" s="87"/>
      <c r="D1784" s="85"/>
      <c r="E1784" s="84"/>
      <c r="F1784" s="85"/>
      <c r="G1784" s="87"/>
      <c r="H1784" s="87"/>
      <c r="I1784" s="87"/>
      <c r="J1784" s="101"/>
      <c r="K1784" s="87"/>
      <c r="L1784" s="91"/>
      <c r="M1784" s="91"/>
      <c r="N1784" s="88">
        <f>Goods_Receipt[[#This Row],[ Invoice. /
 Received Qty ]]-Goods_Receipt[[#This Row],[ Accepted Qty ]]</f>
        <v>0</v>
      </c>
      <c r="O1784" s="87"/>
      <c r="P1784" s="87"/>
      <c r="Q1784" s="87"/>
      <c r="R1784" s="87"/>
      <c r="S1784" s="87"/>
      <c r="T1784" s="85"/>
      <c r="U1784" s="89"/>
      <c r="V1784" s="90"/>
      <c r="W1784" s="87"/>
      <c r="X1784" s="91"/>
      <c r="Y1784" s="84"/>
      <c r="Z1784" s="97"/>
    </row>
    <row r="1785" spans="1:26" s="98" customFormat="1" x14ac:dyDescent="0.35">
      <c r="A1785" s="86">
        <v>1782</v>
      </c>
      <c r="B1785" s="85"/>
      <c r="C1785" s="87"/>
      <c r="D1785" s="85"/>
      <c r="E1785" s="84"/>
      <c r="F1785" s="85"/>
      <c r="G1785" s="87"/>
      <c r="H1785" s="87"/>
      <c r="I1785" s="87"/>
      <c r="J1785" s="101"/>
      <c r="K1785" s="87"/>
      <c r="L1785" s="91"/>
      <c r="M1785" s="91"/>
      <c r="N1785" s="88">
        <f>Goods_Receipt[[#This Row],[ Invoice. /
 Received Qty ]]-Goods_Receipt[[#This Row],[ Accepted Qty ]]</f>
        <v>0</v>
      </c>
      <c r="O1785" s="87"/>
      <c r="P1785" s="87"/>
      <c r="Q1785" s="87"/>
      <c r="R1785" s="87"/>
      <c r="S1785" s="87"/>
      <c r="T1785" s="85"/>
      <c r="U1785" s="89"/>
      <c r="V1785" s="90"/>
      <c r="W1785" s="87"/>
      <c r="X1785" s="91"/>
      <c r="Y1785" s="84"/>
      <c r="Z1785" s="97"/>
    </row>
    <row r="1786" spans="1:26" s="98" customFormat="1" x14ac:dyDescent="0.35">
      <c r="A1786" s="86">
        <v>1783</v>
      </c>
      <c r="B1786" s="85"/>
      <c r="C1786" s="87"/>
      <c r="D1786" s="85"/>
      <c r="E1786" s="84"/>
      <c r="F1786" s="85"/>
      <c r="G1786" s="87"/>
      <c r="H1786" s="87"/>
      <c r="I1786" s="87"/>
      <c r="J1786" s="101"/>
      <c r="K1786" s="87"/>
      <c r="L1786" s="91"/>
      <c r="M1786" s="91"/>
      <c r="N1786" s="88">
        <f>Goods_Receipt[[#This Row],[ Invoice. /
 Received Qty ]]-Goods_Receipt[[#This Row],[ Accepted Qty ]]</f>
        <v>0</v>
      </c>
      <c r="O1786" s="87"/>
      <c r="P1786" s="87"/>
      <c r="Q1786" s="87"/>
      <c r="R1786" s="87"/>
      <c r="S1786" s="87"/>
      <c r="T1786" s="85"/>
      <c r="U1786" s="89"/>
      <c r="V1786" s="90"/>
      <c r="W1786" s="87"/>
      <c r="X1786" s="91"/>
      <c r="Y1786" s="84"/>
      <c r="Z1786" s="97"/>
    </row>
    <row r="1787" spans="1:26" s="98" customFormat="1" x14ac:dyDescent="0.35">
      <c r="A1787" s="86">
        <v>1784</v>
      </c>
      <c r="B1787" s="85"/>
      <c r="C1787" s="87"/>
      <c r="D1787" s="85"/>
      <c r="E1787" s="84"/>
      <c r="F1787" s="85"/>
      <c r="G1787" s="87"/>
      <c r="H1787" s="87"/>
      <c r="I1787" s="87"/>
      <c r="J1787" s="101"/>
      <c r="K1787" s="87"/>
      <c r="L1787" s="91"/>
      <c r="M1787" s="91"/>
      <c r="N1787" s="88">
        <f>Goods_Receipt[[#This Row],[ Invoice. /
 Received Qty ]]-Goods_Receipt[[#This Row],[ Accepted Qty ]]</f>
        <v>0</v>
      </c>
      <c r="O1787" s="87"/>
      <c r="P1787" s="87"/>
      <c r="Q1787" s="87"/>
      <c r="R1787" s="87"/>
      <c r="S1787" s="87"/>
      <c r="T1787" s="85"/>
      <c r="U1787" s="89"/>
      <c r="V1787" s="90"/>
      <c r="W1787" s="87"/>
      <c r="X1787" s="91"/>
      <c r="Y1787" s="84"/>
      <c r="Z1787" s="97"/>
    </row>
    <row r="1788" spans="1:26" s="98" customFormat="1" x14ac:dyDescent="0.35">
      <c r="A1788" s="86">
        <v>1785</v>
      </c>
      <c r="B1788" s="85"/>
      <c r="C1788" s="87"/>
      <c r="D1788" s="85"/>
      <c r="E1788" s="84"/>
      <c r="F1788" s="85"/>
      <c r="G1788" s="87"/>
      <c r="H1788" s="87"/>
      <c r="I1788" s="87"/>
      <c r="J1788" s="101"/>
      <c r="K1788" s="87"/>
      <c r="L1788" s="91"/>
      <c r="M1788" s="91"/>
      <c r="N1788" s="88">
        <f>Goods_Receipt[[#This Row],[ Invoice. /
 Received Qty ]]-Goods_Receipt[[#This Row],[ Accepted Qty ]]</f>
        <v>0</v>
      </c>
      <c r="O1788" s="87"/>
      <c r="P1788" s="87"/>
      <c r="Q1788" s="87"/>
      <c r="R1788" s="87"/>
      <c r="S1788" s="87"/>
      <c r="T1788" s="85"/>
      <c r="U1788" s="89"/>
      <c r="V1788" s="90"/>
      <c r="W1788" s="87"/>
      <c r="X1788" s="91"/>
      <c r="Y1788" s="84"/>
      <c r="Z1788" s="97"/>
    </row>
    <row r="1789" spans="1:26" s="98" customFormat="1" x14ac:dyDescent="0.35">
      <c r="A1789" s="86">
        <v>1786</v>
      </c>
      <c r="B1789" s="85"/>
      <c r="C1789" s="87"/>
      <c r="D1789" s="85"/>
      <c r="E1789" s="84"/>
      <c r="F1789" s="85"/>
      <c r="G1789" s="87"/>
      <c r="H1789" s="87"/>
      <c r="I1789" s="87"/>
      <c r="J1789" s="101"/>
      <c r="K1789" s="87"/>
      <c r="L1789" s="91"/>
      <c r="M1789" s="91"/>
      <c r="N1789" s="88">
        <f>Goods_Receipt[[#This Row],[ Invoice. /
 Received Qty ]]-Goods_Receipt[[#This Row],[ Accepted Qty ]]</f>
        <v>0</v>
      </c>
      <c r="O1789" s="87"/>
      <c r="P1789" s="87"/>
      <c r="Q1789" s="87"/>
      <c r="R1789" s="87"/>
      <c r="S1789" s="87"/>
      <c r="T1789" s="85"/>
      <c r="U1789" s="89"/>
      <c r="V1789" s="90"/>
      <c r="W1789" s="87"/>
      <c r="X1789" s="91"/>
      <c r="Y1789" s="84"/>
      <c r="Z1789" s="97"/>
    </row>
    <row r="1790" spans="1:26" s="98" customFormat="1" x14ac:dyDescent="0.35">
      <c r="A1790" s="86">
        <v>1787</v>
      </c>
      <c r="B1790" s="85"/>
      <c r="C1790" s="87"/>
      <c r="D1790" s="85"/>
      <c r="E1790" s="84"/>
      <c r="F1790" s="85"/>
      <c r="G1790" s="87"/>
      <c r="H1790" s="87"/>
      <c r="I1790" s="87"/>
      <c r="J1790" s="101"/>
      <c r="K1790" s="87"/>
      <c r="L1790" s="91"/>
      <c r="M1790" s="91"/>
      <c r="N1790" s="88">
        <f>Goods_Receipt[[#This Row],[ Invoice. /
 Received Qty ]]-Goods_Receipt[[#This Row],[ Accepted Qty ]]</f>
        <v>0</v>
      </c>
      <c r="O1790" s="87"/>
      <c r="P1790" s="87"/>
      <c r="Q1790" s="87"/>
      <c r="R1790" s="87"/>
      <c r="S1790" s="87"/>
      <c r="T1790" s="85"/>
      <c r="U1790" s="89"/>
      <c r="V1790" s="90"/>
      <c r="W1790" s="87"/>
      <c r="X1790" s="91"/>
      <c r="Y1790" s="84"/>
      <c r="Z1790" s="97"/>
    </row>
    <row r="1791" spans="1:26" s="98" customFormat="1" x14ac:dyDescent="0.35">
      <c r="A1791" s="86">
        <v>1788</v>
      </c>
      <c r="B1791" s="85"/>
      <c r="C1791" s="87"/>
      <c r="D1791" s="85"/>
      <c r="E1791" s="84"/>
      <c r="F1791" s="85"/>
      <c r="G1791" s="87"/>
      <c r="H1791" s="87"/>
      <c r="I1791" s="87"/>
      <c r="J1791" s="101"/>
      <c r="K1791" s="87"/>
      <c r="L1791" s="91"/>
      <c r="M1791" s="91"/>
      <c r="N1791" s="88">
        <f>Goods_Receipt[[#This Row],[ Invoice. /
 Received Qty ]]-Goods_Receipt[[#This Row],[ Accepted Qty ]]</f>
        <v>0</v>
      </c>
      <c r="O1791" s="87"/>
      <c r="P1791" s="87"/>
      <c r="Q1791" s="87"/>
      <c r="R1791" s="87"/>
      <c r="S1791" s="87"/>
      <c r="T1791" s="85"/>
      <c r="U1791" s="89"/>
      <c r="V1791" s="90"/>
      <c r="W1791" s="87"/>
      <c r="X1791" s="91"/>
      <c r="Y1791" s="84"/>
      <c r="Z1791" s="97"/>
    </row>
    <row r="1792" spans="1:26" s="98" customFormat="1" x14ac:dyDescent="0.35">
      <c r="A1792" s="86">
        <v>1789</v>
      </c>
      <c r="B1792" s="85"/>
      <c r="C1792" s="87"/>
      <c r="D1792" s="85"/>
      <c r="E1792" s="84"/>
      <c r="F1792" s="85"/>
      <c r="G1792" s="87"/>
      <c r="H1792" s="87"/>
      <c r="I1792" s="87"/>
      <c r="J1792" s="101"/>
      <c r="K1792" s="87"/>
      <c r="L1792" s="91"/>
      <c r="M1792" s="91"/>
      <c r="N1792" s="88">
        <f>Goods_Receipt[[#This Row],[ Invoice. /
 Received Qty ]]-Goods_Receipt[[#This Row],[ Accepted Qty ]]</f>
        <v>0</v>
      </c>
      <c r="O1792" s="87"/>
      <c r="P1792" s="87"/>
      <c r="Q1792" s="87"/>
      <c r="R1792" s="87"/>
      <c r="S1792" s="87"/>
      <c r="T1792" s="85"/>
      <c r="U1792" s="89"/>
      <c r="V1792" s="90"/>
      <c r="W1792" s="87"/>
      <c r="X1792" s="91"/>
      <c r="Y1792" s="84"/>
      <c r="Z1792" s="97"/>
    </row>
    <row r="1793" spans="1:27" s="98" customFormat="1" x14ac:dyDescent="0.35">
      <c r="A1793" s="86">
        <v>1790</v>
      </c>
      <c r="B1793" s="85"/>
      <c r="C1793" s="87"/>
      <c r="D1793" s="85"/>
      <c r="E1793" s="84"/>
      <c r="F1793" s="85"/>
      <c r="G1793" s="87"/>
      <c r="H1793" s="87"/>
      <c r="I1793" s="87"/>
      <c r="J1793" s="101"/>
      <c r="K1793" s="87"/>
      <c r="L1793" s="91"/>
      <c r="M1793" s="91"/>
      <c r="N1793" s="88">
        <f>Goods_Receipt[[#This Row],[ Invoice. /
 Received Qty ]]-Goods_Receipt[[#This Row],[ Accepted Qty ]]</f>
        <v>0</v>
      </c>
      <c r="O1793" s="87"/>
      <c r="P1793" s="87"/>
      <c r="Q1793" s="87"/>
      <c r="R1793" s="87"/>
      <c r="S1793" s="87"/>
      <c r="T1793" s="85"/>
      <c r="U1793" s="89"/>
      <c r="V1793" s="90"/>
      <c r="W1793" s="87"/>
      <c r="X1793" s="91"/>
      <c r="Y1793" s="84"/>
      <c r="Z1793" s="97"/>
    </row>
    <row r="1794" spans="1:27" s="98" customFormat="1" x14ac:dyDescent="0.35">
      <c r="A1794" s="86">
        <v>1791</v>
      </c>
      <c r="B1794" s="85"/>
      <c r="C1794" s="87"/>
      <c r="D1794" s="85"/>
      <c r="E1794" s="84"/>
      <c r="F1794" s="85"/>
      <c r="G1794" s="87"/>
      <c r="H1794" s="87"/>
      <c r="I1794" s="87"/>
      <c r="J1794" s="101"/>
      <c r="K1794" s="87"/>
      <c r="L1794" s="91"/>
      <c r="M1794" s="91"/>
      <c r="N1794" s="88">
        <f>Goods_Receipt[[#This Row],[ Invoice. /
 Received Qty ]]-Goods_Receipt[[#This Row],[ Accepted Qty ]]</f>
        <v>0</v>
      </c>
      <c r="O1794" s="87"/>
      <c r="P1794" s="87"/>
      <c r="Q1794" s="87"/>
      <c r="R1794" s="87"/>
      <c r="S1794" s="87"/>
      <c r="T1794" s="85"/>
      <c r="U1794" s="89"/>
      <c r="V1794" s="90"/>
      <c r="W1794" s="87"/>
      <c r="X1794" s="91"/>
      <c r="Y1794" s="84"/>
      <c r="Z1794" s="97"/>
    </row>
    <row r="1795" spans="1:27" s="98" customFormat="1" x14ac:dyDescent="0.35">
      <c r="A1795" s="86">
        <v>1792</v>
      </c>
      <c r="B1795" s="85"/>
      <c r="C1795" s="87"/>
      <c r="D1795" s="85"/>
      <c r="E1795" s="84"/>
      <c r="F1795" s="85"/>
      <c r="G1795" s="87"/>
      <c r="H1795" s="87"/>
      <c r="I1795" s="87"/>
      <c r="J1795" s="101"/>
      <c r="K1795" s="87"/>
      <c r="L1795" s="91"/>
      <c r="M1795" s="91"/>
      <c r="N1795" s="88">
        <f>Goods_Receipt[[#This Row],[ Invoice. /
 Received Qty ]]-Goods_Receipt[[#This Row],[ Accepted Qty ]]</f>
        <v>0</v>
      </c>
      <c r="O1795" s="87"/>
      <c r="P1795" s="87"/>
      <c r="Q1795" s="87"/>
      <c r="R1795" s="87"/>
      <c r="S1795" s="87"/>
      <c r="T1795" s="85"/>
      <c r="U1795" s="89"/>
      <c r="V1795" s="90"/>
      <c r="W1795" s="87"/>
      <c r="X1795" s="91"/>
      <c r="Y1795" s="84"/>
      <c r="Z1795" s="97"/>
    </row>
    <row r="1796" spans="1:27" s="98" customFormat="1" x14ac:dyDescent="0.35">
      <c r="A1796" s="86">
        <v>1793</v>
      </c>
      <c r="B1796" s="85"/>
      <c r="C1796" s="87"/>
      <c r="D1796" s="85"/>
      <c r="E1796" s="84"/>
      <c r="F1796" s="85"/>
      <c r="G1796" s="87"/>
      <c r="H1796" s="87"/>
      <c r="I1796" s="87"/>
      <c r="J1796" s="101"/>
      <c r="K1796" s="87"/>
      <c r="L1796" s="91"/>
      <c r="M1796" s="91"/>
      <c r="N1796" s="88">
        <f>Goods_Receipt[[#This Row],[ Invoice. /
 Received Qty ]]-Goods_Receipt[[#This Row],[ Accepted Qty ]]</f>
        <v>0</v>
      </c>
      <c r="O1796" s="87"/>
      <c r="P1796" s="87"/>
      <c r="Q1796" s="87"/>
      <c r="R1796" s="87"/>
      <c r="S1796" s="87"/>
      <c r="T1796" s="85"/>
      <c r="U1796" s="89"/>
      <c r="V1796" s="90"/>
      <c r="W1796" s="87"/>
      <c r="X1796" s="91"/>
      <c r="Y1796" s="84"/>
      <c r="Z1796" s="97"/>
    </row>
    <row r="1797" spans="1:27" s="98" customFormat="1" x14ac:dyDescent="0.35">
      <c r="A1797" s="86">
        <v>1794</v>
      </c>
      <c r="B1797" s="85"/>
      <c r="C1797" s="87"/>
      <c r="D1797" s="85"/>
      <c r="E1797" s="84"/>
      <c r="F1797" s="85"/>
      <c r="G1797" s="87"/>
      <c r="H1797" s="87"/>
      <c r="I1797" s="87"/>
      <c r="J1797" s="101"/>
      <c r="K1797" s="87"/>
      <c r="L1797" s="91"/>
      <c r="M1797" s="91"/>
      <c r="N1797" s="88">
        <f>Goods_Receipt[[#This Row],[ Invoice. /
 Received Qty ]]-Goods_Receipt[[#This Row],[ Accepted Qty ]]</f>
        <v>0</v>
      </c>
      <c r="O1797" s="87"/>
      <c r="P1797" s="87"/>
      <c r="Q1797" s="87"/>
      <c r="R1797" s="87"/>
      <c r="S1797" s="87"/>
      <c r="T1797" s="85"/>
      <c r="U1797" s="89"/>
      <c r="V1797" s="90"/>
      <c r="W1797" s="87"/>
      <c r="X1797" s="91"/>
      <c r="Y1797" s="84"/>
      <c r="Z1797" s="97"/>
    </row>
    <row r="1798" spans="1:27" s="98" customFormat="1" x14ac:dyDescent="0.35">
      <c r="A1798" s="86">
        <v>1795</v>
      </c>
      <c r="B1798" s="85"/>
      <c r="C1798" s="87"/>
      <c r="D1798" s="85"/>
      <c r="E1798" s="84"/>
      <c r="F1798" s="85"/>
      <c r="G1798" s="87"/>
      <c r="H1798" s="87"/>
      <c r="I1798" s="87"/>
      <c r="J1798" s="101"/>
      <c r="K1798" s="87"/>
      <c r="L1798" s="91"/>
      <c r="M1798" s="91"/>
      <c r="N1798" s="88">
        <f>Goods_Receipt[[#This Row],[ Invoice. /
 Received Qty ]]-Goods_Receipt[[#This Row],[ Accepted Qty ]]</f>
        <v>0</v>
      </c>
      <c r="O1798" s="87"/>
      <c r="P1798" s="87"/>
      <c r="Q1798" s="87"/>
      <c r="R1798" s="87"/>
      <c r="S1798" s="87"/>
      <c r="T1798" s="85"/>
      <c r="U1798" s="89"/>
      <c r="V1798" s="90"/>
      <c r="W1798" s="87"/>
      <c r="X1798" s="91"/>
      <c r="Y1798" s="84"/>
      <c r="Z1798" s="97"/>
    </row>
    <row r="1799" spans="1:27" s="98" customFormat="1" x14ac:dyDescent="0.35">
      <c r="A1799" s="86">
        <v>1796</v>
      </c>
      <c r="B1799" s="85"/>
      <c r="C1799" s="87"/>
      <c r="D1799" s="85"/>
      <c r="E1799" s="84"/>
      <c r="F1799" s="85"/>
      <c r="G1799" s="87"/>
      <c r="H1799" s="87"/>
      <c r="I1799" s="87"/>
      <c r="J1799" s="101"/>
      <c r="K1799" s="87"/>
      <c r="L1799" s="91"/>
      <c r="M1799" s="91"/>
      <c r="N1799" s="88">
        <f>Goods_Receipt[[#This Row],[ Invoice. /
 Received Qty ]]-Goods_Receipt[[#This Row],[ Accepted Qty ]]</f>
        <v>0</v>
      </c>
      <c r="O1799" s="87"/>
      <c r="P1799" s="87"/>
      <c r="Q1799" s="87"/>
      <c r="R1799" s="87"/>
      <c r="S1799" s="87"/>
      <c r="T1799" s="85"/>
      <c r="U1799" s="89"/>
      <c r="V1799" s="90"/>
      <c r="W1799" s="87"/>
      <c r="X1799" s="91"/>
      <c r="Y1799" s="84"/>
      <c r="Z1799" s="97"/>
    </row>
    <row r="1800" spans="1:27" s="98" customFormat="1" x14ac:dyDescent="0.35">
      <c r="A1800" s="86">
        <v>1797</v>
      </c>
      <c r="B1800" s="85"/>
      <c r="C1800" s="87"/>
      <c r="D1800" s="85"/>
      <c r="E1800" s="84"/>
      <c r="F1800" s="85"/>
      <c r="G1800" s="87"/>
      <c r="H1800" s="87"/>
      <c r="I1800" s="87"/>
      <c r="J1800" s="101"/>
      <c r="K1800" s="87"/>
      <c r="L1800" s="91"/>
      <c r="M1800" s="91"/>
      <c r="N1800" s="88">
        <f>Goods_Receipt[[#This Row],[ Invoice. /
 Received Qty ]]-Goods_Receipt[[#This Row],[ Accepted Qty ]]</f>
        <v>0</v>
      </c>
      <c r="O1800" s="87"/>
      <c r="P1800" s="87"/>
      <c r="Q1800" s="87"/>
      <c r="R1800" s="87"/>
      <c r="S1800" s="87"/>
      <c r="T1800" s="85"/>
      <c r="U1800" s="89"/>
      <c r="V1800" s="90"/>
      <c r="W1800" s="87"/>
      <c r="X1800" s="91"/>
      <c r="Y1800" s="84"/>
      <c r="Z1800" s="97"/>
    </row>
    <row r="1801" spans="1:27" s="98" customFormat="1" x14ac:dyDescent="0.35">
      <c r="A1801" s="86">
        <v>1798</v>
      </c>
      <c r="B1801" s="85"/>
      <c r="C1801" s="87"/>
      <c r="D1801" s="85"/>
      <c r="E1801" s="84"/>
      <c r="F1801" s="85"/>
      <c r="G1801" s="87"/>
      <c r="H1801" s="87"/>
      <c r="I1801" s="87"/>
      <c r="J1801" s="101"/>
      <c r="K1801" s="87"/>
      <c r="L1801" s="91"/>
      <c r="M1801" s="91"/>
      <c r="N1801" s="88">
        <f>Goods_Receipt[[#This Row],[ Invoice. /
 Received Qty ]]-Goods_Receipt[[#This Row],[ Accepted Qty ]]</f>
        <v>0</v>
      </c>
      <c r="O1801" s="87"/>
      <c r="P1801" s="87"/>
      <c r="Q1801" s="87"/>
      <c r="R1801" s="87"/>
      <c r="S1801" s="87"/>
      <c r="T1801" s="85"/>
      <c r="U1801" s="89"/>
      <c r="V1801" s="90"/>
      <c r="W1801" s="87"/>
      <c r="X1801" s="91"/>
      <c r="Y1801" s="84"/>
      <c r="Z1801" s="97"/>
    </row>
    <row r="1802" spans="1:27" s="98" customFormat="1" x14ac:dyDescent="0.35">
      <c r="A1802" s="5"/>
      <c r="B1802" s="5"/>
      <c r="C1802" s="5"/>
      <c r="D1802" s="5"/>
      <c r="E1802" s="5"/>
      <c r="F1802" s="5"/>
      <c r="G1802" s="5"/>
      <c r="H1802" s="5"/>
      <c r="I1802" s="5"/>
      <c r="J1802" s="102"/>
      <c r="K1802" s="5"/>
      <c r="L1802" s="5"/>
      <c r="M1802" s="5"/>
      <c r="N1802" s="5"/>
      <c r="O1802" s="5"/>
      <c r="P1802" s="5"/>
      <c r="Q1802" s="9"/>
      <c r="R1802" s="5"/>
      <c r="S1802" s="5"/>
      <c r="T1802" s="5"/>
      <c r="U1802" s="5"/>
      <c r="V1802" s="5"/>
      <c r="W1802" s="5"/>
      <c r="X1802" s="8"/>
      <c r="Y1802" s="105"/>
      <c r="Z1802" s="5"/>
    </row>
    <row r="1803" spans="1:27" x14ac:dyDescent="0.35">
      <c r="AA1803" s="5"/>
    </row>
    <row r="1804" spans="1:27" x14ac:dyDescent="0.35">
      <c r="AA1804" s="5"/>
    </row>
    <row r="1805" spans="1:27" x14ac:dyDescent="0.35">
      <c r="AA1805" s="5"/>
    </row>
    <row r="1806" spans="1:27" x14ac:dyDescent="0.35">
      <c r="AA1806" s="5"/>
    </row>
    <row r="1807" spans="1:27" x14ac:dyDescent="0.35">
      <c r="AA1807" s="5"/>
    </row>
    <row r="1808" spans="1:27" x14ac:dyDescent="0.35">
      <c r="AA1808" s="5"/>
    </row>
    <row r="1809" spans="27:27" x14ac:dyDescent="0.35">
      <c r="AA1809" s="5"/>
    </row>
    <row r="1810" spans="27:27" x14ac:dyDescent="0.35">
      <c r="AA1810" s="5"/>
    </row>
    <row r="1811" spans="27:27" x14ac:dyDescent="0.35">
      <c r="AA1811" s="5"/>
    </row>
    <row r="1812" spans="27:27" x14ac:dyDescent="0.35">
      <c r="AA1812" s="5"/>
    </row>
    <row r="1813" spans="27:27" x14ac:dyDescent="0.35">
      <c r="AA1813" s="5"/>
    </row>
    <row r="1814" spans="27:27" x14ac:dyDescent="0.35">
      <c r="AA1814" s="5"/>
    </row>
    <row r="1815" spans="27:27" x14ac:dyDescent="0.35">
      <c r="AA1815" s="5"/>
    </row>
    <row r="1816" spans="27:27" x14ac:dyDescent="0.35">
      <c r="AA1816" s="5"/>
    </row>
    <row r="1817" spans="27:27" x14ac:dyDescent="0.35">
      <c r="AA1817" s="5"/>
    </row>
    <row r="1818" spans="27:27" x14ac:dyDescent="0.35">
      <c r="AA1818" s="5"/>
    </row>
    <row r="1819" spans="27:27" x14ac:dyDescent="0.35">
      <c r="AA1819" s="5"/>
    </row>
    <row r="1820" spans="27:27" x14ac:dyDescent="0.35">
      <c r="AA1820" s="5"/>
    </row>
    <row r="1821" spans="27:27" x14ac:dyDescent="0.35">
      <c r="AA1821" s="5"/>
    </row>
    <row r="1822" spans="27:27" x14ac:dyDescent="0.35">
      <c r="AA1822" s="5"/>
    </row>
  </sheetData>
  <sheetProtection selectLockedCells="1" selectUnlockedCells="1"/>
  <protectedRanges>
    <protectedRange algorithmName="SHA-512" hashValue="kQSsQ9ZpERSEN8CGoLYw9I+mWPgUKPpg4XFqtTpBv9zfTaSg2LQw2sHpyO8ouoe6rFKFm+qaUHNdBCkg5jULnA==" saltValue="VZxQIM9wRyDHiQ6GPRKFMQ==" spinCount="100000" sqref="N4:N71 N73:N74 N76:N1801" name="Range1"/>
  </protectedRanges>
  <mergeCells count="1">
    <mergeCell ref="A1:Z1"/>
  </mergeCells>
  <conditionalFormatting sqref="N3:N71 N73:N74 N76:N1801">
    <cfRule type="colorScale" priority="1">
      <colorScale>
        <cfvo type="num" val="-1"/>
        <cfvo type="num" val="0"/>
        <color rgb="FF99FF99"/>
        <color theme="0"/>
      </colorScale>
    </cfRule>
    <cfRule type="cellIs" dxfId="2" priority="2" operator="lessThan">
      <formula>0</formula>
    </cfRule>
  </conditionalFormatting>
  <conditionalFormatting sqref="N4:N71 N73:N74 N76:N1801">
    <cfRule type="colorScale" priority="6">
      <colorScale>
        <cfvo type="num" val="-1"/>
        <cfvo type="num" val="0"/>
        <cfvo type="num" val="1"/>
        <color theme="5" tint="0.79998168889431442"/>
        <color theme="9" tint="0.79998168889431442"/>
        <color theme="4" tint="0.59999389629810485"/>
      </colorScale>
    </cfRule>
  </conditionalFormatting>
  <conditionalFormatting sqref="W3:X71 W73:X74 W76:X126 W128:X164 X165:X175 W166:W174 W176:X361 X362 W363:X366 X367 W368:X1801 Z1802:Z1048576 AA1823:AA1048576">
    <cfRule type="expression" dxfId="1" priority="9">
      <formula>$AC$3="Hide"</formula>
    </cfRule>
    <cfRule type="expression" dxfId="0" priority="10">
      <formula>$AC$3="Hide Rate"</formula>
    </cfRule>
  </conditionalFormatting>
  <dataValidations count="15">
    <dataValidation type="date" operator="greaterThan" showInputMessage="1" showErrorMessage="1" sqref="D4:D133 D166:D1801" xr:uid="{49F0C436-13ED-4B52-96BA-FD29133BA7CF}">
      <formula1>35431</formula1>
    </dataValidation>
    <dataValidation type="whole" operator="greaterThan" showInputMessage="1" showErrorMessage="1" errorTitle="Serial number missing" sqref="A4:A1801" xr:uid="{AF84DD8C-49A9-49D3-A44B-4BEB4854CC29}">
      <formula1>0</formula1>
    </dataValidation>
    <dataValidation type="date" operator="greaterThan" showInputMessage="1" showErrorMessage="1" errorTitle="date/Months/year" promptTitle="Received date" sqref="B4:B71 B73:B74 B76:B1801" xr:uid="{92A6BFD0-6208-4831-86DA-B647586316EF}">
      <formula1>35668</formula1>
    </dataValidation>
    <dataValidation type="list" showInputMessage="1" showErrorMessage="1" errorTitle="Select from the List" sqref="H4:H71 H73:H74 H76:H1801" xr:uid="{0C32D534-A7BB-4111-A465-48B54C4E6D84}">
      <formula1>Catagory</formula1>
    </dataValidation>
    <dataValidation type="list" showInputMessage="1" showErrorMessage="1" sqref="K4:K71 K73:K74 K76:K1801" xr:uid="{6FCA4A73-C692-4137-AC03-64A8C9827CE3}">
      <formula1>Unit</formula1>
    </dataValidation>
    <dataValidation type="custom" allowBlank="1" showErrorMessage="1" sqref="N76:N85 N88:N160 N164:N214 N217:N270 N275:N1048576 N50:N69 N1:N45" xr:uid="{A6D6F378-C89C-4E3D-8F13-6B0D8349230E}">
      <formula1>$L3-$M3</formula1>
    </dataValidation>
    <dataValidation type="custom" allowBlank="1" showErrorMessage="1" sqref="N87" xr:uid="{2F069441-50E2-4576-B051-F2D7F5E09A36}">
      <formula1>#REF!-#REF!</formula1>
    </dataValidation>
    <dataValidation type="custom" allowBlank="1" showErrorMessage="1" sqref="N70:N71 N73:N74 N161:N163" xr:uid="{B6DE3B1D-07C1-4941-B61E-56781757498F}">
      <formula1>$L73-$M73</formula1>
    </dataValidation>
    <dataValidation type="custom" allowBlank="1" showErrorMessage="1" sqref="N86" xr:uid="{6625860B-23CD-47F9-B90A-9613FB73B947}">
      <formula1>#REF!-#REF!</formula1>
    </dataValidation>
    <dataValidation type="date" operator="greaterThan" allowBlank="1" showInputMessage="1" showErrorMessage="1" errorTitle="Date/Month/Year" sqref="F4:F1801" xr:uid="{2BCC4E26-12FD-42DD-834E-D056F276C18E}">
      <formula1>35651</formula1>
    </dataValidation>
    <dataValidation type="list" showInputMessage="1" showErrorMessage="1" sqref="J3:J1801" xr:uid="{7A0CE83A-12E6-40C9-AA78-AC4951F55502}">
      <formula1>INDIRECT(I3)</formula1>
    </dataValidation>
    <dataValidation type="custom" allowBlank="1" showErrorMessage="1" sqref="N216" xr:uid="{8C2C1E11-E2BE-45F9-ADFE-E1CEA21F768B}">
      <formula1>$L217-$M217</formula1>
    </dataValidation>
    <dataValidation type="custom" allowBlank="1" showErrorMessage="1" sqref="N215" xr:uid="{1C45AC0A-0331-4012-9F65-4FE63F4AD42B}">
      <formula1>#REF!-#REF!</formula1>
    </dataValidation>
    <dataValidation type="custom" allowBlank="1" showErrorMessage="1" sqref="N271:N272 N46:N49" xr:uid="{CCDD6EAD-E0E7-47B3-8046-601AD5F00186}">
      <formula1>$L50-$M50</formula1>
    </dataValidation>
    <dataValidation type="custom" allowBlank="1" showErrorMessage="1" sqref="N273:N274" xr:uid="{929D4B32-410A-4425-8A9C-874D6307CFDB}">
      <formula1>#REF!-#REF!</formula1>
    </dataValidation>
  </dataValidations>
  <pageMargins left="0.70866141732283472" right="0.70866141732283472" top="0.74803149606299213" bottom="0.74803149606299213" header="0.31496062992125984" footer="0.31496062992125984"/>
  <pageSetup paperSize="8" scale="85" orientation="landscape" r:id="rId1"/>
  <colBreaks count="1" manualBreakCount="1">
    <brk id="26" max="1048575" man="1"/>
  </colBreak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FB3E3BA3-0AA7-4CB9-8DE0-9C3361977FE4}">
          <x14:formula1>
            <xm:f>'Master Data'!$D$15:$D$16</xm:f>
          </x14:formula1>
          <xm:sqref>AC3</xm:sqref>
        </x14:dataValidation>
        <x14:dataValidation type="list" showInputMessage="1" showErrorMessage="1" xr:uid="{7131CAB4-8453-44C6-8F81-515751741354}">
          <x14:formula1>
            <xm:f>'Master Data'!$F$2:$AR$2</xm:f>
          </x14:formula1>
          <xm:sqref>I4:I71 I76:I1801 I73:I74</xm:sqref>
        </x14:dataValidation>
        <x14:dataValidation type="custom" showInputMessage="1" showErrorMessage="1" xr:uid="{07431B29-02C4-48A9-A573-E6AE757881BC}">
          <x14:formula1>
            <xm:f>'Master Data'!G14</xm:f>
          </x14:formula1>
          <xm:sqref>AB3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FF3300"/>
  </sheetPr>
  <dimension ref="A1:XFD530"/>
  <sheetViews>
    <sheetView zoomScale="93" zoomScaleNormal="93" workbookViewId="0">
      <pane ySplit="3" topLeftCell="A181" activePane="bottomLeft" state="frozen"/>
      <selection activeCell="B5" sqref="B5"/>
      <selection pane="bottomLeft" activeCell="C331" sqref="C331"/>
    </sheetView>
  </sheetViews>
  <sheetFormatPr defaultRowHeight="14.5" x14ac:dyDescent="0.35"/>
  <cols>
    <col min="2" max="2" width="49.1796875" style="35" customWidth="1"/>
    <col min="3" max="3" width="27.453125" customWidth="1"/>
    <col min="4" max="4" width="10.1796875" customWidth="1"/>
    <col min="5" max="5" width="12" customWidth="1"/>
    <col min="6" max="6" width="33.453125" style="35" bestFit="1" customWidth="1"/>
  </cols>
  <sheetData>
    <row r="1" spans="1:6" x14ac:dyDescent="0.35">
      <c r="B1" s="35" t="s">
        <v>272</v>
      </c>
    </row>
    <row r="2" spans="1:6" x14ac:dyDescent="0.35">
      <c r="B2" s="35" t="s">
        <v>273</v>
      </c>
    </row>
    <row r="3" spans="1:6" ht="24" customHeight="1" x14ac:dyDescent="0.35">
      <c r="A3" s="42" t="s">
        <v>1</v>
      </c>
      <c r="B3" s="44" t="s">
        <v>2</v>
      </c>
      <c r="C3" s="43" t="s">
        <v>3</v>
      </c>
      <c r="D3" s="43" t="s">
        <v>4</v>
      </c>
      <c r="E3" s="44" t="s">
        <v>5</v>
      </c>
      <c r="F3" s="45" t="s">
        <v>9</v>
      </c>
    </row>
    <row r="4" spans="1:6" x14ac:dyDescent="0.35">
      <c r="A4" s="37" t="s">
        <v>10</v>
      </c>
      <c r="B4" s="74" t="str">
        <f>'Master Data'!$AJ$2</f>
        <v>Module_Mounting_Structure</v>
      </c>
      <c r="C4" s="32"/>
      <c r="D4" s="6"/>
      <c r="E4" s="27"/>
      <c r="F4" s="40"/>
    </row>
    <row r="5" spans="1:6" x14ac:dyDescent="0.35">
      <c r="A5" s="128">
        <v>1</v>
      </c>
      <c r="B5" s="129" t="str">
        <f>'Master Data'!$AJ3</f>
        <v>Column Post - 120x50x20x2.0 MM</v>
      </c>
      <c r="C5" s="30"/>
      <c r="D5" s="6" t="s">
        <v>11</v>
      </c>
      <c r="E5" s="27">
        <v>4434</v>
      </c>
      <c r="F5" s="40"/>
    </row>
    <row r="6" spans="1:6" x14ac:dyDescent="0.35">
      <c r="A6" s="128">
        <v>2</v>
      </c>
      <c r="B6" s="129" t="str">
        <f>'Master Data'!$AJ4</f>
        <v>Column Ext - 50x50x2.0 MM</v>
      </c>
      <c r="C6" s="30"/>
      <c r="D6" s="6" t="s">
        <v>11</v>
      </c>
      <c r="E6" s="27">
        <v>4434</v>
      </c>
      <c r="F6" s="40"/>
    </row>
    <row r="7" spans="1:6" x14ac:dyDescent="0.35">
      <c r="A7" s="128">
        <v>3</v>
      </c>
      <c r="B7" s="129" t="str">
        <f>'Master Data'!$AJ5</f>
        <v>Module Mounting Strucyure - Purlin (P1)</v>
      </c>
      <c r="C7" s="30"/>
      <c r="D7" s="6" t="s">
        <v>11</v>
      </c>
      <c r="E7" s="27">
        <v>5912</v>
      </c>
      <c r="F7" s="40"/>
    </row>
    <row r="8" spans="1:6" x14ac:dyDescent="0.35">
      <c r="A8" s="128">
        <v>4</v>
      </c>
      <c r="B8" s="129" t="str">
        <f>'Master Data'!$AJ6</f>
        <v>Module Mounting Strucyure - Rafter</v>
      </c>
      <c r="C8" s="30"/>
      <c r="D8" s="6" t="s">
        <v>11</v>
      </c>
      <c r="E8" s="27">
        <v>4434</v>
      </c>
      <c r="F8" s="40"/>
    </row>
    <row r="9" spans="1:6" x14ac:dyDescent="0.35">
      <c r="A9" s="128">
        <v>5</v>
      </c>
      <c r="B9" s="129" t="str">
        <f>'Master Data'!$AJ7</f>
        <v>Module Mounting Strucyure - Rafter Bracing Back</v>
      </c>
      <c r="C9" s="30"/>
      <c r="D9" s="6" t="s">
        <v>11</v>
      </c>
      <c r="E9" s="27">
        <v>4434</v>
      </c>
      <c r="F9" s="40"/>
    </row>
    <row r="10" spans="1:6" x14ac:dyDescent="0.35">
      <c r="A10" s="128">
        <v>6</v>
      </c>
      <c r="B10" s="129" t="str">
        <f>'Master Data'!$AJ8</f>
        <v>Module Mounting Strucyure - Bracing Connector</v>
      </c>
      <c r="C10" s="30"/>
      <c r="D10" s="6" t="s">
        <v>11</v>
      </c>
      <c r="E10" s="27">
        <v>4434</v>
      </c>
      <c r="F10" s="40"/>
    </row>
    <row r="11" spans="1:6" x14ac:dyDescent="0.35">
      <c r="A11" s="128">
        <v>7</v>
      </c>
      <c r="B11" s="129" t="str">
        <f>'Master Data'!$AJ9</f>
        <v>Module Mounting Strucyure - Purlin (P2)</v>
      </c>
      <c r="C11" s="30"/>
      <c r="D11" s="6" t="s">
        <v>11</v>
      </c>
      <c r="E11" s="27">
        <v>2956</v>
      </c>
      <c r="F11" s="40"/>
    </row>
    <row r="12" spans="1:6" x14ac:dyDescent="0.35">
      <c r="A12" s="128">
        <v>8</v>
      </c>
      <c r="B12" s="129" t="str">
        <f>'Master Data'!$AJ10</f>
        <v>Module Mounting Strucyure - Col, to Rafter Bracing front</v>
      </c>
      <c r="C12" s="30"/>
      <c r="D12" s="6" t="s">
        <v>11</v>
      </c>
      <c r="E12" s="27">
        <v>4434</v>
      </c>
      <c r="F12" s="40"/>
    </row>
    <row r="13" spans="1:6" x14ac:dyDescent="0.35">
      <c r="A13" s="128">
        <v>9</v>
      </c>
      <c r="B13" s="129" t="str">
        <f>'Master Data'!$AJ11</f>
        <v>Module Mounting Strucyure - Stay Bracing</v>
      </c>
      <c r="C13" s="30"/>
      <c r="D13" s="6" t="s">
        <v>11</v>
      </c>
      <c r="E13" s="27">
        <v>1478</v>
      </c>
      <c r="F13" s="40"/>
    </row>
    <row r="14" spans="1:6" x14ac:dyDescent="0.35">
      <c r="A14" s="128"/>
      <c r="B14" s="129">
        <f>'Master Data'!$AJ14</f>
        <v>0</v>
      </c>
      <c r="C14" s="30"/>
      <c r="D14" s="6"/>
      <c r="E14" s="27"/>
      <c r="F14" s="40"/>
    </row>
    <row r="15" spans="1:6" x14ac:dyDescent="0.35">
      <c r="A15" s="37" t="s">
        <v>12</v>
      </c>
      <c r="B15" s="74" t="str">
        <f>'Master Data'!$AK$2</f>
        <v>MMS_Fasteners</v>
      </c>
      <c r="C15" s="33"/>
      <c r="D15" s="6"/>
      <c r="E15" s="27"/>
      <c r="F15" s="40"/>
    </row>
    <row r="16" spans="1:6" x14ac:dyDescent="0.35">
      <c r="A16" s="128">
        <v>1</v>
      </c>
      <c r="B16" s="75" t="str">
        <f>'Master Data'!$AK3</f>
        <v>HEX BOLT+NUT+2PLN WSR+1SP WSR M-16x40</v>
      </c>
      <c r="C16" s="6"/>
      <c r="D16" s="6" t="s">
        <v>13</v>
      </c>
      <c r="E16" s="27">
        <v>4434</v>
      </c>
      <c r="F16" s="40"/>
    </row>
    <row r="17" spans="1:6" x14ac:dyDescent="0.35">
      <c r="A17" s="128">
        <v>2</v>
      </c>
      <c r="B17" s="75" t="str">
        <f>'Master Data'!$AK4</f>
        <v>HEX BOLT+NUT+2PLN WSR+1SP WSR M-10x30</v>
      </c>
      <c r="C17" s="6"/>
      <c r="D17" s="6" t="s">
        <v>13</v>
      </c>
      <c r="E17" s="27">
        <v>13302</v>
      </c>
      <c r="F17" s="40"/>
    </row>
    <row r="18" spans="1:6" x14ac:dyDescent="0.35">
      <c r="A18" s="128">
        <v>3</v>
      </c>
      <c r="B18" s="75" t="str">
        <f>'Master Data'!$AK5</f>
        <v>HEX BOLT+NUT+2PLN WSR+1SP WSR M-12x30</v>
      </c>
      <c r="C18" s="6"/>
      <c r="D18" s="6" t="s">
        <v>13</v>
      </c>
      <c r="E18" s="27">
        <v>56164</v>
      </c>
      <c r="F18" s="40"/>
    </row>
    <row r="19" spans="1:6" x14ac:dyDescent="0.35">
      <c r="A19" s="128">
        <v>4</v>
      </c>
      <c r="B19" s="75" t="str">
        <f>'Master Data'!$AK6</f>
        <v>HEX BOLT+NUT+REC.WSR+ 1SP WSR M-10x30</v>
      </c>
      <c r="C19" s="6"/>
      <c r="D19" s="6" t="s">
        <v>13</v>
      </c>
      <c r="E19" s="27">
        <v>59120</v>
      </c>
      <c r="F19" s="40"/>
    </row>
    <row r="20" spans="1:6" x14ac:dyDescent="0.35">
      <c r="A20" s="128">
        <v>5</v>
      </c>
      <c r="B20" s="75" t="str">
        <f>'Master Data'!$AK7</f>
        <v>Rectangle Washer (40*20*11*3) Mechanical Plating</v>
      </c>
      <c r="C20" s="6"/>
      <c r="D20" s="6" t="s">
        <v>11</v>
      </c>
      <c r="E20" s="27">
        <v>118240</v>
      </c>
      <c r="F20" s="40"/>
    </row>
    <row r="21" spans="1:6" x14ac:dyDescent="0.35">
      <c r="A21" s="128">
        <v>6</v>
      </c>
      <c r="B21" s="75" t="str">
        <f>'Master Data'!$AK8</f>
        <v>Hex Bolt,M8x20</v>
      </c>
      <c r="C21" s="6"/>
      <c r="D21" s="6" t="s">
        <v>11</v>
      </c>
      <c r="E21" s="27">
        <v>84246</v>
      </c>
      <c r="F21" s="40"/>
    </row>
    <row r="22" spans="1:6" x14ac:dyDescent="0.35">
      <c r="A22" s="128">
        <v>7</v>
      </c>
      <c r="B22" s="75" t="str">
        <f>'Master Data'!$AK9</f>
        <v>Hex Nut,M8</v>
      </c>
      <c r="C22" s="6"/>
      <c r="D22" s="6" t="s">
        <v>11</v>
      </c>
      <c r="E22" s="27">
        <v>84246</v>
      </c>
      <c r="F22" s="40"/>
    </row>
    <row r="23" spans="1:6" x14ac:dyDescent="0.35">
      <c r="A23" s="128">
        <v>8</v>
      </c>
      <c r="B23" s="75" t="str">
        <f>'Master Data'!$AK10</f>
        <v>Plain WSR,M8</v>
      </c>
      <c r="C23" s="6"/>
      <c r="D23" s="6" t="s">
        <v>11</v>
      </c>
      <c r="E23" s="27">
        <v>168492</v>
      </c>
      <c r="F23" s="40"/>
    </row>
    <row r="24" spans="1:6" x14ac:dyDescent="0.35">
      <c r="A24" s="128">
        <v>9</v>
      </c>
      <c r="B24" s="75" t="str">
        <f>'Master Data'!$AK11</f>
        <v>Spring WSRM8</v>
      </c>
      <c r="C24" s="6"/>
      <c r="D24" s="6" t="s">
        <v>11</v>
      </c>
      <c r="E24" s="27">
        <v>84246</v>
      </c>
      <c r="F24" s="40"/>
    </row>
    <row r="25" spans="1:6" x14ac:dyDescent="0.35">
      <c r="A25" s="128">
        <v>10</v>
      </c>
      <c r="B25" s="75" t="str">
        <f>'Master Data'!$AK12</f>
        <v>M8 Serrated Washer</v>
      </c>
      <c r="C25" s="6"/>
      <c r="D25" s="6" t="s">
        <v>11</v>
      </c>
      <c r="E25" s="27">
        <v>42000</v>
      </c>
      <c r="F25" s="40"/>
    </row>
    <row r="26" spans="1:6" x14ac:dyDescent="0.35">
      <c r="A26" s="186"/>
      <c r="B26" s="178">
        <v>0</v>
      </c>
      <c r="C26" s="179"/>
      <c r="D26" s="180"/>
      <c r="E26" s="181"/>
      <c r="F26" s="182"/>
    </row>
    <row r="27" spans="1:6" x14ac:dyDescent="0.35">
      <c r="A27" s="37" t="s">
        <v>14</v>
      </c>
      <c r="B27" s="74" t="str">
        <f>'Master Data'!$AN$2</f>
        <v>Solar_Modules</v>
      </c>
      <c r="C27" s="6"/>
      <c r="D27" s="6"/>
      <c r="E27" s="27"/>
      <c r="F27" s="40"/>
    </row>
    <row r="28" spans="1:6" x14ac:dyDescent="0.35">
      <c r="A28" s="128"/>
      <c r="B28" s="75">
        <f>'Master Data'!$AN3</f>
        <v>0</v>
      </c>
      <c r="C28" s="6"/>
      <c r="D28" s="6" t="s">
        <v>11</v>
      </c>
      <c r="E28" s="27">
        <v>20692</v>
      </c>
      <c r="F28" s="40"/>
    </row>
    <row r="29" spans="1:6" x14ac:dyDescent="0.35">
      <c r="A29" s="37" t="s">
        <v>15</v>
      </c>
      <c r="B29" s="74" t="s">
        <v>16</v>
      </c>
      <c r="C29" s="6"/>
      <c r="D29" s="6"/>
      <c r="E29" s="27"/>
      <c r="F29" s="40"/>
    </row>
    <row r="30" spans="1:6" x14ac:dyDescent="0.35">
      <c r="A30" s="38" t="s">
        <v>17</v>
      </c>
      <c r="B30" s="36" t="str">
        <f>'Master Data'!$J$2</f>
        <v>DC_Cables</v>
      </c>
      <c r="C30" s="6"/>
      <c r="D30" s="6"/>
      <c r="E30" s="27"/>
      <c r="F30" s="40"/>
    </row>
    <row r="31" spans="1:6" x14ac:dyDescent="0.35">
      <c r="A31" s="128">
        <v>1</v>
      </c>
      <c r="B31" s="75" t="str">
        <f>'Master Data'!$J4</f>
        <v>1CX6Sqmm DC Cable Black</v>
      </c>
      <c r="C31" s="6"/>
      <c r="D31" s="6" t="s">
        <v>18</v>
      </c>
      <c r="E31" s="27">
        <v>17000</v>
      </c>
      <c r="F31" s="40"/>
    </row>
    <row r="32" spans="1:6" x14ac:dyDescent="0.35">
      <c r="A32" s="128">
        <v>2</v>
      </c>
      <c r="B32" s="75" t="str">
        <f>'Master Data'!$J5</f>
        <v>1CX6Sqmm DC Cable Red</v>
      </c>
      <c r="C32" s="6"/>
      <c r="D32" s="6" t="s">
        <v>18</v>
      </c>
      <c r="E32" s="27">
        <v>17000</v>
      </c>
      <c r="F32" s="40"/>
    </row>
    <row r="33" spans="1:6" x14ac:dyDescent="0.35">
      <c r="A33" s="128"/>
      <c r="B33" s="75">
        <f>'Master Data'!$J6</f>
        <v>0</v>
      </c>
      <c r="C33" s="6"/>
      <c r="D33" s="6"/>
      <c r="E33" s="27"/>
      <c r="F33" s="40"/>
    </row>
    <row r="34" spans="1:6" x14ac:dyDescent="0.35">
      <c r="A34" s="38" t="s">
        <v>19</v>
      </c>
      <c r="B34" s="36" t="str">
        <f>'Master Data'!$K$2</f>
        <v>AC_Cables</v>
      </c>
      <c r="C34" s="6"/>
      <c r="D34" s="6"/>
      <c r="E34" s="27"/>
      <c r="F34" s="40"/>
    </row>
    <row r="35" spans="1:6" x14ac:dyDescent="0.35">
      <c r="A35" s="128">
        <v>1</v>
      </c>
      <c r="B35" s="75" t="str">
        <f>'Master Data'!$K3</f>
        <v>3CX240Sqmm A2XFY UNSCR ATR UV AF 3.3 KV</v>
      </c>
      <c r="C35" s="6"/>
      <c r="D35" s="6" t="s">
        <v>18</v>
      </c>
      <c r="E35" s="27">
        <v>9500</v>
      </c>
      <c r="F35" s="40"/>
    </row>
    <row r="36" spans="1:6" x14ac:dyDescent="0.35">
      <c r="A36" s="128"/>
      <c r="B36" s="75">
        <f>'Master Data'!$K4</f>
        <v>0</v>
      </c>
      <c r="C36" s="6"/>
      <c r="D36" s="6"/>
      <c r="E36" s="27"/>
      <c r="F36" s="40"/>
    </row>
    <row r="37" spans="1:6" x14ac:dyDescent="0.35">
      <c r="A37" s="38" t="s">
        <v>20</v>
      </c>
      <c r="B37" s="36" t="str">
        <f>'Master Data'!$L$2</f>
        <v>HT_Cables</v>
      </c>
      <c r="C37" s="6"/>
      <c r="D37" s="6"/>
      <c r="E37" s="27"/>
      <c r="F37" s="40"/>
    </row>
    <row r="38" spans="1:6" x14ac:dyDescent="0.35">
      <c r="A38" s="128">
        <v>1</v>
      </c>
      <c r="B38" s="75" t="str">
        <f>'Master Data'!$L3</f>
        <v>3CX240Sqmm A2XFY 19/33KV HT Cable</v>
      </c>
      <c r="C38" s="6"/>
      <c r="D38" s="6" t="s">
        <v>18</v>
      </c>
      <c r="E38" s="27">
        <v>1400</v>
      </c>
      <c r="F38" s="40"/>
    </row>
    <row r="39" spans="1:6" x14ac:dyDescent="0.35">
      <c r="A39" s="128"/>
      <c r="B39" s="75">
        <f>'Master Data'!$L4</f>
        <v>0</v>
      </c>
      <c r="C39" s="6"/>
      <c r="D39" s="6"/>
      <c r="E39" s="27"/>
      <c r="F39" s="40"/>
    </row>
    <row r="40" spans="1:6" x14ac:dyDescent="0.35">
      <c r="A40" s="38" t="s">
        <v>21</v>
      </c>
      <c r="B40" s="36" t="str">
        <f>'Master Data'!$M$2</f>
        <v>Earthing_cables</v>
      </c>
      <c r="C40" s="6"/>
      <c r="D40" s="6"/>
      <c r="E40" s="27"/>
      <c r="F40" s="40"/>
    </row>
    <row r="41" spans="1:6" x14ac:dyDescent="0.35">
      <c r="A41" s="128">
        <v>1</v>
      </c>
      <c r="B41" s="75" t="str">
        <f>'Master Data'!$M3</f>
        <v>1C X 50Sq.mm Copper Flexible Cable</v>
      </c>
      <c r="C41" s="6"/>
      <c r="D41" s="6" t="s">
        <v>18</v>
      </c>
      <c r="E41" s="27">
        <v>150</v>
      </c>
      <c r="F41" s="40"/>
    </row>
    <row r="42" spans="1:6" x14ac:dyDescent="0.35">
      <c r="A42" s="173"/>
      <c r="B42" s="164">
        <v>0</v>
      </c>
      <c r="C42" s="165"/>
      <c r="D42" s="166"/>
      <c r="E42" s="167"/>
      <c r="F42" s="168"/>
    </row>
    <row r="43" spans="1:6" x14ac:dyDescent="0.35">
      <c r="A43" s="38" t="s">
        <v>22</v>
      </c>
      <c r="B43" s="36" t="str">
        <f>'Master Data'!$N$2</f>
        <v>Aux_Control_Cable</v>
      </c>
      <c r="C43" s="6"/>
      <c r="D43" s="6"/>
      <c r="E43" s="167"/>
      <c r="F43" s="40"/>
    </row>
    <row r="44" spans="1:6" x14ac:dyDescent="0.35">
      <c r="A44" s="128">
        <v>1</v>
      </c>
      <c r="B44" s="75" t="s">
        <v>433</v>
      </c>
      <c r="C44" s="6"/>
      <c r="D44" s="6" t="s">
        <v>18</v>
      </c>
      <c r="E44" s="167">
        <v>30</v>
      </c>
      <c r="F44" s="40"/>
    </row>
    <row r="45" spans="1:6" x14ac:dyDescent="0.35">
      <c r="A45" s="169">
        <v>2</v>
      </c>
      <c r="B45" s="172" t="s">
        <v>434</v>
      </c>
      <c r="C45" s="165"/>
      <c r="D45" s="166" t="s">
        <v>18</v>
      </c>
      <c r="E45" s="27">
        <v>3100</v>
      </c>
      <c r="F45" s="168"/>
    </row>
    <row r="46" spans="1:6" x14ac:dyDescent="0.35">
      <c r="A46" s="169">
        <v>3</v>
      </c>
      <c r="B46" s="172" t="s">
        <v>435</v>
      </c>
      <c r="C46" s="165"/>
      <c r="D46" s="166" t="s">
        <v>18</v>
      </c>
      <c r="E46" s="167">
        <v>30</v>
      </c>
      <c r="F46" s="168"/>
    </row>
    <row r="47" spans="1:6" x14ac:dyDescent="0.35">
      <c r="A47" s="169">
        <v>4</v>
      </c>
      <c r="B47" s="172" t="s">
        <v>436</v>
      </c>
      <c r="C47" s="165"/>
      <c r="D47" s="166" t="s">
        <v>18</v>
      </c>
      <c r="E47" s="167">
        <v>2200</v>
      </c>
      <c r="F47" s="168"/>
    </row>
    <row r="48" spans="1:6" x14ac:dyDescent="0.35">
      <c r="A48" s="169">
        <v>5</v>
      </c>
      <c r="B48" s="172" t="s">
        <v>437</v>
      </c>
      <c r="C48" s="165"/>
      <c r="D48" s="166" t="s">
        <v>18</v>
      </c>
      <c r="E48" s="167">
        <v>400</v>
      </c>
      <c r="F48" s="168"/>
    </row>
    <row r="49" spans="1:6" x14ac:dyDescent="0.35">
      <c r="A49" s="169">
        <v>6</v>
      </c>
      <c r="B49" s="172" t="s">
        <v>438</v>
      </c>
      <c r="C49" s="165"/>
      <c r="D49" s="166" t="s">
        <v>18</v>
      </c>
      <c r="E49" s="167">
        <v>250</v>
      </c>
      <c r="F49" s="168"/>
    </row>
    <row r="50" spans="1:6" x14ac:dyDescent="0.35">
      <c r="A50" s="169">
        <v>7</v>
      </c>
      <c r="B50" s="172" t="s">
        <v>439</v>
      </c>
      <c r="C50" s="165"/>
      <c r="D50" s="166" t="s">
        <v>18</v>
      </c>
      <c r="E50" s="167">
        <v>100</v>
      </c>
      <c r="F50" s="168"/>
    </row>
    <row r="51" spans="1:6" x14ac:dyDescent="0.35">
      <c r="A51" s="169"/>
      <c r="B51" s="164">
        <v>0</v>
      </c>
      <c r="C51" s="165"/>
      <c r="D51" s="166"/>
      <c r="E51" s="167"/>
      <c r="F51" s="168"/>
    </row>
    <row r="52" spans="1:6" x14ac:dyDescent="0.35">
      <c r="A52" s="38" t="s">
        <v>23</v>
      </c>
      <c r="B52" s="36" t="str">
        <f>'Master Data'!$O$2</f>
        <v>Communication_Cable</v>
      </c>
      <c r="C52" s="6"/>
      <c r="D52" s="6"/>
      <c r="E52" s="27"/>
      <c r="F52" s="40"/>
    </row>
    <row r="53" spans="1:6" x14ac:dyDescent="0.35">
      <c r="A53" s="128">
        <v>1</v>
      </c>
      <c r="B53" s="75" t="s">
        <v>429</v>
      </c>
      <c r="C53" s="6"/>
      <c r="D53" s="6" t="s">
        <v>18</v>
      </c>
      <c r="E53" s="27">
        <v>100</v>
      </c>
      <c r="F53" s="40"/>
    </row>
    <row r="54" spans="1:6" x14ac:dyDescent="0.35">
      <c r="A54" s="169">
        <v>2</v>
      </c>
      <c r="B54" s="172" t="s">
        <v>430</v>
      </c>
      <c r="C54" s="165"/>
      <c r="D54" s="166" t="s">
        <v>18</v>
      </c>
      <c r="E54" s="167">
        <v>300</v>
      </c>
      <c r="F54" s="168"/>
    </row>
    <row r="55" spans="1:6" x14ac:dyDescent="0.35">
      <c r="A55" s="169">
        <v>3</v>
      </c>
      <c r="B55" s="172" t="s">
        <v>431</v>
      </c>
      <c r="C55" s="165"/>
      <c r="D55" s="166" t="s">
        <v>18</v>
      </c>
      <c r="E55" s="167">
        <v>1300</v>
      </c>
      <c r="F55" s="168"/>
    </row>
    <row r="56" spans="1:6" x14ac:dyDescent="0.35">
      <c r="A56" s="169"/>
      <c r="B56" s="172">
        <v>0</v>
      </c>
      <c r="C56" s="165"/>
      <c r="D56" s="166"/>
      <c r="E56" s="167"/>
      <c r="F56" s="168"/>
    </row>
    <row r="57" spans="1:6" x14ac:dyDescent="0.35">
      <c r="A57" s="37" t="s">
        <v>24</v>
      </c>
      <c r="B57" s="74" t="s">
        <v>25</v>
      </c>
      <c r="C57" s="6"/>
      <c r="D57" s="6"/>
      <c r="E57" s="27"/>
      <c r="F57" s="40"/>
    </row>
    <row r="58" spans="1:6" x14ac:dyDescent="0.35">
      <c r="A58" s="39" t="s">
        <v>26</v>
      </c>
      <c r="B58" s="36" t="str">
        <f>'Master Data'!$Z$2</f>
        <v>Inverter</v>
      </c>
      <c r="C58" s="6"/>
      <c r="D58" s="6"/>
      <c r="E58" s="27"/>
      <c r="F58" s="40"/>
    </row>
    <row r="59" spans="1:6" x14ac:dyDescent="0.35">
      <c r="A59" s="128">
        <v>1</v>
      </c>
      <c r="B59" s="75" t="str">
        <f>'Master Data'!$Z3</f>
        <v>Solis 225K-EHV-5G Plus Grid Tie Solar PV Inverter</v>
      </c>
      <c r="C59" s="6"/>
      <c r="D59" s="6" t="s">
        <v>11</v>
      </c>
      <c r="E59" s="27">
        <v>44</v>
      </c>
      <c r="F59" s="40"/>
    </row>
    <row r="60" spans="1:6" x14ac:dyDescent="0.35">
      <c r="A60" s="128"/>
      <c r="B60" s="75">
        <f>'Master Data'!$Z4</f>
        <v>0</v>
      </c>
      <c r="C60" s="6"/>
      <c r="D60" s="6"/>
      <c r="E60" s="27"/>
      <c r="F60" s="40"/>
    </row>
    <row r="61" spans="1:6" x14ac:dyDescent="0.35">
      <c r="A61" s="39" t="s">
        <v>27</v>
      </c>
      <c r="B61" s="36" t="str">
        <f>'Master Data'!$AC$2</f>
        <v>LT_Panel</v>
      </c>
      <c r="C61" s="6"/>
      <c r="D61" s="6"/>
      <c r="E61" s="27"/>
      <c r="F61" s="40"/>
    </row>
    <row r="62" spans="1:6" x14ac:dyDescent="0.35">
      <c r="A62" s="128">
        <v>1</v>
      </c>
      <c r="B62" s="75" t="str">
        <f>'Master Data'!$AC3</f>
        <v>800V LT Panel</v>
      </c>
      <c r="C62" s="6"/>
      <c r="D62" s="6" t="s">
        <v>11</v>
      </c>
      <c r="E62" s="27">
        <v>4</v>
      </c>
      <c r="F62" s="40"/>
    </row>
    <row r="63" spans="1:6" x14ac:dyDescent="0.35">
      <c r="A63" s="133"/>
      <c r="B63" s="134">
        <v>0</v>
      </c>
      <c r="C63" s="135"/>
      <c r="D63" s="136"/>
      <c r="E63" s="137"/>
      <c r="F63" s="138"/>
    </row>
    <row r="64" spans="1:6" x14ac:dyDescent="0.35">
      <c r="A64" s="39" t="s">
        <v>28</v>
      </c>
      <c r="B64" s="36" t="str">
        <f>'Master Data'!$AA$2</f>
        <v>Transformers</v>
      </c>
      <c r="C64" s="6"/>
      <c r="D64" s="6"/>
      <c r="E64" s="27"/>
      <c r="F64" s="40"/>
    </row>
    <row r="65" spans="1:6" x14ac:dyDescent="0.35">
      <c r="A65" s="128">
        <v>1</v>
      </c>
      <c r="B65" s="75" t="s">
        <v>407</v>
      </c>
      <c r="C65" s="6"/>
      <c r="D65" s="6" t="s">
        <v>11</v>
      </c>
      <c r="E65" s="91">
        <v>2</v>
      </c>
      <c r="F65" s="40"/>
    </row>
    <row r="66" spans="1:6" x14ac:dyDescent="0.35">
      <c r="A66" s="169">
        <v>2</v>
      </c>
      <c r="B66" s="172" t="s">
        <v>408</v>
      </c>
      <c r="C66" s="165"/>
      <c r="D66" s="166" t="s">
        <v>11</v>
      </c>
      <c r="E66" s="91">
        <v>16</v>
      </c>
      <c r="F66" s="168"/>
    </row>
    <row r="67" spans="1:6" x14ac:dyDescent="0.35">
      <c r="A67" s="169">
        <v>3</v>
      </c>
      <c r="B67" s="172" t="s">
        <v>415</v>
      </c>
      <c r="C67" s="165"/>
      <c r="D67" s="166" t="s">
        <v>11</v>
      </c>
      <c r="E67" s="91">
        <v>2</v>
      </c>
      <c r="F67" s="168"/>
    </row>
    <row r="68" spans="1:6" x14ac:dyDescent="0.35">
      <c r="A68" s="169">
        <v>4</v>
      </c>
      <c r="B68" s="172" t="s">
        <v>416</v>
      </c>
      <c r="C68" s="165"/>
      <c r="D68" s="166" t="s">
        <v>11</v>
      </c>
      <c r="E68" s="91">
        <v>2</v>
      </c>
      <c r="F68" s="168"/>
    </row>
    <row r="69" spans="1:6" x14ac:dyDescent="0.35">
      <c r="A69" s="169">
        <v>5</v>
      </c>
      <c r="B69" s="172" t="s">
        <v>419</v>
      </c>
      <c r="C69" s="165"/>
      <c r="D69" s="166" t="s">
        <v>11</v>
      </c>
      <c r="E69" s="91">
        <v>2</v>
      </c>
      <c r="F69" s="168"/>
    </row>
    <row r="70" spans="1:6" x14ac:dyDescent="0.35">
      <c r="A70" s="169">
        <v>6</v>
      </c>
      <c r="B70" s="172" t="s">
        <v>411</v>
      </c>
      <c r="C70" s="165"/>
      <c r="D70" s="166" t="s">
        <v>11</v>
      </c>
      <c r="E70" s="91">
        <v>6</v>
      </c>
      <c r="F70" s="168"/>
    </row>
    <row r="71" spans="1:6" x14ac:dyDescent="0.35">
      <c r="A71" s="169">
        <v>7</v>
      </c>
      <c r="B71" s="172" t="s">
        <v>417</v>
      </c>
      <c r="C71" s="165"/>
      <c r="D71" s="166" t="s">
        <v>11</v>
      </c>
      <c r="E71" s="91">
        <v>2</v>
      </c>
      <c r="F71" s="168"/>
    </row>
    <row r="72" spans="1:6" x14ac:dyDescent="0.35">
      <c r="A72" s="169">
        <v>8</v>
      </c>
      <c r="B72" s="172" t="s">
        <v>418</v>
      </c>
      <c r="C72" s="165"/>
      <c r="D72" s="166" t="s">
        <v>11</v>
      </c>
      <c r="E72" s="91">
        <v>2</v>
      </c>
      <c r="F72" s="168"/>
    </row>
    <row r="73" spans="1:6" x14ac:dyDescent="0.35">
      <c r="A73" s="169">
        <v>9</v>
      </c>
      <c r="B73" s="172" t="s">
        <v>420</v>
      </c>
      <c r="C73" s="165"/>
      <c r="D73" s="166" t="s">
        <v>18</v>
      </c>
      <c r="E73" s="91">
        <v>6</v>
      </c>
      <c r="F73" s="168"/>
    </row>
    <row r="74" spans="1:6" x14ac:dyDescent="0.35">
      <c r="A74" s="169">
        <v>10</v>
      </c>
      <c r="B74" s="172" t="s">
        <v>414</v>
      </c>
      <c r="C74" s="165"/>
      <c r="D74" s="166" t="s">
        <v>11</v>
      </c>
      <c r="E74" s="91">
        <v>2</v>
      </c>
      <c r="F74" s="168"/>
    </row>
    <row r="75" spans="1:6" x14ac:dyDescent="0.35">
      <c r="A75" s="169">
        <v>11</v>
      </c>
      <c r="B75" s="172" t="s">
        <v>410</v>
      </c>
      <c r="C75" s="165"/>
      <c r="D75" s="166" t="s">
        <v>11</v>
      </c>
      <c r="E75" s="91">
        <v>2</v>
      </c>
      <c r="F75" s="168"/>
    </row>
    <row r="76" spans="1:6" x14ac:dyDescent="0.35">
      <c r="A76" s="169">
        <v>12</v>
      </c>
      <c r="B76" s="172" t="s">
        <v>413</v>
      </c>
      <c r="C76" s="165"/>
      <c r="D76" s="166" t="s">
        <v>11</v>
      </c>
      <c r="E76" s="91">
        <v>2</v>
      </c>
      <c r="F76" s="168"/>
    </row>
    <row r="77" spans="1:6" x14ac:dyDescent="0.35">
      <c r="A77" s="169">
        <v>13</v>
      </c>
      <c r="B77" s="172" t="s">
        <v>412</v>
      </c>
      <c r="C77" s="165"/>
      <c r="D77" s="166" t="s">
        <v>11</v>
      </c>
      <c r="E77" s="91">
        <v>2</v>
      </c>
      <c r="F77" s="168"/>
    </row>
    <row r="78" spans="1:6" x14ac:dyDescent="0.35">
      <c r="A78" s="169">
        <v>14</v>
      </c>
      <c r="B78" s="172" t="s">
        <v>409</v>
      </c>
      <c r="C78" s="165"/>
      <c r="D78" s="166" t="s">
        <v>11</v>
      </c>
      <c r="E78" s="91">
        <v>14</v>
      </c>
      <c r="F78" s="168"/>
    </row>
    <row r="79" spans="1:6" x14ac:dyDescent="0.35">
      <c r="A79" s="169"/>
      <c r="B79" s="172">
        <v>0</v>
      </c>
      <c r="C79" s="165"/>
      <c r="D79" s="166"/>
      <c r="E79" s="167"/>
      <c r="F79" s="168"/>
    </row>
    <row r="80" spans="1:6" x14ac:dyDescent="0.35">
      <c r="A80" s="39" t="s">
        <v>29</v>
      </c>
      <c r="B80" s="36" t="str">
        <f>'Master Data'!$AB$2</f>
        <v>HT_Panel</v>
      </c>
      <c r="C80" s="6"/>
      <c r="D80" s="6"/>
      <c r="E80" s="27"/>
      <c r="F80" s="40"/>
    </row>
    <row r="81" spans="1:6" x14ac:dyDescent="0.35">
      <c r="A81" s="128">
        <v>1</v>
      </c>
      <c r="B81" s="75" t="str">
        <f>'Master Data'!$AB3</f>
        <v>33KV HT VCB Panel</v>
      </c>
      <c r="C81" s="6"/>
      <c r="D81" s="6" t="s">
        <v>11</v>
      </c>
      <c r="E81" s="27">
        <v>3</v>
      </c>
      <c r="F81" s="40"/>
    </row>
    <row r="82" spans="1:6" x14ac:dyDescent="0.35">
      <c r="A82" s="149">
        <v>2</v>
      </c>
      <c r="B82" s="75" t="s">
        <v>399</v>
      </c>
      <c r="C82" s="148"/>
      <c r="D82" s="6" t="s">
        <v>11</v>
      </c>
      <c r="E82" s="27">
        <v>1</v>
      </c>
      <c r="F82" s="40"/>
    </row>
    <row r="83" spans="1:6" x14ac:dyDescent="0.35">
      <c r="A83" s="149"/>
      <c r="B83" s="75">
        <v>0</v>
      </c>
      <c r="C83" s="148"/>
      <c r="D83" s="6" t="s">
        <v>285</v>
      </c>
      <c r="E83" s="27"/>
      <c r="F83" s="40"/>
    </row>
    <row r="84" spans="1:6" x14ac:dyDescent="0.35">
      <c r="A84" s="39" t="s">
        <v>30</v>
      </c>
      <c r="B84" s="36" t="str">
        <f>'Master Data'!$AD$2</f>
        <v>Aux_UPS_Panel</v>
      </c>
      <c r="C84" s="6"/>
      <c r="D84" s="6"/>
      <c r="E84" s="27"/>
      <c r="F84" s="40"/>
    </row>
    <row r="85" spans="1:6" x14ac:dyDescent="0.35">
      <c r="A85" s="128">
        <v>1</v>
      </c>
      <c r="B85" s="75" t="str">
        <f>'Master Data'!$AD3</f>
        <v xml:space="preserve">AUX ACDB Panel </v>
      </c>
      <c r="C85" s="6"/>
      <c r="D85" s="6" t="s">
        <v>11</v>
      </c>
      <c r="E85" s="27">
        <v>2</v>
      </c>
      <c r="F85" s="40"/>
    </row>
    <row r="86" spans="1:6" x14ac:dyDescent="0.35">
      <c r="A86" s="145">
        <v>2</v>
      </c>
      <c r="B86" s="140" t="s">
        <v>292</v>
      </c>
      <c r="C86" s="135"/>
      <c r="D86" s="136" t="s">
        <v>11</v>
      </c>
      <c r="E86" s="137">
        <v>2</v>
      </c>
      <c r="F86" s="138"/>
    </row>
    <row r="87" spans="1:6" x14ac:dyDescent="0.35">
      <c r="A87" s="145"/>
      <c r="B87" s="140">
        <v>0</v>
      </c>
      <c r="C87" s="135"/>
      <c r="D87" s="136"/>
      <c r="E87" s="137"/>
      <c r="F87" s="138"/>
    </row>
    <row r="88" spans="1:6" x14ac:dyDescent="0.35">
      <c r="A88" s="39" t="s">
        <v>31</v>
      </c>
      <c r="B88" s="36" t="str">
        <f>'Master Data'!$AR$2</f>
        <v>Scada</v>
      </c>
      <c r="C88" s="6"/>
      <c r="D88" s="6"/>
      <c r="E88" s="27"/>
      <c r="F88" s="40"/>
    </row>
    <row r="89" spans="1:6" x14ac:dyDescent="0.35">
      <c r="A89" s="128">
        <v>1</v>
      </c>
      <c r="B89" s="75" t="s">
        <v>386</v>
      </c>
      <c r="C89" s="6"/>
      <c r="D89" s="6" t="s">
        <v>11</v>
      </c>
      <c r="E89" s="91">
        <v>1</v>
      </c>
      <c r="F89" s="40"/>
    </row>
    <row r="90" spans="1:6" x14ac:dyDescent="0.35">
      <c r="A90" s="149">
        <v>2</v>
      </c>
      <c r="B90" s="75" t="s">
        <v>387</v>
      </c>
      <c r="C90" s="148"/>
      <c r="D90" s="6" t="s">
        <v>11</v>
      </c>
      <c r="E90" s="91">
        <v>2</v>
      </c>
      <c r="F90" s="40"/>
    </row>
    <row r="91" spans="1:6" ht="23" x14ac:dyDescent="0.35">
      <c r="A91" s="149">
        <v>3</v>
      </c>
      <c r="B91" s="75" t="s">
        <v>388</v>
      </c>
      <c r="C91" s="148"/>
      <c r="D91" s="6" t="s">
        <v>11</v>
      </c>
      <c r="E91" s="91">
        <v>1</v>
      </c>
      <c r="F91" s="40"/>
    </row>
    <row r="92" spans="1:6" x14ac:dyDescent="0.35">
      <c r="A92" s="149">
        <v>4</v>
      </c>
      <c r="B92" s="75" t="s">
        <v>389</v>
      </c>
      <c r="C92" s="148"/>
      <c r="D92" s="6" t="s">
        <v>11</v>
      </c>
      <c r="E92" s="91">
        <v>1</v>
      </c>
      <c r="F92" s="40"/>
    </row>
    <row r="93" spans="1:6" x14ac:dyDescent="0.35">
      <c r="A93" s="149">
        <v>5</v>
      </c>
      <c r="B93" s="75" t="s">
        <v>390</v>
      </c>
      <c r="C93" s="148"/>
      <c r="D93" s="6" t="s">
        <v>11</v>
      </c>
      <c r="E93" s="91">
        <v>1</v>
      </c>
      <c r="F93" s="40"/>
    </row>
    <row r="94" spans="1:6" x14ac:dyDescent="0.35">
      <c r="A94" s="149">
        <v>6</v>
      </c>
      <c r="B94" s="75" t="s">
        <v>391</v>
      </c>
      <c r="C94" s="148"/>
      <c r="D94" s="6" t="s">
        <v>11</v>
      </c>
      <c r="E94" s="88">
        <v>1</v>
      </c>
      <c r="F94" s="40"/>
    </row>
    <row r="95" spans="1:6" x14ac:dyDescent="0.35">
      <c r="A95" s="149">
        <v>7</v>
      </c>
      <c r="B95" s="75" t="s">
        <v>392</v>
      </c>
      <c r="C95" s="148"/>
      <c r="D95" s="6" t="s">
        <v>11</v>
      </c>
      <c r="E95" s="91">
        <v>1</v>
      </c>
      <c r="F95" s="40"/>
    </row>
    <row r="96" spans="1:6" x14ac:dyDescent="0.35">
      <c r="A96" s="149">
        <v>8</v>
      </c>
      <c r="B96" s="75" t="s">
        <v>393</v>
      </c>
      <c r="C96" s="148"/>
      <c r="D96" s="6" t="s">
        <v>11</v>
      </c>
      <c r="E96" s="91">
        <v>6</v>
      </c>
      <c r="F96" s="40"/>
    </row>
    <row r="97" spans="1:6" x14ac:dyDescent="0.35">
      <c r="A97" s="149"/>
      <c r="B97" s="75">
        <v>0</v>
      </c>
      <c r="C97" s="148"/>
      <c r="D97" s="6"/>
      <c r="E97" s="27"/>
      <c r="F97" s="40"/>
    </row>
    <row r="98" spans="1:6" x14ac:dyDescent="0.35">
      <c r="A98" s="39" t="s">
        <v>32</v>
      </c>
      <c r="B98" s="36" t="str">
        <f>'Master Data'!$AH$2</f>
        <v>Lighting_arrestor</v>
      </c>
      <c r="C98" s="32"/>
      <c r="D98" s="6"/>
      <c r="E98" s="31"/>
      <c r="F98" s="40"/>
    </row>
    <row r="99" spans="1:6" x14ac:dyDescent="0.35">
      <c r="A99" s="128">
        <v>1</v>
      </c>
      <c r="B99" s="75" t="str">
        <f>'Master Data'!$AH3</f>
        <v>ESE Train</v>
      </c>
      <c r="C99" s="6"/>
      <c r="D99" s="6" t="s">
        <v>11</v>
      </c>
      <c r="E99" s="91">
        <v>6</v>
      </c>
      <c r="F99" s="40"/>
    </row>
    <row r="100" spans="1:6" x14ac:dyDescent="0.35">
      <c r="A100" s="128">
        <v>2</v>
      </c>
      <c r="B100" s="75" t="str">
        <f>'Master Data'!$AH4</f>
        <v>6MM Guy Rope</v>
      </c>
      <c r="C100" s="6"/>
      <c r="D100" s="6" t="s">
        <v>11</v>
      </c>
      <c r="E100" s="91">
        <v>126</v>
      </c>
      <c r="F100" s="40"/>
    </row>
    <row r="101" spans="1:6" x14ac:dyDescent="0.35">
      <c r="A101" s="128">
        <v>3</v>
      </c>
      <c r="B101" s="75" t="str">
        <f>'Master Data'!$AH5</f>
        <v>6MM U Clamp</v>
      </c>
      <c r="C101" s="6"/>
      <c r="D101" s="6" t="s">
        <v>11</v>
      </c>
      <c r="E101" s="91">
        <v>72</v>
      </c>
      <c r="F101" s="40"/>
    </row>
    <row r="102" spans="1:6" x14ac:dyDescent="0.35">
      <c r="A102" s="128">
        <v>4</v>
      </c>
      <c r="B102" s="75" t="str">
        <f>'Master Data'!$AH6</f>
        <v>Grount Hook for fixing guy cable</v>
      </c>
      <c r="C102" s="6"/>
      <c r="D102" s="6" t="s">
        <v>11</v>
      </c>
      <c r="E102" s="91">
        <v>18</v>
      </c>
      <c r="F102" s="40"/>
    </row>
    <row r="103" spans="1:6" x14ac:dyDescent="0.35">
      <c r="A103" s="128">
        <v>5</v>
      </c>
      <c r="B103" s="75" t="str">
        <f>'Master Data'!$AH7</f>
        <v xml:space="preserve">J bolt (dia 18x500mm) for fixing mast base plate hole </v>
      </c>
      <c r="C103" s="6"/>
      <c r="D103" s="6" t="s">
        <v>11</v>
      </c>
      <c r="E103" s="91">
        <v>24</v>
      </c>
      <c r="F103" s="40"/>
    </row>
    <row r="104" spans="1:6" x14ac:dyDescent="0.35">
      <c r="A104" s="128">
        <v>6</v>
      </c>
      <c r="B104" s="75" t="str">
        <f>'Master Data'!$AH8</f>
        <v>Down Conductor insulator BC 525 with nut bolt</v>
      </c>
      <c r="C104" s="6"/>
      <c r="D104" s="6" t="s">
        <v>11</v>
      </c>
      <c r="E104" s="88">
        <v>42</v>
      </c>
      <c r="F104" s="40"/>
    </row>
    <row r="105" spans="1:6" x14ac:dyDescent="0.35">
      <c r="A105" s="128">
        <v>7</v>
      </c>
      <c r="B105" s="75" t="str">
        <f>'Master Data'!$AH9</f>
        <v>OTC 25x3</v>
      </c>
      <c r="C105" s="6"/>
      <c r="D105" s="6" t="s">
        <v>11</v>
      </c>
      <c r="E105" s="91">
        <v>6</v>
      </c>
      <c r="F105" s="40"/>
    </row>
    <row r="106" spans="1:6" x14ac:dyDescent="0.35">
      <c r="A106" s="128">
        <v>8</v>
      </c>
      <c r="B106" s="75" t="str">
        <f>'Master Data'!$AH10</f>
        <v>L shape</v>
      </c>
      <c r="C106" s="6"/>
      <c r="D106" s="6" t="s">
        <v>11</v>
      </c>
      <c r="E106" s="91">
        <v>6</v>
      </c>
      <c r="F106" s="40"/>
    </row>
    <row r="107" spans="1:6" ht="30" customHeight="1" x14ac:dyDescent="0.35">
      <c r="A107" s="128">
        <v>9</v>
      </c>
      <c r="B107" s="75" t="str">
        <f>'Master Data'!$AH11</f>
        <v>Lightning flash counter</v>
      </c>
      <c r="C107" s="6"/>
      <c r="D107" s="6" t="s">
        <v>11</v>
      </c>
      <c r="E107" s="91">
        <v>6</v>
      </c>
      <c r="F107" s="40"/>
    </row>
    <row r="108" spans="1:6" x14ac:dyDescent="0.35">
      <c r="A108" s="128">
        <v>10</v>
      </c>
      <c r="B108" s="75" t="str">
        <f>'Master Data'!$AH12</f>
        <v>GI supporting mast of 7 mtrs in 3 parts with base plate</v>
      </c>
      <c r="C108" s="6"/>
      <c r="D108" s="6" t="s">
        <v>11</v>
      </c>
      <c r="E108" s="91">
        <v>6</v>
      </c>
      <c r="F108" s="40"/>
    </row>
    <row r="109" spans="1:6" ht="23" x14ac:dyDescent="0.35">
      <c r="A109" s="128">
        <v>11</v>
      </c>
      <c r="B109" s="75" t="str">
        <f>'Master Data'!$AH13</f>
        <v>17mm dia, 3mtr long copper bonded rod with clamp with nut and bolt,plain &amp; spring</v>
      </c>
      <c r="C109" s="6"/>
      <c r="D109" s="6" t="s">
        <v>11</v>
      </c>
      <c r="E109" s="88">
        <v>92</v>
      </c>
      <c r="F109" s="40"/>
    </row>
    <row r="110" spans="1:6" x14ac:dyDescent="0.35">
      <c r="A110" s="128">
        <v>12</v>
      </c>
      <c r="B110" s="75" t="str">
        <f>'Master Data'!$AH14</f>
        <v>Earthcon</v>
      </c>
      <c r="C110" s="6"/>
      <c r="D110" s="6" t="s">
        <v>11</v>
      </c>
      <c r="E110" s="116">
        <v>184</v>
      </c>
      <c r="F110" s="40"/>
    </row>
    <row r="111" spans="1:6" x14ac:dyDescent="0.35">
      <c r="A111" s="128"/>
      <c r="B111" s="75">
        <f>'Master Data'!$AH15</f>
        <v>0</v>
      </c>
      <c r="C111" s="6"/>
      <c r="D111" s="6"/>
      <c r="E111" s="27"/>
      <c r="F111" s="40"/>
    </row>
    <row r="112" spans="1:6" x14ac:dyDescent="0.35">
      <c r="A112" s="147" t="s">
        <v>33</v>
      </c>
      <c r="B112" s="146" t="s">
        <v>336</v>
      </c>
      <c r="C112" s="135"/>
      <c r="D112" s="136"/>
      <c r="E112" s="137"/>
      <c r="F112" s="138"/>
    </row>
    <row r="113" spans="1:6" x14ac:dyDescent="0.35">
      <c r="A113" s="145">
        <v>1</v>
      </c>
      <c r="B113" s="140" t="s">
        <v>338</v>
      </c>
      <c r="C113" s="135"/>
      <c r="D113" s="6" t="s">
        <v>11</v>
      </c>
      <c r="E113" s="137"/>
      <c r="F113" s="138"/>
    </row>
    <row r="114" spans="1:6" x14ac:dyDescent="0.35">
      <c r="A114" s="145">
        <v>2</v>
      </c>
      <c r="B114" s="140" t="s">
        <v>339</v>
      </c>
      <c r="C114" s="135"/>
      <c r="D114" s="6" t="s">
        <v>11</v>
      </c>
      <c r="E114" s="137"/>
      <c r="F114" s="138"/>
    </row>
    <row r="115" spans="1:6" x14ac:dyDescent="0.35">
      <c r="A115" s="145">
        <v>3</v>
      </c>
      <c r="B115" s="140" t="s">
        <v>340</v>
      </c>
      <c r="C115" s="135"/>
      <c r="D115" s="6" t="s">
        <v>11</v>
      </c>
      <c r="E115" s="137"/>
      <c r="F115" s="138"/>
    </row>
    <row r="116" spans="1:6" x14ac:dyDescent="0.35">
      <c r="A116" s="145">
        <v>4</v>
      </c>
      <c r="B116" s="140" t="s">
        <v>341</v>
      </c>
      <c r="C116" s="135"/>
      <c r="D116" s="6" t="s">
        <v>11</v>
      </c>
      <c r="E116" s="137"/>
      <c r="F116" s="138"/>
    </row>
    <row r="117" spans="1:6" x14ac:dyDescent="0.35">
      <c r="A117" s="145">
        <v>5</v>
      </c>
      <c r="B117" s="140" t="s">
        <v>342</v>
      </c>
      <c r="C117" s="135"/>
      <c r="D117" s="6" t="s">
        <v>11</v>
      </c>
      <c r="E117" s="137"/>
      <c r="F117" s="138"/>
    </row>
    <row r="118" spans="1:6" x14ac:dyDescent="0.35">
      <c r="A118" s="145">
        <v>6</v>
      </c>
      <c r="B118" s="140" t="s">
        <v>343</v>
      </c>
      <c r="C118" s="135"/>
      <c r="D118" s="6" t="s">
        <v>11</v>
      </c>
      <c r="E118" s="137"/>
      <c r="F118" s="138"/>
    </row>
    <row r="119" spans="1:6" x14ac:dyDescent="0.35">
      <c r="A119" s="149">
        <v>7</v>
      </c>
      <c r="B119" s="75" t="s">
        <v>344</v>
      </c>
      <c r="C119" s="148"/>
      <c r="D119" s="6" t="s">
        <v>11</v>
      </c>
      <c r="E119" s="27"/>
      <c r="F119" s="40"/>
    </row>
    <row r="120" spans="1:6" x14ac:dyDescent="0.35">
      <c r="A120" s="149">
        <v>8</v>
      </c>
      <c r="B120" s="75" t="s">
        <v>345</v>
      </c>
      <c r="C120" s="148"/>
      <c r="D120" s="6" t="s">
        <v>18</v>
      </c>
      <c r="E120" s="27"/>
      <c r="F120" s="40"/>
    </row>
    <row r="121" spans="1:6" x14ac:dyDescent="0.35">
      <c r="A121" s="149">
        <v>9</v>
      </c>
      <c r="B121" s="75" t="s">
        <v>346</v>
      </c>
      <c r="C121" s="148"/>
      <c r="D121" s="6" t="s">
        <v>11</v>
      </c>
      <c r="E121" s="27"/>
      <c r="F121" s="40"/>
    </row>
    <row r="122" spans="1:6" x14ac:dyDescent="0.35">
      <c r="A122" s="149"/>
      <c r="B122" s="75">
        <v>0</v>
      </c>
      <c r="C122" s="148"/>
      <c r="D122" s="6"/>
      <c r="E122" s="27"/>
      <c r="F122" s="40"/>
    </row>
    <row r="123" spans="1:6" x14ac:dyDescent="0.35">
      <c r="A123" s="37" t="s">
        <v>34</v>
      </c>
      <c r="B123" s="74" t="str">
        <f>'Master Data'!$AE$2</f>
        <v>Earthing</v>
      </c>
      <c r="C123" s="32"/>
      <c r="D123" s="6"/>
      <c r="E123" s="31"/>
      <c r="F123" s="40"/>
    </row>
    <row r="124" spans="1:6" x14ac:dyDescent="0.35">
      <c r="A124" s="128">
        <v>1</v>
      </c>
      <c r="B124" s="75" t="str">
        <f>'Master Data'!$AE3</f>
        <v xml:space="preserve">25x3 MM  GI Earth Strip </v>
      </c>
      <c r="C124" s="6"/>
      <c r="D124" s="6" t="s">
        <v>18</v>
      </c>
      <c r="E124" s="27">
        <v>3500</v>
      </c>
      <c r="F124" s="40"/>
    </row>
    <row r="125" spans="1:6" x14ac:dyDescent="0.35">
      <c r="A125" s="128">
        <v>2</v>
      </c>
      <c r="B125" s="75" t="str">
        <f>'Master Data'!$AE4</f>
        <v>50x6 MM GI Earth Strip</v>
      </c>
      <c r="C125" s="6"/>
      <c r="D125" s="6" t="s">
        <v>18</v>
      </c>
      <c r="E125" s="27">
        <v>2500</v>
      </c>
      <c r="F125" s="40"/>
    </row>
    <row r="126" spans="1:6" x14ac:dyDescent="0.35">
      <c r="A126" s="128">
        <v>3</v>
      </c>
      <c r="B126" s="130" t="s">
        <v>286</v>
      </c>
      <c r="C126" s="125"/>
      <c r="D126" s="125" t="s">
        <v>18</v>
      </c>
      <c r="E126" s="126">
        <v>110</v>
      </c>
      <c r="F126" s="127"/>
    </row>
    <row r="127" spans="1:6" x14ac:dyDescent="0.35">
      <c r="A127" s="128"/>
      <c r="B127" s="130">
        <v>0</v>
      </c>
      <c r="C127" s="125"/>
      <c r="D127" s="125"/>
      <c r="E127" s="126"/>
      <c r="F127" s="127"/>
    </row>
    <row r="128" spans="1:6" x14ac:dyDescent="0.35">
      <c r="A128" s="37" t="s">
        <v>35</v>
      </c>
      <c r="B128" s="74" t="str">
        <f>'Master Data'!$AM$2</f>
        <v>Pipes</v>
      </c>
      <c r="C128" s="32"/>
      <c r="D128" s="6"/>
      <c r="E128" s="31"/>
      <c r="F128" s="40"/>
    </row>
    <row r="129" spans="1:6" x14ac:dyDescent="0.35">
      <c r="A129" s="128">
        <v>1</v>
      </c>
      <c r="B129" s="75" t="str">
        <f>'Master Data'!$AM3</f>
        <v>38x50 OD DWC Pipe (500MTR) UV &amp; Anti Rodent)</v>
      </c>
      <c r="C129" s="6"/>
      <c r="D129" s="6" t="s">
        <v>18</v>
      </c>
      <c r="E129" s="27">
        <v>8000</v>
      </c>
      <c r="F129" s="40"/>
    </row>
    <row r="130" spans="1:6" x14ac:dyDescent="0.35">
      <c r="A130" s="128">
        <v>2</v>
      </c>
      <c r="B130" s="75" t="str">
        <f>'Master Data'!$AM4</f>
        <v>50 MM Coupler</v>
      </c>
      <c r="C130" s="6"/>
      <c r="D130" s="6" t="s">
        <v>11</v>
      </c>
      <c r="E130" s="27">
        <v>20</v>
      </c>
      <c r="F130" s="40"/>
    </row>
    <row r="131" spans="1:6" x14ac:dyDescent="0.35">
      <c r="A131" s="128">
        <v>3</v>
      </c>
      <c r="B131" s="75" t="str">
        <f>'Master Data'!$AM5</f>
        <v>50 MM Elbow</v>
      </c>
      <c r="C131" s="6"/>
      <c r="D131" s="6" t="s">
        <v>11</v>
      </c>
      <c r="E131" s="27">
        <v>20</v>
      </c>
      <c r="F131" s="40"/>
    </row>
    <row r="132" spans="1:6" x14ac:dyDescent="0.35">
      <c r="A132" s="128">
        <v>4</v>
      </c>
      <c r="B132" s="75" t="str">
        <f>'Master Data'!$AM6</f>
        <v>50 MM Tee</v>
      </c>
      <c r="C132" s="6"/>
      <c r="D132" s="6" t="s">
        <v>11</v>
      </c>
      <c r="E132" s="27">
        <v>20</v>
      </c>
      <c r="F132" s="40"/>
    </row>
    <row r="133" spans="1:6" x14ac:dyDescent="0.35">
      <c r="A133" s="128">
        <v>5</v>
      </c>
      <c r="B133" s="75" t="str">
        <f>'Master Data'!$AM7</f>
        <v>50 MM O Ring</v>
      </c>
      <c r="C133" s="6"/>
      <c r="D133" s="6" t="s">
        <v>11</v>
      </c>
      <c r="E133" s="27">
        <v>20</v>
      </c>
      <c r="F133" s="40"/>
    </row>
    <row r="134" spans="1:6" x14ac:dyDescent="0.35">
      <c r="A134" s="128">
        <v>6</v>
      </c>
      <c r="B134" s="75" t="str">
        <f>'Master Data'!$AM8</f>
        <v>Np3 600 MM S&amp;S Pipe</v>
      </c>
      <c r="C134" s="6"/>
      <c r="D134" s="6" t="s">
        <v>18</v>
      </c>
      <c r="E134" s="27"/>
      <c r="F134" s="40"/>
    </row>
    <row r="135" spans="1:6" x14ac:dyDescent="0.35">
      <c r="A135" s="173"/>
      <c r="B135" s="164">
        <v>0</v>
      </c>
      <c r="C135" s="165"/>
      <c r="D135" s="166"/>
      <c r="E135" s="167"/>
      <c r="F135" s="168"/>
    </row>
    <row r="136" spans="1:6" x14ac:dyDescent="0.35">
      <c r="A136" s="37" t="s">
        <v>36</v>
      </c>
      <c r="B136" s="74" t="str">
        <f>'Master Data'!$AG$2</f>
        <v>Inverters_Structure</v>
      </c>
      <c r="C136" s="32"/>
      <c r="D136" s="6"/>
      <c r="E136" s="27"/>
      <c r="F136" s="40"/>
    </row>
    <row r="137" spans="1:6" x14ac:dyDescent="0.35">
      <c r="A137" s="128">
        <v>1</v>
      </c>
      <c r="B137" s="75" t="str">
        <f>'Master Data'!$AG3</f>
        <v>Inverter Column Post (ISMC - 100x50x5mm - 3000mmL</v>
      </c>
      <c r="C137" s="30"/>
      <c r="D137" s="6" t="s">
        <v>11</v>
      </c>
      <c r="E137" s="91">
        <v>88</v>
      </c>
      <c r="F137" s="40"/>
    </row>
    <row r="138" spans="1:6" x14ac:dyDescent="0.35">
      <c r="A138" s="128">
        <v>2</v>
      </c>
      <c r="B138" s="75" t="str">
        <f>'Master Data'!$AG4</f>
        <v>Inverter Support Pipe (SHS-40x40x2.5mm-1550mmL</v>
      </c>
      <c r="C138" s="30"/>
      <c r="D138" s="6" t="s">
        <v>11</v>
      </c>
      <c r="E138" s="91">
        <v>88</v>
      </c>
      <c r="F138" s="40"/>
    </row>
    <row r="139" spans="1:6" x14ac:dyDescent="0.35">
      <c r="A139" s="128">
        <v>3</v>
      </c>
      <c r="B139" s="75" t="str">
        <f>'Master Data'!$AG5</f>
        <v>Roof Support -1 (ISA 40x40x5mm - 600mm L</v>
      </c>
      <c r="C139" s="30"/>
      <c r="D139" s="6" t="s">
        <v>11</v>
      </c>
      <c r="E139" s="91">
        <v>88</v>
      </c>
      <c r="F139" s="40"/>
    </row>
    <row r="140" spans="1:6" x14ac:dyDescent="0.35">
      <c r="A140" s="128">
        <v>4</v>
      </c>
      <c r="B140" s="75" t="str">
        <f>'Master Data'!$AG6</f>
        <v>Roof Support -2 (ISA 40x40x5mm - 700mm L</v>
      </c>
      <c r="C140" s="30"/>
      <c r="D140" s="6" t="s">
        <v>11</v>
      </c>
      <c r="E140" s="91">
        <v>88</v>
      </c>
      <c r="F140" s="40"/>
    </row>
    <row r="141" spans="1:6" x14ac:dyDescent="0.35">
      <c r="A141" s="128">
        <v>5</v>
      </c>
      <c r="B141" s="75" t="str">
        <f>'Master Data'!$AG7</f>
        <v>Roof Support -3 (ISA 40x40x5mm - 644mm L</v>
      </c>
      <c r="C141" s="30"/>
      <c r="D141" s="6" t="s">
        <v>11</v>
      </c>
      <c r="E141" s="91">
        <v>88</v>
      </c>
      <c r="F141" s="40"/>
    </row>
    <row r="142" spans="1:6" x14ac:dyDescent="0.35">
      <c r="A142" s="128">
        <v>6</v>
      </c>
      <c r="B142" s="75" t="str">
        <f>'Master Data'!$AG8</f>
        <v>Purlin (SHA-30x30x2.5mm - 2200mm L</v>
      </c>
      <c r="C142" s="30"/>
      <c r="D142" s="6" t="s">
        <v>11</v>
      </c>
      <c r="E142" s="91">
        <v>88</v>
      </c>
      <c r="F142" s="40"/>
    </row>
    <row r="143" spans="1:6" x14ac:dyDescent="0.35">
      <c r="A143" s="128">
        <v>7</v>
      </c>
      <c r="B143" s="75" t="str">
        <f>'Master Data'!$AG9</f>
        <v>Conduit Support Pipe (SHS-40x40x2.5mm - 1550mm L</v>
      </c>
      <c r="C143" s="30"/>
      <c r="D143" s="6" t="s">
        <v>11</v>
      </c>
      <c r="E143" s="91">
        <v>44</v>
      </c>
      <c r="F143" s="40"/>
    </row>
    <row r="144" spans="1:6" x14ac:dyDescent="0.35">
      <c r="A144" s="128">
        <v>8</v>
      </c>
      <c r="B144" s="75" t="str">
        <f>'Master Data'!$AG10</f>
        <v>Roof Sheet (1200x2400x0.5mm)</v>
      </c>
      <c r="C144" s="30"/>
      <c r="D144" s="6" t="s">
        <v>11</v>
      </c>
      <c r="E144" s="91">
        <v>44</v>
      </c>
      <c r="F144" s="40"/>
    </row>
    <row r="145" spans="1:6" x14ac:dyDescent="0.35">
      <c r="A145" s="128">
        <v>9</v>
      </c>
      <c r="B145" s="75" t="str">
        <f>'Master Data'!$AG11</f>
        <v>SS-304 (M12x80(SS-304-80mm L</v>
      </c>
      <c r="C145" s="30"/>
      <c r="D145" s="6" t="s">
        <v>13</v>
      </c>
      <c r="E145" s="91">
        <v>440</v>
      </c>
      <c r="F145" s="40"/>
    </row>
    <row r="146" spans="1:6" x14ac:dyDescent="0.35">
      <c r="A146" s="128">
        <v>10</v>
      </c>
      <c r="B146" s="75" t="str">
        <f>'Master Data'!$AG12</f>
        <v>SS-304 (M10x80(SS-304-80mm L</v>
      </c>
      <c r="C146" s="30"/>
      <c r="D146" s="6" t="s">
        <v>13</v>
      </c>
      <c r="E146" s="91">
        <v>352</v>
      </c>
      <c r="F146" s="40"/>
    </row>
    <row r="147" spans="1:6" x14ac:dyDescent="0.35">
      <c r="A147" s="128">
        <v>11</v>
      </c>
      <c r="B147" s="75" t="str">
        <f>'Master Data'!$AG13</f>
        <v>SDS with EPDM washer</v>
      </c>
      <c r="C147" s="30"/>
      <c r="D147" s="6" t="s">
        <v>11</v>
      </c>
      <c r="E147" s="91">
        <v>440</v>
      </c>
      <c r="F147" s="40"/>
    </row>
    <row r="148" spans="1:6" x14ac:dyDescent="0.35">
      <c r="A148" s="128"/>
      <c r="B148" s="75">
        <f>'Master Data'!$AG14</f>
        <v>0</v>
      </c>
      <c r="C148" s="6"/>
      <c r="D148" s="6"/>
      <c r="E148" s="27"/>
      <c r="F148" s="40"/>
    </row>
    <row r="149" spans="1:6" x14ac:dyDescent="0.35">
      <c r="A149" s="37" t="s">
        <v>37</v>
      </c>
      <c r="B149" s="74" t="str">
        <f>'Master Data'!$S$2</f>
        <v>Connectors</v>
      </c>
      <c r="C149" s="6"/>
      <c r="D149" s="6"/>
      <c r="E149" s="27"/>
      <c r="F149" s="40"/>
    </row>
    <row r="150" spans="1:6" x14ac:dyDescent="0.35">
      <c r="A150" s="128"/>
      <c r="B150" s="75">
        <f>'Master Data'!$S3</f>
        <v>0</v>
      </c>
      <c r="C150" s="6"/>
      <c r="D150" s="6"/>
      <c r="E150" s="27"/>
      <c r="F150" s="40"/>
    </row>
    <row r="151" spans="1:6" x14ac:dyDescent="0.35">
      <c r="A151" s="37" t="s">
        <v>38</v>
      </c>
      <c r="B151" s="74" t="str">
        <f>'Master Data'!$T$2</f>
        <v>Cable_Glands</v>
      </c>
      <c r="C151" s="6"/>
      <c r="D151" s="6"/>
      <c r="E151" s="27"/>
      <c r="F151" s="40"/>
    </row>
    <row r="152" spans="1:6" x14ac:dyDescent="0.35">
      <c r="A152" s="128">
        <v>1</v>
      </c>
      <c r="B152" s="75" t="s">
        <v>362</v>
      </c>
      <c r="C152" s="6"/>
      <c r="D152" s="6" t="s">
        <v>11</v>
      </c>
      <c r="E152" s="27">
        <v>47</v>
      </c>
      <c r="F152" s="40"/>
    </row>
    <row r="153" spans="1:6" x14ac:dyDescent="0.35">
      <c r="A153" s="145">
        <v>2</v>
      </c>
      <c r="B153" s="140" t="s">
        <v>361</v>
      </c>
      <c r="C153" s="135"/>
      <c r="D153" s="6" t="s">
        <v>11</v>
      </c>
      <c r="E153" s="137">
        <v>16</v>
      </c>
      <c r="F153" s="138"/>
    </row>
    <row r="154" spans="1:6" x14ac:dyDescent="0.35">
      <c r="A154" s="145">
        <v>3</v>
      </c>
      <c r="B154" s="140" t="s">
        <v>367</v>
      </c>
      <c r="C154" s="135"/>
      <c r="D154" s="6" t="s">
        <v>11</v>
      </c>
      <c r="E154" s="137">
        <v>6</v>
      </c>
      <c r="F154" s="138"/>
    </row>
    <row r="155" spans="1:6" x14ac:dyDescent="0.35">
      <c r="A155" s="145">
        <v>4</v>
      </c>
      <c r="B155" s="140" t="s">
        <v>366</v>
      </c>
      <c r="C155" s="135"/>
      <c r="D155" s="6" t="s">
        <v>11</v>
      </c>
      <c r="E155" s="137">
        <v>10</v>
      </c>
      <c r="F155" s="138"/>
    </row>
    <row r="156" spans="1:6" x14ac:dyDescent="0.35">
      <c r="A156" s="145">
        <v>5</v>
      </c>
      <c r="B156" s="140" t="s">
        <v>365</v>
      </c>
      <c r="C156" s="135"/>
      <c r="D156" s="6" t="s">
        <v>11</v>
      </c>
      <c r="E156" s="137">
        <v>290</v>
      </c>
      <c r="F156" s="138"/>
    </row>
    <row r="157" spans="1:6" x14ac:dyDescent="0.35">
      <c r="A157" s="145">
        <v>6</v>
      </c>
      <c r="B157" s="140" t="s">
        <v>363</v>
      </c>
      <c r="C157" s="135"/>
      <c r="D157" s="6" t="s">
        <v>11</v>
      </c>
      <c r="E157" s="137">
        <v>20</v>
      </c>
      <c r="F157" s="138"/>
    </row>
    <row r="158" spans="1:6" x14ac:dyDescent="0.35">
      <c r="A158" s="145">
        <v>7</v>
      </c>
      <c r="B158" s="140" t="s">
        <v>364</v>
      </c>
      <c r="C158" s="135"/>
      <c r="D158" s="6" t="s">
        <v>11</v>
      </c>
      <c r="E158" s="137">
        <v>30</v>
      </c>
      <c r="F158" s="138"/>
    </row>
    <row r="159" spans="1:6" x14ac:dyDescent="0.35">
      <c r="A159" s="145">
        <v>8</v>
      </c>
      <c r="B159" s="140" t="s">
        <v>368</v>
      </c>
      <c r="C159" s="135"/>
      <c r="D159" s="6" t="s">
        <v>11</v>
      </c>
      <c r="E159" s="137">
        <v>30</v>
      </c>
      <c r="F159" s="138"/>
    </row>
    <row r="160" spans="1:6" x14ac:dyDescent="0.35">
      <c r="A160" s="149"/>
      <c r="B160" s="75">
        <v>0</v>
      </c>
      <c r="C160" s="148"/>
      <c r="D160" s="6"/>
      <c r="E160" s="27"/>
      <c r="F160" s="40"/>
    </row>
    <row r="161" spans="1:6" x14ac:dyDescent="0.35">
      <c r="A161" s="37" t="s">
        <v>39</v>
      </c>
      <c r="B161" s="74" t="str">
        <f>'Master Data'!$U$2</f>
        <v>Cable_Termination_Kit</v>
      </c>
      <c r="C161" s="6"/>
      <c r="D161" s="6"/>
      <c r="E161" s="27"/>
      <c r="F161" s="40"/>
    </row>
    <row r="162" spans="1:6" x14ac:dyDescent="0.35">
      <c r="A162" s="128">
        <v>1</v>
      </c>
      <c r="B162" s="75" t="s">
        <v>352</v>
      </c>
      <c r="C162" s="6"/>
      <c r="D162" s="6" t="s">
        <v>11</v>
      </c>
      <c r="E162" s="27">
        <v>16</v>
      </c>
      <c r="F162" s="48"/>
    </row>
    <row r="163" spans="1:6" x14ac:dyDescent="0.35">
      <c r="A163" s="145"/>
      <c r="B163" s="140">
        <v>0</v>
      </c>
      <c r="C163" s="135"/>
      <c r="D163" s="136"/>
      <c r="E163" s="137"/>
      <c r="F163" s="138"/>
    </row>
    <row r="164" spans="1:6" x14ac:dyDescent="0.35">
      <c r="A164" s="37" t="s">
        <v>40</v>
      </c>
      <c r="B164" s="74" t="str">
        <f>'Master Data'!$V$2</f>
        <v>Cable_Lugs</v>
      </c>
      <c r="C164" s="6"/>
      <c r="D164" s="6"/>
      <c r="E164" s="27"/>
      <c r="F164" s="40"/>
    </row>
    <row r="165" spans="1:6" x14ac:dyDescent="0.35">
      <c r="A165" s="128">
        <v>1</v>
      </c>
      <c r="B165" s="75" t="s">
        <v>448</v>
      </c>
      <c r="C165" s="6"/>
      <c r="D165" s="6" t="s">
        <v>11</v>
      </c>
      <c r="E165" s="27">
        <v>142</v>
      </c>
      <c r="F165" s="40"/>
    </row>
    <row r="166" spans="1:6" x14ac:dyDescent="0.35">
      <c r="A166" s="145">
        <v>2</v>
      </c>
      <c r="B166" s="140" t="s">
        <v>351</v>
      </c>
      <c r="C166" s="154"/>
      <c r="D166" s="6" t="s">
        <v>11</v>
      </c>
      <c r="E166" s="137">
        <v>142</v>
      </c>
      <c r="F166" s="138"/>
    </row>
    <row r="167" spans="1:6" x14ac:dyDescent="0.35">
      <c r="A167" s="145">
        <v>3</v>
      </c>
      <c r="B167" s="140" t="s">
        <v>353</v>
      </c>
      <c r="C167" s="135"/>
      <c r="D167" s="6" t="s">
        <v>11</v>
      </c>
      <c r="E167" s="137">
        <v>200</v>
      </c>
      <c r="F167" s="138"/>
    </row>
    <row r="168" spans="1:6" x14ac:dyDescent="0.35">
      <c r="A168" s="145">
        <v>4</v>
      </c>
      <c r="B168" s="140" t="s">
        <v>354</v>
      </c>
      <c r="C168" s="135"/>
      <c r="D168" s="6" t="s">
        <v>11</v>
      </c>
      <c r="E168" s="137"/>
      <c r="F168" s="138"/>
    </row>
    <row r="169" spans="1:6" x14ac:dyDescent="0.35">
      <c r="A169" s="145">
        <v>5</v>
      </c>
      <c r="B169" s="140" t="s">
        <v>355</v>
      </c>
      <c r="C169" s="135"/>
      <c r="D169" s="6" t="s">
        <v>11</v>
      </c>
      <c r="E169" s="137"/>
      <c r="F169" s="138"/>
    </row>
    <row r="170" spans="1:6" x14ac:dyDescent="0.35">
      <c r="A170" s="145">
        <v>6</v>
      </c>
      <c r="B170" s="140" t="s">
        <v>356</v>
      </c>
      <c r="C170" s="135"/>
      <c r="D170" s="6" t="s">
        <v>11</v>
      </c>
      <c r="E170" s="137">
        <v>15</v>
      </c>
      <c r="F170" s="138"/>
    </row>
    <row r="171" spans="1:6" x14ac:dyDescent="0.35">
      <c r="A171" s="145">
        <v>7</v>
      </c>
      <c r="B171" s="140" t="s">
        <v>357</v>
      </c>
      <c r="C171" s="135"/>
      <c r="D171" s="6" t="s">
        <v>11</v>
      </c>
      <c r="E171" s="137">
        <v>40</v>
      </c>
      <c r="F171" s="138"/>
    </row>
    <row r="172" spans="1:6" x14ac:dyDescent="0.35">
      <c r="A172" s="145">
        <v>8</v>
      </c>
      <c r="B172" s="140" t="s">
        <v>358</v>
      </c>
      <c r="C172" s="135"/>
      <c r="D172" s="6" t="s">
        <v>11</v>
      </c>
      <c r="E172" s="137">
        <v>30</v>
      </c>
      <c r="F172" s="138"/>
    </row>
    <row r="173" spans="1:6" x14ac:dyDescent="0.35">
      <c r="A173" s="145">
        <v>9</v>
      </c>
      <c r="B173" s="75" t="s">
        <v>359</v>
      </c>
      <c r="C173" s="135"/>
      <c r="D173" s="6" t="s">
        <v>11</v>
      </c>
      <c r="E173" s="137"/>
      <c r="F173" s="138"/>
    </row>
    <row r="174" spans="1:6" x14ac:dyDescent="0.35">
      <c r="A174" s="145">
        <v>10</v>
      </c>
      <c r="B174" s="75" t="s">
        <v>360</v>
      </c>
      <c r="C174" s="135"/>
      <c r="D174" s="6" t="s">
        <v>11</v>
      </c>
      <c r="E174" s="137">
        <v>20</v>
      </c>
      <c r="F174" s="138"/>
    </row>
    <row r="175" spans="1:6" x14ac:dyDescent="0.35">
      <c r="A175" s="145">
        <v>11</v>
      </c>
      <c r="B175" s="75" t="s">
        <v>378</v>
      </c>
      <c r="C175" s="135"/>
      <c r="D175" s="6" t="s">
        <v>11</v>
      </c>
      <c r="E175" s="137"/>
      <c r="F175" s="138"/>
    </row>
    <row r="176" spans="1:6" x14ac:dyDescent="0.35">
      <c r="A176" s="149">
        <v>12</v>
      </c>
      <c r="B176" s="75" t="s">
        <v>380</v>
      </c>
      <c r="C176" s="148"/>
      <c r="D176" s="6" t="s">
        <v>11</v>
      </c>
      <c r="E176" s="27"/>
      <c r="F176" s="40"/>
    </row>
    <row r="177" spans="1:6" x14ac:dyDescent="0.35">
      <c r="A177" s="149">
        <v>13</v>
      </c>
      <c r="B177" s="75" t="s">
        <v>379</v>
      </c>
      <c r="C177" s="148"/>
      <c r="D177" s="6" t="s">
        <v>11</v>
      </c>
      <c r="E177" s="27"/>
      <c r="F177" s="40"/>
    </row>
    <row r="178" spans="1:6" x14ac:dyDescent="0.35">
      <c r="A178" s="149"/>
      <c r="B178" s="75">
        <v>0</v>
      </c>
      <c r="C178" s="148"/>
      <c r="D178" s="6"/>
      <c r="E178" s="27"/>
      <c r="F178" s="40"/>
    </row>
    <row r="179" spans="1:6" x14ac:dyDescent="0.35">
      <c r="A179" s="37" t="s">
        <v>41</v>
      </c>
      <c r="B179" s="74" t="str">
        <f>'Master Data'!$Y$2</f>
        <v>Cable_Tie</v>
      </c>
      <c r="C179" s="6"/>
      <c r="D179" s="6"/>
      <c r="E179" s="27"/>
      <c r="F179" s="40"/>
    </row>
    <row r="180" spans="1:6" x14ac:dyDescent="0.35">
      <c r="A180" s="131">
        <v>1</v>
      </c>
      <c r="B180" s="130" t="str">
        <f>'Master Data'!$Y3</f>
        <v>100X2.5MM UV Cable Tie Black</v>
      </c>
      <c r="C180" s="7"/>
      <c r="D180" s="7" t="s">
        <v>271</v>
      </c>
      <c r="E180" s="116">
        <v>25000</v>
      </c>
      <c r="F180" s="41"/>
    </row>
    <row r="181" spans="1:6" x14ac:dyDescent="0.35">
      <c r="A181" s="128">
        <v>2</v>
      </c>
      <c r="B181" s="130" t="str">
        <f>'Master Data'!$Y4</f>
        <v>300X4.8MM UV Cable Tie Black</v>
      </c>
      <c r="C181" s="6"/>
      <c r="D181" s="7" t="s">
        <v>271</v>
      </c>
      <c r="E181" s="116">
        <v>10000</v>
      </c>
      <c r="F181" s="40"/>
    </row>
    <row r="182" spans="1:6" x14ac:dyDescent="0.35">
      <c r="A182" s="128">
        <v>3</v>
      </c>
      <c r="B182" s="130" t="str">
        <f>'Master Data'!$Y5</f>
        <v>300x4.6 SS Cable Tie</v>
      </c>
      <c r="C182" s="6"/>
      <c r="D182" s="7" t="s">
        <v>271</v>
      </c>
      <c r="E182" s="116">
        <v>800</v>
      </c>
      <c r="F182" s="40"/>
    </row>
    <row r="183" spans="1:6" x14ac:dyDescent="0.35">
      <c r="A183" s="128"/>
      <c r="B183" s="130">
        <f>'Master Data'!$Y6</f>
        <v>0</v>
      </c>
      <c r="C183" s="6"/>
      <c r="D183" s="7"/>
      <c r="E183" s="27"/>
      <c r="F183" s="40"/>
    </row>
    <row r="184" spans="1:6" x14ac:dyDescent="0.35">
      <c r="A184" s="37" t="s">
        <v>42</v>
      </c>
      <c r="B184" s="74" t="str">
        <f>'Master Data'!$W$2</f>
        <v>Cable_Sleeve</v>
      </c>
      <c r="C184" s="7"/>
      <c r="D184" s="7"/>
      <c r="E184" s="28"/>
      <c r="F184" s="41"/>
    </row>
    <row r="185" spans="1:6" x14ac:dyDescent="0.35">
      <c r="A185" s="131">
        <v>1</v>
      </c>
      <c r="B185" s="155" t="s">
        <v>375</v>
      </c>
      <c r="C185" s="7"/>
      <c r="D185" s="7" t="s">
        <v>18</v>
      </c>
      <c r="E185" s="28"/>
      <c r="F185" s="41"/>
    </row>
    <row r="186" spans="1:6" x14ac:dyDescent="0.35">
      <c r="A186" s="145">
        <v>2</v>
      </c>
      <c r="B186" s="155" t="s">
        <v>374</v>
      </c>
      <c r="C186" s="135"/>
      <c r="D186" s="6" t="s">
        <v>18</v>
      </c>
      <c r="E186" s="137"/>
      <c r="F186" s="138"/>
    </row>
    <row r="187" spans="1:6" x14ac:dyDescent="0.35">
      <c r="A187" s="145">
        <v>3</v>
      </c>
      <c r="B187" s="155" t="s">
        <v>373</v>
      </c>
      <c r="C187" s="135"/>
      <c r="D187" s="6" t="s">
        <v>18</v>
      </c>
      <c r="E187" s="137"/>
      <c r="F187" s="138"/>
    </row>
    <row r="188" spans="1:6" x14ac:dyDescent="0.35">
      <c r="A188" s="145">
        <v>4</v>
      </c>
      <c r="B188" s="155" t="s">
        <v>372</v>
      </c>
      <c r="C188" s="135"/>
      <c r="D188" s="6" t="s">
        <v>18</v>
      </c>
      <c r="E188" s="137">
        <v>10</v>
      </c>
      <c r="F188" s="138"/>
    </row>
    <row r="189" spans="1:6" x14ac:dyDescent="0.35">
      <c r="A189" s="149">
        <v>5</v>
      </c>
      <c r="B189" s="155" t="s">
        <v>371</v>
      </c>
      <c r="C189" s="148"/>
      <c r="D189" s="6" t="s">
        <v>18</v>
      </c>
      <c r="E189" s="27">
        <v>5</v>
      </c>
      <c r="F189" s="40"/>
    </row>
    <row r="190" spans="1:6" x14ac:dyDescent="0.35">
      <c r="A190" s="149">
        <v>6</v>
      </c>
      <c r="B190" s="155" t="s">
        <v>369</v>
      </c>
      <c r="C190" s="148"/>
      <c r="D190" s="6" t="s">
        <v>18</v>
      </c>
      <c r="E190" s="27">
        <v>5</v>
      </c>
      <c r="F190" s="40"/>
    </row>
    <row r="191" spans="1:6" x14ac:dyDescent="0.35">
      <c r="A191" s="149">
        <v>7</v>
      </c>
      <c r="B191" s="75" t="s">
        <v>370</v>
      </c>
      <c r="C191" s="148"/>
      <c r="D191" s="6" t="s">
        <v>18</v>
      </c>
      <c r="E191" s="27">
        <v>80</v>
      </c>
      <c r="F191" s="40"/>
    </row>
    <row r="192" spans="1:6" x14ac:dyDescent="0.35">
      <c r="A192" s="149">
        <v>8</v>
      </c>
      <c r="B192" s="75" t="s">
        <v>376</v>
      </c>
      <c r="C192" s="148"/>
      <c r="D192" s="6" t="s">
        <v>18</v>
      </c>
      <c r="E192" s="27">
        <v>5</v>
      </c>
      <c r="F192" s="40"/>
    </row>
    <row r="193" spans="1:6" x14ac:dyDescent="0.35">
      <c r="A193" s="145">
        <v>9</v>
      </c>
      <c r="B193" s="140" t="s">
        <v>406</v>
      </c>
      <c r="C193" s="135"/>
      <c r="D193" s="6" t="s">
        <v>18</v>
      </c>
      <c r="E193" s="137">
        <v>5</v>
      </c>
      <c r="F193" s="138"/>
    </row>
    <row r="194" spans="1:6" x14ac:dyDescent="0.35">
      <c r="A194" s="169"/>
      <c r="B194" s="164">
        <v>0</v>
      </c>
      <c r="C194" s="165"/>
      <c r="D194" s="166"/>
      <c r="E194" s="167"/>
      <c r="F194" s="168"/>
    </row>
    <row r="195" spans="1:6" x14ac:dyDescent="0.35">
      <c r="A195" s="37" t="s">
        <v>43</v>
      </c>
      <c r="B195" s="74" t="str">
        <f>'Master Data'!$AO$2</f>
        <v>Safety_Equipments</v>
      </c>
      <c r="C195" s="6"/>
      <c r="D195" s="6"/>
      <c r="E195" s="27"/>
      <c r="F195" s="40"/>
    </row>
    <row r="196" spans="1:6" x14ac:dyDescent="0.35">
      <c r="A196" s="128">
        <v>1</v>
      </c>
      <c r="B196" s="75" t="str">
        <f>'Master Data'!$AO3</f>
        <v>Sand Bucket With Stend  canopy</v>
      </c>
      <c r="C196" s="6"/>
      <c r="D196" s="7" t="s">
        <v>13</v>
      </c>
      <c r="E196" s="27">
        <v>4</v>
      </c>
      <c r="F196" s="40"/>
    </row>
    <row r="197" spans="1:6" x14ac:dyDescent="0.35">
      <c r="A197" s="128">
        <v>2</v>
      </c>
      <c r="B197" s="75" t="str">
        <f>'Master Data'!$AO4</f>
        <v>CO2 Type Fire Extinguisher - 4.5 Kg</v>
      </c>
      <c r="C197" s="125"/>
      <c r="D197" s="6" t="s">
        <v>11</v>
      </c>
      <c r="E197" s="126">
        <v>44</v>
      </c>
      <c r="F197" s="127"/>
    </row>
    <row r="198" spans="1:6" x14ac:dyDescent="0.35">
      <c r="A198" s="128">
        <v>3</v>
      </c>
      <c r="B198" s="75" t="str">
        <f>'Master Data'!$AO5</f>
        <v>CO2 Type Fire Extinguisher -  9 Kg</v>
      </c>
      <c r="C198" s="125"/>
      <c r="D198" s="6" t="s">
        <v>11</v>
      </c>
      <c r="E198" s="126">
        <v>4</v>
      </c>
      <c r="F198" s="127"/>
    </row>
    <row r="199" spans="1:6" x14ac:dyDescent="0.35">
      <c r="A199" s="128">
        <v>4</v>
      </c>
      <c r="B199" s="75" t="str">
        <f>'Master Data'!$AO6</f>
        <v>ABC Type Fire Extinguisher - 6 Kg</v>
      </c>
      <c r="C199" s="125"/>
      <c r="D199" s="6" t="s">
        <v>11</v>
      </c>
      <c r="E199" s="126"/>
      <c r="F199" s="127"/>
    </row>
    <row r="200" spans="1:6" x14ac:dyDescent="0.35">
      <c r="A200" s="149">
        <v>5</v>
      </c>
      <c r="B200" s="75" t="s">
        <v>451</v>
      </c>
      <c r="C200" s="6"/>
      <c r="D200" s="6" t="s">
        <v>11</v>
      </c>
      <c r="E200" s="174"/>
      <c r="F200" s="176"/>
    </row>
    <row r="201" spans="1:6" x14ac:dyDescent="0.35">
      <c r="A201" s="149">
        <v>6</v>
      </c>
      <c r="B201" s="155" t="s">
        <v>452</v>
      </c>
      <c r="C201" s="148"/>
      <c r="D201" s="6" t="s">
        <v>11</v>
      </c>
      <c r="E201" s="27"/>
      <c r="F201" s="40"/>
    </row>
    <row r="202" spans="1:6" x14ac:dyDescent="0.35">
      <c r="A202" s="149">
        <v>7</v>
      </c>
      <c r="B202" s="75" t="s">
        <v>453</v>
      </c>
      <c r="C202" s="148"/>
      <c r="D202" s="6" t="s">
        <v>11</v>
      </c>
      <c r="E202" s="27"/>
      <c r="F202" s="40"/>
    </row>
    <row r="203" spans="1:6" x14ac:dyDescent="0.35">
      <c r="A203" s="149">
        <v>8</v>
      </c>
      <c r="B203" s="75" t="s">
        <v>454</v>
      </c>
      <c r="C203" s="148"/>
      <c r="D203" s="6" t="s">
        <v>11</v>
      </c>
      <c r="E203" s="27"/>
      <c r="F203" s="40"/>
    </row>
    <row r="204" spans="1:6" x14ac:dyDescent="0.35">
      <c r="A204" s="149">
        <v>9</v>
      </c>
      <c r="B204" s="75" t="s">
        <v>456</v>
      </c>
      <c r="C204" s="148"/>
      <c r="D204" s="6" t="s">
        <v>11</v>
      </c>
      <c r="E204" s="27"/>
      <c r="F204" s="40"/>
    </row>
    <row r="205" spans="1:6" x14ac:dyDescent="0.35">
      <c r="A205" s="149">
        <v>10</v>
      </c>
      <c r="B205" s="75" t="s">
        <v>455</v>
      </c>
      <c r="C205" s="148"/>
      <c r="D205" s="6" t="s">
        <v>11</v>
      </c>
      <c r="E205" s="27"/>
      <c r="F205" s="40"/>
    </row>
    <row r="206" spans="1:6" x14ac:dyDescent="0.35">
      <c r="A206" s="149">
        <v>11</v>
      </c>
      <c r="B206" s="75" t="s">
        <v>457</v>
      </c>
      <c r="C206" s="148"/>
      <c r="D206" s="6" t="s">
        <v>11</v>
      </c>
      <c r="E206" s="27"/>
      <c r="F206" s="40"/>
    </row>
    <row r="207" spans="1:6" x14ac:dyDescent="0.35">
      <c r="A207" s="149">
        <v>12</v>
      </c>
      <c r="B207" s="75" t="s">
        <v>458</v>
      </c>
      <c r="C207" s="148"/>
      <c r="D207" s="6" t="s">
        <v>11</v>
      </c>
      <c r="E207" s="27"/>
      <c r="F207" s="40"/>
    </row>
    <row r="208" spans="1:6" x14ac:dyDescent="0.35">
      <c r="A208" s="149">
        <v>13</v>
      </c>
      <c r="B208" s="75" t="s">
        <v>459</v>
      </c>
      <c r="C208" s="148"/>
      <c r="D208" s="6" t="s">
        <v>11</v>
      </c>
      <c r="E208" s="27"/>
      <c r="F208" s="40"/>
    </row>
    <row r="209" spans="1:6" x14ac:dyDescent="0.35">
      <c r="A209" s="149">
        <v>14</v>
      </c>
      <c r="B209" s="75" t="s">
        <v>460</v>
      </c>
      <c r="C209" s="148"/>
      <c r="D209" s="6" t="s">
        <v>11</v>
      </c>
      <c r="E209" s="27"/>
      <c r="F209" s="40"/>
    </row>
    <row r="210" spans="1:6" x14ac:dyDescent="0.35">
      <c r="A210" s="149">
        <v>15</v>
      </c>
      <c r="B210" s="75" t="s">
        <v>461</v>
      </c>
      <c r="C210" s="148"/>
      <c r="D210" s="6" t="s">
        <v>11</v>
      </c>
      <c r="E210" s="27"/>
      <c r="F210" s="40"/>
    </row>
    <row r="211" spans="1:6" x14ac:dyDescent="0.35">
      <c r="A211" s="149">
        <v>16</v>
      </c>
      <c r="B211" s="75" t="s">
        <v>462</v>
      </c>
      <c r="C211" s="148"/>
      <c r="D211" s="6" t="s">
        <v>11</v>
      </c>
      <c r="E211" s="27"/>
      <c r="F211" s="40"/>
    </row>
    <row r="212" spans="1:6" x14ac:dyDescent="0.35">
      <c r="A212" s="149">
        <v>17</v>
      </c>
      <c r="B212" s="75" t="s">
        <v>463</v>
      </c>
      <c r="C212" s="148"/>
      <c r="D212" s="6" t="s">
        <v>11</v>
      </c>
      <c r="E212" s="27"/>
      <c r="F212" s="40"/>
    </row>
    <row r="213" spans="1:6" x14ac:dyDescent="0.35">
      <c r="A213" s="149">
        <v>18</v>
      </c>
      <c r="B213" s="75" t="s">
        <v>464</v>
      </c>
      <c r="C213" s="148"/>
      <c r="D213" s="6" t="s">
        <v>11</v>
      </c>
      <c r="E213" s="27"/>
      <c r="F213" s="40"/>
    </row>
    <row r="214" spans="1:6" x14ac:dyDescent="0.35">
      <c r="A214" s="149">
        <v>19</v>
      </c>
      <c r="B214" s="75" t="s">
        <v>465</v>
      </c>
      <c r="C214" s="148"/>
      <c r="D214" s="6" t="s">
        <v>11</v>
      </c>
      <c r="E214" s="27"/>
      <c r="F214" s="40"/>
    </row>
    <row r="215" spans="1:6" x14ac:dyDescent="0.35">
      <c r="A215" s="149">
        <v>20</v>
      </c>
      <c r="B215" s="75" t="s">
        <v>466</v>
      </c>
      <c r="C215" s="148"/>
      <c r="D215" s="6" t="s">
        <v>11</v>
      </c>
      <c r="E215" s="27"/>
      <c r="F215" s="40"/>
    </row>
    <row r="216" spans="1:6" x14ac:dyDescent="0.35">
      <c r="A216" s="149">
        <v>21</v>
      </c>
      <c r="B216" s="75" t="s">
        <v>467</v>
      </c>
      <c r="C216" s="148"/>
      <c r="D216" s="6" t="s">
        <v>11</v>
      </c>
      <c r="E216" s="27"/>
      <c r="F216" s="40"/>
    </row>
    <row r="217" spans="1:6" x14ac:dyDescent="0.35">
      <c r="A217" s="149">
        <v>22</v>
      </c>
      <c r="B217" s="75" t="s">
        <v>468</v>
      </c>
      <c r="C217" s="148"/>
      <c r="D217" s="6" t="s">
        <v>11</v>
      </c>
      <c r="E217" s="27"/>
      <c r="F217" s="40"/>
    </row>
    <row r="218" spans="1:6" x14ac:dyDescent="0.35">
      <c r="A218" s="149">
        <v>23</v>
      </c>
      <c r="B218" s="75" t="s">
        <v>469</v>
      </c>
      <c r="C218" s="148"/>
      <c r="D218" s="6" t="s">
        <v>11</v>
      </c>
      <c r="E218" s="27"/>
      <c r="F218" s="40"/>
    </row>
    <row r="219" spans="1:6" x14ac:dyDescent="0.35">
      <c r="A219" s="149">
        <v>24</v>
      </c>
      <c r="B219" s="75" t="s">
        <v>470</v>
      </c>
      <c r="C219" s="148"/>
      <c r="D219" s="6" t="s">
        <v>11</v>
      </c>
      <c r="E219" s="27"/>
      <c r="F219" s="40"/>
    </row>
    <row r="220" spans="1:6" x14ac:dyDescent="0.35">
      <c r="A220" s="149">
        <v>25</v>
      </c>
      <c r="B220" s="75" t="s">
        <v>471</v>
      </c>
      <c r="C220" s="148"/>
      <c r="D220" s="6" t="s">
        <v>11</v>
      </c>
      <c r="E220" s="27"/>
      <c r="F220" s="40"/>
    </row>
    <row r="221" spans="1:6" x14ac:dyDescent="0.35">
      <c r="A221" s="149">
        <v>26</v>
      </c>
      <c r="B221" s="75" t="s">
        <v>472</v>
      </c>
      <c r="C221" s="148"/>
      <c r="D221" s="6" t="s">
        <v>11</v>
      </c>
      <c r="E221" s="27"/>
      <c r="F221" s="40"/>
    </row>
    <row r="222" spans="1:6" x14ac:dyDescent="0.35">
      <c r="A222" s="149">
        <v>27</v>
      </c>
      <c r="B222" s="75" t="s">
        <v>473</v>
      </c>
      <c r="C222" s="148"/>
      <c r="D222" s="6" t="s">
        <v>11</v>
      </c>
      <c r="E222" s="27"/>
      <c r="F222" s="40"/>
    </row>
    <row r="223" spans="1:6" x14ac:dyDescent="0.35">
      <c r="A223" s="149">
        <v>28</v>
      </c>
      <c r="B223" s="75" t="s">
        <v>474</v>
      </c>
      <c r="C223" s="148"/>
      <c r="D223" s="6" t="s">
        <v>11</v>
      </c>
      <c r="E223" s="27"/>
      <c r="F223" s="40"/>
    </row>
    <row r="224" spans="1:6" x14ac:dyDescent="0.35">
      <c r="A224" s="149">
        <v>29</v>
      </c>
      <c r="B224" s="75" t="s">
        <v>475</v>
      </c>
      <c r="C224" s="148"/>
      <c r="D224" s="6" t="s">
        <v>11</v>
      </c>
      <c r="E224" s="27"/>
      <c r="F224" s="40"/>
    </row>
    <row r="225" spans="1:6" x14ac:dyDescent="0.35">
      <c r="A225" s="149">
        <v>30</v>
      </c>
      <c r="B225" s="75" t="s">
        <v>476</v>
      </c>
      <c r="C225" s="148"/>
      <c r="D225" s="6" t="s">
        <v>11</v>
      </c>
      <c r="E225" s="27"/>
      <c r="F225" s="40"/>
    </row>
    <row r="226" spans="1:6" x14ac:dyDescent="0.35">
      <c r="A226" s="149">
        <v>31</v>
      </c>
      <c r="B226" s="75" t="s">
        <v>477</v>
      </c>
      <c r="C226" s="148"/>
      <c r="D226" s="6" t="s">
        <v>11</v>
      </c>
      <c r="E226" s="27"/>
      <c r="F226" s="40"/>
    </row>
    <row r="227" spans="1:6" ht="23" x14ac:dyDescent="0.35">
      <c r="A227" s="149">
        <v>32</v>
      </c>
      <c r="B227" s="75" t="s">
        <v>478</v>
      </c>
      <c r="C227" s="148"/>
      <c r="D227" s="6" t="s">
        <v>11</v>
      </c>
      <c r="E227" s="27"/>
      <c r="F227" s="40"/>
    </row>
    <row r="228" spans="1:6" x14ac:dyDescent="0.35">
      <c r="A228" s="149">
        <v>33</v>
      </c>
      <c r="B228" s="75" t="s">
        <v>479</v>
      </c>
      <c r="C228" s="148"/>
      <c r="D228" s="6" t="s">
        <v>13</v>
      </c>
      <c r="E228" s="27"/>
      <c r="F228" s="40"/>
    </row>
    <row r="229" spans="1:6" x14ac:dyDescent="0.35">
      <c r="A229" s="149">
        <v>34</v>
      </c>
      <c r="B229" s="75" t="s">
        <v>480</v>
      </c>
      <c r="C229" s="148"/>
      <c r="D229" s="6" t="s">
        <v>11</v>
      </c>
      <c r="E229" s="27"/>
      <c r="F229" s="40"/>
    </row>
    <row r="230" spans="1:6" x14ac:dyDescent="0.35">
      <c r="A230" s="149">
        <v>35</v>
      </c>
      <c r="B230" s="75" t="s">
        <v>481</v>
      </c>
      <c r="C230" s="148"/>
      <c r="D230" s="6" t="s">
        <v>11</v>
      </c>
      <c r="E230" s="27"/>
      <c r="F230" s="40"/>
    </row>
    <row r="231" spans="1:6" x14ac:dyDescent="0.35">
      <c r="A231" s="149">
        <v>36</v>
      </c>
      <c r="B231" s="75"/>
      <c r="C231" s="148"/>
      <c r="D231" s="6"/>
      <c r="E231" s="27"/>
      <c r="F231" s="40"/>
    </row>
    <row r="232" spans="1:6" x14ac:dyDescent="0.35">
      <c r="A232" s="37" t="s">
        <v>44</v>
      </c>
      <c r="B232" s="74" t="str">
        <f>'Master Data'!$P$2</f>
        <v>CCTV</v>
      </c>
      <c r="C232" s="6"/>
      <c r="D232" s="6"/>
      <c r="E232" s="27"/>
      <c r="F232" s="40"/>
    </row>
    <row r="233" spans="1:6" x14ac:dyDescent="0.35">
      <c r="A233" s="128"/>
      <c r="B233" s="130">
        <f>'Master Data'!$P3</f>
        <v>0</v>
      </c>
      <c r="C233" s="6"/>
      <c r="D233" s="6"/>
      <c r="E233" s="27"/>
      <c r="F233" s="40"/>
    </row>
    <row r="234" spans="1:6" x14ac:dyDescent="0.35">
      <c r="A234" s="37" t="s">
        <v>45</v>
      </c>
      <c r="B234" s="74" t="str">
        <f>'Master Data'!$AL$2</f>
        <v>NIFPS</v>
      </c>
      <c r="C234" s="6"/>
      <c r="D234" s="6"/>
      <c r="E234" s="27"/>
      <c r="F234" s="40"/>
    </row>
    <row r="235" spans="1:6" x14ac:dyDescent="0.35">
      <c r="A235" s="128">
        <v>1</v>
      </c>
      <c r="B235" s="130" t="s">
        <v>305</v>
      </c>
      <c r="C235" s="6"/>
      <c r="D235" s="6" t="s">
        <v>11</v>
      </c>
      <c r="E235" s="27"/>
      <c r="F235" s="40"/>
    </row>
    <row r="236" spans="1:6" x14ac:dyDescent="0.35">
      <c r="A236" s="133">
        <v>2</v>
      </c>
      <c r="B236" s="140" t="s">
        <v>306</v>
      </c>
      <c r="C236" s="135"/>
      <c r="D236" s="136" t="s">
        <v>11</v>
      </c>
      <c r="E236" s="137"/>
      <c r="F236" s="138"/>
    </row>
    <row r="237" spans="1:6" x14ac:dyDescent="0.35">
      <c r="A237" s="141">
        <v>3</v>
      </c>
      <c r="B237" s="140" t="s">
        <v>307</v>
      </c>
      <c r="C237" s="135"/>
      <c r="D237" s="136" t="s">
        <v>11</v>
      </c>
      <c r="E237" s="137"/>
      <c r="F237" s="138"/>
    </row>
    <row r="238" spans="1:6" x14ac:dyDescent="0.35">
      <c r="A238" s="141">
        <v>4</v>
      </c>
      <c r="B238" s="140" t="s">
        <v>308</v>
      </c>
      <c r="C238" s="135"/>
      <c r="D238" s="136" t="s">
        <v>11</v>
      </c>
      <c r="E238" s="137"/>
      <c r="F238" s="138"/>
    </row>
    <row r="239" spans="1:6" x14ac:dyDescent="0.35">
      <c r="A239" s="141">
        <v>5</v>
      </c>
      <c r="B239" s="140" t="s">
        <v>309</v>
      </c>
      <c r="C239" s="135"/>
      <c r="D239" s="136" t="s">
        <v>11</v>
      </c>
      <c r="E239" s="137"/>
      <c r="F239" s="138"/>
    </row>
    <row r="240" spans="1:6" x14ac:dyDescent="0.35">
      <c r="A240" s="141">
        <v>6</v>
      </c>
      <c r="B240" s="140" t="s">
        <v>310</v>
      </c>
      <c r="C240" s="135"/>
      <c r="D240" s="136" t="s">
        <v>11</v>
      </c>
      <c r="E240" s="137"/>
      <c r="F240" s="138"/>
    </row>
    <row r="241" spans="1:6" x14ac:dyDescent="0.35">
      <c r="A241" s="133">
        <v>7</v>
      </c>
      <c r="B241" s="140" t="s">
        <v>311</v>
      </c>
      <c r="C241" s="135"/>
      <c r="D241" s="136" t="s">
        <v>11</v>
      </c>
      <c r="E241" s="137"/>
      <c r="F241" s="138"/>
    </row>
    <row r="242" spans="1:6" x14ac:dyDescent="0.35">
      <c r="A242" s="133">
        <v>8</v>
      </c>
      <c r="B242" s="140" t="s">
        <v>312</v>
      </c>
      <c r="C242" s="135"/>
      <c r="D242" s="136" t="s">
        <v>18</v>
      </c>
      <c r="E242" s="137"/>
      <c r="F242" s="138"/>
    </row>
    <row r="243" spans="1:6" x14ac:dyDescent="0.35">
      <c r="A243" s="133">
        <v>9</v>
      </c>
      <c r="B243" s="140" t="s">
        <v>313</v>
      </c>
      <c r="C243" s="135"/>
      <c r="D243" s="136" t="s">
        <v>11</v>
      </c>
      <c r="E243" s="137"/>
      <c r="F243" s="138"/>
    </row>
    <row r="244" spans="1:6" x14ac:dyDescent="0.35">
      <c r="A244" s="133">
        <v>10</v>
      </c>
      <c r="B244" s="140" t="s">
        <v>314</v>
      </c>
      <c r="C244" s="135"/>
      <c r="D244" s="136" t="s">
        <v>18</v>
      </c>
      <c r="E244" s="137"/>
      <c r="F244" s="138"/>
    </row>
    <row r="245" spans="1:6" x14ac:dyDescent="0.35">
      <c r="A245" s="133">
        <v>11</v>
      </c>
      <c r="B245" s="140" t="s">
        <v>315</v>
      </c>
      <c r="C245" s="135"/>
      <c r="D245" s="136" t="s">
        <v>18</v>
      </c>
      <c r="E245" s="137"/>
      <c r="F245" s="138"/>
    </row>
    <row r="246" spans="1:6" x14ac:dyDescent="0.35">
      <c r="A246" s="133">
        <v>12</v>
      </c>
      <c r="B246" s="142" t="s">
        <v>316</v>
      </c>
      <c r="C246" s="135"/>
      <c r="D246" s="136" t="s">
        <v>11</v>
      </c>
      <c r="E246" s="137"/>
      <c r="F246" s="138"/>
    </row>
    <row r="247" spans="1:6" x14ac:dyDescent="0.35">
      <c r="A247" s="133">
        <v>13</v>
      </c>
      <c r="B247" s="140" t="s">
        <v>317</v>
      </c>
      <c r="C247" s="135"/>
      <c r="D247" s="136" t="s">
        <v>11</v>
      </c>
      <c r="E247" s="137"/>
      <c r="F247" s="138"/>
    </row>
    <row r="248" spans="1:6" x14ac:dyDescent="0.35">
      <c r="A248" s="133">
        <v>14</v>
      </c>
      <c r="B248" s="142" t="s">
        <v>318</v>
      </c>
      <c r="C248" s="135"/>
      <c r="D248" s="136" t="s">
        <v>11</v>
      </c>
      <c r="E248" s="137"/>
      <c r="F248" s="138"/>
    </row>
    <row r="249" spans="1:6" x14ac:dyDescent="0.35">
      <c r="A249" s="133"/>
      <c r="B249" s="140">
        <v>0</v>
      </c>
      <c r="C249" s="135"/>
      <c r="D249" s="136" t="s">
        <v>11</v>
      </c>
      <c r="E249" s="137"/>
      <c r="F249" s="138"/>
    </row>
    <row r="250" spans="1:6" x14ac:dyDescent="0.35">
      <c r="A250" s="37" t="s">
        <v>46</v>
      </c>
      <c r="B250" s="74" t="str">
        <f>'Master Data'!$AP$2</f>
        <v>Others</v>
      </c>
      <c r="C250" s="6"/>
      <c r="D250" s="6"/>
      <c r="E250" s="27"/>
      <c r="F250" s="40"/>
    </row>
    <row r="251" spans="1:6" x14ac:dyDescent="0.35">
      <c r="A251" s="128">
        <v>1</v>
      </c>
      <c r="B251" s="130" t="str">
        <f>'Master Data'!$AP3</f>
        <v>Yellow Warning Tape (LT 2500 Mtr,DC 1000 Mtr,HT 500 Mtr)</v>
      </c>
      <c r="C251" s="6"/>
      <c r="D251" s="6" t="s">
        <v>18</v>
      </c>
      <c r="E251" s="27"/>
      <c r="F251" s="40"/>
    </row>
    <row r="252" spans="1:6" x14ac:dyDescent="0.35">
      <c r="A252" s="128">
        <v>2</v>
      </c>
      <c r="B252" s="130" t="str">
        <f>'Master Data'!$AP4</f>
        <v>300mm AL Rail</v>
      </c>
      <c r="C252" s="6"/>
      <c r="D252" s="6" t="s">
        <v>11</v>
      </c>
      <c r="E252" s="27"/>
      <c r="F252" s="40"/>
    </row>
    <row r="253" spans="1:6" x14ac:dyDescent="0.35">
      <c r="A253" s="128">
        <v>3</v>
      </c>
      <c r="B253" s="130" t="str">
        <f>'Master Data'!$AP5</f>
        <v>Portr.High</v>
      </c>
      <c r="C253" s="6"/>
      <c r="D253" s="6" t="s">
        <v>11</v>
      </c>
      <c r="E253" s="27"/>
      <c r="F253" s="40"/>
    </row>
    <row r="254" spans="1:6" x14ac:dyDescent="0.35">
      <c r="A254" s="128">
        <v>4</v>
      </c>
      <c r="B254" s="130" t="str">
        <f>'Master Data'!$AP6</f>
        <v>PU Form</v>
      </c>
      <c r="C254" s="6"/>
      <c r="D254" s="6" t="s">
        <v>11</v>
      </c>
      <c r="E254" s="27">
        <v>20</v>
      </c>
      <c r="F254" s="40"/>
    </row>
    <row r="255" spans="1:6" x14ac:dyDescent="0.35">
      <c r="A255" s="149">
        <v>5</v>
      </c>
      <c r="B255" s="75" t="s">
        <v>517</v>
      </c>
      <c r="C255" s="148"/>
      <c r="D255" s="6" t="s">
        <v>11</v>
      </c>
      <c r="E255" s="27"/>
      <c r="F255" s="40"/>
    </row>
    <row r="256" spans="1:6" x14ac:dyDescent="0.35">
      <c r="A256" s="183">
        <v>6</v>
      </c>
      <c r="B256" s="187" t="s">
        <v>518</v>
      </c>
      <c r="C256" s="179"/>
      <c r="D256" s="180" t="s">
        <v>11</v>
      </c>
      <c r="E256" s="181"/>
      <c r="F256" s="182"/>
    </row>
    <row r="257" spans="1:6" x14ac:dyDescent="0.35">
      <c r="A257" s="183">
        <v>7</v>
      </c>
      <c r="B257" s="187" t="s">
        <v>519</v>
      </c>
      <c r="C257" s="179"/>
      <c r="D257" s="180" t="s">
        <v>11</v>
      </c>
      <c r="E257" s="181"/>
      <c r="F257" s="182"/>
    </row>
    <row r="258" spans="1:6" x14ac:dyDescent="0.35">
      <c r="A258" s="183">
        <v>8</v>
      </c>
      <c r="B258" s="187" t="s">
        <v>520</v>
      </c>
      <c r="C258" s="179"/>
      <c r="D258" s="180" t="s">
        <v>11</v>
      </c>
      <c r="E258" s="181"/>
      <c r="F258" s="182"/>
    </row>
    <row r="259" spans="1:6" x14ac:dyDescent="0.35">
      <c r="A259" s="183">
        <v>9</v>
      </c>
      <c r="B259" s="187" t="s">
        <v>521</v>
      </c>
      <c r="C259" s="179"/>
      <c r="D259" s="180" t="s">
        <v>11</v>
      </c>
      <c r="E259" s="181"/>
      <c r="F259" s="182"/>
    </row>
    <row r="260" spans="1:6" x14ac:dyDescent="0.35">
      <c r="A260" s="183">
        <v>10</v>
      </c>
      <c r="B260" s="187" t="s">
        <v>522</v>
      </c>
      <c r="C260" s="179"/>
      <c r="D260" s="180" t="s">
        <v>11</v>
      </c>
      <c r="E260" s="181"/>
      <c r="F260" s="182"/>
    </row>
    <row r="261" spans="1:6" x14ac:dyDescent="0.35">
      <c r="A261" s="183"/>
      <c r="B261" s="187">
        <v>0</v>
      </c>
      <c r="C261" s="179"/>
      <c r="D261" s="180"/>
      <c r="E261" s="181"/>
      <c r="F261" s="182"/>
    </row>
    <row r="262" spans="1:6" x14ac:dyDescent="0.35">
      <c r="A262" s="37" t="s">
        <v>129</v>
      </c>
      <c r="B262" s="74" t="str">
        <f>'Master Data'!$R$2</f>
        <v>MCS</v>
      </c>
      <c r="C262" s="6"/>
      <c r="D262" s="6"/>
      <c r="E262" s="27"/>
      <c r="F262" s="40"/>
    </row>
    <row r="263" spans="1:6" x14ac:dyDescent="0.35">
      <c r="A263" s="149">
        <v>1</v>
      </c>
      <c r="B263" s="184" t="s">
        <v>489</v>
      </c>
      <c r="C263" s="7"/>
      <c r="D263" s="7" t="s">
        <v>18</v>
      </c>
      <c r="E263" s="28"/>
      <c r="F263" s="41"/>
    </row>
    <row r="264" spans="1:6" x14ac:dyDescent="0.35">
      <c r="A264" s="183">
        <v>2</v>
      </c>
      <c r="B264" s="178" t="s">
        <v>490</v>
      </c>
      <c r="C264" s="179"/>
      <c r="D264" s="180" t="s">
        <v>18</v>
      </c>
      <c r="E264" s="181"/>
      <c r="F264" s="182"/>
    </row>
    <row r="265" spans="1:6" x14ac:dyDescent="0.35">
      <c r="A265" s="183">
        <v>3</v>
      </c>
      <c r="B265" s="178" t="s">
        <v>491</v>
      </c>
      <c r="C265" s="179"/>
      <c r="D265" s="180" t="s">
        <v>18</v>
      </c>
      <c r="E265" s="181"/>
      <c r="F265" s="182"/>
    </row>
    <row r="266" spans="1:6" x14ac:dyDescent="0.35">
      <c r="A266" s="183">
        <v>4</v>
      </c>
      <c r="B266" s="178" t="s">
        <v>492</v>
      </c>
      <c r="C266" s="179"/>
      <c r="D266" s="180" t="s">
        <v>11</v>
      </c>
      <c r="E266" s="181"/>
      <c r="F266" s="182"/>
    </row>
    <row r="267" spans="1:6" x14ac:dyDescent="0.35">
      <c r="A267" s="183">
        <v>5</v>
      </c>
      <c r="B267" s="178" t="s">
        <v>493</v>
      </c>
      <c r="C267" s="179"/>
      <c r="D267" s="180" t="s">
        <v>11</v>
      </c>
      <c r="E267" s="181"/>
      <c r="F267" s="182"/>
    </row>
    <row r="268" spans="1:6" x14ac:dyDescent="0.35">
      <c r="A268" s="183">
        <v>6</v>
      </c>
      <c r="B268" s="178" t="s">
        <v>494</v>
      </c>
      <c r="C268" s="179"/>
      <c r="D268" s="180" t="s">
        <v>11</v>
      </c>
      <c r="E268" s="181"/>
      <c r="F268" s="182"/>
    </row>
    <row r="269" spans="1:6" x14ac:dyDescent="0.35">
      <c r="A269" s="183">
        <v>7</v>
      </c>
      <c r="B269" s="178" t="s">
        <v>495</v>
      </c>
      <c r="C269" s="179"/>
      <c r="D269" s="180" t="s">
        <v>11</v>
      </c>
      <c r="E269" s="181"/>
      <c r="F269" s="182"/>
    </row>
    <row r="270" spans="1:6" x14ac:dyDescent="0.35">
      <c r="A270" s="183">
        <v>8</v>
      </c>
      <c r="B270" s="178" t="s">
        <v>496</v>
      </c>
      <c r="C270" s="179"/>
      <c r="D270" s="180" t="s">
        <v>11</v>
      </c>
      <c r="E270" s="181"/>
      <c r="F270" s="182"/>
    </row>
    <row r="271" spans="1:6" x14ac:dyDescent="0.35">
      <c r="A271" s="183">
        <v>9</v>
      </c>
      <c r="B271" s="178" t="s">
        <v>497</v>
      </c>
      <c r="C271" s="179"/>
      <c r="D271" s="180" t="s">
        <v>11</v>
      </c>
      <c r="E271" s="181"/>
      <c r="F271" s="182"/>
    </row>
    <row r="272" spans="1:6" x14ac:dyDescent="0.35">
      <c r="A272" s="183">
        <v>10</v>
      </c>
      <c r="B272" s="178" t="s">
        <v>498</v>
      </c>
      <c r="C272" s="179"/>
      <c r="D272" s="180" t="s">
        <v>11</v>
      </c>
      <c r="E272" s="181"/>
      <c r="F272" s="182"/>
    </row>
    <row r="273" spans="1:6" x14ac:dyDescent="0.35">
      <c r="A273" s="183">
        <v>11</v>
      </c>
      <c r="B273" s="178" t="s">
        <v>499</v>
      </c>
      <c r="C273" s="179"/>
      <c r="D273" s="180" t="s">
        <v>11</v>
      </c>
      <c r="E273" s="181"/>
      <c r="F273" s="182"/>
    </row>
    <row r="274" spans="1:6" x14ac:dyDescent="0.35">
      <c r="A274" s="183">
        <v>12</v>
      </c>
      <c r="B274" s="178" t="s">
        <v>500</v>
      </c>
      <c r="C274" s="179"/>
      <c r="D274" s="180" t="s">
        <v>11</v>
      </c>
      <c r="E274" s="181"/>
      <c r="F274" s="182"/>
    </row>
    <row r="275" spans="1:6" x14ac:dyDescent="0.35">
      <c r="A275" s="183">
        <v>13</v>
      </c>
      <c r="B275" s="178" t="s">
        <v>501</v>
      </c>
      <c r="C275" s="179"/>
      <c r="D275" s="180" t="s">
        <v>11</v>
      </c>
      <c r="E275" s="181"/>
      <c r="F275" s="182"/>
    </row>
    <row r="276" spans="1:6" x14ac:dyDescent="0.35">
      <c r="A276" s="183">
        <v>14</v>
      </c>
      <c r="B276" s="178" t="s">
        <v>502</v>
      </c>
      <c r="C276" s="179"/>
      <c r="D276" s="180" t="s">
        <v>11</v>
      </c>
      <c r="E276" s="181"/>
      <c r="F276" s="182"/>
    </row>
    <row r="277" spans="1:6" x14ac:dyDescent="0.35">
      <c r="A277" s="183">
        <v>15</v>
      </c>
      <c r="B277" s="178" t="s">
        <v>503</v>
      </c>
      <c r="C277" s="179"/>
      <c r="D277" s="180" t="s">
        <v>11</v>
      </c>
      <c r="E277" s="181"/>
      <c r="F277" s="182"/>
    </row>
    <row r="278" spans="1:6" x14ac:dyDescent="0.35">
      <c r="A278" s="183">
        <v>16</v>
      </c>
      <c r="B278" s="178" t="s">
        <v>504</v>
      </c>
      <c r="C278" s="179"/>
      <c r="D278" s="180" t="s">
        <v>100</v>
      </c>
      <c r="E278" s="181"/>
      <c r="F278" s="182"/>
    </row>
    <row r="279" spans="1:6" x14ac:dyDescent="0.35">
      <c r="A279" s="183">
        <v>17</v>
      </c>
      <c r="B279" s="178" t="s">
        <v>505</v>
      </c>
      <c r="C279" s="179"/>
      <c r="D279" s="180" t="s">
        <v>11</v>
      </c>
      <c r="E279" s="181"/>
      <c r="F279" s="182"/>
    </row>
    <row r="280" spans="1:6" x14ac:dyDescent="0.35">
      <c r="A280" s="183">
        <v>18</v>
      </c>
      <c r="B280" s="178" t="s">
        <v>506</v>
      </c>
      <c r="C280" s="179"/>
      <c r="D280" s="180" t="s">
        <v>13</v>
      </c>
      <c r="E280" s="181"/>
      <c r="F280" s="182"/>
    </row>
    <row r="281" spans="1:6" x14ac:dyDescent="0.35">
      <c r="A281" s="183">
        <v>19</v>
      </c>
      <c r="B281" s="178" t="s">
        <v>507</v>
      </c>
      <c r="C281" s="179"/>
      <c r="D281" s="180" t="s">
        <v>11</v>
      </c>
      <c r="E281" s="181"/>
      <c r="F281" s="182"/>
    </row>
    <row r="282" spans="1:6" x14ac:dyDescent="0.35">
      <c r="A282" s="183">
        <v>20</v>
      </c>
      <c r="B282" s="178" t="s">
        <v>508</v>
      </c>
      <c r="C282" s="179"/>
      <c r="D282" s="180" t="s">
        <v>11</v>
      </c>
      <c r="E282" s="181"/>
      <c r="F282" s="182"/>
    </row>
    <row r="283" spans="1:6" x14ac:dyDescent="0.35">
      <c r="A283" s="183">
        <v>21</v>
      </c>
      <c r="B283" s="178" t="s">
        <v>509</v>
      </c>
      <c r="C283" s="179"/>
      <c r="D283" s="180" t="s">
        <v>11</v>
      </c>
      <c r="E283" s="181"/>
      <c r="F283" s="182"/>
    </row>
    <row r="284" spans="1:6" x14ac:dyDescent="0.35">
      <c r="A284" s="183"/>
      <c r="B284" s="178">
        <v>0</v>
      </c>
      <c r="C284" s="179"/>
      <c r="D284" s="180"/>
      <c r="E284" s="181"/>
      <c r="F284" s="182"/>
    </row>
    <row r="285" spans="1:6" x14ac:dyDescent="0.35">
      <c r="A285" s="37" t="s">
        <v>140</v>
      </c>
      <c r="B285" s="74" t="str">
        <f>'Master Data'!$F$2</f>
        <v>Assets</v>
      </c>
      <c r="C285" s="6"/>
      <c r="D285" s="6"/>
      <c r="E285" s="27"/>
      <c r="F285" s="40"/>
    </row>
    <row r="286" spans="1:6" x14ac:dyDescent="0.35">
      <c r="A286" s="131">
        <v>1</v>
      </c>
      <c r="B286" s="75" t="str">
        <f>'Master Data'!$F3</f>
        <v>Store Container</v>
      </c>
      <c r="C286" s="7"/>
      <c r="D286" s="7" t="s">
        <v>11</v>
      </c>
      <c r="E286" s="28">
        <v>1</v>
      </c>
      <c r="F286" s="41"/>
    </row>
    <row r="287" spans="1:6" x14ac:dyDescent="0.35">
      <c r="A287" s="131">
        <v>2</v>
      </c>
      <c r="B287" s="75" t="str">
        <f>'Master Data'!$F4</f>
        <v>Secucity Cabin</v>
      </c>
      <c r="C287" s="7"/>
      <c r="D287" s="7" t="s">
        <v>11</v>
      </c>
      <c r="E287" s="28">
        <v>2</v>
      </c>
      <c r="F287" s="41"/>
    </row>
    <row r="288" spans="1:6" x14ac:dyDescent="0.35">
      <c r="A288" s="183"/>
      <c r="B288" s="178">
        <v>0</v>
      </c>
      <c r="C288" s="179"/>
      <c r="D288" s="180"/>
      <c r="E288" s="181"/>
      <c r="F288" s="182"/>
    </row>
    <row r="289" spans="1:6" x14ac:dyDescent="0.35">
      <c r="A289" s="132" t="s">
        <v>141</v>
      </c>
      <c r="B289" s="74" t="str">
        <f>'Master Data'!$Q$2</f>
        <v>UPS</v>
      </c>
      <c r="C289" s="6"/>
      <c r="D289" s="6"/>
      <c r="E289" s="27"/>
      <c r="F289" s="40"/>
    </row>
    <row r="290" spans="1:6" x14ac:dyDescent="0.35">
      <c r="A290" s="131"/>
      <c r="B290" s="75">
        <f>'Master Data'!$Q3</f>
        <v>0</v>
      </c>
      <c r="C290" s="7"/>
      <c r="D290" s="7"/>
      <c r="E290" s="28"/>
      <c r="F290" s="41"/>
    </row>
    <row r="291" spans="1:6" x14ac:dyDescent="0.35">
      <c r="A291" s="132" t="s">
        <v>142</v>
      </c>
      <c r="B291" s="74" t="str">
        <f>'Master Data'!$AF$2</f>
        <v>Pheriperal Boundary</v>
      </c>
      <c r="C291" s="6"/>
      <c r="D291" s="6"/>
      <c r="E291" s="27"/>
      <c r="F291" s="40"/>
    </row>
    <row r="292" spans="1:6" x14ac:dyDescent="0.35">
      <c r="A292" s="128">
        <v>1</v>
      </c>
      <c r="B292" s="130" t="str">
        <f>'Master Data'!$AF3</f>
        <v>Precast Panel</v>
      </c>
      <c r="C292" s="6"/>
      <c r="D292" s="6" t="s">
        <v>11</v>
      </c>
      <c r="E292" s="27"/>
      <c r="F292" s="40"/>
    </row>
    <row r="293" spans="1:6" x14ac:dyDescent="0.35">
      <c r="A293" s="244">
        <v>2</v>
      </c>
      <c r="B293" s="239" t="s">
        <v>583</v>
      </c>
      <c r="C293" s="240"/>
      <c r="D293" s="241" t="s">
        <v>11</v>
      </c>
      <c r="E293" s="242"/>
      <c r="F293" s="243"/>
    </row>
    <row r="294" spans="1:6" x14ac:dyDescent="0.35">
      <c r="A294" s="244"/>
      <c r="B294" s="239">
        <v>0</v>
      </c>
      <c r="C294" s="240"/>
      <c r="D294" s="241"/>
      <c r="E294" s="242"/>
      <c r="F294" s="243"/>
    </row>
    <row r="295" spans="1:6" x14ac:dyDescent="0.35">
      <c r="A295" s="132" t="s">
        <v>143</v>
      </c>
      <c r="B295" s="74" t="str">
        <f>'Master Data'!$H$2</f>
        <v>Bus_Duct</v>
      </c>
      <c r="C295" s="6"/>
      <c r="D295" s="6"/>
      <c r="E295" s="27"/>
      <c r="F295" s="40"/>
    </row>
    <row r="296" spans="1:6" x14ac:dyDescent="0.35">
      <c r="A296" s="144">
        <v>1</v>
      </c>
      <c r="B296" s="130" t="s">
        <v>323</v>
      </c>
      <c r="C296" s="6"/>
      <c r="D296" s="6" t="s">
        <v>18</v>
      </c>
      <c r="E296" s="27"/>
      <c r="F296" s="40"/>
    </row>
    <row r="297" spans="1:6" x14ac:dyDescent="0.35">
      <c r="A297" s="133">
        <v>2</v>
      </c>
      <c r="B297" s="142" t="s">
        <v>324</v>
      </c>
      <c r="C297" s="135"/>
      <c r="D297" s="136" t="s">
        <v>13</v>
      </c>
      <c r="E297" s="137"/>
      <c r="F297" s="138"/>
    </row>
    <row r="298" spans="1:6" x14ac:dyDescent="0.35">
      <c r="A298" s="133">
        <v>3</v>
      </c>
      <c r="B298" s="142" t="s">
        <v>325</v>
      </c>
      <c r="C298" s="135"/>
      <c r="D298" s="136" t="s">
        <v>13</v>
      </c>
      <c r="E298" s="137"/>
      <c r="F298" s="138"/>
    </row>
    <row r="299" spans="1:6" x14ac:dyDescent="0.35">
      <c r="A299" s="133">
        <v>4</v>
      </c>
      <c r="B299" s="140" t="s">
        <v>326</v>
      </c>
      <c r="C299" s="135"/>
      <c r="D299" s="136" t="s">
        <v>11</v>
      </c>
      <c r="E299" s="137"/>
      <c r="F299" s="138"/>
    </row>
    <row r="300" spans="1:6" x14ac:dyDescent="0.35">
      <c r="A300" s="133"/>
      <c r="B300" s="140">
        <v>0</v>
      </c>
      <c r="C300" s="135"/>
      <c r="D300" s="136"/>
      <c r="E300" s="137"/>
      <c r="F300" s="138"/>
    </row>
    <row r="301" spans="1:6" x14ac:dyDescent="0.35">
      <c r="A301" s="132" t="s">
        <v>337</v>
      </c>
      <c r="B301" s="74" t="str">
        <f>'Master Data'!$X$2</f>
        <v>Cable_Route_Marker</v>
      </c>
      <c r="C301" s="6"/>
      <c r="D301" s="6"/>
      <c r="E301" s="27"/>
      <c r="F301" s="40"/>
    </row>
    <row r="302" spans="1:6" x14ac:dyDescent="0.35">
      <c r="A302" s="128">
        <v>1</v>
      </c>
      <c r="B302" s="130" t="str">
        <f>'Master Data'!$X3</f>
        <v>LT Cable Route Marker</v>
      </c>
      <c r="C302" s="6"/>
      <c r="D302" s="6" t="s">
        <v>11</v>
      </c>
      <c r="E302" s="27"/>
      <c r="F302" s="40"/>
    </row>
    <row r="303" spans="1:6" x14ac:dyDescent="0.35">
      <c r="A303" s="149">
        <v>2</v>
      </c>
      <c r="B303" s="75" t="s">
        <v>535</v>
      </c>
      <c r="C303" s="148"/>
      <c r="D303" s="6" t="s">
        <v>11</v>
      </c>
      <c r="E303" s="27"/>
      <c r="F303" s="40"/>
    </row>
    <row r="304" spans="1:6" x14ac:dyDescent="0.35">
      <c r="A304" s="149">
        <v>3</v>
      </c>
      <c r="B304" s="75" t="s">
        <v>537</v>
      </c>
      <c r="C304" s="148"/>
      <c r="D304" s="6" t="s">
        <v>11</v>
      </c>
      <c r="E304" s="27"/>
      <c r="F304" s="40"/>
    </row>
    <row r="305" spans="1:6" x14ac:dyDescent="0.35">
      <c r="A305" s="149"/>
      <c r="B305" s="75"/>
      <c r="C305" s="148"/>
      <c r="D305" s="6"/>
      <c r="E305" s="27"/>
      <c r="F305" s="40"/>
    </row>
    <row r="306" spans="1:6" x14ac:dyDescent="0.35">
      <c r="A306" s="238" t="s">
        <v>550</v>
      </c>
      <c r="B306" s="74" t="s">
        <v>548</v>
      </c>
      <c r="C306" s="148"/>
      <c r="D306" s="6"/>
      <c r="E306" s="27"/>
      <c r="F306" s="40"/>
    </row>
    <row r="307" spans="1:6" x14ac:dyDescent="0.35">
      <c r="A307" s="149">
        <v>1</v>
      </c>
      <c r="B307" s="75" t="s">
        <v>541</v>
      </c>
      <c r="C307" s="148"/>
      <c r="D307" s="6" t="s">
        <v>11</v>
      </c>
      <c r="E307" s="27"/>
      <c r="F307" s="40"/>
    </row>
    <row r="308" spans="1:6" x14ac:dyDescent="0.35">
      <c r="A308" s="149">
        <v>2</v>
      </c>
      <c r="B308" s="75" t="s">
        <v>542</v>
      </c>
      <c r="C308" s="148"/>
      <c r="D308" s="6" t="s">
        <v>11</v>
      </c>
      <c r="E308" s="27"/>
      <c r="F308" s="40"/>
    </row>
    <row r="309" spans="1:6" x14ac:dyDescent="0.35">
      <c r="A309" s="149">
        <v>3</v>
      </c>
      <c r="B309" s="75" t="s">
        <v>543</v>
      </c>
      <c r="C309" s="148"/>
      <c r="D309" s="6" t="s">
        <v>11</v>
      </c>
      <c r="E309" s="27"/>
      <c r="F309" s="40"/>
    </row>
    <row r="310" spans="1:6" x14ac:dyDescent="0.35">
      <c r="A310" s="149">
        <v>4</v>
      </c>
      <c r="B310" s="75" t="s">
        <v>544</v>
      </c>
      <c r="C310" s="148"/>
      <c r="D310" s="6" t="s">
        <v>11</v>
      </c>
      <c r="E310" s="27"/>
      <c r="F310" s="40"/>
    </row>
    <row r="311" spans="1:6" x14ac:dyDescent="0.35">
      <c r="A311" s="149">
        <v>5</v>
      </c>
      <c r="B311" s="75" t="s">
        <v>545</v>
      </c>
      <c r="C311" s="148"/>
      <c r="D311" s="6" t="s">
        <v>11</v>
      </c>
      <c r="E311" s="27"/>
      <c r="F311" s="40"/>
    </row>
    <row r="312" spans="1:6" x14ac:dyDescent="0.35">
      <c r="A312" s="149">
        <v>6</v>
      </c>
      <c r="B312" s="75" t="s">
        <v>546</v>
      </c>
      <c r="C312" s="148"/>
      <c r="D312" s="6" t="s">
        <v>11</v>
      </c>
      <c r="E312" s="27"/>
      <c r="F312" s="40"/>
    </row>
    <row r="313" spans="1:6" x14ac:dyDescent="0.35">
      <c r="A313" s="144">
        <v>7</v>
      </c>
      <c r="B313" s="155" t="s">
        <v>545</v>
      </c>
      <c r="C313" s="148"/>
      <c r="D313" s="6" t="s">
        <v>11</v>
      </c>
      <c r="E313" s="27"/>
      <c r="F313" s="40"/>
    </row>
    <row r="314" spans="1:6" x14ac:dyDescent="0.35">
      <c r="A314" s="149">
        <v>8</v>
      </c>
      <c r="B314" s="75" t="s">
        <v>547</v>
      </c>
      <c r="C314" s="148"/>
      <c r="D314" s="6" t="s">
        <v>11</v>
      </c>
      <c r="E314" s="27"/>
      <c r="F314" s="40"/>
    </row>
    <row r="315" spans="1:6" x14ac:dyDescent="0.35">
      <c r="A315" s="144">
        <v>9</v>
      </c>
      <c r="B315" s="75" t="s">
        <v>549</v>
      </c>
      <c r="C315" s="148"/>
      <c r="D315" s="6" t="s">
        <v>551</v>
      </c>
      <c r="E315" s="27"/>
      <c r="F315" s="40"/>
    </row>
    <row r="316" spans="1:6" x14ac:dyDescent="0.35">
      <c r="A316" s="149"/>
      <c r="B316" s="155">
        <v>0</v>
      </c>
      <c r="C316" s="6"/>
      <c r="D316" s="6"/>
      <c r="E316" s="27"/>
      <c r="F316" s="40"/>
    </row>
    <row r="378" ht="30.75" customHeight="1" x14ac:dyDescent="0.35"/>
    <row r="381" ht="24.75" customHeight="1" x14ac:dyDescent="0.35"/>
    <row r="530" spans="20:16384" x14ac:dyDescent="0.35">
      <c r="T530" s="34"/>
      <c r="U530" s="6"/>
      <c r="V530" s="6"/>
      <c r="W530" s="27"/>
      <c r="X530" s="40"/>
      <c r="Y530" s="25"/>
      <c r="Z530" s="34"/>
      <c r="AA530" s="6"/>
      <c r="AB530" s="6"/>
      <c r="AC530" s="27"/>
      <c r="AD530" s="40"/>
      <c r="AE530" s="25"/>
      <c r="AF530" s="34"/>
      <c r="AG530" s="6"/>
      <c r="AH530" s="6"/>
      <c r="AI530" s="27"/>
      <c r="AJ530" s="40"/>
      <c r="AK530" s="25"/>
      <c r="AL530" s="34"/>
      <c r="AM530" s="6"/>
      <c r="AN530" s="6"/>
      <c r="AO530" s="27"/>
      <c r="AP530" s="40"/>
      <c r="AQ530" s="25"/>
      <c r="AR530" s="34"/>
      <c r="AS530" s="6"/>
      <c r="AT530" s="6"/>
      <c r="AU530" s="27"/>
      <c r="AV530" s="40"/>
      <c r="AW530" s="25"/>
      <c r="AX530" s="34"/>
      <c r="AY530" s="6"/>
      <c r="AZ530" s="6"/>
      <c r="BA530" s="27"/>
      <c r="BB530" s="40"/>
      <c r="BC530" s="25"/>
      <c r="BD530" s="34"/>
      <c r="BE530" s="6"/>
      <c r="BF530" s="6"/>
      <c r="BG530" s="27"/>
      <c r="BH530" s="40"/>
      <c r="BI530" s="25"/>
      <c r="BJ530" s="34"/>
      <c r="BK530" s="6"/>
      <c r="BL530" s="6"/>
      <c r="BM530" s="27"/>
      <c r="BN530" s="40"/>
      <c r="BO530" s="25"/>
      <c r="BP530" s="34"/>
      <c r="BQ530" s="6"/>
      <c r="BR530" s="6"/>
      <c r="BS530" s="27"/>
      <c r="BT530" s="40"/>
      <c r="BU530" s="25"/>
      <c r="BV530" s="34"/>
      <c r="BW530" s="6"/>
      <c r="BX530" s="6"/>
      <c r="BY530" s="27"/>
      <c r="BZ530" s="40"/>
      <c r="CA530" s="25"/>
      <c r="CB530" s="34"/>
      <c r="CC530" s="6"/>
      <c r="CD530" s="6"/>
      <c r="CE530" s="27"/>
      <c r="CF530" s="40"/>
      <c r="CG530" s="25"/>
      <c r="CH530" s="34"/>
      <c r="CI530" s="6"/>
      <c r="CJ530" s="6"/>
      <c r="CK530" s="27"/>
      <c r="CL530" s="40"/>
      <c r="CM530" s="25"/>
      <c r="CN530" s="34"/>
      <c r="CO530" s="6"/>
      <c r="CP530" s="6"/>
      <c r="CQ530" s="27"/>
      <c r="CR530" s="40"/>
      <c r="CS530" s="25"/>
      <c r="CT530" s="34"/>
      <c r="CU530" s="6"/>
      <c r="CV530" s="6"/>
      <c r="CW530" s="27"/>
      <c r="CX530" s="40"/>
      <c r="CY530" s="25"/>
      <c r="CZ530" s="34"/>
      <c r="DA530" s="6"/>
      <c r="DB530" s="6"/>
      <c r="DC530" s="27"/>
      <c r="DD530" s="40"/>
      <c r="DE530" s="25"/>
      <c r="DF530" s="34"/>
      <c r="DG530" s="6"/>
      <c r="DH530" s="6"/>
      <c r="DI530" s="27"/>
      <c r="DJ530" s="40"/>
      <c r="DK530" s="25"/>
      <c r="DL530" s="34"/>
      <c r="DM530" s="6"/>
      <c r="DN530" s="6"/>
      <c r="DO530" s="27"/>
      <c r="DP530" s="40"/>
      <c r="DQ530" s="25"/>
      <c r="DR530" s="34"/>
      <c r="DS530" s="6"/>
      <c r="DT530" s="6"/>
      <c r="DU530" s="27"/>
      <c r="DV530" s="40"/>
      <c r="DW530" s="25"/>
      <c r="DX530" s="34"/>
      <c r="DY530" s="6"/>
      <c r="DZ530" s="6"/>
      <c r="EA530" s="27"/>
      <c r="EB530" s="40"/>
      <c r="EC530" s="25"/>
      <c r="ED530" s="34"/>
      <c r="EE530" s="6"/>
      <c r="EF530" s="6"/>
      <c r="EG530" s="27"/>
      <c r="EH530" s="40"/>
      <c r="EI530" s="25"/>
      <c r="EJ530" s="34"/>
      <c r="EK530" s="6"/>
      <c r="EL530" s="6"/>
      <c r="EM530" s="27"/>
      <c r="EN530" s="40"/>
      <c r="EO530" s="25"/>
      <c r="EP530" s="34"/>
      <c r="EQ530" s="6"/>
      <c r="ER530" s="6"/>
      <c r="ES530" s="27"/>
      <c r="ET530" s="40"/>
      <c r="EU530" s="25"/>
      <c r="EV530" s="34"/>
      <c r="EW530" s="6"/>
      <c r="EX530" s="6"/>
      <c r="EY530" s="27"/>
      <c r="EZ530" s="40"/>
      <c r="FA530" s="25"/>
      <c r="FB530" s="34"/>
      <c r="FC530" s="6"/>
      <c r="FD530" s="6"/>
      <c r="FE530" s="27"/>
      <c r="FF530" s="40"/>
      <c r="FG530" s="25"/>
      <c r="FH530" s="34"/>
      <c r="FI530" s="6"/>
      <c r="FJ530" s="6"/>
      <c r="FK530" s="27"/>
      <c r="FL530" s="40"/>
      <c r="FM530" s="25"/>
      <c r="FN530" s="34"/>
      <c r="FO530" s="6"/>
      <c r="FP530" s="6"/>
      <c r="FQ530" s="27"/>
      <c r="FR530" s="40"/>
      <c r="FS530" s="25"/>
      <c r="FT530" s="34"/>
      <c r="FU530" s="6"/>
      <c r="FV530" s="6"/>
      <c r="FW530" s="27"/>
      <c r="FX530" s="40"/>
      <c r="FY530" s="25"/>
      <c r="FZ530" s="34"/>
      <c r="GA530" s="6"/>
      <c r="GB530" s="6"/>
      <c r="GC530" s="27"/>
      <c r="GD530" s="40"/>
      <c r="GE530" s="25"/>
      <c r="GF530" s="34"/>
      <c r="GG530" s="6"/>
      <c r="GH530" s="6"/>
      <c r="GI530" s="27"/>
      <c r="GJ530" s="40"/>
      <c r="GK530" s="25"/>
      <c r="GL530" s="34"/>
      <c r="GM530" s="6"/>
      <c r="GN530" s="6"/>
      <c r="GO530" s="27"/>
      <c r="GP530" s="40"/>
      <c r="GQ530" s="25"/>
      <c r="GR530" s="34"/>
      <c r="GS530" s="6"/>
      <c r="GT530" s="6"/>
      <c r="GU530" s="27"/>
      <c r="GV530" s="40"/>
      <c r="GW530" s="25"/>
      <c r="GX530" s="34"/>
      <c r="GY530" s="6"/>
      <c r="GZ530" s="6"/>
      <c r="HA530" s="27"/>
      <c r="HB530" s="40"/>
      <c r="HC530" s="25"/>
      <c r="HD530" s="34"/>
      <c r="HE530" s="6"/>
      <c r="HF530" s="6"/>
      <c r="HG530" s="27"/>
      <c r="HH530" s="40"/>
      <c r="HI530" s="25"/>
      <c r="HJ530" s="34"/>
      <c r="HK530" s="6"/>
      <c r="HL530" s="6"/>
      <c r="HM530" s="27"/>
      <c r="HN530" s="40"/>
      <c r="HO530" s="25"/>
      <c r="HP530" s="34"/>
      <c r="HQ530" s="6"/>
      <c r="HR530" s="6"/>
      <c r="HS530" s="27"/>
      <c r="HT530" s="40"/>
      <c r="HU530" s="25"/>
      <c r="HV530" s="34"/>
      <c r="HW530" s="6"/>
      <c r="HX530" s="6"/>
      <c r="HY530" s="27"/>
      <c r="HZ530" s="40"/>
      <c r="IA530" s="25"/>
      <c r="IB530" s="34"/>
      <c r="IC530" s="6"/>
      <c r="ID530" s="6"/>
      <c r="IE530" s="27"/>
      <c r="IF530" s="40"/>
      <c r="IG530" s="25"/>
      <c r="IH530" s="34"/>
      <c r="II530" s="6"/>
      <c r="IJ530" s="6"/>
      <c r="IK530" s="27"/>
      <c r="IL530" s="40"/>
      <c r="IM530" s="25"/>
      <c r="IN530" s="34"/>
      <c r="IO530" s="6"/>
      <c r="IP530" s="6"/>
      <c r="IQ530" s="27"/>
      <c r="IR530" s="40"/>
      <c r="IS530" s="25"/>
      <c r="IT530" s="34"/>
      <c r="IU530" s="6"/>
      <c r="IV530" s="6"/>
      <c r="IW530" s="27"/>
      <c r="IX530" s="40"/>
      <c r="IY530" s="25"/>
      <c r="IZ530" s="34"/>
      <c r="JA530" s="6"/>
      <c r="JB530" s="6"/>
      <c r="JC530" s="27"/>
      <c r="JD530" s="40"/>
      <c r="JE530" s="25"/>
      <c r="JF530" s="34"/>
      <c r="JG530" s="6"/>
      <c r="JH530" s="6"/>
      <c r="JI530" s="27"/>
      <c r="JJ530" s="40"/>
      <c r="JK530" s="25"/>
      <c r="JL530" s="34"/>
      <c r="JM530" s="6"/>
      <c r="JN530" s="6"/>
      <c r="JO530" s="27"/>
      <c r="JP530" s="40"/>
      <c r="JQ530" s="25"/>
      <c r="JR530" s="34"/>
      <c r="JS530" s="6"/>
      <c r="JT530" s="6"/>
      <c r="JU530" s="27"/>
      <c r="JV530" s="40"/>
      <c r="JW530" s="25"/>
      <c r="JX530" s="34"/>
      <c r="JY530" s="6"/>
      <c r="JZ530" s="6"/>
      <c r="KA530" s="27"/>
      <c r="KB530" s="40"/>
      <c r="KC530" s="25"/>
      <c r="KD530" s="34"/>
      <c r="KE530" s="6"/>
      <c r="KF530" s="6"/>
      <c r="KG530" s="27"/>
      <c r="KH530" s="40"/>
      <c r="KI530" s="25"/>
      <c r="KJ530" s="34"/>
      <c r="KK530" s="6"/>
      <c r="KL530" s="6"/>
      <c r="KM530" s="27"/>
      <c r="KN530" s="40"/>
      <c r="KO530" s="25"/>
      <c r="KP530" s="34"/>
      <c r="KQ530" s="6"/>
      <c r="KR530" s="6"/>
      <c r="KS530" s="27"/>
      <c r="KT530" s="40"/>
      <c r="KU530" s="25"/>
      <c r="KV530" s="34"/>
      <c r="KW530" s="6"/>
      <c r="KX530" s="6"/>
      <c r="KY530" s="27"/>
      <c r="KZ530" s="40"/>
      <c r="LA530" s="25"/>
      <c r="LB530" s="34"/>
      <c r="LC530" s="6"/>
      <c r="LD530" s="6"/>
      <c r="LE530" s="27"/>
      <c r="LF530" s="40"/>
      <c r="LG530" s="25"/>
      <c r="LH530" s="34"/>
      <c r="LI530" s="6"/>
      <c r="LJ530" s="6"/>
      <c r="LK530" s="27"/>
      <c r="LL530" s="40"/>
      <c r="LM530" s="25"/>
      <c r="LN530" s="34"/>
      <c r="LO530" s="6"/>
      <c r="LP530" s="6"/>
      <c r="LQ530" s="27"/>
      <c r="LR530" s="40"/>
      <c r="LS530" s="25"/>
      <c r="LT530" s="34"/>
      <c r="LU530" s="6"/>
      <c r="LV530" s="6"/>
      <c r="LW530" s="27"/>
      <c r="LX530" s="40"/>
      <c r="LY530" s="25"/>
      <c r="LZ530" s="34"/>
      <c r="MA530" s="6"/>
      <c r="MB530" s="6"/>
      <c r="MC530" s="27"/>
      <c r="MD530" s="40"/>
      <c r="ME530" s="25"/>
      <c r="MF530" s="34"/>
      <c r="MG530" s="6"/>
      <c r="MH530" s="6"/>
      <c r="MI530" s="27"/>
      <c r="MJ530" s="40"/>
      <c r="MK530" s="25"/>
      <c r="ML530" s="34"/>
      <c r="MM530" s="6"/>
      <c r="MN530" s="6"/>
      <c r="MO530" s="27"/>
      <c r="MP530" s="40"/>
      <c r="MQ530" s="25"/>
      <c r="MR530" s="34"/>
      <c r="MS530" s="6"/>
      <c r="MT530" s="6"/>
      <c r="MU530" s="27"/>
      <c r="MV530" s="40"/>
      <c r="MW530" s="25"/>
      <c r="MX530" s="34"/>
      <c r="MY530" s="6"/>
      <c r="MZ530" s="6"/>
      <c r="NA530" s="27"/>
      <c r="NB530" s="40"/>
      <c r="NC530" s="25"/>
      <c r="ND530" s="34"/>
      <c r="NE530" s="6"/>
      <c r="NF530" s="6"/>
      <c r="NG530" s="27"/>
      <c r="NH530" s="40"/>
      <c r="NI530" s="25"/>
      <c r="NJ530" s="34"/>
      <c r="NK530" s="6"/>
      <c r="NL530" s="6"/>
      <c r="NM530" s="27"/>
      <c r="NN530" s="40"/>
      <c r="NO530" s="25"/>
      <c r="NP530" s="34"/>
      <c r="NQ530" s="6"/>
      <c r="NR530" s="6"/>
      <c r="NS530" s="27"/>
      <c r="NT530" s="40"/>
      <c r="NU530" s="25"/>
      <c r="NV530" s="34"/>
      <c r="NW530" s="6"/>
      <c r="NX530" s="6"/>
      <c r="NY530" s="27"/>
      <c r="NZ530" s="40"/>
      <c r="OA530" s="25"/>
      <c r="OB530" s="34"/>
      <c r="OC530" s="6"/>
      <c r="OD530" s="6"/>
      <c r="OE530" s="27"/>
      <c r="OF530" s="40"/>
      <c r="OG530" s="25"/>
      <c r="OH530" s="34"/>
      <c r="OI530" s="6"/>
      <c r="OJ530" s="6"/>
      <c r="OK530" s="27"/>
      <c r="OL530" s="40"/>
      <c r="OM530" s="25"/>
      <c r="ON530" s="34"/>
      <c r="OO530" s="6"/>
      <c r="OP530" s="6"/>
      <c r="OQ530" s="27"/>
      <c r="OR530" s="40"/>
      <c r="OS530" s="25"/>
      <c r="OT530" s="34"/>
      <c r="OU530" s="6"/>
      <c r="OV530" s="6"/>
      <c r="OW530" s="27"/>
      <c r="OX530" s="40"/>
      <c r="OY530" s="25"/>
      <c r="OZ530" s="34"/>
      <c r="PA530" s="6"/>
      <c r="PB530" s="6"/>
      <c r="PC530" s="27"/>
      <c r="PD530" s="40"/>
      <c r="PE530" s="25"/>
      <c r="PF530" s="34"/>
      <c r="PG530" s="6"/>
      <c r="PH530" s="6"/>
      <c r="PI530" s="27"/>
      <c r="PJ530" s="40"/>
      <c r="PK530" s="25"/>
      <c r="PL530" s="34"/>
      <c r="PM530" s="6"/>
      <c r="PN530" s="6"/>
      <c r="PO530" s="27"/>
      <c r="PP530" s="40"/>
      <c r="PQ530" s="25"/>
      <c r="PR530" s="34"/>
      <c r="PS530" s="6"/>
      <c r="PT530" s="6"/>
      <c r="PU530" s="27"/>
      <c r="PV530" s="40"/>
      <c r="PW530" s="25"/>
      <c r="PX530" s="34"/>
      <c r="PY530" s="6"/>
      <c r="PZ530" s="6"/>
      <c r="QA530" s="27"/>
      <c r="QB530" s="40"/>
      <c r="QC530" s="25"/>
      <c r="QD530" s="34"/>
      <c r="QE530" s="6"/>
      <c r="QF530" s="6"/>
      <c r="QG530" s="27"/>
      <c r="QH530" s="40"/>
      <c r="QI530" s="25"/>
      <c r="QJ530" s="34"/>
      <c r="QK530" s="6"/>
      <c r="QL530" s="6"/>
      <c r="QM530" s="27"/>
      <c r="QN530" s="40"/>
      <c r="QO530" s="25"/>
      <c r="QP530" s="34"/>
      <c r="QQ530" s="6"/>
      <c r="QR530" s="6"/>
      <c r="QS530" s="27"/>
      <c r="QT530" s="40"/>
      <c r="QU530" s="25"/>
      <c r="QV530" s="34"/>
      <c r="QW530" s="6"/>
      <c r="QX530" s="6"/>
      <c r="QY530" s="27"/>
      <c r="QZ530" s="40"/>
      <c r="RA530" s="25"/>
      <c r="RB530" s="34"/>
      <c r="RC530" s="6"/>
      <c r="RD530" s="6"/>
      <c r="RE530" s="27"/>
      <c r="RF530" s="40"/>
      <c r="RG530" s="25"/>
      <c r="RH530" s="34"/>
      <c r="RI530" s="6"/>
      <c r="RJ530" s="6"/>
      <c r="RK530" s="27"/>
      <c r="RL530" s="40"/>
      <c r="RM530" s="25"/>
      <c r="RN530" s="34"/>
      <c r="RO530" s="6"/>
      <c r="RP530" s="6"/>
      <c r="RQ530" s="27"/>
      <c r="RR530" s="40"/>
      <c r="RS530" s="25"/>
      <c r="RT530" s="34"/>
      <c r="RU530" s="6"/>
      <c r="RV530" s="6"/>
      <c r="RW530" s="27"/>
      <c r="RX530" s="40"/>
      <c r="RY530" s="25"/>
      <c r="RZ530" s="34"/>
      <c r="SA530" s="6"/>
      <c r="SB530" s="6"/>
      <c r="SC530" s="27"/>
      <c r="SD530" s="40"/>
      <c r="SE530" s="25"/>
      <c r="SF530" s="34"/>
      <c r="SG530" s="6"/>
      <c r="SH530" s="6"/>
      <c r="SI530" s="27"/>
      <c r="SJ530" s="40"/>
      <c r="SK530" s="25"/>
      <c r="SL530" s="34"/>
      <c r="SM530" s="6"/>
      <c r="SN530" s="6"/>
      <c r="SO530" s="27"/>
      <c r="SP530" s="40"/>
      <c r="SQ530" s="25"/>
      <c r="SR530" s="34"/>
      <c r="SS530" s="6"/>
      <c r="ST530" s="6"/>
      <c r="SU530" s="27"/>
      <c r="SV530" s="40"/>
      <c r="SW530" s="25"/>
      <c r="SX530" s="34"/>
      <c r="SY530" s="6"/>
      <c r="SZ530" s="6"/>
      <c r="TA530" s="27"/>
      <c r="TB530" s="40"/>
      <c r="TC530" s="25"/>
      <c r="TD530" s="34"/>
      <c r="TE530" s="6"/>
      <c r="TF530" s="6"/>
      <c r="TG530" s="27"/>
      <c r="TH530" s="40"/>
      <c r="TI530" s="25"/>
      <c r="TJ530" s="34"/>
      <c r="TK530" s="6"/>
      <c r="TL530" s="6"/>
      <c r="TM530" s="27"/>
      <c r="TN530" s="40"/>
      <c r="TO530" s="25"/>
      <c r="TP530" s="34"/>
      <c r="TQ530" s="6"/>
      <c r="TR530" s="6"/>
      <c r="TS530" s="27"/>
      <c r="TT530" s="40"/>
      <c r="TU530" s="25"/>
      <c r="TV530" s="34"/>
      <c r="TW530" s="6"/>
      <c r="TX530" s="6"/>
      <c r="TY530" s="27"/>
      <c r="TZ530" s="40"/>
      <c r="UA530" s="25"/>
      <c r="UB530" s="34"/>
      <c r="UC530" s="6"/>
      <c r="UD530" s="6"/>
      <c r="UE530" s="27"/>
      <c r="UF530" s="40"/>
      <c r="UG530" s="25"/>
      <c r="UH530" s="34"/>
      <c r="UI530" s="6"/>
      <c r="UJ530" s="6"/>
      <c r="UK530" s="27"/>
      <c r="UL530" s="40"/>
      <c r="UM530" s="25"/>
      <c r="UN530" s="34"/>
      <c r="UO530" s="6"/>
      <c r="UP530" s="6"/>
      <c r="UQ530" s="27"/>
      <c r="UR530" s="40"/>
      <c r="US530" s="25"/>
      <c r="UT530" s="34"/>
      <c r="UU530" s="6"/>
      <c r="UV530" s="6"/>
      <c r="UW530" s="27"/>
      <c r="UX530" s="40"/>
      <c r="UY530" s="25"/>
      <c r="UZ530" s="34"/>
      <c r="VA530" s="6"/>
      <c r="VB530" s="6"/>
      <c r="VC530" s="27"/>
      <c r="VD530" s="40"/>
      <c r="VE530" s="25"/>
      <c r="VF530" s="34"/>
      <c r="VG530" s="6"/>
      <c r="VH530" s="6"/>
      <c r="VI530" s="27"/>
      <c r="VJ530" s="40"/>
      <c r="VK530" s="25"/>
      <c r="VL530" s="34"/>
      <c r="VM530" s="6"/>
      <c r="VN530" s="6"/>
      <c r="VO530" s="27"/>
      <c r="VP530" s="40"/>
      <c r="VQ530" s="25"/>
      <c r="VR530" s="34"/>
      <c r="VS530" s="6"/>
      <c r="VT530" s="6"/>
      <c r="VU530" s="27"/>
      <c r="VV530" s="40"/>
      <c r="VW530" s="25"/>
      <c r="VX530" s="34"/>
      <c r="VY530" s="6"/>
      <c r="VZ530" s="6"/>
      <c r="WA530" s="27"/>
      <c r="WB530" s="40"/>
      <c r="WC530" s="25"/>
      <c r="WD530" s="34"/>
      <c r="WE530" s="6"/>
      <c r="WF530" s="6"/>
      <c r="WG530" s="27"/>
      <c r="WH530" s="40"/>
      <c r="WI530" s="25"/>
      <c r="WJ530" s="34"/>
      <c r="WK530" s="6"/>
      <c r="WL530" s="6"/>
      <c r="WM530" s="27"/>
      <c r="WN530" s="40"/>
      <c r="WO530" s="25"/>
      <c r="WP530" s="34"/>
      <c r="WQ530" s="6"/>
      <c r="WR530" s="6"/>
      <c r="WS530" s="27"/>
      <c r="WT530" s="40"/>
      <c r="WU530" s="25"/>
      <c r="WV530" s="34"/>
      <c r="WW530" s="6"/>
      <c r="WX530" s="6"/>
      <c r="WY530" s="27"/>
      <c r="WZ530" s="40"/>
      <c r="XA530" s="25"/>
      <c r="XB530" s="34"/>
      <c r="XC530" s="6"/>
      <c r="XD530" s="6"/>
      <c r="XE530" s="27"/>
      <c r="XF530" s="40"/>
      <c r="XG530" s="25"/>
      <c r="XH530" s="34"/>
      <c r="XI530" s="6"/>
      <c r="XJ530" s="6"/>
      <c r="XK530" s="27"/>
      <c r="XL530" s="40"/>
      <c r="XM530" s="25"/>
      <c r="XN530" s="34"/>
      <c r="XO530" s="6"/>
      <c r="XP530" s="6"/>
      <c r="XQ530" s="27"/>
      <c r="XR530" s="40"/>
      <c r="XS530" s="25"/>
      <c r="XT530" s="34"/>
      <c r="XU530" s="6"/>
      <c r="XV530" s="6"/>
      <c r="XW530" s="27"/>
      <c r="XX530" s="40"/>
      <c r="XY530" s="25"/>
      <c r="XZ530" s="34"/>
      <c r="YA530" s="6"/>
      <c r="YB530" s="6"/>
      <c r="YC530" s="27"/>
      <c r="YD530" s="40"/>
      <c r="YE530" s="25"/>
      <c r="YF530" s="34"/>
      <c r="YG530" s="6"/>
      <c r="YH530" s="6"/>
      <c r="YI530" s="27"/>
      <c r="YJ530" s="40"/>
      <c r="YK530" s="25"/>
      <c r="YL530" s="34"/>
      <c r="YM530" s="6"/>
      <c r="YN530" s="6"/>
      <c r="YO530" s="27"/>
      <c r="YP530" s="40"/>
      <c r="YQ530" s="25"/>
      <c r="YR530" s="34"/>
      <c r="YS530" s="6"/>
      <c r="YT530" s="6"/>
      <c r="YU530" s="27"/>
      <c r="YV530" s="40"/>
      <c r="YW530" s="25"/>
      <c r="YX530" s="34"/>
      <c r="YY530" s="6"/>
      <c r="YZ530" s="6"/>
      <c r="ZA530" s="27"/>
      <c r="ZB530" s="40"/>
      <c r="ZC530" s="25"/>
      <c r="ZD530" s="34"/>
      <c r="ZE530" s="6"/>
      <c r="ZF530" s="6"/>
      <c r="ZG530" s="27"/>
      <c r="ZH530" s="40"/>
      <c r="ZI530" s="25"/>
      <c r="ZJ530" s="34"/>
      <c r="ZK530" s="6"/>
      <c r="ZL530" s="6"/>
      <c r="ZM530" s="27"/>
      <c r="ZN530" s="40"/>
      <c r="ZO530" s="25"/>
      <c r="ZP530" s="34"/>
      <c r="ZQ530" s="6"/>
      <c r="ZR530" s="6"/>
      <c r="ZS530" s="27"/>
      <c r="ZT530" s="40"/>
      <c r="ZU530" s="25"/>
      <c r="ZV530" s="34"/>
      <c r="ZW530" s="6"/>
      <c r="ZX530" s="6"/>
      <c r="ZY530" s="27"/>
      <c r="ZZ530" s="40"/>
      <c r="AAA530" s="25"/>
      <c r="AAB530" s="34"/>
      <c r="AAC530" s="6"/>
      <c r="AAD530" s="6"/>
      <c r="AAE530" s="27"/>
      <c r="AAF530" s="40"/>
      <c r="AAG530" s="25"/>
      <c r="AAH530" s="34"/>
      <c r="AAI530" s="6"/>
      <c r="AAJ530" s="6"/>
      <c r="AAK530" s="27"/>
      <c r="AAL530" s="40"/>
      <c r="AAM530" s="25"/>
      <c r="AAN530" s="34"/>
      <c r="AAO530" s="6"/>
      <c r="AAP530" s="6"/>
      <c r="AAQ530" s="27"/>
      <c r="AAR530" s="40"/>
      <c r="AAS530" s="25"/>
      <c r="AAT530" s="34"/>
      <c r="AAU530" s="6"/>
      <c r="AAV530" s="6"/>
      <c r="AAW530" s="27"/>
      <c r="AAX530" s="40"/>
      <c r="AAY530" s="25"/>
      <c r="AAZ530" s="34"/>
      <c r="ABA530" s="6"/>
      <c r="ABB530" s="6"/>
      <c r="ABC530" s="27"/>
      <c r="ABD530" s="40"/>
      <c r="ABE530" s="25"/>
      <c r="ABF530" s="34"/>
      <c r="ABG530" s="6"/>
      <c r="ABH530" s="6"/>
      <c r="ABI530" s="27"/>
      <c r="ABJ530" s="40"/>
      <c r="ABK530" s="25"/>
      <c r="ABL530" s="34"/>
      <c r="ABM530" s="6"/>
      <c r="ABN530" s="6"/>
      <c r="ABO530" s="27"/>
      <c r="ABP530" s="40"/>
      <c r="ABQ530" s="25"/>
      <c r="ABR530" s="34"/>
      <c r="ABS530" s="6"/>
      <c r="ABT530" s="6"/>
      <c r="ABU530" s="27"/>
      <c r="ABV530" s="40"/>
      <c r="ABW530" s="25"/>
      <c r="ABX530" s="34"/>
      <c r="ABY530" s="6"/>
      <c r="ABZ530" s="6"/>
      <c r="ACA530" s="27"/>
      <c r="ACB530" s="40"/>
      <c r="ACC530" s="25"/>
      <c r="ACD530" s="34"/>
      <c r="ACE530" s="6"/>
      <c r="ACF530" s="6"/>
      <c r="ACG530" s="27"/>
      <c r="ACH530" s="40"/>
      <c r="ACI530" s="25"/>
      <c r="ACJ530" s="34"/>
      <c r="ACK530" s="6"/>
      <c r="ACL530" s="6"/>
      <c r="ACM530" s="27"/>
      <c r="ACN530" s="40"/>
      <c r="ACO530" s="25"/>
      <c r="ACP530" s="34"/>
      <c r="ACQ530" s="6"/>
      <c r="ACR530" s="6"/>
      <c r="ACS530" s="27"/>
      <c r="ACT530" s="40"/>
      <c r="ACU530" s="25"/>
      <c r="ACV530" s="34"/>
      <c r="ACW530" s="6"/>
      <c r="ACX530" s="6"/>
      <c r="ACY530" s="27"/>
      <c r="ACZ530" s="40"/>
      <c r="ADA530" s="25"/>
      <c r="ADB530" s="34"/>
      <c r="ADC530" s="6"/>
      <c r="ADD530" s="6"/>
      <c r="ADE530" s="27"/>
      <c r="ADF530" s="40"/>
      <c r="ADG530" s="25"/>
      <c r="ADH530" s="34"/>
      <c r="ADI530" s="6"/>
      <c r="ADJ530" s="6"/>
      <c r="ADK530" s="27"/>
      <c r="ADL530" s="40"/>
      <c r="ADM530" s="25"/>
      <c r="ADN530" s="34"/>
      <c r="ADO530" s="6"/>
      <c r="ADP530" s="6"/>
      <c r="ADQ530" s="27"/>
      <c r="ADR530" s="40"/>
      <c r="ADS530" s="25"/>
      <c r="ADT530" s="34"/>
      <c r="ADU530" s="6"/>
      <c r="ADV530" s="6"/>
      <c r="ADW530" s="27"/>
      <c r="ADX530" s="40"/>
      <c r="ADY530" s="25"/>
      <c r="ADZ530" s="34"/>
      <c r="AEA530" s="6"/>
      <c r="AEB530" s="6"/>
      <c r="AEC530" s="27"/>
      <c r="AED530" s="40"/>
      <c r="AEE530" s="25"/>
      <c r="AEF530" s="34"/>
      <c r="AEG530" s="6"/>
      <c r="AEH530" s="6"/>
      <c r="AEI530" s="27"/>
      <c r="AEJ530" s="40"/>
      <c r="AEK530" s="25"/>
      <c r="AEL530" s="34"/>
      <c r="AEM530" s="6"/>
      <c r="AEN530" s="6"/>
      <c r="AEO530" s="27"/>
      <c r="AEP530" s="40"/>
      <c r="AEQ530" s="25"/>
      <c r="AER530" s="34"/>
      <c r="AES530" s="6"/>
      <c r="AET530" s="6"/>
      <c r="AEU530" s="27"/>
      <c r="AEV530" s="40"/>
      <c r="AEW530" s="25"/>
      <c r="AEX530" s="34"/>
      <c r="AEY530" s="6"/>
      <c r="AEZ530" s="6"/>
      <c r="AFA530" s="27"/>
      <c r="AFB530" s="40"/>
      <c r="AFC530" s="25"/>
      <c r="AFD530" s="34"/>
      <c r="AFE530" s="6"/>
      <c r="AFF530" s="6"/>
      <c r="AFG530" s="27"/>
      <c r="AFH530" s="40"/>
      <c r="AFI530" s="25"/>
      <c r="AFJ530" s="34"/>
      <c r="AFK530" s="6"/>
      <c r="AFL530" s="6"/>
      <c r="AFM530" s="27"/>
      <c r="AFN530" s="40"/>
      <c r="AFO530" s="25"/>
      <c r="AFP530" s="34"/>
      <c r="AFQ530" s="6"/>
      <c r="AFR530" s="6"/>
      <c r="AFS530" s="27"/>
      <c r="AFT530" s="40"/>
      <c r="AFU530" s="25"/>
      <c r="AFV530" s="34"/>
      <c r="AFW530" s="6"/>
      <c r="AFX530" s="6"/>
      <c r="AFY530" s="27"/>
      <c r="AFZ530" s="40"/>
      <c r="AGA530" s="25"/>
      <c r="AGB530" s="34"/>
      <c r="AGC530" s="6"/>
      <c r="AGD530" s="6"/>
      <c r="AGE530" s="27"/>
      <c r="AGF530" s="40"/>
      <c r="AGG530" s="25"/>
      <c r="AGH530" s="34"/>
      <c r="AGI530" s="6"/>
      <c r="AGJ530" s="6"/>
      <c r="AGK530" s="27"/>
      <c r="AGL530" s="40"/>
      <c r="AGM530" s="25"/>
      <c r="AGN530" s="34"/>
      <c r="AGO530" s="6"/>
      <c r="AGP530" s="6"/>
      <c r="AGQ530" s="27"/>
      <c r="AGR530" s="40"/>
      <c r="AGS530" s="25"/>
      <c r="AGT530" s="34"/>
      <c r="AGU530" s="6"/>
      <c r="AGV530" s="6"/>
      <c r="AGW530" s="27"/>
      <c r="AGX530" s="40"/>
      <c r="AGY530" s="25"/>
      <c r="AGZ530" s="34"/>
      <c r="AHA530" s="6"/>
      <c r="AHB530" s="6"/>
      <c r="AHC530" s="27"/>
      <c r="AHD530" s="40"/>
      <c r="AHE530" s="25"/>
      <c r="AHF530" s="34"/>
      <c r="AHG530" s="6"/>
      <c r="AHH530" s="6"/>
      <c r="AHI530" s="27"/>
      <c r="AHJ530" s="40"/>
      <c r="AHK530" s="25"/>
      <c r="AHL530" s="34"/>
      <c r="AHM530" s="6"/>
      <c r="AHN530" s="6"/>
      <c r="AHO530" s="27"/>
      <c r="AHP530" s="40"/>
      <c r="AHQ530" s="25"/>
      <c r="AHR530" s="34"/>
      <c r="AHS530" s="6"/>
      <c r="AHT530" s="6"/>
      <c r="AHU530" s="27"/>
      <c r="AHV530" s="40"/>
      <c r="AHW530" s="25"/>
      <c r="AHX530" s="34"/>
      <c r="AHY530" s="6"/>
      <c r="AHZ530" s="6"/>
      <c r="AIA530" s="27"/>
      <c r="AIB530" s="40"/>
      <c r="AIC530" s="25"/>
      <c r="AID530" s="34"/>
      <c r="AIE530" s="6"/>
      <c r="AIF530" s="6"/>
      <c r="AIG530" s="27"/>
      <c r="AIH530" s="40"/>
      <c r="AII530" s="25"/>
      <c r="AIJ530" s="34"/>
      <c r="AIK530" s="6"/>
      <c r="AIL530" s="6"/>
      <c r="AIM530" s="27"/>
      <c r="AIN530" s="40"/>
      <c r="AIO530" s="25"/>
      <c r="AIP530" s="34"/>
      <c r="AIQ530" s="6"/>
      <c r="AIR530" s="6"/>
      <c r="AIS530" s="27"/>
      <c r="AIT530" s="40"/>
      <c r="AIU530" s="25"/>
      <c r="AIV530" s="34"/>
      <c r="AIW530" s="6"/>
      <c r="AIX530" s="6"/>
      <c r="AIY530" s="27"/>
      <c r="AIZ530" s="40"/>
      <c r="AJA530" s="25"/>
      <c r="AJB530" s="34"/>
      <c r="AJC530" s="6"/>
      <c r="AJD530" s="6"/>
      <c r="AJE530" s="27"/>
      <c r="AJF530" s="40"/>
      <c r="AJG530" s="25"/>
      <c r="AJH530" s="34"/>
      <c r="AJI530" s="6"/>
      <c r="AJJ530" s="6"/>
      <c r="AJK530" s="27"/>
      <c r="AJL530" s="40"/>
      <c r="AJM530" s="25"/>
      <c r="AJN530" s="34"/>
      <c r="AJO530" s="6"/>
      <c r="AJP530" s="6"/>
      <c r="AJQ530" s="27"/>
      <c r="AJR530" s="40"/>
      <c r="AJS530" s="25"/>
      <c r="AJT530" s="34"/>
      <c r="AJU530" s="6"/>
      <c r="AJV530" s="6"/>
      <c r="AJW530" s="27"/>
      <c r="AJX530" s="40"/>
      <c r="AJY530" s="25"/>
      <c r="AJZ530" s="34"/>
      <c r="AKA530" s="6"/>
      <c r="AKB530" s="6"/>
      <c r="AKC530" s="27"/>
      <c r="AKD530" s="40"/>
      <c r="AKE530" s="25"/>
      <c r="AKF530" s="34"/>
      <c r="AKG530" s="6"/>
      <c r="AKH530" s="6"/>
      <c r="AKI530" s="27"/>
      <c r="AKJ530" s="40"/>
      <c r="AKK530" s="25"/>
      <c r="AKL530" s="34"/>
      <c r="AKM530" s="6"/>
      <c r="AKN530" s="6"/>
      <c r="AKO530" s="27"/>
      <c r="AKP530" s="40"/>
      <c r="AKQ530" s="25"/>
      <c r="AKR530" s="34"/>
      <c r="AKS530" s="6"/>
      <c r="AKT530" s="6"/>
      <c r="AKU530" s="27"/>
      <c r="AKV530" s="40"/>
      <c r="AKW530" s="25"/>
      <c r="AKX530" s="34"/>
      <c r="AKY530" s="6"/>
      <c r="AKZ530" s="6"/>
      <c r="ALA530" s="27"/>
      <c r="ALB530" s="40"/>
      <c r="ALC530" s="25"/>
      <c r="ALD530" s="34"/>
      <c r="ALE530" s="6"/>
      <c r="ALF530" s="6"/>
      <c r="ALG530" s="27"/>
      <c r="ALH530" s="40"/>
      <c r="ALI530" s="25"/>
      <c r="ALJ530" s="34"/>
      <c r="ALK530" s="6"/>
      <c r="ALL530" s="6"/>
      <c r="ALM530" s="27"/>
      <c r="ALN530" s="40"/>
      <c r="ALO530" s="25"/>
      <c r="ALP530" s="34"/>
      <c r="ALQ530" s="6"/>
      <c r="ALR530" s="6"/>
      <c r="ALS530" s="27"/>
      <c r="ALT530" s="40"/>
      <c r="ALU530" s="25"/>
      <c r="ALV530" s="34"/>
      <c r="ALW530" s="6"/>
      <c r="ALX530" s="6"/>
      <c r="ALY530" s="27"/>
      <c r="ALZ530" s="40"/>
      <c r="AMA530" s="25"/>
      <c r="AMB530" s="34"/>
      <c r="AMC530" s="6"/>
      <c r="AMD530" s="6"/>
      <c r="AME530" s="27"/>
      <c r="AMF530" s="40"/>
      <c r="AMG530" s="25"/>
      <c r="AMH530" s="34"/>
      <c r="AMI530" s="6"/>
      <c r="AMJ530" s="6"/>
      <c r="AMK530" s="27"/>
      <c r="AML530" s="40"/>
      <c r="AMM530" s="25"/>
      <c r="AMN530" s="34"/>
      <c r="AMO530" s="6"/>
      <c r="AMP530" s="6"/>
      <c r="AMQ530" s="27"/>
      <c r="AMR530" s="40"/>
      <c r="AMS530" s="25"/>
      <c r="AMT530" s="34"/>
      <c r="AMU530" s="6"/>
      <c r="AMV530" s="6"/>
      <c r="AMW530" s="27"/>
      <c r="AMX530" s="40"/>
      <c r="AMY530" s="25"/>
      <c r="AMZ530" s="34"/>
      <c r="ANA530" s="6"/>
      <c r="ANB530" s="6"/>
      <c r="ANC530" s="27"/>
      <c r="AND530" s="40"/>
      <c r="ANE530" s="25"/>
      <c r="ANF530" s="34"/>
      <c r="ANG530" s="6"/>
      <c r="ANH530" s="6"/>
      <c r="ANI530" s="27"/>
      <c r="ANJ530" s="40"/>
      <c r="ANK530" s="25"/>
      <c r="ANL530" s="34"/>
      <c r="ANM530" s="6"/>
      <c r="ANN530" s="6"/>
      <c r="ANO530" s="27"/>
      <c r="ANP530" s="40"/>
      <c r="ANQ530" s="25"/>
      <c r="ANR530" s="34"/>
      <c r="ANS530" s="6"/>
      <c r="ANT530" s="6"/>
      <c r="ANU530" s="27"/>
      <c r="ANV530" s="40"/>
      <c r="ANW530" s="25"/>
      <c r="ANX530" s="34"/>
      <c r="ANY530" s="6"/>
      <c r="ANZ530" s="6"/>
      <c r="AOA530" s="27"/>
      <c r="AOB530" s="40"/>
      <c r="AOC530" s="25"/>
      <c r="AOD530" s="34"/>
      <c r="AOE530" s="6"/>
      <c r="AOF530" s="6"/>
      <c r="AOG530" s="27"/>
      <c r="AOH530" s="40"/>
      <c r="AOI530" s="25"/>
      <c r="AOJ530" s="34"/>
      <c r="AOK530" s="6"/>
      <c r="AOL530" s="6"/>
      <c r="AOM530" s="27"/>
      <c r="AON530" s="40"/>
      <c r="AOO530" s="25"/>
      <c r="AOP530" s="34"/>
      <c r="AOQ530" s="6"/>
      <c r="AOR530" s="6"/>
      <c r="AOS530" s="27"/>
      <c r="AOT530" s="40"/>
      <c r="AOU530" s="25"/>
      <c r="AOV530" s="34"/>
      <c r="AOW530" s="6"/>
      <c r="AOX530" s="6"/>
      <c r="AOY530" s="27"/>
      <c r="AOZ530" s="40"/>
      <c r="APA530" s="25"/>
      <c r="APB530" s="34"/>
      <c r="APC530" s="6"/>
      <c r="APD530" s="6"/>
      <c r="APE530" s="27"/>
      <c r="APF530" s="40"/>
      <c r="APG530" s="25"/>
      <c r="APH530" s="34"/>
      <c r="API530" s="6"/>
      <c r="APJ530" s="6"/>
      <c r="APK530" s="27"/>
      <c r="APL530" s="40"/>
      <c r="APM530" s="25"/>
      <c r="APN530" s="34"/>
      <c r="APO530" s="6"/>
      <c r="APP530" s="6"/>
      <c r="APQ530" s="27"/>
      <c r="APR530" s="40"/>
      <c r="APS530" s="25"/>
      <c r="APT530" s="34"/>
      <c r="APU530" s="6"/>
      <c r="APV530" s="6"/>
      <c r="APW530" s="27"/>
      <c r="APX530" s="40"/>
      <c r="APY530" s="25"/>
      <c r="APZ530" s="34"/>
      <c r="AQA530" s="6"/>
      <c r="AQB530" s="6"/>
      <c r="AQC530" s="27"/>
      <c r="AQD530" s="40"/>
      <c r="AQE530" s="25"/>
      <c r="AQF530" s="34"/>
      <c r="AQG530" s="6"/>
      <c r="AQH530" s="6"/>
      <c r="AQI530" s="27"/>
      <c r="AQJ530" s="40"/>
      <c r="AQK530" s="25"/>
      <c r="AQL530" s="34"/>
      <c r="AQM530" s="6"/>
      <c r="AQN530" s="6"/>
      <c r="AQO530" s="27"/>
      <c r="AQP530" s="40"/>
      <c r="AQQ530" s="25"/>
      <c r="AQR530" s="34"/>
      <c r="AQS530" s="6"/>
      <c r="AQT530" s="6"/>
      <c r="AQU530" s="27"/>
      <c r="AQV530" s="40"/>
      <c r="AQW530" s="25"/>
      <c r="AQX530" s="34"/>
      <c r="AQY530" s="6"/>
      <c r="AQZ530" s="6"/>
      <c r="ARA530" s="27"/>
      <c r="ARB530" s="40"/>
      <c r="ARC530" s="25"/>
      <c r="ARD530" s="34"/>
      <c r="ARE530" s="6"/>
      <c r="ARF530" s="6"/>
      <c r="ARG530" s="27"/>
      <c r="ARH530" s="40"/>
      <c r="ARI530" s="25"/>
      <c r="ARJ530" s="34"/>
      <c r="ARK530" s="6"/>
      <c r="ARL530" s="6"/>
      <c r="ARM530" s="27"/>
      <c r="ARN530" s="40"/>
      <c r="ARO530" s="25"/>
      <c r="ARP530" s="34"/>
      <c r="ARQ530" s="6"/>
      <c r="ARR530" s="6"/>
      <c r="ARS530" s="27"/>
      <c r="ART530" s="40"/>
      <c r="ARU530" s="25"/>
      <c r="ARV530" s="34"/>
      <c r="ARW530" s="6"/>
      <c r="ARX530" s="6"/>
      <c r="ARY530" s="27"/>
      <c r="ARZ530" s="40"/>
      <c r="ASA530" s="25"/>
      <c r="ASB530" s="34"/>
      <c r="ASC530" s="6"/>
      <c r="ASD530" s="6"/>
      <c r="ASE530" s="27"/>
      <c r="ASF530" s="40"/>
      <c r="ASG530" s="25"/>
      <c r="ASH530" s="34"/>
      <c r="ASI530" s="6"/>
      <c r="ASJ530" s="6"/>
      <c r="ASK530" s="27"/>
      <c r="ASL530" s="40"/>
      <c r="ASM530" s="25"/>
      <c r="ASN530" s="34"/>
      <c r="ASO530" s="6"/>
      <c r="ASP530" s="6"/>
      <c r="ASQ530" s="27"/>
      <c r="ASR530" s="40"/>
      <c r="ASS530" s="25"/>
      <c r="AST530" s="34"/>
      <c r="ASU530" s="6"/>
      <c r="ASV530" s="6"/>
      <c r="ASW530" s="27"/>
      <c r="ASX530" s="40"/>
      <c r="ASY530" s="25"/>
      <c r="ASZ530" s="34"/>
      <c r="ATA530" s="6"/>
      <c r="ATB530" s="6"/>
      <c r="ATC530" s="27"/>
      <c r="ATD530" s="40"/>
      <c r="ATE530" s="25"/>
      <c r="ATF530" s="34"/>
      <c r="ATG530" s="6"/>
      <c r="ATH530" s="6"/>
      <c r="ATI530" s="27"/>
      <c r="ATJ530" s="40"/>
      <c r="ATK530" s="25"/>
      <c r="ATL530" s="34"/>
      <c r="ATM530" s="6"/>
      <c r="ATN530" s="6"/>
      <c r="ATO530" s="27"/>
      <c r="ATP530" s="40"/>
      <c r="ATQ530" s="25"/>
      <c r="ATR530" s="34"/>
      <c r="ATS530" s="6"/>
      <c r="ATT530" s="6"/>
      <c r="ATU530" s="27"/>
      <c r="ATV530" s="40"/>
      <c r="ATW530" s="25"/>
      <c r="ATX530" s="34"/>
      <c r="ATY530" s="6"/>
      <c r="ATZ530" s="6"/>
      <c r="AUA530" s="27"/>
      <c r="AUB530" s="40"/>
      <c r="AUC530" s="25"/>
      <c r="AUD530" s="34"/>
      <c r="AUE530" s="6"/>
      <c r="AUF530" s="6"/>
      <c r="AUG530" s="27"/>
      <c r="AUH530" s="40"/>
      <c r="AUI530" s="25"/>
      <c r="AUJ530" s="34"/>
      <c r="AUK530" s="6"/>
      <c r="AUL530" s="6"/>
      <c r="AUM530" s="27"/>
      <c r="AUN530" s="40"/>
      <c r="AUO530" s="25"/>
      <c r="AUP530" s="34"/>
      <c r="AUQ530" s="6"/>
      <c r="AUR530" s="6"/>
      <c r="AUS530" s="27"/>
      <c r="AUT530" s="40"/>
      <c r="AUU530" s="25"/>
      <c r="AUV530" s="34"/>
      <c r="AUW530" s="6"/>
      <c r="AUX530" s="6"/>
      <c r="AUY530" s="27"/>
      <c r="AUZ530" s="40"/>
      <c r="AVA530" s="25"/>
      <c r="AVB530" s="34"/>
      <c r="AVC530" s="6"/>
      <c r="AVD530" s="6"/>
      <c r="AVE530" s="27"/>
      <c r="AVF530" s="40"/>
      <c r="AVG530" s="25"/>
      <c r="AVH530" s="34"/>
      <c r="AVI530" s="6"/>
      <c r="AVJ530" s="6"/>
      <c r="AVK530" s="27"/>
      <c r="AVL530" s="40"/>
      <c r="AVM530" s="25"/>
      <c r="AVN530" s="34"/>
      <c r="AVO530" s="6"/>
      <c r="AVP530" s="6"/>
      <c r="AVQ530" s="27"/>
      <c r="AVR530" s="40"/>
      <c r="AVS530" s="25"/>
      <c r="AVT530" s="34"/>
      <c r="AVU530" s="6"/>
      <c r="AVV530" s="6"/>
      <c r="AVW530" s="27"/>
      <c r="AVX530" s="40"/>
      <c r="AVY530" s="25"/>
      <c r="AVZ530" s="34"/>
      <c r="AWA530" s="6"/>
      <c r="AWB530" s="6"/>
      <c r="AWC530" s="27"/>
      <c r="AWD530" s="40"/>
      <c r="AWE530" s="25"/>
      <c r="AWF530" s="34"/>
      <c r="AWG530" s="6"/>
      <c r="AWH530" s="6"/>
      <c r="AWI530" s="27"/>
      <c r="AWJ530" s="40"/>
      <c r="AWK530" s="25"/>
      <c r="AWL530" s="34"/>
      <c r="AWM530" s="6"/>
      <c r="AWN530" s="6"/>
      <c r="AWO530" s="27"/>
      <c r="AWP530" s="40"/>
      <c r="AWQ530" s="25"/>
      <c r="AWR530" s="34"/>
      <c r="AWS530" s="6"/>
      <c r="AWT530" s="6"/>
      <c r="AWU530" s="27"/>
      <c r="AWV530" s="40"/>
      <c r="AWW530" s="25"/>
      <c r="AWX530" s="34"/>
      <c r="AWY530" s="6"/>
      <c r="AWZ530" s="6"/>
      <c r="AXA530" s="27"/>
      <c r="AXB530" s="40"/>
      <c r="AXC530" s="25"/>
      <c r="AXD530" s="34"/>
      <c r="AXE530" s="6"/>
      <c r="AXF530" s="6"/>
      <c r="AXG530" s="27"/>
      <c r="AXH530" s="40"/>
      <c r="AXI530" s="25"/>
      <c r="AXJ530" s="34"/>
      <c r="AXK530" s="6"/>
      <c r="AXL530" s="6"/>
      <c r="AXM530" s="27"/>
      <c r="AXN530" s="40"/>
      <c r="AXO530" s="25"/>
      <c r="AXP530" s="34"/>
      <c r="AXQ530" s="6"/>
      <c r="AXR530" s="6"/>
      <c r="AXS530" s="27"/>
      <c r="AXT530" s="40"/>
      <c r="AXU530" s="25"/>
      <c r="AXV530" s="34"/>
      <c r="AXW530" s="6"/>
      <c r="AXX530" s="6"/>
      <c r="AXY530" s="27"/>
      <c r="AXZ530" s="40"/>
      <c r="AYA530" s="25"/>
      <c r="AYB530" s="34"/>
      <c r="AYC530" s="6"/>
      <c r="AYD530" s="6"/>
      <c r="AYE530" s="27"/>
      <c r="AYF530" s="40"/>
      <c r="AYG530" s="25"/>
      <c r="AYH530" s="34"/>
      <c r="AYI530" s="6"/>
      <c r="AYJ530" s="6"/>
      <c r="AYK530" s="27"/>
      <c r="AYL530" s="40"/>
      <c r="AYM530" s="25"/>
      <c r="AYN530" s="34"/>
      <c r="AYO530" s="6"/>
      <c r="AYP530" s="6"/>
      <c r="AYQ530" s="27"/>
      <c r="AYR530" s="40"/>
      <c r="AYS530" s="25"/>
      <c r="AYT530" s="34"/>
      <c r="AYU530" s="6"/>
      <c r="AYV530" s="6"/>
      <c r="AYW530" s="27"/>
      <c r="AYX530" s="40"/>
      <c r="AYY530" s="25"/>
      <c r="AYZ530" s="34"/>
      <c r="AZA530" s="6"/>
      <c r="AZB530" s="6"/>
      <c r="AZC530" s="27"/>
      <c r="AZD530" s="40"/>
      <c r="AZE530" s="25"/>
      <c r="AZF530" s="34"/>
      <c r="AZG530" s="6"/>
      <c r="AZH530" s="6"/>
      <c r="AZI530" s="27"/>
      <c r="AZJ530" s="40"/>
      <c r="AZK530" s="25"/>
      <c r="AZL530" s="34"/>
      <c r="AZM530" s="6"/>
      <c r="AZN530" s="6"/>
      <c r="AZO530" s="27"/>
      <c r="AZP530" s="40"/>
      <c r="AZQ530" s="25"/>
      <c r="AZR530" s="34"/>
      <c r="AZS530" s="6"/>
      <c r="AZT530" s="6"/>
      <c r="AZU530" s="27"/>
      <c r="AZV530" s="40"/>
      <c r="AZW530" s="25"/>
      <c r="AZX530" s="34"/>
      <c r="AZY530" s="6"/>
      <c r="AZZ530" s="6"/>
      <c r="BAA530" s="27"/>
      <c r="BAB530" s="40"/>
      <c r="BAC530" s="25"/>
      <c r="BAD530" s="34"/>
      <c r="BAE530" s="6"/>
      <c r="BAF530" s="6"/>
      <c r="BAG530" s="27"/>
      <c r="BAH530" s="40"/>
      <c r="BAI530" s="25"/>
      <c r="BAJ530" s="34"/>
      <c r="BAK530" s="6"/>
      <c r="BAL530" s="6"/>
      <c r="BAM530" s="27"/>
      <c r="BAN530" s="40"/>
      <c r="BAO530" s="25"/>
      <c r="BAP530" s="34"/>
      <c r="BAQ530" s="6"/>
      <c r="BAR530" s="6"/>
      <c r="BAS530" s="27"/>
      <c r="BAT530" s="40"/>
      <c r="BAU530" s="25"/>
      <c r="BAV530" s="34"/>
      <c r="BAW530" s="6"/>
      <c r="BAX530" s="6"/>
      <c r="BAY530" s="27"/>
      <c r="BAZ530" s="40"/>
      <c r="BBA530" s="25"/>
      <c r="BBB530" s="34"/>
      <c r="BBC530" s="6"/>
      <c r="BBD530" s="6"/>
      <c r="BBE530" s="27"/>
      <c r="BBF530" s="40"/>
      <c r="BBG530" s="25"/>
      <c r="BBH530" s="34"/>
      <c r="BBI530" s="6"/>
      <c r="BBJ530" s="6"/>
      <c r="BBK530" s="27"/>
      <c r="BBL530" s="40"/>
      <c r="BBM530" s="25"/>
      <c r="BBN530" s="34"/>
      <c r="BBO530" s="6"/>
      <c r="BBP530" s="6"/>
      <c r="BBQ530" s="27"/>
      <c r="BBR530" s="40"/>
      <c r="BBS530" s="25"/>
      <c r="BBT530" s="34"/>
      <c r="BBU530" s="6"/>
      <c r="BBV530" s="6"/>
      <c r="BBW530" s="27"/>
      <c r="BBX530" s="40"/>
      <c r="BBY530" s="25"/>
      <c r="BBZ530" s="34"/>
      <c r="BCA530" s="6"/>
      <c r="BCB530" s="6"/>
      <c r="BCC530" s="27"/>
      <c r="BCD530" s="40"/>
      <c r="BCE530" s="25"/>
      <c r="BCF530" s="34"/>
      <c r="BCG530" s="6"/>
      <c r="BCH530" s="6"/>
      <c r="BCI530" s="27"/>
      <c r="BCJ530" s="40"/>
      <c r="BCK530" s="25"/>
      <c r="BCL530" s="34"/>
      <c r="BCM530" s="6"/>
      <c r="BCN530" s="6"/>
      <c r="BCO530" s="27"/>
      <c r="BCP530" s="40"/>
      <c r="BCQ530" s="25"/>
      <c r="BCR530" s="34"/>
      <c r="BCS530" s="6"/>
      <c r="BCT530" s="6"/>
      <c r="BCU530" s="27"/>
      <c r="BCV530" s="40"/>
      <c r="BCW530" s="25"/>
      <c r="BCX530" s="34"/>
      <c r="BCY530" s="6"/>
      <c r="BCZ530" s="6"/>
      <c r="BDA530" s="27"/>
      <c r="BDB530" s="40"/>
      <c r="BDC530" s="25"/>
      <c r="BDD530" s="34"/>
      <c r="BDE530" s="6"/>
      <c r="BDF530" s="6"/>
      <c r="BDG530" s="27"/>
      <c r="BDH530" s="40"/>
      <c r="BDI530" s="25"/>
      <c r="BDJ530" s="34"/>
      <c r="BDK530" s="6"/>
      <c r="BDL530" s="6"/>
      <c r="BDM530" s="27"/>
      <c r="BDN530" s="40"/>
      <c r="BDO530" s="25"/>
      <c r="BDP530" s="34"/>
      <c r="BDQ530" s="6"/>
      <c r="BDR530" s="6"/>
      <c r="BDS530" s="27"/>
      <c r="BDT530" s="40"/>
      <c r="BDU530" s="25"/>
      <c r="BDV530" s="34"/>
      <c r="BDW530" s="6"/>
      <c r="BDX530" s="6"/>
      <c r="BDY530" s="27"/>
      <c r="BDZ530" s="40"/>
      <c r="BEA530" s="25"/>
      <c r="BEB530" s="34"/>
      <c r="BEC530" s="6"/>
      <c r="BED530" s="6"/>
      <c r="BEE530" s="27"/>
      <c r="BEF530" s="40"/>
      <c r="BEG530" s="25"/>
      <c r="BEH530" s="34"/>
      <c r="BEI530" s="6"/>
      <c r="BEJ530" s="6"/>
      <c r="BEK530" s="27"/>
      <c r="BEL530" s="40"/>
      <c r="BEM530" s="25"/>
      <c r="BEN530" s="34"/>
      <c r="BEO530" s="6"/>
      <c r="BEP530" s="6"/>
      <c r="BEQ530" s="27"/>
      <c r="BER530" s="40"/>
      <c r="BES530" s="25"/>
      <c r="BET530" s="34"/>
      <c r="BEU530" s="6"/>
      <c r="BEV530" s="6"/>
      <c r="BEW530" s="27"/>
      <c r="BEX530" s="40"/>
      <c r="BEY530" s="25"/>
      <c r="BEZ530" s="34"/>
      <c r="BFA530" s="6"/>
      <c r="BFB530" s="6"/>
      <c r="BFC530" s="27"/>
      <c r="BFD530" s="40"/>
      <c r="BFE530" s="25"/>
      <c r="BFF530" s="34"/>
      <c r="BFG530" s="6"/>
      <c r="BFH530" s="6"/>
      <c r="BFI530" s="27"/>
      <c r="BFJ530" s="40"/>
      <c r="BFK530" s="25"/>
      <c r="BFL530" s="34"/>
      <c r="BFM530" s="6"/>
      <c r="BFN530" s="6"/>
      <c r="BFO530" s="27"/>
      <c r="BFP530" s="40"/>
      <c r="BFQ530" s="25"/>
      <c r="BFR530" s="34"/>
      <c r="BFS530" s="6"/>
      <c r="BFT530" s="6"/>
      <c r="BFU530" s="27"/>
      <c r="BFV530" s="40"/>
      <c r="BFW530" s="25"/>
      <c r="BFX530" s="34"/>
      <c r="BFY530" s="6"/>
      <c r="BFZ530" s="6"/>
      <c r="BGA530" s="27"/>
      <c r="BGB530" s="40"/>
      <c r="BGC530" s="25"/>
      <c r="BGD530" s="34"/>
      <c r="BGE530" s="6"/>
      <c r="BGF530" s="6"/>
      <c r="BGG530" s="27"/>
      <c r="BGH530" s="40"/>
      <c r="BGI530" s="25"/>
      <c r="BGJ530" s="34"/>
      <c r="BGK530" s="6"/>
      <c r="BGL530" s="6"/>
      <c r="BGM530" s="27"/>
      <c r="BGN530" s="40"/>
      <c r="BGO530" s="25"/>
      <c r="BGP530" s="34"/>
      <c r="BGQ530" s="6"/>
      <c r="BGR530" s="6"/>
      <c r="BGS530" s="27"/>
      <c r="BGT530" s="40"/>
      <c r="BGU530" s="25"/>
      <c r="BGV530" s="34"/>
      <c r="BGW530" s="6"/>
      <c r="BGX530" s="6"/>
      <c r="BGY530" s="27"/>
      <c r="BGZ530" s="40"/>
      <c r="BHA530" s="25"/>
      <c r="BHB530" s="34"/>
      <c r="BHC530" s="6"/>
      <c r="BHD530" s="6"/>
      <c r="BHE530" s="27"/>
      <c r="BHF530" s="40"/>
      <c r="BHG530" s="25"/>
      <c r="BHH530" s="34"/>
      <c r="BHI530" s="6"/>
      <c r="BHJ530" s="6"/>
      <c r="BHK530" s="27"/>
      <c r="BHL530" s="40"/>
      <c r="BHM530" s="25"/>
      <c r="BHN530" s="34"/>
      <c r="BHO530" s="6"/>
      <c r="BHP530" s="6"/>
      <c r="BHQ530" s="27"/>
      <c r="BHR530" s="40"/>
      <c r="BHS530" s="25"/>
      <c r="BHT530" s="34"/>
      <c r="BHU530" s="6"/>
      <c r="BHV530" s="6"/>
      <c r="BHW530" s="27"/>
      <c r="BHX530" s="40"/>
      <c r="BHY530" s="25"/>
      <c r="BHZ530" s="34"/>
      <c r="BIA530" s="6"/>
      <c r="BIB530" s="6"/>
      <c r="BIC530" s="27"/>
      <c r="BID530" s="40"/>
      <c r="BIE530" s="25"/>
      <c r="BIF530" s="34"/>
      <c r="BIG530" s="6"/>
      <c r="BIH530" s="6"/>
      <c r="BII530" s="27"/>
      <c r="BIJ530" s="40"/>
      <c r="BIK530" s="25"/>
      <c r="BIL530" s="34"/>
      <c r="BIM530" s="6"/>
      <c r="BIN530" s="6"/>
      <c r="BIO530" s="27"/>
      <c r="BIP530" s="40"/>
      <c r="BIQ530" s="25"/>
      <c r="BIR530" s="34"/>
      <c r="BIS530" s="6"/>
      <c r="BIT530" s="6"/>
      <c r="BIU530" s="27"/>
      <c r="BIV530" s="40"/>
      <c r="BIW530" s="25"/>
      <c r="BIX530" s="34"/>
      <c r="BIY530" s="6"/>
      <c r="BIZ530" s="6"/>
      <c r="BJA530" s="27"/>
      <c r="BJB530" s="40"/>
      <c r="BJC530" s="25"/>
      <c r="BJD530" s="34"/>
      <c r="BJE530" s="6"/>
      <c r="BJF530" s="6"/>
      <c r="BJG530" s="27"/>
      <c r="BJH530" s="40"/>
      <c r="BJI530" s="25"/>
      <c r="BJJ530" s="34"/>
      <c r="BJK530" s="6"/>
      <c r="BJL530" s="6"/>
      <c r="BJM530" s="27"/>
      <c r="BJN530" s="40"/>
      <c r="BJO530" s="25"/>
      <c r="BJP530" s="34"/>
      <c r="BJQ530" s="6"/>
      <c r="BJR530" s="6"/>
      <c r="BJS530" s="27"/>
      <c r="BJT530" s="40"/>
      <c r="BJU530" s="25"/>
      <c r="BJV530" s="34"/>
      <c r="BJW530" s="6"/>
      <c r="BJX530" s="6"/>
      <c r="BJY530" s="27"/>
      <c r="BJZ530" s="40"/>
      <c r="BKA530" s="25"/>
      <c r="BKB530" s="34"/>
      <c r="BKC530" s="6"/>
      <c r="BKD530" s="6"/>
      <c r="BKE530" s="27"/>
      <c r="BKF530" s="40"/>
      <c r="BKG530" s="25"/>
      <c r="BKH530" s="34"/>
      <c r="BKI530" s="6"/>
      <c r="BKJ530" s="6"/>
      <c r="BKK530" s="27"/>
      <c r="BKL530" s="40"/>
      <c r="BKM530" s="25"/>
      <c r="BKN530" s="34"/>
      <c r="BKO530" s="6"/>
      <c r="BKP530" s="6"/>
      <c r="BKQ530" s="27"/>
      <c r="BKR530" s="40"/>
      <c r="BKS530" s="25"/>
      <c r="BKT530" s="34"/>
      <c r="BKU530" s="6"/>
      <c r="BKV530" s="6"/>
      <c r="BKW530" s="27"/>
      <c r="BKX530" s="40"/>
      <c r="BKY530" s="25"/>
      <c r="BKZ530" s="34"/>
      <c r="BLA530" s="6"/>
      <c r="BLB530" s="6"/>
      <c r="BLC530" s="27"/>
      <c r="BLD530" s="40"/>
      <c r="BLE530" s="25"/>
      <c r="BLF530" s="34"/>
      <c r="BLG530" s="6"/>
      <c r="BLH530" s="6"/>
      <c r="BLI530" s="27"/>
      <c r="BLJ530" s="40"/>
      <c r="BLK530" s="25"/>
      <c r="BLL530" s="34"/>
      <c r="BLM530" s="6"/>
      <c r="BLN530" s="6"/>
      <c r="BLO530" s="27"/>
      <c r="BLP530" s="40"/>
      <c r="BLQ530" s="25"/>
      <c r="BLR530" s="34"/>
      <c r="BLS530" s="6"/>
      <c r="BLT530" s="6"/>
      <c r="BLU530" s="27"/>
      <c r="BLV530" s="40"/>
      <c r="BLW530" s="25"/>
      <c r="BLX530" s="34"/>
      <c r="BLY530" s="6"/>
      <c r="BLZ530" s="6"/>
      <c r="BMA530" s="27"/>
      <c r="BMB530" s="40"/>
      <c r="BMC530" s="25"/>
      <c r="BMD530" s="34"/>
      <c r="BME530" s="6"/>
      <c r="BMF530" s="6"/>
      <c r="BMG530" s="27"/>
      <c r="BMH530" s="40"/>
      <c r="BMI530" s="25"/>
      <c r="BMJ530" s="34"/>
      <c r="BMK530" s="6"/>
      <c r="BML530" s="6"/>
      <c r="BMM530" s="27"/>
      <c r="BMN530" s="40"/>
      <c r="BMO530" s="25"/>
      <c r="BMP530" s="34"/>
      <c r="BMQ530" s="6"/>
      <c r="BMR530" s="6"/>
      <c r="BMS530" s="27"/>
      <c r="BMT530" s="40"/>
      <c r="BMU530" s="25"/>
      <c r="BMV530" s="34"/>
      <c r="BMW530" s="6"/>
      <c r="BMX530" s="6"/>
      <c r="BMY530" s="27"/>
      <c r="BMZ530" s="40"/>
      <c r="BNA530" s="25"/>
      <c r="BNB530" s="34"/>
      <c r="BNC530" s="6"/>
      <c r="BND530" s="6"/>
      <c r="BNE530" s="27"/>
      <c r="BNF530" s="40"/>
      <c r="BNG530" s="25"/>
      <c r="BNH530" s="34"/>
      <c r="BNI530" s="6"/>
      <c r="BNJ530" s="6"/>
      <c r="BNK530" s="27"/>
      <c r="BNL530" s="40"/>
      <c r="BNM530" s="25"/>
      <c r="BNN530" s="34"/>
      <c r="BNO530" s="6"/>
      <c r="BNP530" s="6"/>
      <c r="BNQ530" s="27"/>
      <c r="BNR530" s="40"/>
      <c r="BNS530" s="25"/>
      <c r="BNT530" s="34"/>
      <c r="BNU530" s="6"/>
      <c r="BNV530" s="6"/>
      <c r="BNW530" s="27"/>
      <c r="BNX530" s="40"/>
      <c r="BNY530" s="25"/>
      <c r="BNZ530" s="34"/>
      <c r="BOA530" s="6"/>
      <c r="BOB530" s="6"/>
      <c r="BOC530" s="27"/>
      <c r="BOD530" s="40"/>
      <c r="BOE530" s="25"/>
      <c r="BOF530" s="34"/>
      <c r="BOG530" s="6"/>
      <c r="BOH530" s="6"/>
      <c r="BOI530" s="27"/>
      <c r="BOJ530" s="40"/>
      <c r="BOK530" s="25"/>
      <c r="BOL530" s="34"/>
      <c r="BOM530" s="6"/>
      <c r="BON530" s="6"/>
      <c r="BOO530" s="27"/>
      <c r="BOP530" s="40"/>
      <c r="BOQ530" s="25"/>
      <c r="BOR530" s="34"/>
      <c r="BOS530" s="6"/>
      <c r="BOT530" s="6"/>
      <c r="BOU530" s="27"/>
      <c r="BOV530" s="40"/>
      <c r="BOW530" s="25"/>
      <c r="BOX530" s="34"/>
      <c r="BOY530" s="6"/>
      <c r="BOZ530" s="6"/>
      <c r="BPA530" s="27"/>
      <c r="BPB530" s="40"/>
      <c r="BPC530" s="25"/>
      <c r="BPD530" s="34"/>
      <c r="BPE530" s="6"/>
      <c r="BPF530" s="6"/>
      <c r="BPG530" s="27"/>
      <c r="BPH530" s="40"/>
      <c r="BPI530" s="25"/>
      <c r="BPJ530" s="34"/>
      <c r="BPK530" s="6"/>
      <c r="BPL530" s="6"/>
      <c r="BPM530" s="27"/>
      <c r="BPN530" s="40"/>
      <c r="BPO530" s="25"/>
      <c r="BPP530" s="34"/>
      <c r="BPQ530" s="6"/>
      <c r="BPR530" s="6"/>
      <c r="BPS530" s="27"/>
      <c r="BPT530" s="40"/>
      <c r="BPU530" s="25"/>
      <c r="BPV530" s="34"/>
      <c r="BPW530" s="6"/>
      <c r="BPX530" s="6"/>
      <c r="BPY530" s="27"/>
      <c r="BPZ530" s="40"/>
      <c r="BQA530" s="25"/>
      <c r="BQB530" s="34"/>
      <c r="BQC530" s="6"/>
      <c r="BQD530" s="6"/>
      <c r="BQE530" s="27"/>
      <c r="BQF530" s="40"/>
      <c r="BQG530" s="25"/>
      <c r="BQH530" s="34"/>
      <c r="BQI530" s="6"/>
      <c r="BQJ530" s="6"/>
      <c r="BQK530" s="27"/>
      <c r="BQL530" s="40"/>
      <c r="BQM530" s="25"/>
      <c r="BQN530" s="34"/>
      <c r="BQO530" s="6"/>
      <c r="BQP530" s="6"/>
      <c r="BQQ530" s="27"/>
      <c r="BQR530" s="40"/>
      <c r="BQS530" s="25"/>
      <c r="BQT530" s="34"/>
      <c r="BQU530" s="6"/>
      <c r="BQV530" s="6"/>
      <c r="BQW530" s="27"/>
      <c r="BQX530" s="40"/>
      <c r="BQY530" s="25"/>
      <c r="BQZ530" s="34"/>
      <c r="BRA530" s="6"/>
      <c r="BRB530" s="6"/>
      <c r="BRC530" s="27"/>
      <c r="BRD530" s="40"/>
      <c r="BRE530" s="25"/>
      <c r="BRF530" s="34"/>
      <c r="BRG530" s="6"/>
      <c r="BRH530" s="6"/>
      <c r="BRI530" s="27"/>
      <c r="BRJ530" s="40"/>
      <c r="BRK530" s="25"/>
      <c r="BRL530" s="34"/>
      <c r="BRM530" s="6"/>
      <c r="BRN530" s="6"/>
      <c r="BRO530" s="27"/>
      <c r="BRP530" s="40"/>
      <c r="BRQ530" s="25"/>
      <c r="BRR530" s="34"/>
      <c r="BRS530" s="6"/>
      <c r="BRT530" s="6"/>
      <c r="BRU530" s="27"/>
      <c r="BRV530" s="40"/>
      <c r="BRW530" s="25"/>
      <c r="BRX530" s="34"/>
      <c r="BRY530" s="6"/>
      <c r="BRZ530" s="6"/>
      <c r="BSA530" s="27"/>
      <c r="BSB530" s="40"/>
      <c r="BSC530" s="25"/>
      <c r="BSD530" s="34"/>
      <c r="BSE530" s="6"/>
      <c r="BSF530" s="6"/>
      <c r="BSG530" s="27"/>
      <c r="BSH530" s="40"/>
      <c r="BSI530" s="25"/>
      <c r="BSJ530" s="34"/>
      <c r="BSK530" s="6"/>
      <c r="BSL530" s="6"/>
      <c r="BSM530" s="27"/>
      <c r="BSN530" s="40"/>
      <c r="BSO530" s="25"/>
      <c r="BSP530" s="34"/>
      <c r="BSQ530" s="6"/>
      <c r="BSR530" s="6"/>
      <c r="BSS530" s="27"/>
      <c r="BST530" s="40"/>
      <c r="BSU530" s="25"/>
      <c r="BSV530" s="34"/>
      <c r="BSW530" s="6"/>
      <c r="BSX530" s="6"/>
      <c r="BSY530" s="27"/>
      <c r="BSZ530" s="40"/>
      <c r="BTA530" s="25"/>
      <c r="BTB530" s="34"/>
      <c r="BTC530" s="6"/>
      <c r="BTD530" s="6"/>
      <c r="BTE530" s="27"/>
      <c r="BTF530" s="40"/>
      <c r="BTG530" s="25"/>
      <c r="BTH530" s="34"/>
      <c r="BTI530" s="6"/>
      <c r="BTJ530" s="6"/>
      <c r="BTK530" s="27"/>
      <c r="BTL530" s="40"/>
      <c r="BTM530" s="25"/>
      <c r="BTN530" s="34"/>
      <c r="BTO530" s="6"/>
      <c r="BTP530" s="6"/>
      <c r="BTQ530" s="27"/>
      <c r="BTR530" s="40"/>
      <c r="BTS530" s="25"/>
      <c r="BTT530" s="34"/>
      <c r="BTU530" s="6"/>
      <c r="BTV530" s="6"/>
      <c r="BTW530" s="27"/>
      <c r="BTX530" s="40"/>
      <c r="BTY530" s="25"/>
      <c r="BTZ530" s="34"/>
      <c r="BUA530" s="6"/>
      <c r="BUB530" s="6"/>
      <c r="BUC530" s="27"/>
      <c r="BUD530" s="40"/>
      <c r="BUE530" s="25"/>
      <c r="BUF530" s="34"/>
      <c r="BUG530" s="6"/>
      <c r="BUH530" s="6"/>
      <c r="BUI530" s="27"/>
      <c r="BUJ530" s="40"/>
      <c r="BUK530" s="25"/>
      <c r="BUL530" s="34"/>
      <c r="BUM530" s="6"/>
      <c r="BUN530" s="6"/>
      <c r="BUO530" s="27"/>
      <c r="BUP530" s="40"/>
      <c r="BUQ530" s="25"/>
      <c r="BUR530" s="34"/>
      <c r="BUS530" s="6"/>
      <c r="BUT530" s="6"/>
      <c r="BUU530" s="27"/>
      <c r="BUV530" s="40"/>
      <c r="BUW530" s="25"/>
      <c r="BUX530" s="34"/>
      <c r="BUY530" s="6"/>
      <c r="BUZ530" s="6"/>
      <c r="BVA530" s="27"/>
      <c r="BVB530" s="40"/>
      <c r="BVC530" s="25"/>
      <c r="BVD530" s="34"/>
      <c r="BVE530" s="6"/>
      <c r="BVF530" s="6"/>
      <c r="BVG530" s="27"/>
      <c r="BVH530" s="40"/>
      <c r="BVI530" s="25"/>
      <c r="BVJ530" s="34"/>
      <c r="BVK530" s="6"/>
      <c r="BVL530" s="6"/>
      <c r="BVM530" s="27"/>
      <c r="BVN530" s="40"/>
      <c r="BVO530" s="25"/>
      <c r="BVP530" s="34"/>
      <c r="BVQ530" s="6"/>
      <c r="BVR530" s="6"/>
      <c r="BVS530" s="27"/>
      <c r="BVT530" s="40"/>
      <c r="BVU530" s="25"/>
      <c r="BVV530" s="34"/>
      <c r="BVW530" s="6"/>
      <c r="BVX530" s="6"/>
      <c r="BVY530" s="27"/>
      <c r="BVZ530" s="40"/>
      <c r="BWA530" s="25"/>
      <c r="BWB530" s="34"/>
      <c r="BWC530" s="6"/>
      <c r="BWD530" s="6"/>
      <c r="BWE530" s="27"/>
      <c r="BWF530" s="40"/>
      <c r="BWG530" s="25"/>
      <c r="BWH530" s="34"/>
      <c r="BWI530" s="6"/>
      <c r="BWJ530" s="6"/>
      <c r="BWK530" s="27"/>
      <c r="BWL530" s="40"/>
      <c r="BWM530" s="25"/>
      <c r="BWN530" s="34"/>
      <c r="BWO530" s="6"/>
      <c r="BWP530" s="6"/>
      <c r="BWQ530" s="27"/>
      <c r="BWR530" s="40"/>
      <c r="BWS530" s="25"/>
      <c r="BWT530" s="34"/>
      <c r="BWU530" s="6"/>
      <c r="BWV530" s="6"/>
      <c r="BWW530" s="27"/>
      <c r="BWX530" s="40"/>
      <c r="BWY530" s="25"/>
      <c r="BWZ530" s="34"/>
      <c r="BXA530" s="6"/>
      <c r="BXB530" s="6"/>
      <c r="BXC530" s="27"/>
      <c r="BXD530" s="40"/>
      <c r="BXE530" s="25"/>
      <c r="BXF530" s="34"/>
      <c r="BXG530" s="6"/>
      <c r="BXH530" s="6"/>
      <c r="BXI530" s="27"/>
      <c r="BXJ530" s="40"/>
      <c r="BXK530" s="25"/>
      <c r="BXL530" s="34"/>
      <c r="BXM530" s="6"/>
      <c r="BXN530" s="6"/>
      <c r="BXO530" s="27"/>
      <c r="BXP530" s="40"/>
      <c r="BXQ530" s="25"/>
      <c r="BXR530" s="34"/>
      <c r="BXS530" s="6"/>
      <c r="BXT530" s="6"/>
      <c r="BXU530" s="27"/>
      <c r="BXV530" s="40"/>
      <c r="BXW530" s="25"/>
      <c r="BXX530" s="34"/>
      <c r="BXY530" s="6"/>
      <c r="BXZ530" s="6"/>
      <c r="BYA530" s="27"/>
      <c r="BYB530" s="40"/>
      <c r="BYC530" s="25"/>
      <c r="BYD530" s="34"/>
      <c r="BYE530" s="6"/>
      <c r="BYF530" s="6"/>
      <c r="BYG530" s="27"/>
      <c r="BYH530" s="40"/>
      <c r="BYI530" s="25"/>
      <c r="BYJ530" s="34"/>
      <c r="BYK530" s="6"/>
      <c r="BYL530" s="6"/>
      <c r="BYM530" s="27"/>
      <c r="BYN530" s="40"/>
      <c r="BYO530" s="25"/>
      <c r="BYP530" s="34"/>
      <c r="BYQ530" s="6"/>
      <c r="BYR530" s="6"/>
      <c r="BYS530" s="27"/>
      <c r="BYT530" s="40"/>
      <c r="BYU530" s="25"/>
      <c r="BYV530" s="34"/>
      <c r="BYW530" s="6"/>
      <c r="BYX530" s="6"/>
      <c r="BYY530" s="27"/>
      <c r="BYZ530" s="40"/>
      <c r="BZA530" s="25"/>
      <c r="BZB530" s="34"/>
      <c r="BZC530" s="6"/>
      <c r="BZD530" s="6"/>
      <c r="BZE530" s="27"/>
      <c r="BZF530" s="40"/>
      <c r="BZG530" s="25"/>
      <c r="BZH530" s="34"/>
      <c r="BZI530" s="6"/>
      <c r="BZJ530" s="6"/>
      <c r="BZK530" s="27"/>
      <c r="BZL530" s="40"/>
      <c r="BZM530" s="25"/>
      <c r="BZN530" s="34"/>
      <c r="BZO530" s="6"/>
      <c r="BZP530" s="6"/>
      <c r="BZQ530" s="27"/>
      <c r="BZR530" s="40"/>
      <c r="BZS530" s="25"/>
      <c r="BZT530" s="34"/>
      <c r="BZU530" s="6"/>
      <c r="BZV530" s="6"/>
      <c r="BZW530" s="27"/>
      <c r="BZX530" s="40"/>
      <c r="BZY530" s="25"/>
      <c r="BZZ530" s="34"/>
      <c r="CAA530" s="6"/>
      <c r="CAB530" s="6"/>
      <c r="CAC530" s="27"/>
      <c r="CAD530" s="40"/>
      <c r="CAE530" s="25"/>
      <c r="CAF530" s="34"/>
      <c r="CAG530" s="6"/>
      <c r="CAH530" s="6"/>
      <c r="CAI530" s="27"/>
      <c r="CAJ530" s="40"/>
      <c r="CAK530" s="25"/>
      <c r="CAL530" s="34"/>
      <c r="CAM530" s="6"/>
      <c r="CAN530" s="6"/>
      <c r="CAO530" s="27"/>
      <c r="CAP530" s="40"/>
      <c r="CAQ530" s="25"/>
      <c r="CAR530" s="34"/>
      <c r="CAS530" s="6"/>
      <c r="CAT530" s="6"/>
      <c r="CAU530" s="27"/>
      <c r="CAV530" s="40"/>
      <c r="CAW530" s="25"/>
      <c r="CAX530" s="34"/>
      <c r="CAY530" s="6"/>
      <c r="CAZ530" s="6"/>
      <c r="CBA530" s="27"/>
      <c r="CBB530" s="40"/>
      <c r="CBC530" s="25"/>
      <c r="CBD530" s="34"/>
      <c r="CBE530" s="6"/>
      <c r="CBF530" s="6"/>
      <c r="CBG530" s="27"/>
      <c r="CBH530" s="40"/>
      <c r="CBI530" s="25"/>
      <c r="CBJ530" s="34"/>
      <c r="CBK530" s="6"/>
      <c r="CBL530" s="6"/>
      <c r="CBM530" s="27"/>
      <c r="CBN530" s="40"/>
      <c r="CBO530" s="25"/>
      <c r="CBP530" s="34"/>
      <c r="CBQ530" s="6"/>
      <c r="CBR530" s="6"/>
      <c r="CBS530" s="27"/>
      <c r="CBT530" s="40"/>
      <c r="CBU530" s="25"/>
      <c r="CBV530" s="34"/>
      <c r="CBW530" s="6"/>
      <c r="CBX530" s="6"/>
      <c r="CBY530" s="27"/>
      <c r="CBZ530" s="40"/>
      <c r="CCA530" s="25"/>
      <c r="CCB530" s="34"/>
      <c r="CCC530" s="6"/>
      <c r="CCD530" s="6"/>
      <c r="CCE530" s="27"/>
      <c r="CCF530" s="40"/>
      <c r="CCG530" s="25"/>
      <c r="CCH530" s="34"/>
      <c r="CCI530" s="6"/>
      <c r="CCJ530" s="6"/>
      <c r="CCK530" s="27"/>
      <c r="CCL530" s="40"/>
      <c r="CCM530" s="25"/>
      <c r="CCN530" s="34"/>
      <c r="CCO530" s="6"/>
      <c r="CCP530" s="6"/>
      <c r="CCQ530" s="27"/>
      <c r="CCR530" s="40"/>
      <c r="CCS530" s="25"/>
      <c r="CCT530" s="34"/>
      <c r="CCU530" s="6"/>
      <c r="CCV530" s="6"/>
      <c r="CCW530" s="27"/>
      <c r="CCX530" s="40"/>
      <c r="CCY530" s="25"/>
      <c r="CCZ530" s="34"/>
      <c r="CDA530" s="6"/>
      <c r="CDB530" s="6"/>
      <c r="CDC530" s="27"/>
      <c r="CDD530" s="40"/>
      <c r="CDE530" s="25"/>
      <c r="CDF530" s="34"/>
      <c r="CDG530" s="6"/>
      <c r="CDH530" s="6"/>
      <c r="CDI530" s="27"/>
      <c r="CDJ530" s="40"/>
      <c r="CDK530" s="25"/>
      <c r="CDL530" s="34"/>
      <c r="CDM530" s="6"/>
      <c r="CDN530" s="6"/>
      <c r="CDO530" s="27"/>
      <c r="CDP530" s="40"/>
      <c r="CDQ530" s="25"/>
      <c r="CDR530" s="34"/>
      <c r="CDS530" s="6"/>
      <c r="CDT530" s="6"/>
      <c r="CDU530" s="27"/>
      <c r="CDV530" s="40"/>
      <c r="CDW530" s="25"/>
      <c r="CDX530" s="34"/>
      <c r="CDY530" s="6"/>
      <c r="CDZ530" s="6"/>
      <c r="CEA530" s="27"/>
      <c r="CEB530" s="40"/>
      <c r="CEC530" s="25"/>
      <c r="CED530" s="34"/>
      <c r="CEE530" s="6"/>
      <c r="CEF530" s="6"/>
      <c r="CEG530" s="27"/>
      <c r="CEH530" s="40"/>
      <c r="CEI530" s="25"/>
      <c r="CEJ530" s="34"/>
      <c r="CEK530" s="6"/>
      <c r="CEL530" s="6"/>
      <c r="CEM530" s="27"/>
      <c r="CEN530" s="40"/>
      <c r="CEO530" s="25"/>
      <c r="CEP530" s="34"/>
      <c r="CEQ530" s="6"/>
      <c r="CER530" s="6"/>
      <c r="CES530" s="27"/>
      <c r="CET530" s="40"/>
      <c r="CEU530" s="25"/>
      <c r="CEV530" s="34"/>
      <c r="CEW530" s="6"/>
      <c r="CEX530" s="6"/>
      <c r="CEY530" s="27"/>
      <c r="CEZ530" s="40"/>
      <c r="CFA530" s="25"/>
      <c r="CFB530" s="34"/>
      <c r="CFC530" s="6"/>
      <c r="CFD530" s="6"/>
      <c r="CFE530" s="27"/>
      <c r="CFF530" s="40"/>
      <c r="CFG530" s="25"/>
      <c r="CFH530" s="34"/>
      <c r="CFI530" s="6"/>
      <c r="CFJ530" s="6"/>
      <c r="CFK530" s="27"/>
      <c r="CFL530" s="40"/>
      <c r="CFM530" s="25"/>
      <c r="CFN530" s="34"/>
      <c r="CFO530" s="6"/>
      <c r="CFP530" s="6"/>
      <c r="CFQ530" s="27"/>
      <c r="CFR530" s="40"/>
      <c r="CFS530" s="25"/>
      <c r="CFT530" s="34"/>
      <c r="CFU530" s="6"/>
      <c r="CFV530" s="6"/>
      <c r="CFW530" s="27"/>
      <c r="CFX530" s="40"/>
      <c r="CFY530" s="25"/>
      <c r="CFZ530" s="34"/>
      <c r="CGA530" s="6"/>
      <c r="CGB530" s="6"/>
      <c r="CGC530" s="27"/>
      <c r="CGD530" s="40"/>
      <c r="CGE530" s="25"/>
      <c r="CGF530" s="34"/>
      <c r="CGG530" s="6"/>
      <c r="CGH530" s="6"/>
      <c r="CGI530" s="27"/>
      <c r="CGJ530" s="40"/>
      <c r="CGK530" s="25"/>
      <c r="CGL530" s="34"/>
      <c r="CGM530" s="6"/>
      <c r="CGN530" s="6"/>
      <c r="CGO530" s="27"/>
      <c r="CGP530" s="40"/>
      <c r="CGQ530" s="25"/>
      <c r="CGR530" s="34"/>
      <c r="CGS530" s="6"/>
      <c r="CGT530" s="6"/>
      <c r="CGU530" s="27"/>
      <c r="CGV530" s="40"/>
      <c r="CGW530" s="25"/>
      <c r="CGX530" s="34"/>
      <c r="CGY530" s="6"/>
      <c r="CGZ530" s="6"/>
      <c r="CHA530" s="27"/>
      <c r="CHB530" s="40"/>
      <c r="CHC530" s="25"/>
      <c r="CHD530" s="34"/>
      <c r="CHE530" s="6"/>
      <c r="CHF530" s="6"/>
      <c r="CHG530" s="27"/>
      <c r="CHH530" s="40"/>
      <c r="CHI530" s="25"/>
      <c r="CHJ530" s="34"/>
      <c r="CHK530" s="6"/>
      <c r="CHL530" s="6"/>
      <c r="CHM530" s="27"/>
      <c r="CHN530" s="40"/>
      <c r="CHO530" s="25"/>
      <c r="CHP530" s="34"/>
      <c r="CHQ530" s="6"/>
      <c r="CHR530" s="6"/>
      <c r="CHS530" s="27"/>
      <c r="CHT530" s="40"/>
      <c r="CHU530" s="25"/>
      <c r="CHV530" s="34"/>
      <c r="CHW530" s="6"/>
      <c r="CHX530" s="6"/>
      <c r="CHY530" s="27"/>
      <c r="CHZ530" s="40"/>
      <c r="CIA530" s="25"/>
      <c r="CIB530" s="34"/>
      <c r="CIC530" s="6"/>
      <c r="CID530" s="6"/>
      <c r="CIE530" s="27"/>
      <c r="CIF530" s="40"/>
      <c r="CIG530" s="25"/>
      <c r="CIH530" s="34"/>
      <c r="CII530" s="6"/>
      <c r="CIJ530" s="6"/>
      <c r="CIK530" s="27"/>
      <c r="CIL530" s="40"/>
      <c r="CIM530" s="25"/>
      <c r="CIN530" s="34"/>
      <c r="CIO530" s="6"/>
      <c r="CIP530" s="6"/>
      <c r="CIQ530" s="27"/>
      <c r="CIR530" s="40"/>
      <c r="CIS530" s="25"/>
      <c r="CIT530" s="34"/>
      <c r="CIU530" s="6"/>
      <c r="CIV530" s="6"/>
      <c r="CIW530" s="27"/>
      <c r="CIX530" s="40"/>
      <c r="CIY530" s="25"/>
      <c r="CIZ530" s="34"/>
      <c r="CJA530" s="6"/>
      <c r="CJB530" s="6"/>
      <c r="CJC530" s="27"/>
      <c r="CJD530" s="40"/>
      <c r="CJE530" s="25"/>
      <c r="CJF530" s="34"/>
      <c r="CJG530" s="6"/>
      <c r="CJH530" s="6"/>
      <c r="CJI530" s="27"/>
      <c r="CJJ530" s="40"/>
      <c r="CJK530" s="25"/>
      <c r="CJL530" s="34"/>
      <c r="CJM530" s="6"/>
      <c r="CJN530" s="6"/>
      <c r="CJO530" s="27"/>
      <c r="CJP530" s="40"/>
      <c r="CJQ530" s="25"/>
      <c r="CJR530" s="34"/>
      <c r="CJS530" s="6"/>
      <c r="CJT530" s="6"/>
      <c r="CJU530" s="27"/>
      <c r="CJV530" s="40"/>
      <c r="CJW530" s="25"/>
      <c r="CJX530" s="34"/>
      <c r="CJY530" s="6"/>
      <c r="CJZ530" s="6"/>
      <c r="CKA530" s="27"/>
      <c r="CKB530" s="40"/>
      <c r="CKC530" s="25"/>
      <c r="CKD530" s="34"/>
      <c r="CKE530" s="6"/>
      <c r="CKF530" s="6"/>
      <c r="CKG530" s="27"/>
      <c r="CKH530" s="40"/>
      <c r="CKI530" s="25"/>
      <c r="CKJ530" s="34"/>
      <c r="CKK530" s="6"/>
      <c r="CKL530" s="6"/>
      <c r="CKM530" s="27"/>
      <c r="CKN530" s="40"/>
      <c r="CKO530" s="25"/>
      <c r="CKP530" s="34"/>
      <c r="CKQ530" s="6"/>
      <c r="CKR530" s="6"/>
      <c r="CKS530" s="27"/>
      <c r="CKT530" s="40"/>
      <c r="CKU530" s="25"/>
      <c r="CKV530" s="34"/>
      <c r="CKW530" s="6"/>
      <c r="CKX530" s="6"/>
      <c r="CKY530" s="27"/>
      <c r="CKZ530" s="40"/>
      <c r="CLA530" s="25"/>
      <c r="CLB530" s="34"/>
      <c r="CLC530" s="6"/>
      <c r="CLD530" s="6"/>
      <c r="CLE530" s="27"/>
      <c r="CLF530" s="40"/>
      <c r="CLG530" s="25"/>
      <c r="CLH530" s="34"/>
      <c r="CLI530" s="6"/>
      <c r="CLJ530" s="6"/>
      <c r="CLK530" s="27"/>
      <c r="CLL530" s="40"/>
      <c r="CLM530" s="25"/>
      <c r="CLN530" s="34"/>
      <c r="CLO530" s="6"/>
      <c r="CLP530" s="6"/>
      <c r="CLQ530" s="27"/>
      <c r="CLR530" s="40"/>
      <c r="CLS530" s="25"/>
      <c r="CLT530" s="34"/>
      <c r="CLU530" s="6"/>
      <c r="CLV530" s="6"/>
      <c r="CLW530" s="27"/>
      <c r="CLX530" s="40"/>
      <c r="CLY530" s="25"/>
      <c r="CLZ530" s="34"/>
      <c r="CMA530" s="6"/>
      <c r="CMB530" s="6"/>
      <c r="CMC530" s="27"/>
      <c r="CMD530" s="40"/>
      <c r="CME530" s="25"/>
      <c r="CMF530" s="34"/>
      <c r="CMG530" s="6"/>
      <c r="CMH530" s="6"/>
      <c r="CMI530" s="27"/>
      <c r="CMJ530" s="40"/>
      <c r="CMK530" s="25"/>
      <c r="CML530" s="34"/>
      <c r="CMM530" s="6"/>
      <c r="CMN530" s="6"/>
      <c r="CMO530" s="27"/>
      <c r="CMP530" s="40"/>
      <c r="CMQ530" s="25"/>
      <c r="CMR530" s="34"/>
      <c r="CMS530" s="6"/>
      <c r="CMT530" s="6"/>
      <c r="CMU530" s="27"/>
      <c r="CMV530" s="40"/>
      <c r="CMW530" s="25"/>
      <c r="CMX530" s="34"/>
      <c r="CMY530" s="6"/>
      <c r="CMZ530" s="6"/>
      <c r="CNA530" s="27"/>
      <c r="CNB530" s="40"/>
      <c r="CNC530" s="25"/>
      <c r="CND530" s="34"/>
      <c r="CNE530" s="6"/>
      <c r="CNF530" s="6"/>
      <c r="CNG530" s="27"/>
      <c r="CNH530" s="40"/>
      <c r="CNI530" s="25"/>
      <c r="CNJ530" s="34"/>
      <c r="CNK530" s="6"/>
      <c r="CNL530" s="6"/>
      <c r="CNM530" s="27"/>
      <c r="CNN530" s="40"/>
      <c r="CNO530" s="25"/>
      <c r="CNP530" s="34"/>
      <c r="CNQ530" s="6"/>
      <c r="CNR530" s="6"/>
      <c r="CNS530" s="27"/>
      <c r="CNT530" s="40"/>
      <c r="CNU530" s="25"/>
      <c r="CNV530" s="34"/>
      <c r="CNW530" s="6"/>
      <c r="CNX530" s="6"/>
      <c r="CNY530" s="27"/>
      <c r="CNZ530" s="40"/>
      <c r="COA530" s="25"/>
      <c r="COB530" s="34"/>
      <c r="COC530" s="6"/>
      <c r="COD530" s="6"/>
      <c r="COE530" s="27"/>
      <c r="COF530" s="40"/>
      <c r="COG530" s="25"/>
      <c r="COH530" s="34"/>
      <c r="COI530" s="6"/>
      <c r="COJ530" s="6"/>
      <c r="COK530" s="27"/>
      <c r="COL530" s="40"/>
      <c r="COM530" s="25"/>
      <c r="CON530" s="34"/>
      <c r="COO530" s="6"/>
      <c r="COP530" s="6"/>
      <c r="COQ530" s="27"/>
      <c r="COR530" s="40"/>
      <c r="COS530" s="25"/>
      <c r="COT530" s="34"/>
      <c r="COU530" s="6"/>
      <c r="COV530" s="6"/>
      <c r="COW530" s="27"/>
      <c r="COX530" s="40"/>
      <c r="COY530" s="25"/>
      <c r="COZ530" s="34"/>
      <c r="CPA530" s="6"/>
      <c r="CPB530" s="6"/>
      <c r="CPC530" s="27"/>
      <c r="CPD530" s="40"/>
      <c r="CPE530" s="25"/>
      <c r="CPF530" s="34"/>
      <c r="CPG530" s="6"/>
      <c r="CPH530" s="6"/>
      <c r="CPI530" s="27"/>
      <c r="CPJ530" s="40"/>
      <c r="CPK530" s="25"/>
      <c r="CPL530" s="34"/>
      <c r="CPM530" s="6"/>
      <c r="CPN530" s="6"/>
      <c r="CPO530" s="27"/>
      <c r="CPP530" s="40"/>
      <c r="CPQ530" s="25"/>
      <c r="CPR530" s="34"/>
      <c r="CPS530" s="6"/>
      <c r="CPT530" s="6"/>
      <c r="CPU530" s="27"/>
      <c r="CPV530" s="40"/>
      <c r="CPW530" s="25"/>
      <c r="CPX530" s="34"/>
      <c r="CPY530" s="6"/>
      <c r="CPZ530" s="6"/>
      <c r="CQA530" s="27"/>
      <c r="CQB530" s="40"/>
      <c r="CQC530" s="25"/>
      <c r="CQD530" s="34"/>
      <c r="CQE530" s="6"/>
      <c r="CQF530" s="6"/>
      <c r="CQG530" s="27"/>
      <c r="CQH530" s="40"/>
      <c r="CQI530" s="25"/>
      <c r="CQJ530" s="34"/>
      <c r="CQK530" s="6"/>
      <c r="CQL530" s="6"/>
      <c r="CQM530" s="27"/>
      <c r="CQN530" s="40"/>
      <c r="CQO530" s="25"/>
      <c r="CQP530" s="34"/>
      <c r="CQQ530" s="6"/>
      <c r="CQR530" s="6"/>
      <c r="CQS530" s="27"/>
      <c r="CQT530" s="40"/>
      <c r="CQU530" s="25"/>
      <c r="CQV530" s="34"/>
      <c r="CQW530" s="6"/>
      <c r="CQX530" s="6"/>
      <c r="CQY530" s="27"/>
      <c r="CQZ530" s="40"/>
      <c r="CRA530" s="25"/>
      <c r="CRB530" s="34"/>
      <c r="CRC530" s="6"/>
      <c r="CRD530" s="6"/>
      <c r="CRE530" s="27"/>
      <c r="CRF530" s="40"/>
      <c r="CRG530" s="25"/>
      <c r="CRH530" s="34"/>
      <c r="CRI530" s="6"/>
      <c r="CRJ530" s="6"/>
      <c r="CRK530" s="27"/>
      <c r="CRL530" s="40"/>
      <c r="CRM530" s="25"/>
      <c r="CRN530" s="34"/>
      <c r="CRO530" s="6"/>
      <c r="CRP530" s="6"/>
      <c r="CRQ530" s="27"/>
      <c r="CRR530" s="40"/>
      <c r="CRS530" s="25"/>
      <c r="CRT530" s="34"/>
      <c r="CRU530" s="6"/>
      <c r="CRV530" s="6"/>
      <c r="CRW530" s="27"/>
      <c r="CRX530" s="40"/>
      <c r="CRY530" s="25"/>
      <c r="CRZ530" s="34"/>
      <c r="CSA530" s="6"/>
      <c r="CSB530" s="6"/>
      <c r="CSC530" s="27"/>
      <c r="CSD530" s="40"/>
      <c r="CSE530" s="25"/>
      <c r="CSF530" s="34"/>
      <c r="CSG530" s="6"/>
      <c r="CSH530" s="6"/>
      <c r="CSI530" s="27"/>
      <c r="CSJ530" s="40"/>
      <c r="CSK530" s="25"/>
      <c r="CSL530" s="34"/>
      <c r="CSM530" s="6"/>
      <c r="CSN530" s="6"/>
      <c r="CSO530" s="27"/>
      <c r="CSP530" s="40"/>
      <c r="CSQ530" s="25"/>
      <c r="CSR530" s="34"/>
      <c r="CSS530" s="6"/>
      <c r="CST530" s="6"/>
      <c r="CSU530" s="27"/>
      <c r="CSV530" s="40"/>
      <c r="CSW530" s="25"/>
      <c r="CSX530" s="34"/>
      <c r="CSY530" s="6"/>
      <c r="CSZ530" s="6"/>
      <c r="CTA530" s="27"/>
      <c r="CTB530" s="40"/>
      <c r="CTC530" s="25"/>
      <c r="CTD530" s="34"/>
      <c r="CTE530" s="6"/>
      <c r="CTF530" s="6"/>
      <c r="CTG530" s="27"/>
      <c r="CTH530" s="40"/>
      <c r="CTI530" s="25"/>
      <c r="CTJ530" s="34"/>
      <c r="CTK530" s="6"/>
      <c r="CTL530" s="6"/>
      <c r="CTM530" s="27"/>
      <c r="CTN530" s="40"/>
      <c r="CTO530" s="25"/>
      <c r="CTP530" s="34"/>
      <c r="CTQ530" s="6"/>
      <c r="CTR530" s="6"/>
      <c r="CTS530" s="27"/>
      <c r="CTT530" s="40"/>
      <c r="CTU530" s="25"/>
      <c r="CTV530" s="34"/>
      <c r="CTW530" s="6"/>
      <c r="CTX530" s="6"/>
      <c r="CTY530" s="27"/>
      <c r="CTZ530" s="40"/>
      <c r="CUA530" s="25"/>
      <c r="CUB530" s="34"/>
      <c r="CUC530" s="6"/>
      <c r="CUD530" s="6"/>
      <c r="CUE530" s="27"/>
      <c r="CUF530" s="40"/>
      <c r="CUG530" s="25"/>
      <c r="CUH530" s="34"/>
      <c r="CUI530" s="6"/>
      <c r="CUJ530" s="6"/>
      <c r="CUK530" s="27"/>
      <c r="CUL530" s="40"/>
      <c r="CUM530" s="25"/>
      <c r="CUN530" s="34"/>
      <c r="CUO530" s="6"/>
      <c r="CUP530" s="6"/>
      <c r="CUQ530" s="27"/>
      <c r="CUR530" s="40"/>
      <c r="CUS530" s="25"/>
      <c r="CUT530" s="34"/>
      <c r="CUU530" s="6"/>
      <c r="CUV530" s="6"/>
      <c r="CUW530" s="27"/>
      <c r="CUX530" s="40"/>
      <c r="CUY530" s="25"/>
      <c r="CUZ530" s="34"/>
      <c r="CVA530" s="6"/>
      <c r="CVB530" s="6"/>
      <c r="CVC530" s="27"/>
      <c r="CVD530" s="40"/>
      <c r="CVE530" s="25"/>
      <c r="CVF530" s="34"/>
      <c r="CVG530" s="6"/>
      <c r="CVH530" s="6"/>
      <c r="CVI530" s="27"/>
      <c r="CVJ530" s="40"/>
      <c r="CVK530" s="25"/>
      <c r="CVL530" s="34"/>
      <c r="CVM530" s="6"/>
      <c r="CVN530" s="6"/>
      <c r="CVO530" s="27"/>
      <c r="CVP530" s="40"/>
      <c r="CVQ530" s="25"/>
      <c r="CVR530" s="34"/>
      <c r="CVS530" s="6"/>
      <c r="CVT530" s="6"/>
      <c r="CVU530" s="27"/>
      <c r="CVV530" s="40"/>
      <c r="CVW530" s="25"/>
      <c r="CVX530" s="34"/>
      <c r="CVY530" s="6"/>
      <c r="CVZ530" s="6"/>
      <c r="CWA530" s="27"/>
      <c r="CWB530" s="40"/>
      <c r="CWC530" s="25"/>
      <c r="CWD530" s="34"/>
      <c r="CWE530" s="6"/>
      <c r="CWF530" s="6"/>
      <c r="CWG530" s="27"/>
      <c r="CWH530" s="40"/>
      <c r="CWI530" s="25"/>
      <c r="CWJ530" s="34"/>
      <c r="CWK530" s="6"/>
      <c r="CWL530" s="6"/>
      <c r="CWM530" s="27"/>
      <c r="CWN530" s="40"/>
      <c r="CWO530" s="25"/>
      <c r="CWP530" s="34"/>
      <c r="CWQ530" s="6"/>
      <c r="CWR530" s="6"/>
      <c r="CWS530" s="27"/>
      <c r="CWT530" s="40"/>
      <c r="CWU530" s="25"/>
      <c r="CWV530" s="34"/>
      <c r="CWW530" s="6"/>
      <c r="CWX530" s="6"/>
      <c r="CWY530" s="27"/>
      <c r="CWZ530" s="40"/>
      <c r="CXA530" s="25"/>
      <c r="CXB530" s="34"/>
      <c r="CXC530" s="6"/>
      <c r="CXD530" s="6"/>
      <c r="CXE530" s="27"/>
      <c r="CXF530" s="40"/>
      <c r="CXG530" s="25"/>
      <c r="CXH530" s="34"/>
      <c r="CXI530" s="6"/>
      <c r="CXJ530" s="6"/>
      <c r="CXK530" s="27"/>
      <c r="CXL530" s="40"/>
      <c r="CXM530" s="25"/>
      <c r="CXN530" s="34"/>
      <c r="CXO530" s="6"/>
      <c r="CXP530" s="6"/>
      <c r="CXQ530" s="27"/>
      <c r="CXR530" s="40"/>
      <c r="CXS530" s="25"/>
      <c r="CXT530" s="34"/>
      <c r="CXU530" s="6"/>
      <c r="CXV530" s="6"/>
      <c r="CXW530" s="27"/>
      <c r="CXX530" s="40"/>
      <c r="CXY530" s="25"/>
      <c r="CXZ530" s="34"/>
      <c r="CYA530" s="6"/>
      <c r="CYB530" s="6"/>
      <c r="CYC530" s="27"/>
      <c r="CYD530" s="40"/>
      <c r="CYE530" s="25"/>
      <c r="CYF530" s="34"/>
      <c r="CYG530" s="6"/>
      <c r="CYH530" s="6"/>
      <c r="CYI530" s="27"/>
      <c r="CYJ530" s="40"/>
      <c r="CYK530" s="25"/>
      <c r="CYL530" s="34"/>
      <c r="CYM530" s="6"/>
      <c r="CYN530" s="6"/>
      <c r="CYO530" s="27"/>
      <c r="CYP530" s="40"/>
      <c r="CYQ530" s="25"/>
      <c r="CYR530" s="34"/>
      <c r="CYS530" s="6"/>
      <c r="CYT530" s="6"/>
      <c r="CYU530" s="27"/>
      <c r="CYV530" s="40"/>
      <c r="CYW530" s="25"/>
      <c r="CYX530" s="34"/>
      <c r="CYY530" s="6"/>
      <c r="CYZ530" s="6"/>
      <c r="CZA530" s="27"/>
      <c r="CZB530" s="40"/>
      <c r="CZC530" s="25"/>
      <c r="CZD530" s="34"/>
      <c r="CZE530" s="6"/>
      <c r="CZF530" s="6"/>
      <c r="CZG530" s="27"/>
      <c r="CZH530" s="40"/>
      <c r="CZI530" s="25"/>
      <c r="CZJ530" s="34"/>
      <c r="CZK530" s="6"/>
      <c r="CZL530" s="6"/>
      <c r="CZM530" s="27"/>
      <c r="CZN530" s="40"/>
      <c r="CZO530" s="25"/>
      <c r="CZP530" s="34"/>
      <c r="CZQ530" s="6"/>
      <c r="CZR530" s="6"/>
      <c r="CZS530" s="27"/>
      <c r="CZT530" s="40"/>
      <c r="CZU530" s="25"/>
      <c r="CZV530" s="34"/>
      <c r="CZW530" s="6"/>
      <c r="CZX530" s="6"/>
      <c r="CZY530" s="27"/>
      <c r="CZZ530" s="40"/>
      <c r="DAA530" s="25"/>
      <c r="DAB530" s="34"/>
      <c r="DAC530" s="6"/>
      <c r="DAD530" s="6"/>
      <c r="DAE530" s="27"/>
      <c r="DAF530" s="40"/>
      <c r="DAG530" s="25"/>
      <c r="DAH530" s="34"/>
      <c r="DAI530" s="6"/>
      <c r="DAJ530" s="6"/>
      <c r="DAK530" s="27"/>
      <c r="DAL530" s="40"/>
      <c r="DAM530" s="25"/>
      <c r="DAN530" s="34"/>
      <c r="DAO530" s="6"/>
      <c r="DAP530" s="6"/>
      <c r="DAQ530" s="27"/>
      <c r="DAR530" s="40"/>
      <c r="DAS530" s="25"/>
      <c r="DAT530" s="34"/>
      <c r="DAU530" s="6"/>
      <c r="DAV530" s="6"/>
      <c r="DAW530" s="27"/>
      <c r="DAX530" s="40"/>
      <c r="DAY530" s="25"/>
      <c r="DAZ530" s="34"/>
      <c r="DBA530" s="6"/>
      <c r="DBB530" s="6"/>
      <c r="DBC530" s="27"/>
      <c r="DBD530" s="40"/>
      <c r="DBE530" s="25"/>
      <c r="DBF530" s="34"/>
      <c r="DBG530" s="6"/>
      <c r="DBH530" s="6"/>
      <c r="DBI530" s="27"/>
      <c r="DBJ530" s="40"/>
      <c r="DBK530" s="25"/>
      <c r="DBL530" s="34"/>
      <c r="DBM530" s="6"/>
      <c r="DBN530" s="6"/>
      <c r="DBO530" s="27"/>
      <c r="DBP530" s="40"/>
      <c r="DBQ530" s="25"/>
      <c r="DBR530" s="34"/>
      <c r="DBS530" s="6"/>
      <c r="DBT530" s="6"/>
      <c r="DBU530" s="27"/>
      <c r="DBV530" s="40"/>
      <c r="DBW530" s="25"/>
      <c r="DBX530" s="34"/>
      <c r="DBY530" s="6"/>
      <c r="DBZ530" s="6"/>
      <c r="DCA530" s="27"/>
      <c r="DCB530" s="40"/>
      <c r="DCC530" s="25"/>
      <c r="DCD530" s="34"/>
      <c r="DCE530" s="6"/>
      <c r="DCF530" s="6"/>
      <c r="DCG530" s="27"/>
      <c r="DCH530" s="40"/>
      <c r="DCI530" s="25"/>
      <c r="DCJ530" s="34"/>
      <c r="DCK530" s="6"/>
      <c r="DCL530" s="6"/>
      <c r="DCM530" s="27"/>
      <c r="DCN530" s="40"/>
      <c r="DCO530" s="25"/>
      <c r="DCP530" s="34"/>
      <c r="DCQ530" s="6"/>
      <c r="DCR530" s="6"/>
      <c r="DCS530" s="27"/>
      <c r="DCT530" s="40"/>
      <c r="DCU530" s="25"/>
      <c r="DCV530" s="34"/>
      <c r="DCW530" s="6"/>
      <c r="DCX530" s="6"/>
      <c r="DCY530" s="27"/>
      <c r="DCZ530" s="40"/>
      <c r="DDA530" s="25"/>
      <c r="DDB530" s="34"/>
      <c r="DDC530" s="6"/>
      <c r="DDD530" s="6"/>
      <c r="DDE530" s="27"/>
      <c r="DDF530" s="40"/>
      <c r="DDG530" s="25"/>
      <c r="DDH530" s="34"/>
      <c r="DDI530" s="6"/>
      <c r="DDJ530" s="6"/>
      <c r="DDK530" s="27"/>
      <c r="DDL530" s="40"/>
      <c r="DDM530" s="25"/>
      <c r="DDN530" s="34"/>
      <c r="DDO530" s="6"/>
      <c r="DDP530" s="6"/>
      <c r="DDQ530" s="27"/>
      <c r="DDR530" s="40"/>
      <c r="DDS530" s="25"/>
      <c r="DDT530" s="34"/>
      <c r="DDU530" s="6"/>
      <c r="DDV530" s="6"/>
      <c r="DDW530" s="27"/>
      <c r="DDX530" s="40"/>
      <c r="DDY530" s="25"/>
      <c r="DDZ530" s="34"/>
      <c r="DEA530" s="6"/>
      <c r="DEB530" s="6"/>
      <c r="DEC530" s="27"/>
      <c r="DED530" s="40"/>
      <c r="DEE530" s="25"/>
      <c r="DEF530" s="34"/>
      <c r="DEG530" s="6"/>
      <c r="DEH530" s="6"/>
      <c r="DEI530" s="27"/>
      <c r="DEJ530" s="40"/>
      <c r="DEK530" s="25"/>
      <c r="DEL530" s="34"/>
      <c r="DEM530" s="6"/>
      <c r="DEN530" s="6"/>
      <c r="DEO530" s="27"/>
      <c r="DEP530" s="40"/>
      <c r="DEQ530" s="25"/>
      <c r="DER530" s="34"/>
      <c r="DES530" s="6"/>
      <c r="DET530" s="6"/>
      <c r="DEU530" s="27"/>
      <c r="DEV530" s="40"/>
      <c r="DEW530" s="25"/>
      <c r="DEX530" s="34"/>
      <c r="DEY530" s="6"/>
      <c r="DEZ530" s="6"/>
      <c r="DFA530" s="27"/>
      <c r="DFB530" s="40"/>
      <c r="DFC530" s="25"/>
      <c r="DFD530" s="34"/>
      <c r="DFE530" s="6"/>
      <c r="DFF530" s="6"/>
      <c r="DFG530" s="27"/>
      <c r="DFH530" s="40"/>
      <c r="DFI530" s="25"/>
      <c r="DFJ530" s="34"/>
      <c r="DFK530" s="6"/>
      <c r="DFL530" s="6"/>
      <c r="DFM530" s="27"/>
      <c r="DFN530" s="40"/>
      <c r="DFO530" s="25"/>
      <c r="DFP530" s="34"/>
      <c r="DFQ530" s="6"/>
      <c r="DFR530" s="6"/>
      <c r="DFS530" s="27"/>
      <c r="DFT530" s="40"/>
      <c r="DFU530" s="25"/>
      <c r="DFV530" s="34"/>
      <c r="DFW530" s="6"/>
      <c r="DFX530" s="6"/>
      <c r="DFY530" s="27"/>
      <c r="DFZ530" s="40"/>
      <c r="DGA530" s="25"/>
      <c r="DGB530" s="34"/>
      <c r="DGC530" s="6"/>
      <c r="DGD530" s="6"/>
      <c r="DGE530" s="27"/>
      <c r="DGF530" s="40"/>
      <c r="DGG530" s="25"/>
      <c r="DGH530" s="34"/>
      <c r="DGI530" s="6"/>
      <c r="DGJ530" s="6"/>
      <c r="DGK530" s="27"/>
      <c r="DGL530" s="40"/>
      <c r="DGM530" s="25"/>
      <c r="DGN530" s="34"/>
      <c r="DGO530" s="6"/>
      <c r="DGP530" s="6"/>
      <c r="DGQ530" s="27"/>
      <c r="DGR530" s="40"/>
      <c r="DGS530" s="25"/>
      <c r="DGT530" s="34"/>
      <c r="DGU530" s="6"/>
      <c r="DGV530" s="6"/>
      <c r="DGW530" s="27"/>
      <c r="DGX530" s="40"/>
      <c r="DGY530" s="25"/>
      <c r="DGZ530" s="34"/>
      <c r="DHA530" s="6"/>
      <c r="DHB530" s="6"/>
      <c r="DHC530" s="27"/>
      <c r="DHD530" s="40"/>
      <c r="DHE530" s="25"/>
      <c r="DHF530" s="34"/>
      <c r="DHG530" s="6"/>
      <c r="DHH530" s="6"/>
      <c r="DHI530" s="27"/>
      <c r="DHJ530" s="40"/>
      <c r="DHK530" s="25"/>
      <c r="DHL530" s="34"/>
      <c r="DHM530" s="6"/>
      <c r="DHN530" s="6"/>
      <c r="DHO530" s="27"/>
      <c r="DHP530" s="40"/>
      <c r="DHQ530" s="25"/>
      <c r="DHR530" s="34"/>
      <c r="DHS530" s="6"/>
      <c r="DHT530" s="6"/>
      <c r="DHU530" s="27"/>
      <c r="DHV530" s="40"/>
      <c r="DHW530" s="25"/>
      <c r="DHX530" s="34"/>
      <c r="DHY530" s="6"/>
      <c r="DHZ530" s="6"/>
      <c r="DIA530" s="27"/>
      <c r="DIB530" s="40"/>
      <c r="DIC530" s="25"/>
      <c r="DID530" s="34"/>
      <c r="DIE530" s="6"/>
      <c r="DIF530" s="6"/>
      <c r="DIG530" s="27"/>
      <c r="DIH530" s="40"/>
      <c r="DII530" s="25"/>
      <c r="DIJ530" s="34"/>
      <c r="DIK530" s="6"/>
      <c r="DIL530" s="6"/>
      <c r="DIM530" s="27"/>
      <c r="DIN530" s="40"/>
      <c r="DIO530" s="25"/>
      <c r="DIP530" s="34"/>
      <c r="DIQ530" s="6"/>
      <c r="DIR530" s="6"/>
      <c r="DIS530" s="27"/>
      <c r="DIT530" s="40"/>
      <c r="DIU530" s="25"/>
      <c r="DIV530" s="34"/>
      <c r="DIW530" s="6"/>
      <c r="DIX530" s="6"/>
      <c r="DIY530" s="27"/>
      <c r="DIZ530" s="40"/>
      <c r="DJA530" s="25"/>
      <c r="DJB530" s="34"/>
      <c r="DJC530" s="6"/>
      <c r="DJD530" s="6"/>
      <c r="DJE530" s="27"/>
      <c r="DJF530" s="40"/>
      <c r="DJG530" s="25"/>
      <c r="DJH530" s="34"/>
      <c r="DJI530" s="6"/>
      <c r="DJJ530" s="6"/>
      <c r="DJK530" s="27"/>
      <c r="DJL530" s="40"/>
      <c r="DJM530" s="25"/>
      <c r="DJN530" s="34"/>
      <c r="DJO530" s="6"/>
      <c r="DJP530" s="6"/>
      <c r="DJQ530" s="27"/>
      <c r="DJR530" s="40"/>
      <c r="DJS530" s="25"/>
      <c r="DJT530" s="34"/>
      <c r="DJU530" s="6"/>
      <c r="DJV530" s="6"/>
      <c r="DJW530" s="27"/>
      <c r="DJX530" s="40"/>
      <c r="DJY530" s="25"/>
      <c r="DJZ530" s="34"/>
      <c r="DKA530" s="6"/>
      <c r="DKB530" s="6"/>
      <c r="DKC530" s="27"/>
      <c r="DKD530" s="40"/>
      <c r="DKE530" s="25"/>
      <c r="DKF530" s="34"/>
      <c r="DKG530" s="6"/>
      <c r="DKH530" s="6"/>
      <c r="DKI530" s="27"/>
      <c r="DKJ530" s="40"/>
      <c r="DKK530" s="25"/>
      <c r="DKL530" s="34"/>
      <c r="DKM530" s="6"/>
      <c r="DKN530" s="6"/>
      <c r="DKO530" s="27"/>
      <c r="DKP530" s="40"/>
      <c r="DKQ530" s="25"/>
      <c r="DKR530" s="34"/>
      <c r="DKS530" s="6"/>
      <c r="DKT530" s="6"/>
      <c r="DKU530" s="27"/>
      <c r="DKV530" s="40"/>
      <c r="DKW530" s="25"/>
      <c r="DKX530" s="34"/>
      <c r="DKY530" s="6"/>
      <c r="DKZ530" s="6"/>
      <c r="DLA530" s="27"/>
      <c r="DLB530" s="40"/>
      <c r="DLC530" s="25"/>
      <c r="DLD530" s="34"/>
      <c r="DLE530" s="6"/>
      <c r="DLF530" s="6"/>
      <c r="DLG530" s="27"/>
      <c r="DLH530" s="40"/>
      <c r="DLI530" s="25"/>
      <c r="DLJ530" s="34"/>
      <c r="DLK530" s="6"/>
      <c r="DLL530" s="6"/>
      <c r="DLM530" s="27"/>
      <c r="DLN530" s="40"/>
      <c r="DLO530" s="25"/>
      <c r="DLP530" s="34"/>
      <c r="DLQ530" s="6"/>
      <c r="DLR530" s="6"/>
      <c r="DLS530" s="27"/>
      <c r="DLT530" s="40"/>
      <c r="DLU530" s="25"/>
      <c r="DLV530" s="34"/>
      <c r="DLW530" s="6"/>
      <c r="DLX530" s="6"/>
      <c r="DLY530" s="27"/>
      <c r="DLZ530" s="40"/>
      <c r="DMA530" s="25"/>
      <c r="DMB530" s="34"/>
      <c r="DMC530" s="6"/>
      <c r="DMD530" s="6"/>
      <c r="DME530" s="27"/>
      <c r="DMF530" s="40"/>
      <c r="DMG530" s="25"/>
      <c r="DMH530" s="34"/>
      <c r="DMI530" s="6"/>
      <c r="DMJ530" s="6"/>
      <c r="DMK530" s="27"/>
      <c r="DML530" s="40"/>
      <c r="DMM530" s="25"/>
      <c r="DMN530" s="34"/>
      <c r="DMO530" s="6"/>
      <c r="DMP530" s="6"/>
      <c r="DMQ530" s="27"/>
      <c r="DMR530" s="40"/>
      <c r="DMS530" s="25"/>
      <c r="DMT530" s="34"/>
      <c r="DMU530" s="6"/>
      <c r="DMV530" s="6"/>
      <c r="DMW530" s="27"/>
      <c r="DMX530" s="40"/>
      <c r="DMY530" s="25"/>
      <c r="DMZ530" s="34"/>
      <c r="DNA530" s="6"/>
      <c r="DNB530" s="6"/>
      <c r="DNC530" s="27"/>
      <c r="DND530" s="40"/>
      <c r="DNE530" s="25"/>
      <c r="DNF530" s="34"/>
      <c r="DNG530" s="6"/>
      <c r="DNH530" s="6"/>
      <c r="DNI530" s="27"/>
      <c r="DNJ530" s="40"/>
      <c r="DNK530" s="25"/>
      <c r="DNL530" s="34"/>
      <c r="DNM530" s="6"/>
      <c r="DNN530" s="6"/>
      <c r="DNO530" s="27"/>
      <c r="DNP530" s="40"/>
      <c r="DNQ530" s="25"/>
      <c r="DNR530" s="34"/>
      <c r="DNS530" s="6"/>
      <c r="DNT530" s="6"/>
      <c r="DNU530" s="27"/>
      <c r="DNV530" s="40"/>
      <c r="DNW530" s="25"/>
      <c r="DNX530" s="34"/>
      <c r="DNY530" s="6"/>
      <c r="DNZ530" s="6"/>
      <c r="DOA530" s="27"/>
      <c r="DOB530" s="40"/>
      <c r="DOC530" s="25"/>
      <c r="DOD530" s="34"/>
      <c r="DOE530" s="6"/>
      <c r="DOF530" s="6"/>
      <c r="DOG530" s="27"/>
      <c r="DOH530" s="40"/>
      <c r="DOI530" s="25"/>
      <c r="DOJ530" s="34"/>
      <c r="DOK530" s="6"/>
      <c r="DOL530" s="6"/>
      <c r="DOM530" s="27"/>
      <c r="DON530" s="40"/>
      <c r="DOO530" s="25"/>
      <c r="DOP530" s="34"/>
      <c r="DOQ530" s="6"/>
      <c r="DOR530" s="6"/>
      <c r="DOS530" s="27"/>
      <c r="DOT530" s="40"/>
      <c r="DOU530" s="25"/>
      <c r="DOV530" s="34"/>
      <c r="DOW530" s="6"/>
      <c r="DOX530" s="6"/>
      <c r="DOY530" s="27"/>
      <c r="DOZ530" s="40"/>
      <c r="DPA530" s="25"/>
      <c r="DPB530" s="34"/>
      <c r="DPC530" s="6"/>
      <c r="DPD530" s="6"/>
      <c r="DPE530" s="27"/>
      <c r="DPF530" s="40"/>
      <c r="DPG530" s="25"/>
      <c r="DPH530" s="34"/>
      <c r="DPI530" s="6"/>
      <c r="DPJ530" s="6"/>
      <c r="DPK530" s="27"/>
      <c r="DPL530" s="40"/>
      <c r="DPM530" s="25"/>
      <c r="DPN530" s="34"/>
      <c r="DPO530" s="6"/>
      <c r="DPP530" s="6"/>
      <c r="DPQ530" s="27"/>
      <c r="DPR530" s="40"/>
      <c r="DPS530" s="25"/>
      <c r="DPT530" s="34"/>
      <c r="DPU530" s="6"/>
      <c r="DPV530" s="6"/>
      <c r="DPW530" s="27"/>
      <c r="DPX530" s="40"/>
      <c r="DPY530" s="25"/>
      <c r="DPZ530" s="34"/>
      <c r="DQA530" s="6"/>
      <c r="DQB530" s="6"/>
      <c r="DQC530" s="27"/>
      <c r="DQD530" s="40"/>
      <c r="DQE530" s="25"/>
      <c r="DQF530" s="34"/>
      <c r="DQG530" s="6"/>
      <c r="DQH530" s="6"/>
      <c r="DQI530" s="27"/>
      <c r="DQJ530" s="40"/>
      <c r="DQK530" s="25"/>
      <c r="DQL530" s="34"/>
      <c r="DQM530" s="6"/>
      <c r="DQN530" s="6"/>
      <c r="DQO530" s="27"/>
      <c r="DQP530" s="40"/>
      <c r="DQQ530" s="25"/>
      <c r="DQR530" s="34"/>
      <c r="DQS530" s="6"/>
      <c r="DQT530" s="6"/>
      <c r="DQU530" s="27"/>
      <c r="DQV530" s="40"/>
      <c r="DQW530" s="25"/>
      <c r="DQX530" s="34"/>
      <c r="DQY530" s="6"/>
      <c r="DQZ530" s="6"/>
      <c r="DRA530" s="27"/>
      <c r="DRB530" s="40"/>
      <c r="DRC530" s="25"/>
      <c r="DRD530" s="34"/>
      <c r="DRE530" s="6"/>
      <c r="DRF530" s="6"/>
      <c r="DRG530" s="27"/>
      <c r="DRH530" s="40"/>
      <c r="DRI530" s="25"/>
      <c r="DRJ530" s="34"/>
      <c r="DRK530" s="6"/>
      <c r="DRL530" s="6"/>
      <c r="DRM530" s="27"/>
      <c r="DRN530" s="40"/>
      <c r="DRO530" s="25"/>
      <c r="DRP530" s="34"/>
      <c r="DRQ530" s="6"/>
      <c r="DRR530" s="6"/>
      <c r="DRS530" s="27"/>
      <c r="DRT530" s="40"/>
      <c r="DRU530" s="25"/>
      <c r="DRV530" s="34"/>
      <c r="DRW530" s="6"/>
      <c r="DRX530" s="6"/>
      <c r="DRY530" s="27"/>
      <c r="DRZ530" s="40"/>
      <c r="DSA530" s="25"/>
      <c r="DSB530" s="34"/>
      <c r="DSC530" s="6"/>
      <c r="DSD530" s="6"/>
      <c r="DSE530" s="27"/>
      <c r="DSF530" s="40"/>
      <c r="DSG530" s="25"/>
      <c r="DSH530" s="34"/>
      <c r="DSI530" s="6"/>
      <c r="DSJ530" s="6"/>
      <c r="DSK530" s="27"/>
      <c r="DSL530" s="40"/>
      <c r="DSM530" s="25"/>
      <c r="DSN530" s="34"/>
      <c r="DSO530" s="6"/>
      <c r="DSP530" s="6"/>
      <c r="DSQ530" s="27"/>
      <c r="DSR530" s="40"/>
      <c r="DSS530" s="25"/>
      <c r="DST530" s="34"/>
      <c r="DSU530" s="6"/>
      <c r="DSV530" s="6"/>
      <c r="DSW530" s="27"/>
      <c r="DSX530" s="40"/>
      <c r="DSY530" s="25"/>
      <c r="DSZ530" s="34"/>
      <c r="DTA530" s="6"/>
      <c r="DTB530" s="6"/>
      <c r="DTC530" s="27"/>
      <c r="DTD530" s="40"/>
      <c r="DTE530" s="25"/>
      <c r="DTF530" s="34"/>
      <c r="DTG530" s="6"/>
      <c r="DTH530" s="6"/>
      <c r="DTI530" s="27"/>
      <c r="DTJ530" s="40"/>
      <c r="DTK530" s="25"/>
      <c r="DTL530" s="34"/>
      <c r="DTM530" s="6"/>
      <c r="DTN530" s="6"/>
      <c r="DTO530" s="27"/>
      <c r="DTP530" s="40"/>
      <c r="DTQ530" s="25"/>
      <c r="DTR530" s="34"/>
      <c r="DTS530" s="6"/>
      <c r="DTT530" s="6"/>
      <c r="DTU530" s="27"/>
      <c r="DTV530" s="40"/>
      <c r="DTW530" s="25"/>
      <c r="DTX530" s="34"/>
      <c r="DTY530" s="6"/>
      <c r="DTZ530" s="6"/>
      <c r="DUA530" s="27"/>
      <c r="DUB530" s="40"/>
      <c r="DUC530" s="25"/>
      <c r="DUD530" s="34"/>
      <c r="DUE530" s="6"/>
      <c r="DUF530" s="6"/>
      <c r="DUG530" s="27"/>
      <c r="DUH530" s="40"/>
      <c r="DUI530" s="25"/>
      <c r="DUJ530" s="34"/>
      <c r="DUK530" s="6"/>
      <c r="DUL530" s="6"/>
      <c r="DUM530" s="27"/>
      <c r="DUN530" s="40"/>
      <c r="DUO530" s="25"/>
      <c r="DUP530" s="34"/>
      <c r="DUQ530" s="6"/>
      <c r="DUR530" s="6"/>
      <c r="DUS530" s="27"/>
      <c r="DUT530" s="40"/>
      <c r="DUU530" s="25"/>
      <c r="DUV530" s="34"/>
      <c r="DUW530" s="6"/>
      <c r="DUX530" s="6"/>
      <c r="DUY530" s="27"/>
      <c r="DUZ530" s="40"/>
      <c r="DVA530" s="25"/>
      <c r="DVB530" s="34"/>
      <c r="DVC530" s="6"/>
      <c r="DVD530" s="6"/>
      <c r="DVE530" s="27"/>
      <c r="DVF530" s="40"/>
      <c r="DVG530" s="25"/>
      <c r="DVH530" s="34"/>
      <c r="DVI530" s="6"/>
      <c r="DVJ530" s="6"/>
      <c r="DVK530" s="27"/>
      <c r="DVL530" s="40"/>
      <c r="DVM530" s="25"/>
      <c r="DVN530" s="34"/>
      <c r="DVO530" s="6"/>
      <c r="DVP530" s="6"/>
      <c r="DVQ530" s="27"/>
      <c r="DVR530" s="40"/>
      <c r="DVS530" s="25"/>
      <c r="DVT530" s="34"/>
      <c r="DVU530" s="6"/>
      <c r="DVV530" s="6"/>
      <c r="DVW530" s="27"/>
      <c r="DVX530" s="40"/>
      <c r="DVY530" s="25"/>
      <c r="DVZ530" s="34"/>
      <c r="DWA530" s="6"/>
      <c r="DWB530" s="6"/>
      <c r="DWC530" s="27"/>
      <c r="DWD530" s="40"/>
      <c r="DWE530" s="25"/>
      <c r="DWF530" s="34"/>
      <c r="DWG530" s="6"/>
      <c r="DWH530" s="6"/>
      <c r="DWI530" s="27"/>
      <c r="DWJ530" s="40"/>
      <c r="DWK530" s="25"/>
      <c r="DWL530" s="34"/>
      <c r="DWM530" s="6"/>
      <c r="DWN530" s="6"/>
      <c r="DWO530" s="27"/>
      <c r="DWP530" s="40"/>
      <c r="DWQ530" s="25"/>
      <c r="DWR530" s="34"/>
      <c r="DWS530" s="6"/>
      <c r="DWT530" s="6"/>
      <c r="DWU530" s="27"/>
      <c r="DWV530" s="40"/>
      <c r="DWW530" s="25"/>
      <c r="DWX530" s="34"/>
      <c r="DWY530" s="6"/>
      <c r="DWZ530" s="6"/>
      <c r="DXA530" s="27"/>
      <c r="DXB530" s="40"/>
      <c r="DXC530" s="25"/>
      <c r="DXD530" s="34"/>
      <c r="DXE530" s="6"/>
      <c r="DXF530" s="6"/>
      <c r="DXG530" s="27"/>
      <c r="DXH530" s="40"/>
      <c r="DXI530" s="25"/>
      <c r="DXJ530" s="34"/>
      <c r="DXK530" s="6"/>
      <c r="DXL530" s="6"/>
      <c r="DXM530" s="27"/>
      <c r="DXN530" s="40"/>
      <c r="DXO530" s="25"/>
      <c r="DXP530" s="34"/>
      <c r="DXQ530" s="6"/>
      <c r="DXR530" s="6"/>
      <c r="DXS530" s="27"/>
      <c r="DXT530" s="40"/>
      <c r="DXU530" s="25"/>
      <c r="DXV530" s="34"/>
      <c r="DXW530" s="6"/>
      <c r="DXX530" s="6"/>
      <c r="DXY530" s="27"/>
      <c r="DXZ530" s="40"/>
      <c r="DYA530" s="25"/>
      <c r="DYB530" s="34"/>
      <c r="DYC530" s="6"/>
      <c r="DYD530" s="6"/>
      <c r="DYE530" s="27"/>
      <c r="DYF530" s="40"/>
      <c r="DYG530" s="25"/>
      <c r="DYH530" s="34"/>
      <c r="DYI530" s="6"/>
      <c r="DYJ530" s="6"/>
      <c r="DYK530" s="27"/>
      <c r="DYL530" s="40"/>
      <c r="DYM530" s="25"/>
      <c r="DYN530" s="34"/>
      <c r="DYO530" s="6"/>
      <c r="DYP530" s="6"/>
      <c r="DYQ530" s="27"/>
      <c r="DYR530" s="40"/>
      <c r="DYS530" s="25"/>
      <c r="DYT530" s="34"/>
      <c r="DYU530" s="6"/>
      <c r="DYV530" s="6"/>
      <c r="DYW530" s="27"/>
      <c r="DYX530" s="40"/>
      <c r="DYY530" s="25"/>
      <c r="DYZ530" s="34"/>
      <c r="DZA530" s="6"/>
      <c r="DZB530" s="6"/>
      <c r="DZC530" s="27"/>
      <c r="DZD530" s="40"/>
      <c r="DZE530" s="25"/>
      <c r="DZF530" s="34"/>
      <c r="DZG530" s="6"/>
      <c r="DZH530" s="6"/>
      <c r="DZI530" s="27"/>
      <c r="DZJ530" s="40"/>
      <c r="DZK530" s="25"/>
      <c r="DZL530" s="34"/>
      <c r="DZM530" s="6"/>
      <c r="DZN530" s="6"/>
      <c r="DZO530" s="27"/>
      <c r="DZP530" s="40"/>
      <c r="DZQ530" s="25"/>
      <c r="DZR530" s="34"/>
      <c r="DZS530" s="6"/>
      <c r="DZT530" s="6"/>
      <c r="DZU530" s="27"/>
      <c r="DZV530" s="40"/>
      <c r="DZW530" s="25"/>
      <c r="DZX530" s="34"/>
      <c r="DZY530" s="6"/>
      <c r="DZZ530" s="6"/>
      <c r="EAA530" s="27"/>
      <c r="EAB530" s="40"/>
      <c r="EAC530" s="25"/>
      <c r="EAD530" s="34"/>
      <c r="EAE530" s="6"/>
      <c r="EAF530" s="6"/>
      <c r="EAG530" s="27"/>
      <c r="EAH530" s="40"/>
      <c r="EAI530" s="25"/>
      <c r="EAJ530" s="34"/>
      <c r="EAK530" s="6"/>
      <c r="EAL530" s="6"/>
      <c r="EAM530" s="27"/>
      <c r="EAN530" s="40"/>
      <c r="EAO530" s="25"/>
      <c r="EAP530" s="34"/>
      <c r="EAQ530" s="6"/>
      <c r="EAR530" s="6"/>
      <c r="EAS530" s="27"/>
      <c r="EAT530" s="40"/>
      <c r="EAU530" s="25"/>
      <c r="EAV530" s="34"/>
      <c r="EAW530" s="6"/>
      <c r="EAX530" s="6"/>
      <c r="EAY530" s="27"/>
      <c r="EAZ530" s="40"/>
      <c r="EBA530" s="25"/>
      <c r="EBB530" s="34"/>
      <c r="EBC530" s="6"/>
      <c r="EBD530" s="6"/>
      <c r="EBE530" s="27"/>
      <c r="EBF530" s="40"/>
      <c r="EBG530" s="25"/>
      <c r="EBH530" s="34"/>
      <c r="EBI530" s="6"/>
      <c r="EBJ530" s="6"/>
      <c r="EBK530" s="27"/>
      <c r="EBL530" s="40"/>
      <c r="EBM530" s="25"/>
      <c r="EBN530" s="34"/>
      <c r="EBO530" s="6"/>
      <c r="EBP530" s="6"/>
      <c r="EBQ530" s="27"/>
      <c r="EBR530" s="40"/>
      <c r="EBS530" s="25"/>
      <c r="EBT530" s="34"/>
      <c r="EBU530" s="6"/>
      <c r="EBV530" s="6"/>
      <c r="EBW530" s="27"/>
      <c r="EBX530" s="40"/>
      <c r="EBY530" s="25"/>
      <c r="EBZ530" s="34"/>
      <c r="ECA530" s="6"/>
      <c r="ECB530" s="6"/>
      <c r="ECC530" s="27"/>
      <c r="ECD530" s="40"/>
      <c r="ECE530" s="25"/>
      <c r="ECF530" s="34"/>
      <c r="ECG530" s="6"/>
      <c r="ECH530" s="6"/>
      <c r="ECI530" s="27"/>
      <c r="ECJ530" s="40"/>
      <c r="ECK530" s="25"/>
      <c r="ECL530" s="34"/>
      <c r="ECM530" s="6"/>
      <c r="ECN530" s="6"/>
      <c r="ECO530" s="27"/>
      <c r="ECP530" s="40"/>
      <c r="ECQ530" s="25"/>
      <c r="ECR530" s="34"/>
      <c r="ECS530" s="6"/>
      <c r="ECT530" s="6"/>
      <c r="ECU530" s="27"/>
      <c r="ECV530" s="40"/>
      <c r="ECW530" s="25"/>
      <c r="ECX530" s="34"/>
      <c r="ECY530" s="6"/>
      <c r="ECZ530" s="6"/>
      <c r="EDA530" s="27"/>
      <c r="EDB530" s="40"/>
      <c r="EDC530" s="25"/>
      <c r="EDD530" s="34"/>
      <c r="EDE530" s="6"/>
      <c r="EDF530" s="6"/>
      <c r="EDG530" s="27"/>
      <c r="EDH530" s="40"/>
      <c r="EDI530" s="25"/>
      <c r="EDJ530" s="34"/>
      <c r="EDK530" s="6"/>
      <c r="EDL530" s="6"/>
      <c r="EDM530" s="27"/>
      <c r="EDN530" s="40"/>
      <c r="EDO530" s="25"/>
      <c r="EDP530" s="34"/>
      <c r="EDQ530" s="6"/>
      <c r="EDR530" s="6"/>
      <c r="EDS530" s="27"/>
      <c r="EDT530" s="40"/>
      <c r="EDU530" s="25"/>
      <c r="EDV530" s="34"/>
      <c r="EDW530" s="6"/>
      <c r="EDX530" s="6"/>
      <c r="EDY530" s="27"/>
      <c r="EDZ530" s="40"/>
      <c r="EEA530" s="25"/>
      <c r="EEB530" s="34"/>
      <c r="EEC530" s="6"/>
      <c r="EED530" s="6"/>
      <c r="EEE530" s="27"/>
      <c r="EEF530" s="40"/>
      <c r="EEG530" s="25"/>
      <c r="EEH530" s="34"/>
      <c r="EEI530" s="6"/>
      <c r="EEJ530" s="6"/>
      <c r="EEK530" s="27"/>
      <c r="EEL530" s="40"/>
      <c r="EEM530" s="25"/>
      <c r="EEN530" s="34"/>
      <c r="EEO530" s="6"/>
      <c r="EEP530" s="6"/>
      <c r="EEQ530" s="27"/>
      <c r="EER530" s="40"/>
      <c r="EES530" s="25"/>
      <c r="EET530" s="34"/>
      <c r="EEU530" s="6"/>
      <c r="EEV530" s="6"/>
      <c r="EEW530" s="27"/>
      <c r="EEX530" s="40"/>
      <c r="EEY530" s="25"/>
      <c r="EEZ530" s="34"/>
      <c r="EFA530" s="6"/>
      <c r="EFB530" s="6"/>
      <c r="EFC530" s="27"/>
      <c r="EFD530" s="40"/>
      <c r="EFE530" s="25"/>
      <c r="EFF530" s="34"/>
      <c r="EFG530" s="6"/>
      <c r="EFH530" s="6"/>
      <c r="EFI530" s="27"/>
      <c r="EFJ530" s="40"/>
      <c r="EFK530" s="25"/>
      <c r="EFL530" s="34"/>
      <c r="EFM530" s="6"/>
      <c r="EFN530" s="6"/>
      <c r="EFO530" s="27"/>
      <c r="EFP530" s="40"/>
      <c r="EFQ530" s="25"/>
      <c r="EFR530" s="34"/>
      <c r="EFS530" s="6"/>
      <c r="EFT530" s="6"/>
      <c r="EFU530" s="27"/>
      <c r="EFV530" s="40"/>
      <c r="EFW530" s="25"/>
      <c r="EFX530" s="34"/>
      <c r="EFY530" s="6"/>
      <c r="EFZ530" s="6"/>
      <c r="EGA530" s="27"/>
      <c r="EGB530" s="40"/>
      <c r="EGC530" s="25"/>
      <c r="EGD530" s="34"/>
      <c r="EGE530" s="6"/>
      <c r="EGF530" s="6"/>
      <c r="EGG530" s="27"/>
      <c r="EGH530" s="40"/>
      <c r="EGI530" s="25"/>
      <c r="EGJ530" s="34"/>
      <c r="EGK530" s="6"/>
      <c r="EGL530" s="6"/>
      <c r="EGM530" s="27"/>
      <c r="EGN530" s="40"/>
      <c r="EGO530" s="25"/>
      <c r="EGP530" s="34"/>
      <c r="EGQ530" s="6"/>
      <c r="EGR530" s="6"/>
      <c r="EGS530" s="27"/>
      <c r="EGT530" s="40"/>
      <c r="EGU530" s="25"/>
      <c r="EGV530" s="34"/>
      <c r="EGW530" s="6"/>
      <c r="EGX530" s="6"/>
      <c r="EGY530" s="27"/>
      <c r="EGZ530" s="40"/>
      <c r="EHA530" s="25"/>
      <c r="EHB530" s="34"/>
      <c r="EHC530" s="6"/>
      <c r="EHD530" s="6"/>
      <c r="EHE530" s="27"/>
      <c r="EHF530" s="40"/>
      <c r="EHG530" s="25"/>
      <c r="EHH530" s="34"/>
      <c r="EHI530" s="6"/>
      <c r="EHJ530" s="6"/>
      <c r="EHK530" s="27"/>
      <c r="EHL530" s="40"/>
      <c r="EHM530" s="25"/>
      <c r="EHN530" s="34"/>
      <c r="EHO530" s="6"/>
      <c r="EHP530" s="6"/>
      <c r="EHQ530" s="27"/>
      <c r="EHR530" s="40"/>
      <c r="EHS530" s="25"/>
      <c r="EHT530" s="34"/>
      <c r="EHU530" s="6"/>
      <c r="EHV530" s="6"/>
      <c r="EHW530" s="27"/>
      <c r="EHX530" s="40"/>
      <c r="EHY530" s="25"/>
      <c r="EHZ530" s="34"/>
      <c r="EIA530" s="6"/>
      <c r="EIB530" s="6"/>
      <c r="EIC530" s="27"/>
      <c r="EID530" s="40"/>
      <c r="EIE530" s="25"/>
      <c r="EIF530" s="34"/>
      <c r="EIG530" s="6"/>
      <c r="EIH530" s="6"/>
      <c r="EII530" s="27"/>
      <c r="EIJ530" s="40"/>
      <c r="EIK530" s="25"/>
      <c r="EIL530" s="34"/>
      <c r="EIM530" s="6"/>
      <c r="EIN530" s="6"/>
      <c r="EIO530" s="27"/>
      <c r="EIP530" s="40"/>
      <c r="EIQ530" s="25"/>
      <c r="EIR530" s="34"/>
      <c r="EIS530" s="6"/>
      <c r="EIT530" s="6"/>
      <c r="EIU530" s="27"/>
      <c r="EIV530" s="40"/>
      <c r="EIW530" s="25"/>
      <c r="EIX530" s="34"/>
      <c r="EIY530" s="6"/>
      <c r="EIZ530" s="6"/>
      <c r="EJA530" s="27"/>
      <c r="EJB530" s="40"/>
      <c r="EJC530" s="25"/>
      <c r="EJD530" s="34"/>
      <c r="EJE530" s="6"/>
      <c r="EJF530" s="6"/>
      <c r="EJG530" s="27"/>
      <c r="EJH530" s="40"/>
      <c r="EJI530" s="25"/>
      <c r="EJJ530" s="34"/>
      <c r="EJK530" s="6"/>
      <c r="EJL530" s="6"/>
      <c r="EJM530" s="27"/>
      <c r="EJN530" s="40"/>
      <c r="EJO530" s="25"/>
      <c r="EJP530" s="34"/>
      <c r="EJQ530" s="6"/>
      <c r="EJR530" s="6"/>
      <c r="EJS530" s="27"/>
      <c r="EJT530" s="40"/>
      <c r="EJU530" s="25"/>
      <c r="EJV530" s="34"/>
      <c r="EJW530" s="6"/>
      <c r="EJX530" s="6"/>
      <c r="EJY530" s="27"/>
      <c r="EJZ530" s="40"/>
      <c r="EKA530" s="25"/>
      <c r="EKB530" s="34"/>
      <c r="EKC530" s="6"/>
      <c r="EKD530" s="6"/>
      <c r="EKE530" s="27"/>
      <c r="EKF530" s="40"/>
      <c r="EKG530" s="25"/>
      <c r="EKH530" s="34"/>
      <c r="EKI530" s="6"/>
      <c r="EKJ530" s="6"/>
      <c r="EKK530" s="27"/>
      <c r="EKL530" s="40"/>
      <c r="EKM530" s="25"/>
      <c r="EKN530" s="34"/>
      <c r="EKO530" s="6"/>
      <c r="EKP530" s="6"/>
      <c r="EKQ530" s="27"/>
      <c r="EKR530" s="40"/>
      <c r="EKS530" s="25"/>
      <c r="EKT530" s="34"/>
      <c r="EKU530" s="6"/>
      <c r="EKV530" s="6"/>
      <c r="EKW530" s="27"/>
      <c r="EKX530" s="40"/>
      <c r="EKY530" s="25"/>
      <c r="EKZ530" s="34"/>
      <c r="ELA530" s="6"/>
      <c r="ELB530" s="6"/>
      <c r="ELC530" s="27"/>
      <c r="ELD530" s="40"/>
      <c r="ELE530" s="25"/>
      <c r="ELF530" s="34"/>
      <c r="ELG530" s="6"/>
      <c r="ELH530" s="6"/>
      <c r="ELI530" s="27"/>
      <c r="ELJ530" s="40"/>
      <c r="ELK530" s="25"/>
      <c r="ELL530" s="34"/>
      <c r="ELM530" s="6"/>
      <c r="ELN530" s="6"/>
      <c r="ELO530" s="27"/>
      <c r="ELP530" s="40"/>
      <c r="ELQ530" s="25"/>
      <c r="ELR530" s="34"/>
      <c r="ELS530" s="6"/>
      <c r="ELT530" s="6"/>
      <c r="ELU530" s="27"/>
      <c r="ELV530" s="40"/>
      <c r="ELW530" s="25"/>
      <c r="ELX530" s="34"/>
      <c r="ELY530" s="6"/>
      <c r="ELZ530" s="6"/>
      <c r="EMA530" s="27"/>
      <c r="EMB530" s="40"/>
      <c r="EMC530" s="25"/>
      <c r="EMD530" s="34"/>
      <c r="EME530" s="6"/>
      <c r="EMF530" s="6"/>
      <c r="EMG530" s="27"/>
      <c r="EMH530" s="40"/>
      <c r="EMI530" s="25"/>
      <c r="EMJ530" s="34"/>
      <c r="EMK530" s="6"/>
      <c r="EML530" s="6"/>
      <c r="EMM530" s="27"/>
      <c r="EMN530" s="40"/>
      <c r="EMO530" s="25"/>
      <c r="EMP530" s="34"/>
      <c r="EMQ530" s="6"/>
      <c r="EMR530" s="6"/>
      <c r="EMS530" s="27"/>
      <c r="EMT530" s="40"/>
      <c r="EMU530" s="25"/>
      <c r="EMV530" s="34"/>
      <c r="EMW530" s="6"/>
      <c r="EMX530" s="6"/>
      <c r="EMY530" s="27"/>
      <c r="EMZ530" s="40"/>
      <c r="ENA530" s="25"/>
      <c r="ENB530" s="34"/>
      <c r="ENC530" s="6"/>
      <c r="END530" s="6"/>
      <c r="ENE530" s="27"/>
      <c r="ENF530" s="40"/>
      <c r="ENG530" s="25"/>
      <c r="ENH530" s="34"/>
      <c r="ENI530" s="6"/>
      <c r="ENJ530" s="6"/>
      <c r="ENK530" s="27"/>
      <c r="ENL530" s="40"/>
      <c r="ENM530" s="25"/>
      <c r="ENN530" s="34"/>
      <c r="ENO530" s="6"/>
      <c r="ENP530" s="6"/>
      <c r="ENQ530" s="27"/>
      <c r="ENR530" s="40"/>
      <c r="ENS530" s="25"/>
      <c r="ENT530" s="34"/>
      <c r="ENU530" s="6"/>
      <c r="ENV530" s="6"/>
      <c r="ENW530" s="27"/>
      <c r="ENX530" s="40"/>
      <c r="ENY530" s="25"/>
      <c r="ENZ530" s="34"/>
      <c r="EOA530" s="6"/>
      <c r="EOB530" s="6"/>
      <c r="EOC530" s="27"/>
      <c r="EOD530" s="40"/>
      <c r="EOE530" s="25"/>
      <c r="EOF530" s="34"/>
      <c r="EOG530" s="6"/>
      <c r="EOH530" s="6"/>
      <c r="EOI530" s="27"/>
      <c r="EOJ530" s="40"/>
      <c r="EOK530" s="25"/>
      <c r="EOL530" s="34"/>
      <c r="EOM530" s="6"/>
      <c r="EON530" s="6"/>
      <c r="EOO530" s="27"/>
      <c r="EOP530" s="40"/>
      <c r="EOQ530" s="25"/>
      <c r="EOR530" s="34"/>
      <c r="EOS530" s="6"/>
      <c r="EOT530" s="6"/>
      <c r="EOU530" s="27"/>
      <c r="EOV530" s="40"/>
      <c r="EOW530" s="25"/>
      <c r="EOX530" s="34"/>
      <c r="EOY530" s="6"/>
      <c r="EOZ530" s="6"/>
      <c r="EPA530" s="27"/>
      <c r="EPB530" s="40"/>
      <c r="EPC530" s="25"/>
      <c r="EPD530" s="34"/>
      <c r="EPE530" s="6"/>
      <c r="EPF530" s="6"/>
      <c r="EPG530" s="27"/>
      <c r="EPH530" s="40"/>
      <c r="EPI530" s="25"/>
      <c r="EPJ530" s="34"/>
      <c r="EPK530" s="6"/>
      <c r="EPL530" s="6"/>
      <c r="EPM530" s="27"/>
      <c r="EPN530" s="40"/>
      <c r="EPO530" s="25"/>
      <c r="EPP530" s="34"/>
      <c r="EPQ530" s="6"/>
      <c r="EPR530" s="6"/>
      <c r="EPS530" s="27"/>
      <c r="EPT530" s="40"/>
      <c r="EPU530" s="25"/>
      <c r="EPV530" s="34"/>
      <c r="EPW530" s="6"/>
      <c r="EPX530" s="6"/>
      <c r="EPY530" s="27"/>
      <c r="EPZ530" s="40"/>
      <c r="EQA530" s="25"/>
      <c r="EQB530" s="34"/>
      <c r="EQC530" s="6"/>
      <c r="EQD530" s="6"/>
      <c r="EQE530" s="27"/>
      <c r="EQF530" s="40"/>
      <c r="EQG530" s="25"/>
      <c r="EQH530" s="34"/>
      <c r="EQI530" s="6"/>
      <c r="EQJ530" s="6"/>
      <c r="EQK530" s="27"/>
      <c r="EQL530" s="40"/>
      <c r="EQM530" s="25"/>
      <c r="EQN530" s="34"/>
      <c r="EQO530" s="6"/>
      <c r="EQP530" s="6"/>
      <c r="EQQ530" s="27"/>
      <c r="EQR530" s="40"/>
      <c r="EQS530" s="25"/>
      <c r="EQT530" s="34"/>
      <c r="EQU530" s="6"/>
      <c r="EQV530" s="6"/>
      <c r="EQW530" s="27"/>
      <c r="EQX530" s="40"/>
      <c r="EQY530" s="25"/>
      <c r="EQZ530" s="34"/>
      <c r="ERA530" s="6"/>
      <c r="ERB530" s="6"/>
      <c r="ERC530" s="27"/>
      <c r="ERD530" s="40"/>
      <c r="ERE530" s="25"/>
      <c r="ERF530" s="34"/>
      <c r="ERG530" s="6"/>
      <c r="ERH530" s="6"/>
      <c r="ERI530" s="27"/>
      <c r="ERJ530" s="40"/>
      <c r="ERK530" s="25"/>
      <c r="ERL530" s="34"/>
      <c r="ERM530" s="6"/>
      <c r="ERN530" s="6"/>
      <c r="ERO530" s="27"/>
      <c r="ERP530" s="40"/>
      <c r="ERQ530" s="25"/>
      <c r="ERR530" s="34"/>
      <c r="ERS530" s="6"/>
      <c r="ERT530" s="6"/>
      <c r="ERU530" s="27"/>
      <c r="ERV530" s="40"/>
      <c r="ERW530" s="25"/>
      <c r="ERX530" s="34"/>
      <c r="ERY530" s="6"/>
      <c r="ERZ530" s="6"/>
      <c r="ESA530" s="27"/>
      <c r="ESB530" s="40"/>
      <c r="ESC530" s="25"/>
      <c r="ESD530" s="34"/>
      <c r="ESE530" s="6"/>
      <c r="ESF530" s="6"/>
      <c r="ESG530" s="27"/>
      <c r="ESH530" s="40"/>
      <c r="ESI530" s="25"/>
      <c r="ESJ530" s="34"/>
      <c r="ESK530" s="6"/>
      <c r="ESL530" s="6"/>
      <c r="ESM530" s="27"/>
      <c r="ESN530" s="40"/>
      <c r="ESO530" s="25"/>
      <c r="ESP530" s="34"/>
      <c r="ESQ530" s="6"/>
      <c r="ESR530" s="6"/>
      <c r="ESS530" s="27"/>
      <c r="EST530" s="40"/>
      <c r="ESU530" s="25"/>
      <c r="ESV530" s="34"/>
      <c r="ESW530" s="6"/>
      <c r="ESX530" s="6"/>
      <c r="ESY530" s="27"/>
      <c r="ESZ530" s="40"/>
      <c r="ETA530" s="25"/>
      <c r="ETB530" s="34"/>
      <c r="ETC530" s="6"/>
      <c r="ETD530" s="6"/>
      <c r="ETE530" s="27"/>
      <c r="ETF530" s="40"/>
      <c r="ETG530" s="25"/>
      <c r="ETH530" s="34"/>
      <c r="ETI530" s="6"/>
      <c r="ETJ530" s="6"/>
      <c r="ETK530" s="27"/>
      <c r="ETL530" s="40"/>
      <c r="ETM530" s="25"/>
      <c r="ETN530" s="34"/>
      <c r="ETO530" s="6"/>
      <c r="ETP530" s="6"/>
      <c r="ETQ530" s="27"/>
      <c r="ETR530" s="40"/>
      <c r="ETS530" s="25"/>
      <c r="ETT530" s="34"/>
      <c r="ETU530" s="6"/>
      <c r="ETV530" s="6"/>
      <c r="ETW530" s="27"/>
      <c r="ETX530" s="40"/>
      <c r="ETY530" s="25"/>
      <c r="ETZ530" s="34"/>
      <c r="EUA530" s="6"/>
      <c r="EUB530" s="6"/>
      <c r="EUC530" s="27"/>
      <c r="EUD530" s="40"/>
      <c r="EUE530" s="25"/>
      <c r="EUF530" s="34"/>
      <c r="EUG530" s="6"/>
      <c r="EUH530" s="6"/>
      <c r="EUI530" s="27"/>
      <c r="EUJ530" s="40"/>
      <c r="EUK530" s="25"/>
      <c r="EUL530" s="34"/>
      <c r="EUM530" s="6"/>
      <c r="EUN530" s="6"/>
      <c r="EUO530" s="27"/>
      <c r="EUP530" s="40"/>
      <c r="EUQ530" s="25"/>
      <c r="EUR530" s="34"/>
      <c r="EUS530" s="6"/>
      <c r="EUT530" s="6"/>
      <c r="EUU530" s="27"/>
      <c r="EUV530" s="40"/>
      <c r="EUW530" s="25"/>
      <c r="EUX530" s="34"/>
      <c r="EUY530" s="6"/>
      <c r="EUZ530" s="6"/>
      <c r="EVA530" s="27"/>
      <c r="EVB530" s="40"/>
      <c r="EVC530" s="25"/>
      <c r="EVD530" s="34"/>
      <c r="EVE530" s="6"/>
      <c r="EVF530" s="6"/>
      <c r="EVG530" s="27"/>
      <c r="EVH530" s="40"/>
      <c r="EVI530" s="25"/>
      <c r="EVJ530" s="34"/>
      <c r="EVK530" s="6"/>
      <c r="EVL530" s="6"/>
      <c r="EVM530" s="27"/>
      <c r="EVN530" s="40"/>
      <c r="EVO530" s="25"/>
      <c r="EVP530" s="34"/>
      <c r="EVQ530" s="6"/>
      <c r="EVR530" s="6"/>
      <c r="EVS530" s="27"/>
      <c r="EVT530" s="40"/>
      <c r="EVU530" s="25"/>
      <c r="EVV530" s="34"/>
      <c r="EVW530" s="6"/>
      <c r="EVX530" s="6"/>
      <c r="EVY530" s="27"/>
      <c r="EVZ530" s="40"/>
      <c r="EWA530" s="25"/>
      <c r="EWB530" s="34"/>
      <c r="EWC530" s="6"/>
      <c r="EWD530" s="6"/>
      <c r="EWE530" s="27"/>
      <c r="EWF530" s="40"/>
      <c r="EWG530" s="25"/>
      <c r="EWH530" s="34"/>
      <c r="EWI530" s="6"/>
      <c r="EWJ530" s="6"/>
      <c r="EWK530" s="27"/>
      <c r="EWL530" s="40"/>
      <c r="EWM530" s="25"/>
      <c r="EWN530" s="34"/>
      <c r="EWO530" s="6"/>
      <c r="EWP530" s="6"/>
      <c r="EWQ530" s="27"/>
      <c r="EWR530" s="40"/>
      <c r="EWS530" s="25"/>
      <c r="EWT530" s="34"/>
      <c r="EWU530" s="6"/>
      <c r="EWV530" s="6"/>
      <c r="EWW530" s="27"/>
      <c r="EWX530" s="40"/>
      <c r="EWY530" s="25"/>
      <c r="EWZ530" s="34"/>
      <c r="EXA530" s="6"/>
      <c r="EXB530" s="6"/>
      <c r="EXC530" s="27"/>
      <c r="EXD530" s="40"/>
      <c r="EXE530" s="25"/>
      <c r="EXF530" s="34"/>
      <c r="EXG530" s="6"/>
      <c r="EXH530" s="6"/>
      <c r="EXI530" s="27"/>
      <c r="EXJ530" s="40"/>
      <c r="EXK530" s="25"/>
      <c r="EXL530" s="34"/>
      <c r="EXM530" s="6"/>
      <c r="EXN530" s="6"/>
      <c r="EXO530" s="27"/>
      <c r="EXP530" s="40"/>
      <c r="EXQ530" s="25"/>
      <c r="EXR530" s="34"/>
      <c r="EXS530" s="6"/>
      <c r="EXT530" s="6"/>
      <c r="EXU530" s="27"/>
      <c r="EXV530" s="40"/>
      <c r="EXW530" s="25"/>
      <c r="EXX530" s="34"/>
      <c r="EXY530" s="6"/>
      <c r="EXZ530" s="6"/>
      <c r="EYA530" s="27"/>
      <c r="EYB530" s="40"/>
      <c r="EYC530" s="25"/>
      <c r="EYD530" s="34"/>
      <c r="EYE530" s="6"/>
      <c r="EYF530" s="6"/>
      <c r="EYG530" s="27"/>
      <c r="EYH530" s="40"/>
      <c r="EYI530" s="25"/>
      <c r="EYJ530" s="34"/>
      <c r="EYK530" s="6"/>
      <c r="EYL530" s="6"/>
      <c r="EYM530" s="27"/>
      <c r="EYN530" s="40"/>
      <c r="EYO530" s="25"/>
      <c r="EYP530" s="34"/>
      <c r="EYQ530" s="6"/>
      <c r="EYR530" s="6"/>
      <c r="EYS530" s="27"/>
      <c r="EYT530" s="40"/>
      <c r="EYU530" s="25"/>
      <c r="EYV530" s="34"/>
      <c r="EYW530" s="6"/>
      <c r="EYX530" s="6"/>
      <c r="EYY530" s="27"/>
      <c r="EYZ530" s="40"/>
      <c r="EZA530" s="25"/>
      <c r="EZB530" s="34"/>
      <c r="EZC530" s="6"/>
      <c r="EZD530" s="6"/>
      <c r="EZE530" s="27"/>
      <c r="EZF530" s="40"/>
      <c r="EZG530" s="25"/>
      <c r="EZH530" s="34"/>
      <c r="EZI530" s="6"/>
      <c r="EZJ530" s="6"/>
      <c r="EZK530" s="27"/>
      <c r="EZL530" s="40"/>
      <c r="EZM530" s="25"/>
      <c r="EZN530" s="34"/>
      <c r="EZO530" s="6"/>
      <c r="EZP530" s="6"/>
      <c r="EZQ530" s="27"/>
      <c r="EZR530" s="40"/>
      <c r="EZS530" s="25"/>
      <c r="EZT530" s="34"/>
      <c r="EZU530" s="6"/>
      <c r="EZV530" s="6"/>
      <c r="EZW530" s="27"/>
      <c r="EZX530" s="40"/>
      <c r="EZY530" s="25"/>
      <c r="EZZ530" s="34"/>
      <c r="FAA530" s="6"/>
      <c r="FAB530" s="6"/>
      <c r="FAC530" s="27"/>
      <c r="FAD530" s="40"/>
      <c r="FAE530" s="25"/>
      <c r="FAF530" s="34"/>
      <c r="FAG530" s="6"/>
      <c r="FAH530" s="6"/>
      <c r="FAI530" s="27"/>
      <c r="FAJ530" s="40"/>
      <c r="FAK530" s="25"/>
      <c r="FAL530" s="34"/>
      <c r="FAM530" s="6"/>
      <c r="FAN530" s="6"/>
      <c r="FAO530" s="27"/>
      <c r="FAP530" s="40"/>
      <c r="FAQ530" s="25"/>
      <c r="FAR530" s="34"/>
      <c r="FAS530" s="6"/>
      <c r="FAT530" s="6"/>
      <c r="FAU530" s="27"/>
      <c r="FAV530" s="40"/>
      <c r="FAW530" s="25"/>
      <c r="FAX530" s="34"/>
      <c r="FAY530" s="6"/>
      <c r="FAZ530" s="6"/>
      <c r="FBA530" s="27"/>
      <c r="FBB530" s="40"/>
      <c r="FBC530" s="25"/>
      <c r="FBD530" s="34"/>
      <c r="FBE530" s="6"/>
      <c r="FBF530" s="6"/>
      <c r="FBG530" s="27"/>
      <c r="FBH530" s="40"/>
      <c r="FBI530" s="25"/>
      <c r="FBJ530" s="34"/>
      <c r="FBK530" s="6"/>
      <c r="FBL530" s="6"/>
      <c r="FBM530" s="27"/>
      <c r="FBN530" s="40"/>
      <c r="FBO530" s="25"/>
      <c r="FBP530" s="34"/>
      <c r="FBQ530" s="6"/>
      <c r="FBR530" s="6"/>
      <c r="FBS530" s="27"/>
      <c r="FBT530" s="40"/>
      <c r="FBU530" s="25"/>
      <c r="FBV530" s="34"/>
      <c r="FBW530" s="6"/>
      <c r="FBX530" s="6"/>
      <c r="FBY530" s="27"/>
      <c r="FBZ530" s="40"/>
      <c r="FCA530" s="25"/>
      <c r="FCB530" s="34"/>
      <c r="FCC530" s="6"/>
      <c r="FCD530" s="6"/>
      <c r="FCE530" s="27"/>
      <c r="FCF530" s="40"/>
      <c r="FCG530" s="25"/>
      <c r="FCH530" s="34"/>
      <c r="FCI530" s="6"/>
      <c r="FCJ530" s="6"/>
      <c r="FCK530" s="27"/>
      <c r="FCL530" s="40"/>
      <c r="FCM530" s="25"/>
      <c r="FCN530" s="34"/>
      <c r="FCO530" s="6"/>
      <c r="FCP530" s="6"/>
      <c r="FCQ530" s="27"/>
      <c r="FCR530" s="40"/>
      <c r="FCS530" s="25"/>
      <c r="FCT530" s="34"/>
      <c r="FCU530" s="6"/>
      <c r="FCV530" s="6"/>
      <c r="FCW530" s="27"/>
      <c r="FCX530" s="40"/>
      <c r="FCY530" s="25"/>
      <c r="FCZ530" s="34"/>
      <c r="FDA530" s="6"/>
      <c r="FDB530" s="6"/>
      <c r="FDC530" s="27"/>
      <c r="FDD530" s="40"/>
      <c r="FDE530" s="25"/>
      <c r="FDF530" s="34"/>
      <c r="FDG530" s="6"/>
      <c r="FDH530" s="6"/>
      <c r="FDI530" s="27"/>
      <c r="FDJ530" s="40"/>
      <c r="FDK530" s="25"/>
      <c r="FDL530" s="34"/>
      <c r="FDM530" s="6"/>
      <c r="FDN530" s="6"/>
      <c r="FDO530" s="27"/>
      <c r="FDP530" s="40"/>
      <c r="FDQ530" s="25"/>
      <c r="FDR530" s="34"/>
      <c r="FDS530" s="6"/>
      <c r="FDT530" s="6"/>
      <c r="FDU530" s="27"/>
      <c r="FDV530" s="40"/>
      <c r="FDW530" s="25"/>
      <c r="FDX530" s="34"/>
      <c r="FDY530" s="6"/>
      <c r="FDZ530" s="6"/>
      <c r="FEA530" s="27"/>
      <c r="FEB530" s="40"/>
      <c r="FEC530" s="25"/>
      <c r="FED530" s="34"/>
      <c r="FEE530" s="6"/>
      <c r="FEF530" s="6"/>
      <c r="FEG530" s="27"/>
      <c r="FEH530" s="40"/>
      <c r="FEI530" s="25"/>
      <c r="FEJ530" s="34"/>
      <c r="FEK530" s="6"/>
      <c r="FEL530" s="6"/>
      <c r="FEM530" s="27"/>
      <c r="FEN530" s="40"/>
      <c r="FEO530" s="25"/>
      <c r="FEP530" s="34"/>
      <c r="FEQ530" s="6"/>
      <c r="FER530" s="6"/>
      <c r="FES530" s="27"/>
      <c r="FET530" s="40"/>
      <c r="FEU530" s="25"/>
      <c r="FEV530" s="34"/>
      <c r="FEW530" s="6"/>
      <c r="FEX530" s="6"/>
      <c r="FEY530" s="27"/>
      <c r="FEZ530" s="40"/>
      <c r="FFA530" s="25"/>
      <c r="FFB530" s="34"/>
      <c r="FFC530" s="6"/>
      <c r="FFD530" s="6"/>
      <c r="FFE530" s="27"/>
      <c r="FFF530" s="40"/>
      <c r="FFG530" s="25"/>
      <c r="FFH530" s="34"/>
      <c r="FFI530" s="6"/>
      <c r="FFJ530" s="6"/>
      <c r="FFK530" s="27"/>
      <c r="FFL530" s="40"/>
      <c r="FFM530" s="25"/>
      <c r="FFN530" s="34"/>
      <c r="FFO530" s="6"/>
      <c r="FFP530" s="6"/>
      <c r="FFQ530" s="27"/>
      <c r="FFR530" s="40"/>
      <c r="FFS530" s="25"/>
      <c r="FFT530" s="34"/>
      <c r="FFU530" s="6"/>
      <c r="FFV530" s="6"/>
      <c r="FFW530" s="27"/>
      <c r="FFX530" s="40"/>
      <c r="FFY530" s="25"/>
      <c r="FFZ530" s="34"/>
      <c r="FGA530" s="6"/>
      <c r="FGB530" s="6"/>
      <c r="FGC530" s="27"/>
      <c r="FGD530" s="40"/>
      <c r="FGE530" s="25"/>
      <c r="FGF530" s="34"/>
      <c r="FGG530" s="6"/>
      <c r="FGH530" s="6"/>
      <c r="FGI530" s="27"/>
      <c r="FGJ530" s="40"/>
      <c r="FGK530" s="25"/>
      <c r="FGL530" s="34"/>
      <c r="FGM530" s="6"/>
      <c r="FGN530" s="6"/>
      <c r="FGO530" s="27"/>
      <c r="FGP530" s="40"/>
      <c r="FGQ530" s="25"/>
      <c r="FGR530" s="34"/>
      <c r="FGS530" s="6"/>
      <c r="FGT530" s="6"/>
      <c r="FGU530" s="27"/>
      <c r="FGV530" s="40"/>
      <c r="FGW530" s="25"/>
      <c r="FGX530" s="34"/>
      <c r="FGY530" s="6"/>
      <c r="FGZ530" s="6"/>
      <c r="FHA530" s="27"/>
      <c r="FHB530" s="40"/>
      <c r="FHC530" s="25"/>
      <c r="FHD530" s="34"/>
      <c r="FHE530" s="6"/>
      <c r="FHF530" s="6"/>
      <c r="FHG530" s="27"/>
      <c r="FHH530" s="40"/>
      <c r="FHI530" s="25"/>
      <c r="FHJ530" s="34"/>
      <c r="FHK530" s="6"/>
      <c r="FHL530" s="6"/>
      <c r="FHM530" s="27"/>
      <c r="FHN530" s="40"/>
      <c r="FHO530" s="25"/>
      <c r="FHP530" s="34"/>
      <c r="FHQ530" s="6"/>
      <c r="FHR530" s="6"/>
      <c r="FHS530" s="27"/>
      <c r="FHT530" s="40"/>
      <c r="FHU530" s="25"/>
      <c r="FHV530" s="34"/>
      <c r="FHW530" s="6"/>
      <c r="FHX530" s="6"/>
      <c r="FHY530" s="27"/>
      <c r="FHZ530" s="40"/>
      <c r="FIA530" s="25"/>
      <c r="FIB530" s="34"/>
      <c r="FIC530" s="6"/>
      <c r="FID530" s="6"/>
      <c r="FIE530" s="27"/>
      <c r="FIF530" s="40"/>
      <c r="FIG530" s="25"/>
      <c r="FIH530" s="34"/>
      <c r="FII530" s="6"/>
      <c r="FIJ530" s="6"/>
      <c r="FIK530" s="27"/>
      <c r="FIL530" s="40"/>
      <c r="FIM530" s="25"/>
      <c r="FIN530" s="34"/>
      <c r="FIO530" s="6"/>
      <c r="FIP530" s="6"/>
      <c r="FIQ530" s="27"/>
      <c r="FIR530" s="40"/>
      <c r="FIS530" s="25"/>
      <c r="FIT530" s="34"/>
      <c r="FIU530" s="6"/>
      <c r="FIV530" s="6"/>
      <c r="FIW530" s="27"/>
      <c r="FIX530" s="40"/>
      <c r="FIY530" s="25"/>
      <c r="FIZ530" s="34"/>
      <c r="FJA530" s="6"/>
      <c r="FJB530" s="6"/>
      <c r="FJC530" s="27"/>
      <c r="FJD530" s="40"/>
      <c r="FJE530" s="25"/>
      <c r="FJF530" s="34"/>
      <c r="FJG530" s="6"/>
      <c r="FJH530" s="6"/>
      <c r="FJI530" s="27"/>
      <c r="FJJ530" s="40"/>
      <c r="FJK530" s="25"/>
      <c r="FJL530" s="34"/>
      <c r="FJM530" s="6"/>
      <c r="FJN530" s="6"/>
      <c r="FJO530" s="27"/>
      <c r="FJP530" s="40"/>
      <c r="FJQ530" s="25"/>
      <c r="FJR530" s="34"/>
      <c r="FJS530" s="6"/>
      <c r="FJT530" s="6"/>
      <c r="FJU530" s="27"/>
      <c r="FJV530" s="40"/>
      <c r="FJW530" s="25"/>
      <c r="FJX530" s="34"/>
      <c r="FJY530" s="6"/>
      <c r="FJZ530" s="6"/>
      <c r="FKA530" s="27"/>
      <c r="FKB530" s="40"/>
      <c r="FKC530" s="25"/>
      <c r="FKD530" s="34"/>
      <c r="FKE530" s="6"/>
      <c r="FKF530" s="6"/>
      <c r="FKG530" s="27"/>
      <c r="FKH530" s="40"/>
      <c r="FKI530" s="25"/>
      <c r="FKJ530" s="34"/>
      <c r="FKK530" s="6"/>
      <c r="FKL530" s="6"/>
      <c r="FKM530" s="27"/>
      <c r="FKN530" s="40"/>
      <c r="FKO530" s="25"/>
      <c r="FKP530" s="34"/>
      <c r="FKQ530" s="6"/>
      <c r="FKR530" s="6"/>
      <c r="FKS530" s="27"/>
      <c r="FKT530" s="40"/>
      <c r="FKU530" s="25"/>
      <c r="FKV530" s="34"/>
      <c r="FKW530" s="6"/>
      <c r="FKX530" s="6"/>
      <c r="FKY530" s="27"/>
      <c r="FKZ530" s="40"/>
      <c r="FLA530" s="25"/>
      <c r="FLB530" s="34"/>
      <c r="FLC530" s="6"/>
      <c r="FLD530" s="6"/>
      <c r="FLE530" s="27"/>
      <c r="FLF530" s="40"/>
      <c r="FLG530" s="25"/>
      <c r="FLH530" s="34"/>
      <c r="FLI530" s="6"/>
      <c r="FLJ530" s="6"/>
      <c r="FLK530" s="27"/>
      <c r="FLL530" s="40"/>
      <c r="FLM530" s="25"/>
      <c r="FLN530" s="34"/>
      <c r="FLO530" s="6"/>
      <c r="FLP530" s="6"/>
      <c r="FLQ530" s="27"/>
      <c r="FLR530" s="40"/>
      <c r="FLS530" s="25"/>
      <c r="FLT530" s="34"/>
      <c r="FLU530" s="6"/>
      <c r="FLV530" s="6"/>
      <c r="FLW530" s="27"/>
      <c r="FLX530" s="40"/>
      <c r="FLY530" s="25"/>
      <c r="FLZ530" s="34"/>
      <c r="FMA530" s="6"/>
      <c r="FMB530" s="6"/>
      <c r="FMC530" s="27"/>
      <c r="FMD530" s="40"/>
      <c r="FME530" s="25"/>
      <c r="FMF530" s="34"/>
      <c r="FMG530" s="6"/>
      <c r="FMH530" s="6"/>
      <c r="FMI530" s="27"/>
      <c r="FMJ530" s="40"/>
      <c r="FMK530" s="25"/>
      <c r="FML530" s="34"/>
      <c r="FMM530" s="6"/>
      <c r="FMN530" s="6"/>
      <c r="FMO530" s="27"/>
      <c r="FMP530" s="40"/>
      <c r="FMQ530" s="25"/>
      <c r="FMR530" s="34"/>
      <c r="FMS530" s="6"/>
      <c r="FMT530" s="6"/>
      <c r="FMU530" s="27"/>
      <c r="FMV530" s="40"/>
      <c r="FMW530" s="25"/>
      <c r="FMX530" s="34"/>
      <c r="FMY530" s="6"/>
      <c r="FMZ530" s="6"/>
      <c r="FNA530" s="27"/>
      <c r="FNB530" s="40"/>
      <c r="FNC530" s="25"/>
      <c r="FND530" s="34"/>
      <c r="FNE530" s="6"/>
      <c r="FNF530" s="6"/>
      <c r="FNG530" s="27"/>
      <c r="FNH530" s="40"/>
      <c r="FNI530" s="25"/>
      <c r="FNJ530" s="34"/>
      <c r="FNK530" s="6"/>
      <c r="FNL530" s="6"/>
      <c r="FNM530" s="27"/>
      <c r="FNN530" s="40"/>
      <c r="FNO530" s="25"/>
      <c r="FNP530" s="34"/>
      <c r="FNQ530" s="6"/>
      <c r="FNR530" s="6"/>
      <c r="FNS530" s="27"/>
      <c r="FNT530" s="40"/>
      <c r="FNU530" s="25"/>
      <c r="FNV530" s="34"/>
      <c r="FNW530" s="6"/>
      <c r="FNX530" s="6"/>
      <c r="FNY530" s="27"/>
      <c r="FNZ530" s="40"/>
      <c r="FOA530" s="25"/>
      <c r="FOB530" s="34"/>
      <c r="FOC530" s="6"/>
      <c r="FOD530" s="6"/>
      <c r="FOE530" s="27"/>
      <c r="FOF530" s="40"/>
      <c r="FOG530" s="25"/>
      <c r="FOH530" s="34"/>
      <c r="FOI530" s="6"/>
      <c r="FOJ530" s="6"/>
      <c r="FOK530" s="27"/>
      <c r="FOL530" s="40"/>
      <c r="FOM530" s="25"/>
      <c r="FON530" s="34"/>
      <c r="FOO530" s="6"/>
      <c r="FOP530" s="6"/>
      <c r="FOQ530" s="27"/>
      <c r="FOR530" s="40"/>
      <c r="FOS530" s="25"/>
      <c r="FOT530" s="34"/>
      <c r="FOU530" s="6"/>
      <c r="FOV530" s="6"/>
      <c r="FOW530" s="27"/>
      <c r="FOX530" s="40"/>
      <c r="FOY530" s="25"/>
      <c r="FOZ530" s="34"/>
      <c r="FPA530" s="6"/>
      <c r="FPB530" s="6"/>
      <c r="FPC530" s="27"/>
      <c r="FPD530" s="40"/>
      <c r="FPE530" s="25"/>
      <c r="FPF530" s="34"/>
      <c r="FPG530" s="6"/>
      <c r="FPH530" s="6"/>
      <c r="FPI530" s="27"/>
      <c r="FPJ530" s="40"/>
      <c r="FPK530" s="25"/>
      <c r="FPL530" s="34"/>
      <c r="FPM530" s="6"/>
      <c r="FPN530" s="6"/>
      <c r="FPO530" s="27"/>
      <c r="FPP530" s="40"/>
      <c r="FPQ530" s="25"/>
      <c r="FPR530" s="34"/>
      <c r="FPS530" s="6"/>
      <c r="FPT530" s="6"/>
      <c r="FPU530" s="27"/>
      <c r="FPV530" s="40"/>
      <c r="FPW530" s="25"/>
      <c r="FPX530" s="34"/>
      <c r="FPY530" s="6"/>
      <c r="FPZ530" s="6"/>
      <c r="FQA530" s="27"/>
      <c r="FQB530" s="40"/>
      <c r="FQC530" s="25"/>
      <c r="FQD530" s="34"/>
      <c r="FQE530" s="6"/>
      <c r="FQF530" s="6"/>
      <c r="FQG530" s="27"/>
      <c r="FQH530" s="40"/>
      <c r="FQI530" s="25"/>
      <c r="FQJ530" s="34"/>
      <c r="FQK530" s="6"/>
      <c r="FQL530" s="6"/>
      <c r="FQM530" s="27"/>
      <c r="FQN530" s="40"/>
      <c r="FQO530" s="25"/>
      <c r="FQP530" s="34"/>
      <c r="FQQ530" s="6"/>
      <c r="FQR530" s="6"/>
      <c r="FQS530" s="27"/>
      <c r="FQT530" s="40"/>
      <c r="FQU530" s="25"/>
      <c r="FQV530" s="34"/>
      <c r="FQW530" s="6"/>
      <c r="FQX530" s="6"/>
      <c r="FQY530" s="27"/>
      <c r="FQZ530" s="40"/>
      <c r="FRA530" s="25"/>
      <c r="FRB530" s="34"/>
      <c r="FRC530" s="6"/>
      <c r="FRD530" s="6"/>
      <c r="FRE530" s="27"/>
      <c r="FRF530" s="40"/>
      <c r="FRG530" s="25"/>
      <c r="FRH530" s="34"/>
      <c r="FRI530" s="6"/>
      <c r="FRJ530" s="6"/>
      <c r="FRK530" s="27"/>
      <c r="FRL530" s="40"/>
      <c r="FRM530" s="25"/>
      <c r="FRN530" s="34"/>
      <c r="FRO530" s="6"/>
      <c r="FRP530" s="6"/>
      <c r="FRQ530" s="27"/>
      <c r="FRR530" s="40"/>
      <c r="FRS530" s="25"/>
      <c r="FRT530" s="34"/>
      <c r="FRU530" s="6"/>
      <c r="FRV530" s="6"/>
      <c r="FRW530" s="27"/>
      <c r="FRX530" s="40"/>
      <c r="FRY530" s="25"/>
      <c r="FRZ530" s="34"/>
      <c r="FSA530" s="6"/>
      <c r="FSB530" s="6"/>
      <c r="FSC530" s="27"/>
      <c r="FSD530" s="40"/>
      <c r="FSE530" s="25"/>
      <c r="FSF530" s="34"/>
      <c r="FSG530" s="6"/>
      <c r="FSH530" s="6"/>
      <c r="FSI530" s="27"/>
      <c r="FSJ530" s="40"/>
      <c r="FSK530" s="25"/>
      <c r="FSL530" s="34"/>
      <c r="FSM530" s="6"/>
      <c r="FSN530" s="6"/>
      <c r="FSO530" s="27"/>
      <c r="FSP530" s="40"/>
      <c r="FSQ530" s="25"/>
      <c r="FSR530" s="34"/>
      <c r="FSS530" s="6"/>
      <c r="FST530" s="6"/>
      <c r="FSU530" s="27"/>
      <c r="FSV530" s="40"/>
      <c r="FSW530" s="25"/>
      <c r="FSX530" s="34"/>
      <c r="FSY530" s="6"/>
      <c r="FSZ530" s="6"/>
      <c r="FTA530" s="27"/>
      <c r="FTB530" s="40"/>
      <c r="FTC530" s="25"/>
      <c r="FTD530" s="34"/>
      <c r="FTE530" s="6"/>
      <c r="FTF530" s="6"/>
      <c r="FTG530" s="27"/>
      <c r="FTH530" s="40"/>
      <c r="FTI530" s="25"/>
      <c r="FTJ530" s="34"/>
      <c r="FTK530" s="6"/>
      <c r="FTL530" s="6"/>
      <c r="FTM530" s="27"/>
      <c r="FTN530" s="40"/>
      <c r="FTO530" s="25"/>
      <c r="FTP530" s="34"/>
      <c r="FTQ530" s="6"/>
      <c r="FTR530" s="6"/>
      <c r="FTS530" s="27"/>
      <c r="FTT530" s="40"/>
      <c r="FTU530" s="25"/>
      <c r="FTV530" s="34"/>
      <c r="FTW530" s="6"/>
      <c r="FTX530" s="6"/>
      <c r="FTY530" s="27"/>
      <c r="FTZ530" s="40"/>
      <c r="FUA530" s="25"/>
      <c r="FUB530" s="34"/>
      <c r="FUC530" s="6"/>
      <c r="FUD530" s="6"/>
      <c r="FUE530" s="27"/>
      <c r="FUF530" s="40"/>
      <c r="FUG530" s="25"/>
      <c r="FUH530" s="34"/>
      <c r="FUI530" s="6"/>
      <c r="FUJ530" s="6"/>
      <c r="FUK530" s="27"/>
      <c r="FUL530" s="40"/>
      <c r="FUM530" s="25"/>
      <c r="FUN530" s="34"/>
      <c r="FUO530" s="6"/>
      <c r="FUP530" s="6"/>
      <c r="FUQ530" s="27"/>
      <c r="FUR530" s="40"/>
      <c r="FUS530" s="25"/>
      <c r="FUT530" s="34"/>
      <c r="FUU530" s="6"/>
      <c r="FUV530" s="6"/>
      <c r="FUW530" s="27"/>
      <c r="FUX530" s="40"/>
      <c r="FUY530" s="25"/>
      <c r="FUZ530" s="34"/>
      <c r="FVA530" s="6"/>
      <c r="FVB530" s="6"/>
      <c r="FVC530" s="27"/>
      <c r="FVD530" s="40"/>
      <c r="FVE530" s="25"/>
      <c r="FVF530" s="34"/>
      <c r="FVG530" s="6"/>
      <c r="FVH530" s="6"/>
      <c r="FVI530" s="27"/>
      <c r="FVJ530" s="40"/>
      <c r="FVK530" s="25"/>
      <c r="FVL530" s="34"/>
      <c r="FVM530" s="6"/>
      <c r="FVN530" s="6"/>
      <c r="FVO530" s="27"/>
      <c r="FVP530" s="40"/>
      <c r="FVQ530" s="25"/>
      <c r="FVR530" s="34"/>
      <c r="FVS530" s="6"/>
      <c r="FVT530" s="6"/>
      <c r="FVU530" s="27"/>
      <c r="FVV530" s="40"/>
      <c r="FVW530" s="25"/>
      <c r="FVX530" s="34"/>
      <c r="FVY530" s="6"/>
      <c r="FVZ530" s="6"/>
      <c r="FWA530" s="27"/>
      <c r="FWB530" s="40"/>
      <c r="FWC530" s="25"/>
      <c r="FWD530" s="34"/>
      <c r="FWE530" s="6"/>
      <c r="FWF530" s="6"/>
      <c r="FWG530" s="27"/>
      <c r="FWH530" s="40"/>
      <c r="FWI530" s="25"/>
      <c r="FWJ530" s="34"/>
      <c r="FWK530" s="6"/>
      <c r="FWL530" s="6"/>
      <c r="FWM530" s="27"/>
      <c r="FWN530" s="40"/>
      <c r="FWO530" s="25"/>
      <c r="FWP530" s="34"/>
      <c r="FWQ530" s="6"/>
      <c r="FWR530" s="6"/>
      <c r="FWS530" s="27"/>
      <c r="FWT530" s="40"/>
      <c r="FWU530" s="25"/>
      <c r="FWV530" s="34"/>
      <c r="FWW530" s="6"/>
      <c r="FWX530" s="6"/>
      <c r="FWY530" s="27"/>
      <c r="FWZ530" s="40"/>
      <c r="FXA530" s="25"/>
      <c r="FXB530" s="34"/>
      <c r="FXC530" s="6"/>
      <c r="FXD530" s="6"/>
      <c r="FXE530" s="27"/>
      <c r="FXF530" s="40"/>
      <c r="FXG530" s="25"/>
      <c r="FXH530" s="34"/>
      <c r="FXI530" s="6"/>
      <c r="FXJ530" s="6"/>
      <c r="FXK530" s="27"/>
      <c r="FXL530" s="40"/>
      <c r="FXM530" s="25"/>
      <c r="FXN530" s="34"/>
      <c r="FXO530" s="6"/>
      <c r="FXP530" s="6"/>
      <c r="FXQ530" s="27"/>
      <c r="FXR530" s="40"/>
      <c r="FXS530" s="25"/>
      <c r="FXT530" s="34"/>
      <c r="FXU530" s="6"/>
      <c r="FXV530" s="6"/>
      <c r="FXW530" s="27"/>
      <c r="FXX530" s="40"/>
      <c r="FXY530" s="25"/>
      <c r="FXZ530" s="34"/>
      <c r="FYA530" s="6"/>
      <c r="FYB530" s="6"/>
      <c r="FYC530" s="27"/>
      <c r="FYD530" s="40"/>
      <c r="FYE530" s="25"/>
      <c r="FYF530" s="34"/>
      <c r="FYG530" s="6"/>
      <c r="FYH530" s="6"/>
      <c r="FYI530" s="27"/>
      <c r="FYJ530" s="40"/>
      <c r="FYK530" s="25"/>
      <c r="FYL530" s="34"/>
      <c r="FYM530" s="6"/>
      <c r="FYN530" s="6"/>
      <c r="FYO530" s="27"/>
      <c r="FYP530" s="40"/>
      <c r="FYQ530" s="25"/>
      <c r="FYR530" s="34"/>
      <c r="FYS530" s="6"/>
      <c r="FYT530" s="6"/>
      <c r="FYU530" s="27"/>
      <c r="FYV530" s="40"/>
      <c r="FYW530" s="25"/>
      <c r="FYX530" s="34"/>
      <c r="FYY530" s="6"/>
      <c r="FYZ530" s="6"/>
      <c r="FZA530" s="27"/>
      <c r="FZB530" s="40"/>
      <c r="FZC530" s="25"/>
      <c r="FZD530" s="34"/>
      <c r="FZE530" s="6"/>
      <c r="FZF530" s="6"/>
      <c r="FZG530" s="27"/>
      <c r="FZH530" s="40"/>
      <c r="FZI530" s="25"/>
      <c r="FZJ530" s="34"/>
      <c r="FZK530" s="6"/>
      <c r="FZL530" s="6"/>
      <c r="FZM530" s="27"/>
      <c r="FZN530" s="40"/>
      <c r="FZO530" s="25"/>
      <c r="FZP530" s="34"/>
      <c r="FZQ530" s="6"/>
      <c r="FZR530" s="6"/>
      <c r="FZS530" s="27"/>
      <c r="FZT530" s="40"/>
      <c r="FZU530" s="25"/>
      <c r="FZV530" s="34"/>
      <c r="FZW530" s="6"/>
      <c r="FZX530" s="6"/>
      <c r="FZY530" s="27"/>
      <c r="FZZ530" s="40"/>
      <c r="GAA530" s="25"/>
      <c r="GAB530" s="34"/>
      <c r="GAC530" s="6"/>
      <c r="GAD530" s="6"/>
      <c r="GAE530" s="27"/>
      <c r="GAF530" s="40"/>
      <c r="GAG530" s="25"/>
      <c r="GAH530" s="34"/>
      <c r="GAI530" s="6"/>
      <c r="GAJ530" s="6"/>
      <c r="GAK530" s="27"/>
      <c r="GAL530" s="40"/>
      <c r="GAM530" s="25"/>
      <c r="GAN530" s="34"/>
      <c r="GAO530" s="6"/>
      <c r="GAP530" s="6"/>
      <c r="GAQ530" s="27"/>
      <c r="GAR530" s="40"/>
      <c r="GAS530" s="25"/>
      <c r="GAT530" s="34"/>
      <c r="GAU530" s="6"/>
      <c r="GAV530" s="6"/>
      <c r="GAW530" s="27"/>
      <c r="GAX530" s="40"/>
      <c r="GAY530" s="25"/>
      <c r="GAZ530" s="34"/>
      <c r="GBA530" s="6"/>
      <c r="GBB530" s="6"/>
      <c r="GBC530" s="27"/>
      <c r="GBD530" s="40"/>
      <c r="GBE530" s="25"/>
      <c r="GBF530" s="34"/>
      <c r="GBG530" s="6"/>
      <c r="GBH530" s="6"/>
      <c r="GBI530" s="27"/>
      <c r="GBJ530" s="40"/>
      <c r="GBK530" s="25"/>
      <c r="GBL530" s="34"/>
      <c r="GBM530" s="6"/>
      <c r="GBN530" s="6"/>
      <c r="GBO530" s="27"/>
      <c r="GBP530" s="40"/>
      <c r="GBQ530" s="25"/>
      <c r="GBR530" s="34"/>
      <c r="GBS530" s="6"/>
      <c r="GBT530" s="6"/>
      <c r="GBU530" s="27"/>
      <c r="GBV530" s="40"/>
      <c r="GBW530" s="25"/>
      <c r="GBX530" s="34"/>
      <c r="GBY530" s="6"/>
      <c r="GBZ530" s="6"/>
      <c r="GCA530" s="27"/>
      <c r="GCB530" s="40"/>
      <c r="GCC530" s="25"/>
      <c r="GCD530" s="34"/>
      <c r="GCE530" s="6"/>
      <c r="GCF530" s="6"/>
      <c r="GCG530" s="27"/>
      <c r="GCH530" s="40"/>
      <c r="GCI530" s="25"/>
      <c r="GCJ530" s="34"/>
      <c r="GCK530" s="6"/>
      <c r="GCL530" s="6"/>
      <c r="GCM530" s="27"/>
      <c r="GCN530" s="40"/>
      <c r="GCO530" s="25"/>
      <c r="GCP530" s="34"/>
      <c r="GCQ530" s="6"/>
      <c r="GCR530" s="6"/>
      <c r="GCS530" s="27"/>
      <c r="GCT530" s="40"/>
      <c r="GCU530" s="25"/>
      <c r="GCV530" s="34"/>
      <c r="GCW530" s="6"/>
      <c r="GCX530" s="6"/>
      <c r="GCY530" s="27"/>
      <c r="GCZ530" s="40"/>
      <c r="GDA530" s="25"/>
      <c r="GDB530" s="34"/>
      <c r="GDC530" s="6"/>
      <c r="GDD530" s="6"/>
      <c r="GDE530" s="27"/>
      <c r="GDF530" s="40"/>
      <c r="GDG530" s="25"/>
      <c r="GDH530" s="34"/>
      <c r="GDI530" s="6"/>
      <c r="GDJ530" s="6"/>
      <c r="GDK530" s="27"/>
      <c r="GDL530" s="40"/>
      <c r="GDM530" s="25"/>
      <c r="GDN530" s="34"/>
      <c r="GDO530" s="6"/>
      <c r="GDP530" s="6"/>
      <c r="GDQ530" s="27"/>
      <c r="GDR530" s="40"/>
      <c r="GDS530" s="25"/>
      <c r="GDT530" s="34"/>
      <c r="GDU530" s="6"/>
      <c r="GDV530" s="6"/>
      <c r="GDW530" s="27"/>
      <c r="GDX530" s="40"/>
      <c r="GDY530" s="25"/>
      <c r="GDZ530" s="34"/>
      <c r="GEA530" s="6"/>
      <c r="GEB530" s="6"/>
      <c r="GEC530" s="27"/>
      <c r="GED530" s="40"/>
      <c r="GEE530" s="25"/>
      <c r="GEF530" s="34"/>
      <c r="GEG530" s="6"/>
      <c r="GEH530" s="6"/>
      <c r="GEI530" s="27"/>
      <c r="GEJ530" s="40"/>
      <c r="GEK530" s="25"/>
      <c r="GEL530" s="34"/>
      <c r="GEM530" s="6"/>
      <c r="GEN530" s="6"/>
      <c r="GEO530" s="27"/>
      <c r="GEP530" s="40"/>
      <c r="GEQ530" s="25"/>
      <c r="GER530" s="34"/>
      <c r="GES530" s="6"/>
      <c r="GET530" s="6"/>
      <c r="GEU530" s="27"/>
      <c r="GEV530" s="40"/>
      <c r="GEW530" s="25"/>
      <c r="GEX530" s="34"/>
      <c r="GEY530" s="6"/>
      <c r="GEZ530" s="6"/>
      <c r="GFA530" s="27"/>
      <c r="GFB530" s="40"/>
      <c r="GFC530" s="25"/>
      <c r="GFD530" s="34"/>
      <c r="GFE530" s="6"/>
      <c r="GFF530" s="6"/>
      <c r="GFG530" s="27"/>
      <c r="GFH530" s="40"/>
      <c r="GFI530" s="25"/>
      <c r="GFJ530" s="34"/>
      <c r="GFK530" s="6"/>
      <c r="GFL530" s="6"/>
      <c r="GFM530" s="27"/>
      <c r="GFN530" s="40"/>
      <c r="GFO530" s="25"/>
      <c r="GFP530" s="34"/>
      <c r="GFQ530" s="6"/>
      <c r="GFR530" s="6"/>
      <c r="GFS530" s="27"/>
      <c r="GFT530" s="40"/>
      <c r="GFU530" s="25"/>
      <c r="GFV530" s="34"/>
      <c r="GFW530" s="6"/>
      <c r="GFX530" s="6"/>
      <c r="GFY530" s="27"/>
      <c r="GFZ530" s="40"/>
      <c r="GGA530" s="25"/>
      <c r="GGB530" s="34"/>
      <c r="GGC530" s="6"/>
      <c r="GGD530" s="6"/>
      <c r="GGE530" s="27"/>
      <c r="GGF530" s="40"/>
      <c r="GGG530" s="25"/>
      <c r="GGH530" s="34"/>
      <c r="GGI530" s="6"/>
      <c r="GGJ530" s="6"/>
      <c r="GGK530" s="27"/>
      <c r="GGL530" s="40"/>
      <c r="GGM530" s="25"/>
      <c r="GGN530" s="34"/>
      <c r="GGO530" s="6"/>
      <c r="GGP530" s="6"/>
      <c r="GGQ530" s="27"/>
      <c r="GGR530" s="40"/>
      <c r="GGS530" s="25"/>
      <c r="GGT530" s="34"/>
      <c r="GGU530" s="6"/>
      <c r="GGV530" s="6"/>
      <c r="GGW530" s="27"/>
      <c r="GGX530" s="40"/>
      <c r="GGY530" s="25"/>
      <c r="GGZ530" s="34"/>
      <c r="GHA530" s="6"/>
      <c r="GHB530" s="6"/>
      <c r="GHC530" s="27"/>
      <c r="GHD530" s="40"/>
      <c r="GHE530" s="25"/>
      <c r="GHF530" s="34"/>
      <c r="GHG530" s="6"/>
      <c r="GHH530" s="6"/>
      <c r="GHI530" s="27"/>
      <c r="GHJ530" s="40"/>
      <c r="GHK530" s="25"/>
      <c r="GHL530" s="34"/>
      <c r="GHM530" s="6"/>
      <c r="GHN530" s="6"/>
      <c r="GHO530" s="27"/>
      <c r="GHP530" s="40"/>
      <c r="GHQ530" s="25"/>
      <c r="GHR530" s="34"/>
      <c r="GHS530" s="6"/>
      <c r="GHT530" s="6"/>
      <c r="GHU530" s="27"/>
      <c r="GHV530" s="40"/>
      <c r="GHW530" s="25"/>
      <c r="GHX530" s="34"/>
      <c r="GHY530" s="6"/>
      <c r="GHZ530" s="6"/>
      <c r="GIA530" s="27"/>
      <c r="GIB530" s="40"/>
      <c r="GIC530" s="25"/>
      <c r="GID530" s="34"/>
      <c r="GIE530" s="6"/>
      <c r="GIF530" s="6"/>
      <c r="GIG530" s="27"/>
      <c r="GIH530" s="40"/>
      <c r="GII530" s="25"/>
      <c r="GIJ530" s="34"/>
      <c r="GIK530" s="6"/>
      <c r="GIL530" s="6"/>
      <c r="GIM530" s="27"/>
      <c r="GIN530" s="40"/>
      <c r="GIO530" s="25"/>
      <c r="GIP530" s="34"/>
      <c r="GIQ530" s="6"/>
      <c r="GIR530" s="6"/>
      <c r="GIS530" s="27"/>
      <c r="GIT530" s="40"/>
      <c r="GIU530" s="25"/>
      <c r="GIV530" s="34"/>
      <c r="GIW530" s="6"/>
      <c r="GIX530" s="6"/>
      <c r="GIY530" s="27"/>
      <c r="GIZ530" s="40"/>
      <c r="GJA530" s="25"/>
      <c r="GJB530" s="34"/>
      <c r="GJC530" s="6"/>
      <c r="GJD530" s="6"/>
      <c r="GJE530" s="27"/>
      <c r="GJF530" s="40"/>
      <c r="GJG530" s="25"/>
      <c r="GJH530" s="34"/>
      <c r="GJI530" s="6"/>
      <c r="GJJ530" s="6"/>
      <c r="GJK530" s="27"/>
      <c r="GJL530" s="40"/>
      <c r="GJM530" s="25"/>
      <c r="GJN530" s="34"/>
      <c r="GJO530" s="6"/>
      <c r="GJP530" s="6"/>
      <c r="GJQ530" s="27"/>
      <c r="GJR530" s="40"/>
      <c r="GJS530" s="25"/>
      <c r="GJT530" s="34"/>
      <c r="GJU530" s="6"/>
      <c r="GJV530" s="6"/>
      <c r="GJW530" s="27"/>
      <c r="GJX530" s="40"/>
      <c r="GJY530" s="25"/>
      <c r="GJZ530" s="34"/>
      <c r="GKA530" s="6"/>
      <c r="GKB530" s="6"/>
      <c r="GKC530" s="27"/>
      <c r="GKD530" s="40"/>
      <c r="GKE530" s="25"/>
      <c r="GKF530" s="34"/>
      <c r="GKG530" s="6"/>
      <c r="GKH530" s="6"/>
      <c r="GKI530" s="27"/>
      <c r="GKJ530" s="40"/>
      <c r="GKK530" s="25"/>
      <c r="GKL530" s="34"/>
      <c r="GKM530" s="6"/>
      <c r="GKN530" s="6"/>
      <c r="GKO530" s="27"/>
      <c r="GKP530" s="40"/>
      <c r="GKQ530" s="25"/>
      <c r="GKR530" s="34"/>
      <c r="GKS530" s="6"/>
      <c r="GKT530" s="6"/>
      <c r="GKU530" s="27"/>
      <c r="GKV530" s="40"/>
      <c r="GKW530" s="25"/>
      <c r="GKX530" s="34"/>
      <c r="GKY530" s="6"/>
      <c r="GKZ530" s="6"/>
      <c r="GLA530" s="27"/>
      <c r="GLB530" s="40"/>
      <c r="GLC530" s="25"/>
      <c r="GLD530" s="34"/>
      <c r="GLE530" s="6"/>
      <c r="GLF530" s="6"/>
      <c r="GLG530" s="27"/>
      <c r="GLH530" s="40"/>
      <c r="GLI530" s="25"/>
      <c r="GLJ530" s="34"/>
      <c r="GLK530" s="6"/>
      <c r="GLL530" s="6"/>
      <c r="GLM530" s="27"/>
      <c r="GLN530" s="40"/>
      <c r="GLO530" s="25"/>
      <c r="GLP530" s="34"/>
      <c r="GLQ530" s="6"/>
      <c r="GLR530" s="6"/>
      <c r="GLS530" s="27"/>
      <c r="GLT530" s="40"/>
      <c r="GLU530" s="25"/>
      <c r="GLV530" s="34"/>
      <c r="GLW530" s="6"/>
      <c r="GLX530" s="6"/>
      <c r="GLY530" s="27"/>
      <c r="GLZ530" s="40"/>
      <c r="GMA530" s="25"/>
      <c r="GMB530" s="34"/>
      <c r="GMC530" s="6"/>
      <c r="GMD530" s="6"/>
      <c r="GME530" s="27"/>
      <c r="GMF530" s="40"/>
      <c r="GMG530" s="25"/>
      <c r="GMH530" s="34"/>
      <c r="GMI530" s="6"/>
      <c r="GMJ530" s="6"/>
      <c r="GMK530" s="27"/>
      <c r="GML530" s="40"/>
      <c r="GMM530" s="25"/>
      <c r="GMN530" s="34"/>
      <c r="GMO530" s="6"/>
      <c r="GMP530" s="6"/>
      <c r="GMQ530" s="27"/>
      <c r="GMR530" s="40"/>
      <c r="GMS530" s="25"/>
      <c r="GMT530" s="34"/>
      <c r="GMU530" s="6"/>
      <c r="GMV530" s="6"/>
      <c r="GMW530" s="27"/>
      <c r="GMX530" s="40"/>
      <c r="GMY530" s="25"/>
      <c r="GMZ530" s="34"/>
      <c r="GNA530" s="6"/>
      <c r="GNB530" s="6"/>
      <c r="GNC530" s="27"/>
      <c r="GND530" s="40"/>
      <c r="GNE530" s="25"/>
      <c r="GNF530" s="34"/>
      <c r="GNG530" s="6"/>
      <c r="GNH530" s="6"/>
      <c r="GNI530" s="27"/>
      <c r="GNJ530" s="40"/>
      <c r="GNK530" s="25"/>
      <c r="GNL530" s="34"/>
      <c r="GNM530" s="6"/>
      <c r="GNN530" s="6"/>
      <c r="GNO530" s="27"/>
      <c r="GNP530" s="40"/>
      <c r="GNQ530" s="25"/>
      <c r="GNR530" s="34"/>
      <c r="GNS530" s="6"/>
      <c r="GNT530" s="6"/>
      <c r="GNU530" s="27"/>
      <c r="GNV530" s="40"/>
      <c r="GNW530" s="25"/>
      <c r="GNX530" s="34"/>
      <c r="GNY530" s="6"/>
      <c r="GNZ530" s="6"/>
      <c r="GOA530" s="27"/>
      <c r="GOB530" s="40"/>
      <c r="GOC530" s="25"/>
      <c r="GOD530" s="34"/>
      <c r="GOE530" s="6"/>
      <c r="GOF530" s="6"/>
      <c r="GOG530" s="27"/>
      <c r="GOH530" s="40"/>
      <c r="GOI530" s="25"/>
      <c r="GOJ530" s="34"/>
      <c r="GOK530" s="6"/>
      <c r="GOL530" s="6"/>
      <c r="GOM530" s="27"/>
      <c r="GON530" s="40"/>
      <c r="GOO530" s="25"/>
      <c r="GOP530" s="34"/>
      <c r="GOQ530" s="6"/>
      <c r="GOR530" s="6"/>
      <c r="GOS530" s="27"/>
      <c r="GOT530" s="40"/>
      <c r="GOU530" s="25"/>
      <c r="GOV530" s="34"/>
      <c r="GOW530" s="6"/>
      <c r="GOX530" s="6"/>
      <c r="GOY530" s="27"/>
      <c r="GOZ530" s="40"/>
      <c r="GPA530" s="25"/>
      <c r="GPB530" s="34"/>
      <c r="GPC530" s="6"/>
      <c r="GPD530" s="6"/>
      <c r="GPE530" s="27"/>
      <c r="GPF530" s="40"/>
      <c r="GPG530" s="25"/>
      <c r="GPH530" s="34"/>
      <c r="GPI530" s="6"/>
      <c r="GPJ530" s="6"/>
      <c r="GPK530" s="27"/>
      <c r="GPL530" s="40"/>
      <c r="GPM530" s="25"/>
      <c r="GPN530" s="34"/>
      <c r="GPO530" s="6"/>
      <c r="GPP530" s="6"/>
      <c r="GPQ530" s="27"/>
      <c r="GPR530" s="40"/>
      <c r="GPS530" s="25"/>
      <c r="GPT530" s="34"/>
      <c r="GPU530" s="6"/>
      <c r="GPV530" s="6"/>
      <c r="GPW530" s="27"/>
      <c r="GPX530" s="40"/>
      <c r="GPY530" s="25"/>
      <c r="GPZ530" s="34"/>
      <c r="GQA530" s="6"/>
      <c r="GQB530" s="6"/>
      <c r="GQC530" s="27"/>
      <c r="GQD530" s="40"/>
      <c r="GQE530" s="25"/>
      <c r="GQF530" s="34"/>
      <c r="GQG530" s="6"/>
      <c r="GQH530" s="6"/>
      <c r="GQI530" s="27"/>
      <c r="GQJ530" s="40"/>
      <c r="GQK530" s="25"/>
      <c r="GQL530" s="34"/>
      <c r="GQM530" s="6"/>
      <c r="GQN530" s="6"/>
      <c r="GQO530" s="27"/>
      <c r="GQP530" s="40"/>
      <c r="GQQ530" s="25"/>
      <c r="GQR530" s="34"/>
      <c r="GQS530" s="6"/>
      <c r="GQT530" s="6"/>
      <c r="GQU530" s="27"/>
      <c r="GQV530" s="40"/>
      <c r="GQW530" s="25"/>
      <c r="GQX530" s="34"/>
      <c r="GQY530" s="6"/>
      <c r="GQZ530" s="6"/>
      <c r="GRA530" s="27"/>
      <c r="GRB530" s="40"/>
      <c r="GRC530" s="25"/>
      <c r="GRD530" s="34"/>
      <c r="GRE530" s="6"/>
      <c r="GRF530" s="6"/>
      <c r="GRG530" s="27"/>
      <c r="GRH530" s="40"/>
      <c r="GRI530" s="25"/>
      <c r="GRJ530" s="34"/>
      <c r="GRK530" s="6"/>
      <c r="GRL530" s="6"/>
      <c r="GRM530" s="27"/>
      <c r="GRN530" s="40"/>
      <c r="GRO530" s="25"/>
      <c r="GRP530" s="34"/>
      <c r="GRQ530" s="6"/>
      <c r="GRR530" s="6"/>
      <c r="GRS530" s="27"/>
      <c r="GRT530" s="40"/>
      <c r="GRU530" s="25"/>
      <c r="GRV530" s="34"/>
      <c r="GRW530" s="6"/>
      <c r="GRX530" s="6"/>
      <c r="GRY530" s="27"/>
      <c r="GRZ530" s="40"/>
      <c r="GSA530" s="25"/>
      <c r="GSB530" s="34"/>
      <c r="GSC530" s="6"/>
      <c r="GSD530" s="6"/>
      <c r="GSE530" s="27"/>
      <c r="GSF530" s="40"/>
      <c r="GSG530" s="25"/>
      <c r="GSH530" s="34"/>
      <c r="GSI530" s="6"/>
      <c r="GSJ530" s="6"/>
      <c r="GSK530" s="27"/>
      <c r="GSL530" s="40"/>
      <c r="GSM530" s="25"/>
      <c r="GSN530" s="34"/>
      <c r="GSO530" s="6"/>
      <c r="GSP530" s="6"/>
      <c r="GSQ530" s="27"/>
      <c r="GSR530" s="40"/>
      <c r="GSS530" s="25"/>
      <c r="GST530" s="34"/>
      <c r="GSU530" s="6"/>
      <c r="GSV530" s="6"/>
      <c r="GSW530" s="27"/>
      <c r="GSX530" s="40"/>
      <c r="GSY530" s="25"/>
      <c r="GSZ530" s="34"/>
      <c r="GTA530" s="6"/>
      <c r="GTB530" s="6"/>
      <c r="GTC530" s="27"/>
      <c r="GTD530" s="40"/>
      <c r="GTE530" s="25"/>
      <c r="GTF530" s="34"/>
      <c r="GTG530" s="6"/>
      <c r="GTH530" s="6"/>
      <c r="GTI530" s="27"/>
      <c r="GTJ530" s="40"/>
      <c r="GTK530" s="25"/>
      <c r="GTL530" s="34"/>
      <c r="GTM530" s="6"/>
      <c r="GTN530" s="6"/>
      <c r="GTO530" s="27"/>
      <c r="GTP530" s="40"/>
      <c r="GTQ530" s="25"/>
      <c r="GTR530" s="34"/>
      <c r="GTS530" s="6"/>
      <c r="GTT530" s="6"/>
      <c r="GTU530" s="27"/>
      <c r="GTV530" s="40"/>
      <c r="GTW530" s="25"/>
      <c r="GTX530" s="34"/>
      <c r="GTY530" s="6"/>
      <c r="GTZ530" s="6"/>
      <c r="GUA530" s="27"/>
      <c r="GUB530" s="40"/>
      <c r="GUC530" s="25"/>
      <c r="GUD530" s="34"/>
      <c r="GUE530" s="6"/>
      <c r="GUF530" s="6"/>
      <c r="GUG530" s="27"/>
      <c r="GUH530" s="40"/>
      <c r="GUI530" s="25"/>
      <c r="GUJ530" s="34"/>
      <c r="GUK530" s="6"/>
      <c r="GUL530" s="6"/>
      <c r="GUM530" s="27"/>
      <c r="GUN530" s="40"/>
      <c r="GUO530" s="25"/>
      <c r="GUP530" s="34"/>
      <c r="GUQ530" s="6"/>
      <c r="GUR530" s="6"/>
      <c r="GUS530" s="27"/>
      <c r="GUT530" s="40"/>
      <c r="GUU530" s="25"/>
      <c r="GUV530" s="34"/>
      <c r="GUW530" s="6"/>
      <c r="GUX530" s="6"/>
      <c r="GUY530" s="27"/>
      <c r="GUZ530" s="40"/>
      <c r="GVA530" s="25"/>
      <c r="GVB530" s="34"/>
      <c r="GVC530" s="6"/>
      <c r="GVD530" s="6"/>
      <c r="GVE530" s="27"/>
      <c r="GVF530" s="40"/>
      <c r="GVG530" s="25"/>
      <c r="GVH530" s="34"/>
      <c r="GVI530" s="6"/>
      <c r="GVJ530" s="6"/>
      <c r="GVK530" s="27"/>
      <c r="GVL530" s="40"/>
      <c r="GVM530" s="25"/>
      <c r="GVN530" s="34"/>
      <c r="GVO530" s="6"/>
      <c r="GVP530" s="6"/>
      <c r="GVQ530" s="27"/>
      <c r="GVR530" s="40"/>
      <c r="GVS530" s="25"/>
      <c r="GVT530" s="34"/>
      <c r="GVU530" s="6"/>
      <c r="GVV530" s="6"/>
      <c r="GVW530" s="27"/>
      <c r="GVX530" s="40"/>
      <c r="GVY530" s="25"/>
      <c r="GVZ530" s="34"/>
      <c r="GWA530" s="6"/>
      <c r="GWB530" s="6"/>
      <c r="GWC530" s="27"/>
      <c r="GWD530" s="40"/>
      <c r="GWE530" s="25"/>
      <c r="GWF530" s="34"/>
      <c r="GWG530" s="6"/>
      <c r="GWH530" s="6"/>
      <c r="GWI530" s="27"/>
      <c r="GWJ530" s="40"/>
      <c r="GWK530" s="25"/>
      <c r="GWL530" s="34"/>
      <c r="GWM530" s="6"/>
      <c r="GWN530" s="6"/>
      <c r="GWO530" s="27"/>
      <c r="GWP530" s="40"/>
      <c r="GWQ530" s="25"/>
      <c r="GWR530" s="34"/>
      <c r="GWS530" s="6"/>
      <c r="GWT530" s="6"/>
      <c r="GWU530" s="27"/>
      <c r="GWV530" s="40"/>
      <c r="GWW530" s="25"/>
      <c r="GWX530" s="34"/>
      <c r="GWY530" s="6"/>
      <c r="GWZ530" s="6"/>
      <c r="GXA530" s="27"/>
      <c r="GXB530" s="40"/>
      <c r="GXC530" s="25"/>
      <c r="GXD530" s="34"/>
      <c r="GXE530" s="6"/>
      <c r="GXF530" s="6"/>
      <c r="GXG530" s="27"/>
      <c r="GXH530" s="40"/>
      <c r="GXI530" s="25"/>
      <c r="GXJ530" s="34"/>
      <c r="GXK530" s="6"/>
      <c r="GXL530" s="6"/>
      <c r="GXM530" s="27"/>
      <c r="GXN530" s="40"/>
      <c r="GXO530" s="25"/>
      <c r="GXP530" s="34"/>
      <c r="GXQ530" s="6"/>
      <c r="GXR530" s="6"/>
      <c r="GXS530" s="27"/>
      <c r="GXT530" s="40"/>
      <c r="GXU530" s="25"/>
      <c r="GXV530" s="34"/>
      <c r="GXW530" s="6"/>
      <c r="GXX530" s="6"/>
      <c r="GXY530" s="27"/>
      <c r="GXZ530" s="40"/>
      <c r="GYA530" s="25"/>
      <c r="GYB530" s="34"/>
      <c r="GYC530" s="6"/>
      <c r="GYD530" s="6"/>
      <c r="GYE530" s="27"/>
      <c r="GYF530" s="40"/>
      <c r="GYG530" s="25"/>
      <c r="GYH530" s="34"/>
      <c r="GYI530" s="6"/>
      <c r="GYJ530" s="6"/>
      <c r="GYK530" s="27"/>
      <c r="GYL530" s="40"/>
      <c r="GYM530" s="25"/>
      <c r="GYN530" s="34"/>
      <c r="GYO530" s="6"/>
      <c r="GYP530" s="6"/>
      <c r="GYQ530" s="27"/>
      <c r="GYR530" s="40"/>
      <c r="GYS530" s="25"/>
      <c r="GYT530" s="34"/>
      <c r="GYU530" s="6"/>
      <c r="GYV530" s="6"/>
      <c r="GYW530" s="27"/>
      <c r="GYX530" s="40"/>
      <c r="GYY530" s="25"/>
      <c r="GYZ530" s="34"/>
      <c r="GZA530" s="6"/>
      <c r="GZB530" s="6"/>
      <c r="GZC530" s="27"/>
      <c r="GZD530" s="40"/>
      <c r="GZE530" s="25"/>
      <c r="GZF530" s="34"/>
      <c r="GZG530" s="6"/>
      <c r="GZH530" s="6"/>
      <c r="GZI530" s="27"/>
      <c r="GZJ530" s="40"/>
      <c r="GZK530" s="25"/>
      <c r="GZL530" s="34"/>
      <c r="GZM530" s="6"/>
      <c r="GZN530" s="6"/>
      <c r="GZO530" s="27"/>
      <c r="GZP530" s="40"/>
      <c r="GZQ530" s="25"/>
      <c r="GZR530" s="34"/>
      <c r="GZS530" s="6"/>
      <c r="GZT530" s="6"/>
      <c r="GZU530" s="27"/>
      <c r="GZV530" s="40"/>
      <c r="GZW530" s="25"/>
      <c r="GZX530" s="34"/>
      <c r="GZY530" s="6"/>
      <c r="GZZ530" s="6"/>
      <c r="HAA530" s="27"/>
      <c r="HAB530" s="40"/>
      <c r="HAC530" s="25"/>
      <c r="HAD530" s="34"/>
      <c r="HAE530" s="6"/>
      <c r="HAF530" s="6"/>
      <c r="HAG530" s="27"/>
      <c r="HAH530" s="40"/>
      <c r="HAI530" s="25"/>
      <c r="HAJ530" s="34"/>
      <c r="HAK530" s="6"/>
      <c r="HAL530" s="6"/>
      <c r="HAM530" s="27"/>
      <c r="HAN530" s="40"/>
      <c r="HAO530" s="25"/>
      <c r="HAP530" s="34"/>
      <c r="HAQ530" s="6"/>
      <c r="HAR530" s="6"/>
      <c r="HAS530" s="27"/>
      <c r="HAT530" s="40"/>
      <c r="HAU530" s="25"/>
      <c r="HAV530" s="34"/>
      <c r="HAW530" s="6"/>
      <c r="HAX530" s="6"/>
      <c r="HAY530" s="27"/>
      <c r="HAZ530" s="40"/>
      <c r="HBA530" s="25"/>
      <c r="HBB530" s="34"/>
      <c r="HBC530" s="6"/>
      <c r="HBD530" s="6"/>
      <c r="HBE530" s="27"/>
      <c r="HBF530" s="40"/>
      <c r="HBG530" s="25"/>
      <c r="HBH530" s="34"/>
      <c r="HBI530" s="6"/>
      <c r="HBJ530" s="6"/>
      <c r="HBK530" s="27"/>
      <c r="HBL530" s="40"/>
      <c r="HBM530" s="25"/>
      <c r="HBN530" s="34"/>
      <c r="HBO530" s="6"/>
      <c r="HBP530" s="6"/>
      <c r="HBQ530" s="27"/>
      <c r="HBR530" s="40"/>
      <c r="HBS530" s="25"/>
      <c r="HBT530" s="34"/>
      <c r="HBU530" s="6"/>
      <c r="HBV530" s="6"/>
      <c r="HBW530" s="27"/>
      <c r="HBX530" s="40"/>
      <c r="HBY530" s="25"/>
      <c r="HBZ530" s="34"/>
      <c r="HCA530" s="6"/>
      <c r="HCB530" s="6"/>
      <c r="HCC530" s="27"/>
      <c r="HCD530" s="40"/>
      <c r="HCE530" s="25"/>
      <c r="HCF530" s="34"/>
      <c r="HCG530" s="6"/>
      <c r="HCH530" s="6"/>
      <c r="HCI530" s="27"/>
      <c r="HCJ530" s="40"/>
      <c r="HCK530" s="25"/>
      <c r="HCL530" s="34"/>
      <c r="HCM530" s="6"/>
      <c r="HCN530" s="6"/>
      <c r="HCO530" s="27"/>
      <c r="HCP530" s="40"/>
      <c r="HCQ530" s="25"/>
      <c r="HCR530" s="34"/>
      <c r="HCS530" s="6"/>
      <c r="HCT530" s="6"/>
      <c r="HCU530" s="27"/>
      <c r="HCV530" s="40"/>
      <c r="HCW530" s="25"/>
      <c r="HCX530" s="34"/>
      <c r="HCY530" s="6"/>
      <c r="HCZ530" s="6"/>
      <c r="HDA530" s="27"/>
      <c r="HDB530" s="40"/>
      <c r="HDC530" s="25"/>
      <c r="HDD530" s="34"/>
      <c r="HDE530" s="6"/>
      <c r="HDF530" s="6"/>
      <c r="HDG530" s="27"/>
      <c r="HDH530" s="40"/>
      <c r="HDI530" s="25"/>
      <c r="HDJ530" s="34"/>
      <c r="HDK530" s="6"/>
      <c r="HDL530" s="6"/>
      <c r="HDM530" s="27"/>
      <c r="HDN530" s="40"/>
      <c r="HDO530" s="25"/>
      <c r="HDP530" s="34"/>
      <c r="HDQ530" s="6"/>
      <c r="HDR530" s="6"/>
      <c r="HDS530" s="27"/>
      <c r="HDT530" s="40"/>
      <c r="HDU530" s="25"/>
      <c r="HDV530" s="34"/>
      <c r="HDW530" s="6"/>
      <c r="HDX530" s="6"/>
      <c r="HDY530" s="27"/>
      <c r="HDZ530" s="40"/>
      <c r="HEA530" s="25"/>
      <c r="HEB530" s="34"/>
      <c r="HEC530" s="6"/>
      <c r="HED530" s="6"/>
      <c r="HEE530" s="27"/>
      <c r="HEF530" s="40"/>
      <c r="HEG530" s="25"/>
      <c r="HEH530" s="34"/>
      <c r="HEI530" s="6"/>
      <c r="HEJ530" s="6"/>
      <c r="HEK530" s="27"/>
      <c r="HEL530" s="40"/>
      <c r="HEM530" s="25"/>
      <c r="HEN530" s="34"/>
      <c r="HEO530" s="6"/>
      <c r="HEP530" s="6"/>
      <c r="HEQ530" s="27"/>
      <c r="HER530" s="40"/>
      <c r="HES530" s="25"/>
      <c r="HET530" s="34"/>
      <c r="HEU530" s="6"/>
      <c r="HEV530" s="6"/>
      <c r="HEW530" s="27"/>
      <c r="HEX530" s="40"/>
      <c r="HEY530" s="25"/>
      <c r="HEZ530" s="34"/>
      <c r="HFA530" s="6"/>
      <c r="HFB530" s="6"/>
      <c r="HFC530" s="27"/>
      <c r="HFD530" s="40"/>
      <c r="HFE530" s="25"/>
      <c r="HFF530" s="34"/>
      <c r="HFG530" s="6"/>
      <c r="HFH530" s="6"/>
      <c r="HFI530" s="27"/>
      <c r="HFJ530" s="40"/>
      <c r="HFK530" s="25"/>
      <c r="HFL530" s="34"/>
      <c r="HFM530" s="6"/>
      <c r="HFN530" s="6"/>
      <c r="HFO530" s="27"/>
      <c r="HFP530" s="40"/>
      <c r="HFQ530" s="25"/>
      <c r="HFR530" s="34"/>
      <c r="HFS530" s="6"/>
      <c r="HFT530" s="6"/>
      <c r="HFU530" s="27"/>
      <c r="HFV530" s="40"/>
      <c r="HFW530" s="25"/>
      <c r="HFX530" s="34"/>
      <c r="HFY530" s="6"/>
      <c r="HFZ530" s="6"/>
      <c r="HGA530" s="27"/>
      <c r="HGB530" s="40"/>
      <c r="HGC530" s="25"/>
      <c r="HGD530" s="34"/>
      <c r="HGE530" s="6"/>
      <c r="HGF530" s="6"/>
      <c r="HGG530" s="27"/>
      <c r="HGH530" s="40"/>
      <c r="HGI530" s="25"/>
      <c r="HGJ530" s="34"/>
      <c r="HGK530" s="6"/>
      <c r="HGL530" s="6"/>
      <c r="HGM530" s="27"/>
      <c r="HGN530" s="40"/>
      <c r="HGO530" s="25"/>
      <c r="HGP530" s="34"/>
      <c r="HGQ530" s="6"/>
      <c r="HGR530" s="6"/>
      <c r="HGS530" s="27"/>
      <c r="HGT530" s="40"/>
      <c r="HGU530" s="25"/>
      <c r="HGV530" s="34"/>
      <c r="HGW530" s="6"/>
      <c r="HGX530" s="6"/>
      <c r="HGY530" s="27"/>
      <c r="HGZ530" s="40"/>
      <c r="HHA530" s="25"/>
      <c r="HHB530" s="34"/>
      <c r="HHC530" s="6"/>
      <c r="HHD530" s="6"/>
      <c r="HHE530" s="27"/>
      <c r="HHF530" s="40"/>
      <c r="HHG530" s="25"/>
      <c r="HHH530" s="34"/>
      <c r="HHI530" s="6"/>
      <c r="HHJ530" s="6"/>
      <c r="HHK530" s="27"/>
      <c r="HHL530" s="40"/>
      <c r="HHM530" s="25"/>
      <c r="HHN530" s="34"/>
      <c r="HHO530" s="6"/>
      <c r="HHP530" s="6"/>
      <c r="HHQ530" s="27"/>
      <c r="HHR530" s="40"/>
      <c r="HHS530" s="25"/>
      <c r="HHT530" s="34"/>
      <c r="HHU530" s="6"/>
      <c r="HHV530" s="6"/>
      <c r="HHW530" s="27"/>
      <c r="HHX530" s="40"/>
      <c r="HHY530" s="25"/>
      <c r="HHZ530" s="34"/>
      <c r="HIA530" s="6"/>
      <c r="HIB530" s="6"/>
      <c r="HIC530" s="27"/>
      <c r="HID530" s="40"/>
      <c r="HIE530" s="25"/>
      <c r="HIF530" s="34"/>
      <c r="HIG530" s="6"/>
      <c r="HIH530" s="6"/>
      <c r="HII530" s="27"/>
      <c r="HIJ530" s="40"/>
      <c r="HIK530" s="25"/>
      <c r="HIL530" s="34"/>
      <c r="HIM530" s="6"/>
      <c r="HIN530" s="6"/>
      <c r="HIO530" s="27"/>
      <c r="HIP530" s="40"/>
      <c r="HIQ530" s="25"/>
      <c r="HIR530" s="34"/>
      <c r="HIS530" s="6"/>
      <c r="HIT530" s="6"/>
      <c r="HIU530" s="27"/>
      <c r="HIV530" s="40"/>
      <c r="HIW530" s="25"/>
      <c r="HIX530" s="34"/>
      <c r="HIY530" s="6"/>
      <c r="HIZ530" s="6"/>
      <c r="HJA530" s="27"/>
      <c r="HJB530" s="40"/>
      <c r="HJC530" s="25"/>
      <c r="HJD530" s="34"/>
      <c r="HJE530" s="6"/>
      <c r="HJF530" s="6"/>
      <c r="HJG530" s="27"/>
      <c r="HJH530" s="40"/>
      <c r="HJI530" s="25"/>
      <c r="HJJ530" s="34"/>
      <c r="HJK530" s="6"/>
      <c r="HJL530" s="6"/>
      <c r="HJM530" s="27"/>
      <c r="HJN530" s="40"/>
      <c r="HJO530" s="25"/>
      <c r="HJP530" s="34"/>
      <c r="HJQ530" s="6"/>
      <c r="HJR530" s="6"/>
      <c r="HJS530" s="27"/>
      <c r="HJT530" s="40"/>
      <c r="HJU530" s="25"/>
      <c r="HJV530" s="34"/>
      <c r="HJW530" s="6"/>
      <c r="HJX530" s="6"/>
      <c r="HJY530" s="27"/>
      <c r="HJZ530" s="40"/>
      <c r="HKA530" s="25"/>
      <c r="HKB530" s="34"/>
      <c r="HKC530" s="6"/>
      <c r="HKD530" s="6"/>
      <c r="HKE530" s="27"/>
      <c r="HKF530" s="40"/>
      <c r="HKG530" s="25"/>
      <c r="HKH530" s="34"/>
      <c r="HKI530" s="6"/>
      <c r="HKJ530" s="6"/>
      <c r="HKK530" s="27"/>
      <c r="HKL530" s="40"/>
      <c r="HKM530" s="25"/>
      <c r="HKN530" s="34"/>
      <c r="HKO530" s="6"/>
      <c r="HKP530" s="6"/>
      <c r="HKQ530" s="27"/>
      <c r="HKR530" s="40"/>
      <c r="HKS530" s="25"/>
      <c r="HKT530" s="34"/>
      <c r="HKU530" s="6"/>
      <c r="HKV530" s="6"/>
      <c r="HKW530" s="27"/>
      <c r="HKX530" s="40"/>
      <c r="HKY530" s="25"/>
      <c r="HKZ530" s="34"/>
      <c r="HLA530" s="6"/>
      <c r="HLB530" s="6"/>
      <c r="HLC530" s="27"/>
      <c r="HLD530" s="40"/>
      <c r="HLE530" s="25"/>
      <c r="HLF530" s="34"/>
      <c r="HLG530" s="6"/>
      <c r="HLH530" s="6"/>
      <c r="HLI530" s="27"/>
      <c r="HLJ530" s="40"/>
      <c r="HLK530" s="25"/>
      <c r="HLL530" s="34"/>
      <c r="HLM530" s="6"/>
      <c r="HLN530" s="6"/>
      <c r="HLO530" s="27"/>
      <c r="HLP530" s="40"/>
      <c r="HLQ530" s="25"/>
      <c r="HLR530" s="34"/>
      <c r="HLS530" s="6"/>
      <c r="HLT530" s="6"/>
      <c r="HLU530" s="27"/>
      <c r="HLV530" s="40"/>
      <c r="HLW530" s="25"/>
      <c r="HLX530" s="34"/>
      <c r="HLY530" s="6"/>
      <c r="HLZ530" s="6"/>
      <c r="HMA530" s="27"/>
      <c r="HMB530" s="40"/>
      <c r="HMC530" s="25"/>
      <c r="HMD530" s="34"/>
      <c r="HME530" s="6"/>
      <c r="HMF530" s="6"/>
      <c r="HMG530" s="27"/>
      <c r="HMH530" s="40"/>
      <c r="HMI530" s="25"/>
      <c r="HMJ530" s="34"/>
      <c r="HMK530" s="6"/>
      <c r="HML530" s="6"/>
      <c r="HMM530" s="27"/>
      <c r="HMN530" s="40"/>
      <c r="HMO530" s="25"/>
      <c r="HMP530" s="34"/>
      <c r="HMQ530" s="6"/>
      <c r="HMR530" s="6"/>
      <c r="HMS530" s="27"/>
      <c r="HMT530" s="40"/>
      <c r="HMU530" s="25"/>
      <c r="HMV530" s="34"/>
      <c r="HMW530" s="6"/>
      <c r="HMX530" s="6"/>
      <c r="HMY530" s="27"/>
      <c r="HMZ530" s="40"/>
      <c r="HNA530" s="25"/>
      <c r="HNB530" s="34"/>
      <c r="HNC530" s="6"/>
      <c r="HND530" s="6"/>
      <c r="HNE530" s="27"/>
      <c r="HNF530" s="40"/>
      <c r="HNG530" s="25"/>
      <c r="HNH530" s="34"/>
      <c r="HNI530" s="6"/>
      <c r="HNJ530" s="6"/>
      <c r="HNK530" s="27"/>
      <c r="HNL530" s="40"/>
      <c r="HNM530" s="25"/>
      <c r="HNN530" s="34"/>
      <c r="HNO530" s="6"/>
      <c r="HNP530" s="6"/>
      <c r="HNQ530" s="27"/>
      <c r="HNR530" s="40"/>
      <c r="HNS530" s="25"/>
      <c r="HNT530" s="34"/>
      <c r="HNU530" s="6"/>
      <c r="HNV530" s="6"/>
      <c r="HNW530" s="27"/>
      <c r="HNX530" s="40"/>
      <c r="HNY530" s="25"/>
      <c r="HNZ530" s="34"/>
      <c r="HOA530" s="6"/>
      <c r="HOB530" s="6"/>
      <c r="HOC530" s="27"/>
      <c r="HOD530" s="40"/>
      <c r="HOE530" s="25"/>
      <c r="HOF530" s="34"/>
      <c r="HOG530" s="6"/>
      <c r="HOH530" s="6"/>
      <c r="HOI530" s="27"/>
      <c r="HOJ530" s="40"/>
      <c r="HOK530" s="25"/>
      <c r="HOL530" s="34"/>
      <c r="HOM530" s="6"/>
      <c r="HON530" s="6"/>
      <c r="HOO530" s="27"/>
      <c r="HOP530" s="40"/>
      <c r="HOQ530" s="25"/>
      <c r="HOR530" s="34"/>
      <c r="HOS530" s="6"/>
      <c r="HOT530" s="6"/>
      <c r="HOU530" s="27"/>
      <c r="HOV530" s="40"/>
      <c r="HOW530" s="25"/>
      <c r="HOX530" s="34"/>
      <c r="HOY530" s="6"/>
      <c r="HOZ530" s="6"/>
      <c r="HPA530" s="27"/>
      <c r="HPB530" s="40"/>
      <c r="HPC530" s="25"/>
      <c r="HPD530" s="34"/>
      <c r="HPE530" s="6"/>
      <c r="HPF530" s="6"/>
      <c r="HPG530" s="27"/>
      <c r="HPH530" s="40"/>
      <c r="HPI530" s="25"/>
      <c r="HPJ530" s="34"/>
      <c r="HPK530" s="6"/>
      <c r="HPL530" s="6"/>
      <c r="HPM530" s="27"/>
      <c r="HPN530" s="40"/>
      <c r="HPO530" s="25"/>
      <c r="HPP530" s="34"/>
      <c r="HPQ530" s="6"/>
      <c r="HPR530" s="6"/>
      <c r="HPS530" s="27"/>
      <c r="HPT530" s="40"/>
      <c r="HPU530" s="25"/>
      <c r="HPV530" s="34"/>
      <c r="HPW530" s="6"/>
      <c r="HPX530" s="6"/>
      <c r="HPY530" s="27"/>
      <c r="HPZ530" s="40"/>
      <c r="HQA530" s="25"/>
      <c r="HQB530" s="34"/>
      <c r="HQC530" s="6"/>
      <c r="HQD530" s="6"/>
      <c r="HQE530" s="27"/>
      <c r="HQF530" s="40"/>
      <c r="HQG530" s="25"/>
      <c r="HQH530" s="34"/>
      <c r="HQI530" s="6"/>
      <c r="HQJ530" s="6"/>
      <c r="HQK530" s="27"/>
      <c r="HQL530" s="40"/>
      <c r="HQM530" s="25"/>
      <c r="HQN530" s="34"/>
      <c r="HQO530" s="6"/>
      <c r="HQP530" s="6"/>
      <c r="HQQ530" s="27"/>
      <c r="HQR530" s="40"/>
      <c r="HQS530" s="25"/>
      <c r="HQT530" s="34"/>
      <c r="HQU530" s="6"/>
      <c r="HQV530" s="6"/>
      <c r="HQW530" s="27"/>
      <c r="HQX530" s="40"/>
      <c r="HQY530" s="25"/>
      <c r="HQZ530" s="34"/>
      <c r="HRA530" s="6"/>
      <c r="HRB530" s="6"/>
      <c r="HRC530" s="27"/>
      <c r="HRD530" s="40"/>
      <c r="HRE530" s="25"/>
      <c r="HRF530" s="34"/>
      <c r="HRG530" s="6"/>
      <c r="HRH530" s="6"/>
      <c r="HRI530" s="27"/>
      <c r="HRJ530" s="40"/>
      <c r="HRK530" s="25"/>
      <c r="HRL530" s="34"/>
      <c r="HRM530" s="6"/>
      <c r="HRN530" s="6"/>
      <c r="HRO530" s="27"/>
      <c r="HRP530" s="40"/>
      <c r="HRQ530" s="25"/>
      <c r="HRR530" s="34"/>
      <c r="HRS530" s="6"/>
      <c r="HRT530" s="6"/>
      <c r="HRU530" s="27"/>
      <c r="HRV530" s="40"/>
      <c r="HRW530" s="25"/>
      <c r="HRX530" s="34"/>
      <c r="HRY530" s="6"/>
      <c r="HRZ530" s="6"/>
      <c r="HSA530" s="27"/>
      <c r="HSB530" s="40"/>
      <c r="HSC530" s="25"/>
      <c r="HSD530" s="34"/>
      <c r="HSE530" s="6"/>
      <c r="HSF530" s="6"/>
      <c r="HSG530" s="27"/>
      <c r="HSH530" s="40"/>
      <c r="HSI530" s="25"/>
      <c r="HSJ530" s="34"/>
      <c r="HSK530" s="6"/>
      <c r="HSL530" s="6"/>
      <c r="HSM530" s="27"/>
      <c r="HSN530" s="40"/>
      <c r="HSO530" s="25"/>
      <c r="HSP530" s="34"/>
      <c r="HSQ530" s="6"/>
      <c r="HSR530" s="6"/>
      <c r="HSS530" s="27"/>
      <c r="HST530" s="40"/>
      <c r="HSU530" s="25"/>
      <c r="HSV530" s="34"/>
      <c r="HSW530" s="6"/>
      <c r="HSX530" s="6"/>
      <c r="HSY530" s="27"/>
      <c r="HSZ530" s="40"/>
      <c r="HTA530" s="25"/>
      <c r="HTB530" s="34"/>
      <c r="HTC530" s="6"/>
      <c r="HTD530" s="6"/>
      <c r="HTE530" s="27"/>
      <c r="HTF530" s="40"/>
      <c r="HTG530" s="25"/>
      <c r="HTH530" s="34"/>
      <c r="HTI530" s="6"/>
      <c r="HTJ530" s="6"/>
      <c r="HTK530" s="27"/>
      <c r="HTL530" s="40"/>
      <c r="HTM530" s="25"/>
      <c r="HTN530" s="34"/>
      <c r="HTO530" s="6"/>
      <c r="HTP530" s="6"/>
      <c r="HTQ530" s="27"/>
      <c r="HTR530" s="40"/>
      <c r="HTS530" s="25"/>
      <c r="HTT530" s="34"/>
      <c r="HTU530" s="6"/>
      <c r="HTV530" s="6"/>
      <c r="HTW530" s="27"/>
      <c r="HTX530" s="40"/>
      <c r="HTY530" s="25"/>
      <c r="HTZ530" s="34"/>
      <c r="HUA530" s="6"/>
      <c r="HUB530" s="6"/>
      <c r="HUC530" s="27"/>
      <c r="HUD530" s="40"/>
      <c r="HUE530" s="25"/>
      <c r="HUF530" s="34"/>
      <c r="HUG530" s="6"/>
      <c r="HUH530" s="6"/>
      <c r="HUI530" s="27"/>
      <c r="HUJ530" s="40"/>
      <c r="HUK530" s="25"/>
      <c r="HUL530" s="34"/>
      <c r="HUM530" s="6"/>
      <c r="HUN530" s="6"/>
      <c r="HUO530" s="27"/>
      <c r="HUP530" s="40"/>
      <c r="HUQ530" s="25"/>
      <c r="HUR530" s="34"/>
      <c r="HUS530" s="6"/>
      <c r="HUT530" s="6"/>
      <c r="HUU530" s="27"/>
      <c r="HUV530" s="40"/>
      <c r="HUW530" s="25"/>
      <c r="HUX530" s="34"/>
      <c r="HUY530" s="6"/>
      <c r="HUZ530" s="6"/>
      <c r="HVA530" s="27"/>
      <c r="HVB530" s="40"/>
      <c r="HVC530" s="25"/>
      <c r="HVD530" s="34"/>
      <c r="HVE530" s="6"/>
      <c r="HVF530" s="6"/>
      <c r="HVG530" s="27"/>
      <c r="HVH530" s="40"/>
      <c r="HVI530" s="25"/>
      <c r="HVJ530" s="34"/>
      <c r="HVK530" s="6"/>
      <c r="HVL530" s="6"/>
      <c r="HVM530" s="27"/>
      <c r="HVN530" s="40"/>
      <c r="HVO530" s="25"/>
      <c r="HVP530" s="34"/>
      <c r="HVQ530" s="6"/>
      <c r="HVR530" s="6"/>
      <c r="HVS530" s="27"/>
      <c r="HVT530" s="40"/>
      <c r="HVU530" s="25"/>
      <c r="HVV530" s="34"/>
      <c r="HVW530" s="6"/>
      <c r="HVX530" s="6"/>
      <c r="HVY530" s="27"/>
      <c r="HVZ530" s="40"/>
      <c r="HWA530" s="25"/>
      <c r="HWB530" s="34"/>
      <c r="HWC530" s="6"/>
      <c r="HWD530" s="6"/>
      <c r="HWE530" s="27"/>
      <c r="HWF530" s="40"/>
      <c r="HWG530" s="25"/>
      <c r="HWH530" s="34"/>
      <c r="HWI530" s="6"/>
      <c r="HWJ530" s="6"/>
      <c r="HWK530" s="27"/>
      <c r="HWL530" s="40"/>
      <c r="HWM530" s="25"/>
      <c r="HWN530" s="34"/>
      <c r="HWO530" s="6"/>
      <c r="HWP530" s="6"/>
      <c r="HWQ530" s="27"/>
      <c r="HWR530" s="40"/>
      <c r="HWS530" s="25"/>
      <c r="HWT530" s="34"/>
      <c r="HWU530" s="6"/>
      <c r="HWV530" s="6"/>
      <c r="HWW530" s="27"/>
      <c r="HWX530" s="40"/>
      <c r="HWY530" s="25"/>
      <c r="HWZ530" s="34"/>
      <c r="HXA530" s="6"/>
      <c r="HXB530" s="6"/>
      <c r="HXC530" s="27"/>
      <c r="HXD530" s="40"/>
      <c r="HXE530" s="25"/>
      <c r="HXF530" s="34"/>
      <c r="HXG530" s="6"/>
      <c r="HXH530" s="6"/>
      <c r="HXI530" s="27"/>
      <c r="HXJ530" s="40"/>
      <c r="HXK530" s="25"/>
      <c r="HXL530" s="34"/>
      <c r="HXM530" s="6"/>
      <c r="HXN530" s="6"/>
      <c r="HXO530" s="27"/>
      <c r="HXP530" s="40"/>
      <c r="HXQ530" s="25"/>
      <c r="HXR530" s="34"/>
      <c r="HXS530" s="6"/>
      <c r="HXT530" s="6"/>
      <c r="HXU530" s="27"/>
      <c r="HXV530" s="40"/>
      <c r="HXW530" s="25"/>
      <c r="HXX530" s="34"/>
      <c r="HXY530" s="6"/>
      <c r="HXZ530" s="6"/>
      <c r="HYA530" s="27"/>
      <c r="HYB530" s="40"/>
      <c r="HYC530" s="25"/>
      <c r="HYD530" s="34"/>
      <c r="HYE530" s="6"/>
      <c r="HYF530" s="6"/>
      <c r="HYG530" s="27"/>
      <c r="HYH530" s="40"/>
      <c r="HYI530" s="25"/>
      <c r="HYJ530" s="34"/>
      <c r="HYK530" s="6"/>
      <c r="HYL530" s="6"/>
      <c r="HYM530" s="27"/>
      <c r="HYN530" s="40"/>
      <c r="HYO530" s="25"/>
      <c r="HYP530" s="34"/>
      <c r="HYQ530" s="6"/>
      <c r="HYR530" s="6"/>
      <c r="HYS530" s="27"/>
      <c r="HYT530" s="40"/>
      <c r="HYU530" s="25"/>
      <c r="HYV530" s="34"/>
      <c r="HYW530" s="6"/>
      <c r="HYX530" s="6"/>
      <c r="HYY530" s="27"/>
      <c r="HYZ530" s="40"/>
      <c r="HZA530" s="25"/>
      <c r="HZB530" s="34"/>
      <c r="HZC530" s="6"/>
      <c r="HZD530" s="6"/>
      <c r="HZE530" s="27"/>
      <c r="HZF530" s="40"/>
      <c r="HZG530" s="25"/>
      <c r="HZH530" s="34"/>
      <c r="HZI530" s="6"/>
      <c r="HZJ530" s="6"/>
      <c r="HZK530" s="27"/>
      <c r="HZL530" s="40"/>
      <c r="HZM530" s="25"/>
      <c r="HZN530" s="34"/>
      <c r="HZO530" s="6"/>
      <c r="HZP530" s="6"/>
      <c r="HZQ530" s="27"/>
      <c r="HZR530" s="40"/>
      <c r="HZS530" s="25"/>
      <c r="HZT530" s="34"/>
      <c r="HZU530" s="6"/>
      <c r="HZV530" s="6"/>
      <c r="HZW530" s="27"/>
      <c r="HZX530" s="40"/>
      <c r="HZY530" s="25"/>
      <c r="HZZ530" s="34"/>
      <c r="IAA530" s="6"/>
      <c r="IAB530" s="6"/>
      <c r="IAC530" s="27"/>
      <c r="IAD530" s="40"/>
      <c r="IAE530" s="25"/>
      <c r="IAF530" s="34"/>
      <c r="IAG530" s="6"/>
      <c r="IAH530" s="6"/>
      <c r="IAI530" s="27"/>
      <c r="IAJ530" s="40"/>
      <c r="IAK530" s="25"/>
      <c r="IAL530" s="34"/>
      <c r="IAM530" s="6"/>
      <c r="IAN530" s="6"/>
      <c r="IAO530" s="27"/>
      <c r="IAP530" s="40"/>
      <c r="IAQ530" s="25"/>
      <c r="IAR530" s="34"/>
      <c r="IAS530" s="6"/>
      <c r="IAT530" s="6"/>
      <c r="IAU530" s="27"/>
      <c r="IAV530" s="40"/>
      <c r="IAW530" s="25"/>
      <c r="IAX530" s="34"/>
      <c r="IAY530" s="6"/>
      <c r="IAZ530" s="6"/>
      <c r="IBA530" s="27"/>
      <c r="IBB530" s="40"/>
      <c r="IBC530" s="25"/>
      <c r="IBD530" s="34"/>
      <c r="IBE530" s="6"/>
      <c r="IBF530" s="6"/>
      <c r="IBG530" s="27"/>
      <c r="IBH530" s="40"/>
      <c r="IBI530" s="25"/>
      <c r="IBJ530" s="34"/>
      <c r="IBK530" s="6"/>
      <c r="IBL530" s="6"/>
      <c r="IBM530" s="27"/>
      <c r="IBN530" s="40"/>
      <c r="IBO530" s="25"/>
      <c r="IBP530" s="34"/>
      <c r="IBQ530" s="6"/>
      <c r="IBR530" s="6"/>
      <c r="IBS530" s="27"/>
      <c r="IBT530" s="40"/>
      <c r="IBU530" s="25"/>
      <c r="IBV530" s="34"/>
      <c r="IBW530" s="6"/>
      <c r="IBX530" s="6"/>
      <c r="IBY530" s="27"/>
      <c r="IBZ530" s="40"/>
      <c r="ICA530" s="25"/>
      <c r="ICB530" s="34"/>
      <c r="ICC530" s="6"/>
      <c r="ICD530" s="6"/>
      <c r="ICE530" s="27"/>
      <c r="ICF530" s="40"/>
      <c r="ICG530" s="25"/>
      <c r="ICH530" s="34"/>
      <c r="ICI530" s="6"/>
      <c r="ICJ530" s="6"/>
      <c r="ICK530" s="27"/>
      <c r="ICL530" s="40"/>
      <c r="ICM530" s="25"/>
      <c r="ICN530" s="34"/>
      <c r="ICO530" s="6"/>
      <c r="ICP530" s="6"/>
      <c r="ICQ530" s="27"/>
      <c r="ICR530" s="40"/>
      <c r="ICS530" s="25"/>
      <c r="ICT530" s="34"/>
      <c r="ICU530" s="6"/>
      <c r="ICV530" s="6"/>
      <c r="ICW530" s="27"/>
      <c r="ICX530" s="40"/>
      <c r="ICY530" s="25"/>
      <c r="ICZ530" s="34"/>
      <c r="IDA530" s="6"/>
      <c r="IDB530" s="6"/>
      <c r="IDC530" s="27"/>
      <c r="IDD530" s="40"/>
      <c r="IDE530" s="25"/>
      <c r="IDF530" s="34"/>
      <c r="IDG530" s="6"/>
      <c r="IDH530" s="6"/>
      <c r="IDI530" s="27"/>
      <c r="IDJ530" s="40"/>
      <c r="IDK530" s="25"/>
      <c r="IDL530" s="34"/>
      <c r="IDM530" s="6"/>
      <c r="IDN530" s="6"/>
      <c r="IDO530" s="27"/>
      <c r="IDP530" s="40"/>
      <c r="IDQ530" s="25"/>
      <c r="IDR530" s="34"/>
      <c r="IDS530" s="6"/>
      <c r="IDT530" s="6"/>
      <c r="IDU530" s="27"/>
      <c r="IDV530" s="40"/>
      <c r="IDW530" s="25"/>
      <c r="IDX530" s="34"/>
      <c r="IDY530" s="6"/>
      <c r="IDZ530" s="6"/>
      <c r="IEA530" s="27"/>
      <c r="IEB530" s="40"/>
      <c r="IEC530" s="25"/>
      <c r="IED530" s="34"/>
      <c r="IEE530" s="6"/>
      <c r="IEF530" s="6"/>
      <c r="IEG530" s="27"/>
      <c r="IEH530" s="40"/>
      <c r="IEI530" s="25"/>
      <c r="IEJ530" s="34"/>
      <c r="IEK530" s="6"/>
      <c r="IEL530" s="6"/>
      <c r="IEM530" s="27"/>
      <c r="IEN530" s="40"/>
      <c r="IEO530" s="25"/>
      <c r="IEP530" s="34"/>
      <c r="IEQ530" s="6"/>
      <c r="IER530" s="6"/>
      <c r="IES530" s="27"/>
      <c r="IET530" s="40"/>
      <c r="IEU530" s="25"/>
      <c r="IEV530" s="34"/>
      <c r="IEW530" s="6"/>
      <c r="IEX530" s="6"/>
      <c r="IEY530" s="27"/>
      <c r="IEZ530" s="40"/>
      <c r="IFA530" s="25"/>
      <c r="IFB530" s="34"/>
      <c r="IFC530" s="6"/>
      <c r="IFD530" s="6"/>
      <c r="IFE530" s="27"/>
      <c r="IFF530" s="40"/>
      <c r="IFG530" s="25"/>
      <c r="IFH530" s="34"/>
      <c r="IFI530" s="6"/>
      <c r="IFJ530" s="6"/>
      <c r="IFK530" s="27"/>
      <c r="IFL530" s="40"/>
      <c r="IFM530" s="25"/>
      <c r="IFN530" s="34"/>
      <c r="IFO530" s="6"/>
      <c r="IFP530" s="6"/>
      <c r="IFQ530" s="27"/>
      <c r="IFR530" s="40"/>
      <c r="IFS530" s="25"/>
      <c r="IFT530" s="34"/>
      <c r="IFU530" s="6"/>
      <c r="IFV530" s="6"/>
      <c r="IFW530" s="27"/>
      <c r="IFX530" s="40"/>
      <c r="IFY530" s="25"/>
      <c r="IFZ530" s="34"/>
      <c r="IGA530" s="6"/>
      <c r="IGB530" s="6"/>
      <c r="IGC530" s="27"/>
      <c r="IGD530" s="40"/>
      <c r="IGE530" s="25"/>
      <c r="IGF530" s="34"/>
      <c r="IGG530" s="6"/>
      <c r="IGH530" s="6"/>
      <c r="IGI530" s="27"/>
      <c r="IGJ530" s="40"/>
      <c r="IGK530" s="25"/>
      <c r="IGL530" s="34"/>
      <c r="IGM530" s="6"/>
      <c r="IGN530" s="6"/>
      <c r="IGO530" s="27"/>
      <c r="IGP530" s="40"/>
      <c r="IGQ530" s="25"/>
      <c r="IGR530" s="34"/>
      <c r="IGS530" s="6"/>
      <c r="IGT530" s="6"/>
      <c r="IGU530" s="27"/>
      <c r="IGV530" s="40"/>
      <c r="IGW530" s="25"/>
      <c r="IGX530" s="34"/>
      <c r="IGY530" s="6"/>
      <c r="IGZ530" s="6"/>
      <c r="IHA530" s="27"/>
      <c r="IHB530" s="40"/>
      <c r="IHC530" s="25"/>
      <c r="IHD530" s="34"/>
      <c r="IHE530" s="6"/>
      <c r="IHF530" s="6"/>
      <c r="IHG530" s="27"/>
      <c r="IHH530" s="40"/>
      <c r="IHI530" s="25"/>
      <c r="IHJ530" s="34"/>
      <c r="IHK530" s="6"/>
      <c r="IHL530" s="6"/>
      <c r="IHM530" s="27"/>
      <c r="IHN530" s="40"/>
      <c r="IHO530" s="25"/>
      <c r="IHP530" s="34"/>
      <c r="IHQ530" s="6"/>
      <c r="IHR530" s="6"/>
      <c r="IHS530" s="27"/>
      <c r="IHT530" s="40"/>
      <c r="IHU530" s="25"/>
      <c r="IHV530" s="34"/>
      <c r="IHW530" s="6"/>
      <c r="IHX530" s="6"/>
      <c r="IHY530" s="27"/>
      <c r="IHZ530" s="40"/>
      <c r="IIA530" s="25"/>
      <c r="IIB530" s="34"/>
      <c r="IIC530" s="6"/>
      <c r="IID530" s="6"/>
      <c r="IIE530" s="27"/>
      <c r="IIF530" s="40"/>
      <c r="IIG530" s="25"/>
      <c r="IIH530" s="34"/>
      <c r="III530" s="6"/>
      <c r="IIJ530" s="6"/>
      <c r="IIK530" s="27"/>
      <c r="IIL530" s="40"/>
      <c r="IIM530" s="25"/>
      <c r="IIN530" s="34"/>
      <c r="IIO530" s="6"/>
      <c r="IIP530" s="6"/>
      <c r="IIQ530" s="27"/>
      <c r="IIR530" s="40"/>
      <c r="IIS530" s="25"/>
      <c r="IIT530" s="34"/>
      <c r="IIU530" s="6"/>
      <c r="IIV530" s="6"/>
      <c r="IIW530" s="27"/>
      <c r="IIX530" s="40"/>
      <c r="IIY530" s="25"/>
      <c r="IIZ530" s="34"/>
      <c r="IJA530" s="6"/>
      <c r="IJB530" s="6"/>
      <c r="IJC530" s="27"/>
      <c r="IJD530" s="40"/>
      <c r="IJE530" s="25"/>
      <c r="IJF530" s="34"/>
      <c r="IJG530" s="6"/>
      <c r="IJH530" s="6"/>
      <c r="IJI530" s="27"/>
      <c r="IJJ530" s="40"/>
      <c r="IJK530" s="25"/>
      <c r="IJL530" s="34"/>
      <c r="IJM530" s="6"/>
      <c r="IJN530" s="6"/>
      <c r="IJO530" s="27"/>
      <c r="IJP530" s="40"/>
      <c r="IJQ530" s="25"/>
      <c r="IJR530" s="34"/>
      <c r="IJS530" s="6"/>
      <c r="IJT530" s="6"/>
      <c r="IJU530" s="27"/>
      <c r="IJV530" s="40"/>
      <c r="IJW530" s="25"/>
      <c r="IJX530" s="34"/>
      <c r="IJY530" s="6"/>
      <c r="IJZ530" s="6"/>
      <c r="IKA530" s="27"/>
      <c r="IKB530" s="40"/>
      <c r="IKC530" s="25"/>
      <c r="IKD530" s="34"/>
      <c r="IKE530" s="6"/>
      <c r="IKF530" s="6"/>
      <c r="IKG530" s="27"/>
      <c r="IKH530" s="40"/>
      <c r="IKI530" s="25"/>
      <c r="IKJ530" s="34"/>
      <c r="IKK530" s="6"/>
      <c r="IKL530" s="6"/>
      <c r="IKM530" s="27"/>
      <c r="IKN530" s="40"/>
      <c r="IKO530" s="25"/>
      <c r="IKP530" s="34"/>
      <c r="IKQ530" s="6"/>
      <c r="IKR530" s="6"/>
      <c r="IKS530" s="27"/>
      <c r="IKT530" s="40"/>
      <c r="IKU530" s="25"/>
      <c r="IKV530" s="34"/>
      <c r="IKW530" s="6"/>
      <c r="IKX530" s="6"/>
      <c r="IKY530" s="27"/>
      <c r="IKZ530" s="40"/>
      <c r="ILA530" s="25"/>
      <c r="ILB530" s="34"/>
      <c r="ILC530" s="6"/>
      <c r="ILD530" s="6"/>
      <c r="ILE530" s="27"/>
      <c r="ILF530" s="40"/>
      <c r="ILG530" s="25"/>
      <c r="ILH530" s="34"/>
      <c r="ILI530" s="6"/>
      <c r="ILJ530" s="6"/>
      <c r="ILK530" s="27"/>
      <c r="ILL530" s="40"/>
      <c r="ILM530" s="25"/>
      <c r="ILN530" s="34"/>
      <c r="ILO530" s="6"/>
      <c r="ILP530" s="6"/>
      <c r="ILQ530" s="27"/>
      <c r="ILR530" s="40"/>
      <c r="ILS530" s="25"/>
      <c r="ILT530" s="34"/>
      <c r="ILU530" s="6"/>
      <c r="ILV530" s="6"/>
      <c r="ILW530" s="27"/>
      <c r="ILX530" s="40"/>
      <c r="ILY530" s="25"/>
      <c r="ILZ530" s="34"/>
      <c r="IMA530" s="6"/>
      <c r="IMB530" s="6"/>
      <c r="IMC530" s="27"/>
      <c r="IMD530" s="40"/>
      <c r="IME530" s="25"/>
      <c r="IMF530" s="34"/>
      <c r="IMG530" s="6"/>
      <c r="IMH530" s="6"/>
      <c r="IMI530" s="27"/>
      <c r="IMJ530" s="40"/>
      <c r="IMK530" s="25"/>
      <c r="IML530" s="34"/>
      <c r="IMM530" s="6"/>
      <c r="IMN530" s="6"/>
      <c r="IMO530" s="27"/>
      <c r="IMP530" s="40"/>
      <c r="IMQ530" s="25"/>
      <c r="IMR530" s="34"/>
      <c r="IMS530" s="6"/>
      <c r="IMT530" s="6"/>
      <c r="IMU530" s="27"/>
      <c r="IMV530" s="40"/>
      <c r="IMW530" s="25"/>
      <c r="IMX530" s="34"/>
      <c r="IMY530" s="6"/>
      <c r="IMZ530" s="6"/>
      <c r="INA530" s="27"/>
      <c r="INB530" s="40"/>
      <c r="INC530" s="25"/>
      <c r="IND530" s="34"/>
      <c r="INE530" s="6"/>
      <c r="INF530" s="6"/>
      <c r="ING530" s="27"/>
      <c r="INH530" s="40"/>
      <c r="INI530" s="25"/>
      <c r="INJ530" s="34"/>
      <c r="INK530" s="6"/>
      <c r="INL530" s="6"/>
      <c r="INM530" s="27"/>
      <c r="INN530" s="40"/>
      <c r="INO530" s="25"/>
      <c r="INP530" s="34"/>
      <c r="INQ530" s="6"/>
      <c r="INR530" s="6"/>
      <c r="INS530" s="27"/>
      <c r="INT530" s="40"/>
      <c r="INU530" s="25"/>
      <c r="INV530" s="34"/>
      <c r="INW530" s="6"/>
      <c r="INX530" s="6"/>
      <c r="INY530" s="27"/>
      <c r="INZ530" s="40"/>
      <c r="IOA530" s="25"/>
      <c r="IOB530" s="34"/>
      <c r="IOC530" s="6"/>
      <c r="IOD530" s="6"/>
      <c r="IOE530" s="27"/>
      <c r="IOF530" s="40"/>
      <c r="IOG530" s="25"/>
      <c r="IOH530" s="34"/>
      <c r="IOI530" s="6"/>
      <c r="IOJ530" s="6"/>
      <c r="IOK530" s="27"/>
      <c r="IOL530" s="40"/>
      <c r="IOM530" s="25"/>
      <c r="ION530" s="34"/>
      <c r="IOO530" s="6"/>
      <c r="IOP530" s="6"/>
      <c r="IOQ530" s="27"/>
      <c r="IOR530" s="40"/>
      <c r="IOS530" s="25"/>
      <c r="IOT530" s="34"/>
      <c r="IOU530" s="6"/>
      <c r="IOV530" s="6"/>
      <c r="IOW530" s="27"/>
      <c r="IOX530" s="40"/>
      <c r="IOY530" s="25"/>
      <c r="IOZ530" s="34"/>
      <c r="IPA530" s="6"/>
      <c r="IPB530" s="6"/>
      <c r="IPC530" s="27"/>
      <c r="IPD530" s="40"/>
      <c r="IPE530" s="25"/>
      <c r="IPF530" s="34"/>
      <c r="IPG530" s="6"/>
      <c r="IPH530" s="6"/>
      <c r="IPI530" s="27"/>
      <c r="IPJ530" s="40"/>
      <c r="IPK530" s="25"/>
      <c r="IPL530" s="34"/>
      <c r="IPM530" s="6"/>
      <c r="IPN530" s="6"/>
      <c r="IPO530" s="27"/>
      <c r="IPP530" s="40"/>
      <c r="IPQ530" s="25"/>
      <c r="IPR530" s="34"/>
      <c r="IPS530" s="6"/>
      <c r="IPT530" s="6"/>
      <c r="IPU530" s="27"/>
      <c r="IPV530" s="40"/>
      <c r="IPW530" s="25"/>
      <c r="IPX530" s="34"/>
      <c r="IPY530" s="6"/>
      <c r="IPZ530" s="6"/>
      <c r="IQA530" s="27"/>
      <c r="IQB530" s="40"/>
      <c r="IQC530" s="25"/>
      <c r="IQD530" s="34"/>
      <c r="IQE530" s="6"/>
      <c r="IQF530" s="6"/>
      <c r="IQG530" s="27"/>
      <c r="IQH530" s="40"/>
      <c r="IQI530" s="25"/>
      <c r="IQJ530" s="34"/>
      <c r="IQK530" s="6"/>
      <c r="IQL530" s="6"/>
      <c r="IQM530" s="27"/>
      <c r="IQN530" s="40"/>
      <c r="IQO530" s="25"/>
      <c r="IQP530" s="34"/>
      <c r="IQQ530" s="6"/>
      <c r="IQR530" s="6"/>
      <c r="IQS530" s="27"/>
      <c r="IQT530" s="40"/>
      <c r="IQU530" s="25"/>
      <c r="IQV530" s="34"/>
      <c r="IQW530" s="6"/>
      <c r="IQX530" s="6"/>
      <c r="IQY530" s="27"/>
      <c r="IQZ530" s="40"/>
      <c r="IRA530" s="25"/>
      <c r="IRB530" s="34"/>
      <c r="IRC530" s="6"/>
      <c r="IRD530" s="6"/>
      <c r="IRE530" s="27"/>
      <c r="IRF530" s="40"/>
      <c r="IRG530" s="25"/>
      <c r="IRH530" s="34"/>
      <c r="IRI530" s="6"/>
      <c r="IRJ530" s="6"/>
      <c r="IRK530" s="27"/>
      <c r="IRL530" s="40"/>
      <c r="IRM530" s="25"/>
      <c r="IRN530" s="34"/>
      <c r="IRO530" s="6"/>
      <c r="IRP530" s="6"/>
      <c r="IRQ530" s="27"/>
      <c r="IRR530" s="40"/>
      <c r="IRS530" s="25"/>
      <c r="IRT530" s="34"/>
      <c r="IRU530" s="6"/>
      <c r="IRV530" s="6"/>
      <c r="IRW530" s="27"/>
      <c r="IRX530" s="40"/>
      <c r="IRY530" s="25"/>
      <c r="IRZ530" s="34"/>
      <c r="ISA530" s="6"/>
      <c r="ISB530" s="6"/>
      <c r="ISC530" s="27"/>
      <c r="ISD530" s="40"/>
      <c r="ISE530" s="25"/>
      <c r="ISF530" s="34"/>
      <c r="ISG530" s="6"/>
      <c r="ISH530" s="6"/>
      <c r="ISI530" s="27"/>
      <c r="ISJ530" s="40"/>
      <c r="ISK530" s="25"/>
      <c r="ISL530" s="34"/>
      <c r="ISM530" s="6"/>
      <c r="ISN530" s="6"/>
      <c r="ISO530" s="27"/>
      <c r="ISP530" s="40"/>
      <c r="ISQ530" s="25"/>
      <c r="ISR530" s="34"/>
      <c r="ISS530" s="6"/>
      <c r="IST530" s="6"/>
      <c r="ISU530" s="27"/>
      <c r="ISV530" s="40"/>
      <c r="ISW530" s="25"/>
      <c r="ISX530" s="34"/>
      <c r="ISY530" s="6"/>
      <c r="ISZ530" s="6"/>
      <c r="ITA530" s="27"/>
      <c r="ITB530" s="40"/>
      <c r="ITC530" s="25"/>
      <c r="ITD530" s="34"/>
      <c r="ITE530" s="6"/>
      <c r="ITF530" s="6"/>
      <c r="ITG530" s="27"/>
      <c r="ITH530" s="40"/>
      <c r="ITI530" s="25"/>
      <c r="ITJ530" s="34"/>
      <c r="ITK530" s="6"/>
      <c r="ITL530" s="6"/>
      <c r="ITM530" s="27"/>
      <c r="ITN530" s="40"/>
      <c r="ITO530" s="25"/>
      <c r="ITP530" s="34"/>
      <c r="ITQ530" s="6"/>
      <c r="ITR530" s="6"/>
      <c r="ITS530" s="27"/>
      <c r="ITT530" s="40"/>
      <c r="ITU530" s="25"/>
      <c r="ITV530" s="34"/>
      <c r="ITW530" s="6"/>
      <c r="ITX530" s="6"/>
      <c r="ITY530" s="27"/>
      <c r="ITZ530" s="40"/>
      <c r="IUA530" s="25"/>
      <c r="IUB530" s="34"/>
      <c r="IUC530" s="6"/>
      <c r="IUD530" s="6"/>
      <c r="IUE530" s="27"/>
      <c r="IUF530" s="40"/>
      <c r="IUG530" s="25"/>
      <c r="IUH530" s="34"/>
      <c r="IUI530" s="6"/>
      <c r="IUJ530" s="6"/>
      <c r="IUK530" s="27"/>
      <c r="IUL530" s="40"/>
      <c r="IUM530" s="25"/>
      <c r="IUN530" s="34"/>
      <c r="IUO530" s="6"/>
      <c r="IUP530" s="6"/>
      <c r="IUQ530" s="27"/>
      <c r="IUR530" s="40"/>
      <c r="IUS530" s="25"/>
      <c r="IUT530" s="34"/>
      <c r="IUU530" s="6"/>
      <c r="IUV530" s="6"/>
      <c r="IUW530" s="27"/>
      <c r="IUX530" s="40"/>
      <c r="IUY530" s="25"/>
      <c r="IUZ530" s="34"/>
      <c r="IVA530" s="6"/>
      <c r="IVB530" s="6"/>
      <c r="IVC530" s="27"/>
      <c r="IVD530" s="40"/>
      <c r="IVE530" s="25"/>
      <c r="IVF530" s="34"/>
      <c r="IVG530" s="6"/>
      <c r="IVH530" s="6"/>
      <c r="IVI530" s="27"/>
      <c r="IVJ530" s="40"/>
      <c r="IVK530" s="25"/>
      <c r="IVL530" s="34"/>
      <c r="IVM530" s="6"/>
      <c r="IVN530" s="6"/>
      <c r="IVO530" s="27"/>
      <c r="IVP530" s="40"/>
      <c r="IVQ530" s="25"/>
      <c r="IVR530" s="34"/>
      <c r="IVS530" s="6"/>
      <c r="IVT530" s="6"/>
      <c r="IVU530" s="27"/>
      <c r="IVV530" s="40"/>
      <c r="IVW530" s="25"/>
      <c r="IVX530" s="34"/>
      <c r="IVY530" s="6"/>
      <c r="IVZ530" s="6"/>
      <c r="IWA530" s="27"/>
      <c r="IWB530" s="40"/>
      <c r="IWC530" s="25"/>
      <c r="IWD530" s="34"/>
      <c r="IWE530" s="6"/>
      <c r="IWF530" s="6"/>
      <c r="IWG530" s="27"/>
      <c r="IWH530" s="40"/>
      <c r="IWI530" s="25"/>
      <c r="IWJ530" s="34"/>
      <c r="IWK530" s="6"/>
      <c r="IWL530" s="6"/>
      <c r="IWM530" s="27"/>
      <c r="IWN530" s="40"/>
      <c r="IWO530" s="25"/>
      <c r="IWP530" s="34"/>
      <c r="IWQ530" s="6"/>
      <c r="IWR530" s="6"/>
      <c r="IWS530" s="27"/>
      <c r="IWT530" s="40"/>
      <c r="IWU530" s="25"/>
      <c r="IWV530" s="34"/>
      <c r="IWW530" s="6"/>
      <c r="IWX530" s="6"/>
      <c r="IWY530" s="27"/>
      <c r="IWZ530" s="40"/>
      <c r="IXA530" s="25"/>
      <c r="IXB530" s="34"/>
      <c r="IXC530" s="6"/>
      <c r="IXD530" s="6"/>
      <c r="IXE530" s="27"/>
      <c r="IXF530" s="40"/>
      <c r="IXG530" s="25"/>
      <c r="IXH530" s="34"/>
      <c r="IXI530" s="6"/>
      <c r="IXJ530" s="6"/>
      <c r="IXK530" s="27"/>
      <c r="IXL530" s="40"/>
      <c r="IXM530" s="25"/>
      <c r="IXN530" s="34"/>
      <c r="IXO530" s="6"/>
      <c r="IXP530" s="6"/>
      <c r="IXQ530" s="27"/>
      <c r="IXR530" s="40"/>
      <c r="IXS530" s="25"/>
      <c r="IXT530" s="34"/>
      <c r="IXU530" s="6"/>
      <c r="IXV530" s="6"/>
      <c r="IXW530" s="27"/>
      <c r="IXX530" s="40"/>
      <c r="IXY530" s="25"/>
      <c r="IXZ530" s="34"/>
      <c r="IYA530" s="6"/>
      <c r="IYB530" s="6"/>
      <c r="IYC530" s="27"/>
      <c r="IYD530" s="40"/>
      <c r="IYE530" s="25"/>
      <c r="IYF530" s="34"/>
      <c r="IYG530" s="6"/>
      <c r="IYH530" s="6"/>
      <c r="IYI530" s="27"/>
      <c r="IYJ530" s="40"/>
      <c r="IYK530" s="25"/>
      <c r="IYL530" s="34"/>
      <c r="IYM530" s="6"/>
      <c r="IYN530" s="6"/>
      <c r="IYO530" s="27"/>
      <c r="IYP530" s="40"/>
      <c r="IYQ530" s="25"/>
      <c r="IYR530" s="34"/>
      <c r="IYS530" s="6"/>
      <c r="IYT530" s="6"/>
      <c r="IYU530" s="27"/>
      <c r="IYV530" s="40"/>
      <c r="IYW530" s="25"/>
      <c r="IYX530" s="34"/>
      <c r="IYY530" s="6"/>
      <c r="IYZ530" s="6"/>
      <c r="IZA530" s="27"/>
      <c r="IZB530" s="40"/>
      <c r="IZC530" s="25"/>
      <c r="IZD530" s="34"/>
      <c r="IZE530" s="6"/>
      <c r="IZF530" s="6"/>
      <c r="IZG530" s="27"/>
      <c r="IZH530" s="40"/>
      <c r="IZI530" s="25"/>
      <c r="IZJ530" s="34"/>
      <c r="IZK530" s="6"/>
      <c r="IZL530" s="6"/>
      <c r="IZM530" s="27"/>
      <c r="IZN530" s="40"/>
      <c r="IZO530" s="25"/>
      <c r="IZP530" s="34"/>
      <c r="IZQ530" s="6"/>
      <c r="IZR530" s="6"/>
      <c r="IZS530" s="27"/>
      <c r="IZT530" s="40"/>
      <c r="IZU530" s="25"/>
      <c r="IZV530" s="34"/>
      <c r="IZW530" s="6"/>
      <c r="IZX530" s="6"/>
      <c r="IZY530" s="27"/>
      <c r="IZZ530" s="40"/>
      <c r="JAA530" s="25"/>
      <c r="JAB530" s="34"/>
      <c r="JAC530" s="6"/>
      <c r="JAD530" s="6"/>
      <c r="JAE530" s="27"/>
      <c r="JAF530" s="40"/>
      <c r="JAG530" s="25"/>
      <c r="JAH530" s="34"/>
      <c r="JAI530" s="6"/>
      <c r="JAJ530" s="6"/>
      <c r="JAK530" s="27"/>
      <c r="JAL530" s="40"/>
      <c r="JAM530" s="25"/>
      <c r="JAN530" s="34"/>
      <c r="JAO530" s="6"/>
      <c r="JAP530" s="6"/>
      <c r="JAQ530" s="27"/>
      <c r="JAR530" s="40"/>
      <c r="JAS530" s="25"/>
      <c r="JAT530" s="34"/>
      <c r="JAU530" s="6"/>
      <c r="JAV530" s="6"/>
      <c r="JAW530" s="27"/>
      <c r="JAX530" s="40"/>
      <c r="JAY530" s="25"/>
      <c r="JAZ530" s="34"/>
      <c r="JBA530" s="6"/>
      <c r="JBB530" s="6"/>
      <c r="JBC530" s="27"/>
      <c r="JBD530" s="40"/>
      <c r="JBE530" s="25"/>
      <c r="JBF530" s="34"/>
      <c r="JBG530" s="6"/>
      <c r="JBH530" s="6"/>
      <c r="JBI530" s="27"/>
      <c r="JBJ530" s="40"/>
      <c r="JBK530" s="25"/>
      <c r="JBL530" s="34"/>
      <c r="JBM530" s="6"/>
      <c r="JBN530" s="6"/>
      <c r="JBO530" s="27"/>
      <c r="JBP530" s="40"/>
      <c r="JBQ530" s="25"/>
      <c r="JBR530" s="34"/>
      <c r="JBS530" s="6"/>
      <c r="JBT530" s="6"/>
      <c r="JBU530" s="27"/>
      <c r="JBV530" s="40"/>
      <c r="JBW530" s="25"/>
      <c r="JBX530" s="34"/>
      <c r="JBY530" s="6"/>
      <c r="JBZ530" s="6"/>
      <c r="JCA530" s="27"/>
      <c r="JCB530" s="40"/>
      <c r="JCC530" s="25"/>
      <c r="JCD530" s="34"/>
      <c r="JCE530" s="6"/>
      <c r="JCF530" s="6"/>
      <c r="JCG530" s="27"/>
      <c r="JCH530" s="40"/>
      <c r="JCI530" s="25"/>
      <c r="JCJ530" s="34"/>
      <c r="JCK530" s="6"/>
      <c r="JCL530" s="6"/>
      <c r="JCM530" s="27"/>
      <c r="JCN530" s="40"/>
      <c r="JCO530" s="25"/>
      <c r="JCP530" s="34"/>
      <c r="JCQ530" s="6"/>
      <c r="JCR530" s="6"/>
      <c r="JCS530" s="27"/>
      <c r="JCT530" s="40"/>
      <c r="JCU530" s="25"/>
      <c r="JCV530" s="34"/>
      <c r="JCW530" s="6"/>
      <c r="JCX530" s="6"/>
      <c r="JCY530" s="27"/>
      <c r="JCZ530" s="40"/>
      <c r="JDA530" s="25"/>
      <c r="JDB530" s="34"/>
      <c r="JDC530" s="6"/>
      <c r="JDD530" s="6"/>
      <c r="JDE530" s="27"/>
      <c r="JDF530" s="40"/>
      <c r="JDG530" s="25"/>
      <c r="JDH530" s="34"/>
      <c r="JDI530" s="6"/>
      <c r="JDJ530" s="6"/>
      <c r="JDK530" s="27"/>
      <c r="JDL530" s="40"/>
      <c r="JDM530" s="25"/>
      <c r="JDN530" s="34"/>
      <c r="JDO530" s="6"/>
      <c r="JDP530" s="6"/>
      <c r="JDQ530" s="27"/>
      <c r="JDR530" s="40"/>
      <c r="JDS530" s="25"/>
      <c r="JDT530" s="34"/>
      <c r="JDU530" s="6"/>
      <c r="JDV530" s="6"/>
      <c r="JDW530" s="27"/>
      <c r="JDX530" s="40"/>
      <c r="JDY530" s="25"/>
      <c r="JDZ530" s="34"/>
      <c r="JEA530" s="6"/>
      <c r="JEB530" s="6"/>
      <c r="JEC530" s="27"/>
      <c r="JED530" s="40"/>
      <c r="JEE530" s="25"/>
      <c r="JEF530" s="34"/>
      <c r="JEG530" s="6"/>
      <c r="JEH530" s="6"/>
      <c r="JEI530" s="27"/>
      <c r="JEJ530" s="40"/>
      <c r="JEK530" s="25"/>
      <c r="JEL530" s="34"/>
      <c r="JEM530" s="6"/>
      <c r="JEN530" s="6"/>
      <c r="JEO530" s="27"/>
      <c r="JEP530" s="40"/>
      <c r="JEQ530" s="25"/>
      <c r="JER530" s="34"/>
      <c r="JES530" s="6"/>
      <c r="JET530" s="6"/>
      <c r="JEU530" s="27"/>
      <c r="JEV530" s="40"/>
      <c r="JEW530" s="25"/>
      <c r="JEX530" s="34"/>
      <c r="JEY530" s="6"/>
      <c r="JEZ530" s="6"/>
      <c r="JFA530" s="27"/>
      <c r="JFB530" s="40"/>
      <c r="JFC530" s="25"/>
      <c r="JFD530" s="34"/>
      <c r="JFE530" s="6"/>
      <c r="JFF530" s="6"/>
      <c r="JFG530" s="27"/>
      <c r="JFH530" s="40"/>
      <c r="JFI530" s="25"/>
      <c r="JFJ530" s="34"/>
      <c r="JFK530" s="6"/>
      <c r="JFL530" s="6"/>
      <c r="JFM530" s="27"/>
      <c r="JFN530" s="40"/>
      <c r="JFO530" s="25"/>
      <c r="JFP530" s="34"/>
      <c r="JFQ530" s="6"/>
      <c r="JFR530" s="6"/>
      <c r="JFS530" s="27"/>
      <c r="JFT530" s="40"/>
      <c r="JFU530" s="25"/>
      <c r="JFV530" s="34"/>
      <c r="JFW530" s="6"/>
      <c r="JFX530" s="6"/>
      <c r="JFY530" s="27"/>
      <c r="JFZ530" s="40"/>
      <c r="JGA530" s="25"/>
      <c r="JGB530" s="34"/>
      <c r="JGC530" s="6"/>
      <c r="JGD530" s="6"/>
      <c r="JGE530" s="27"/>
      <c r="JGF530" s="40"/>
      <c r="JGG530" s="25"/>
      <c r="JGH530" s="34"/>
      <c r="JGI530" s="6"/>
      <c r="JGJ530" s="6"/>
      <c r="JGK530" s="27"/>
      <c r="JGL530" s="40"/>
      <c r="JGM530" s="25"/>
      <c r="JGN530" s="34"/>
      <c r="JGO530" s="6"/>
      <c r="JGP530" s="6"/>
      <c r="JGQ530" s="27"/>
      <c r="JGR530" s="40"/>
      <c r="JGS530" s="25"/>
      <c r="JGT530" s="34"/>
      <c r="JGU530" s="6"/>
      <c r="JGV530" s="6"/>
      <c r="JGW530" s="27"/>
      <c r="JGX530" s="40"/>
      <c r="JGY530" s="25"/>
      <c r="JGZ530" s="34"/>
      <c r="JHA530" s="6"/>
      <c r="JHB530" s="6"/>
      <c r="JHC530" s="27"/>
      <c r="JHD530" s="40"/>
      <c r="JHE530" s="25"/>
      <c r="JHF530" s="34"/>
      <c r="JHG530" s="6"/>
      <c r="JHH530" s="6"/>
      <c r="JHI530" s="27"/>
      <c r="JHJ530" s="40"/>
      <c r="JHK530" s="25"/>
      <c r="JHL530" s="34"/>
      <c r="JHM530" s="6"/>
      <c r="JHN530" s="6"/>
      <c r="JHO530" s="27"/>
      <c r="JHP530" s="40"/>
      <c r="JHQ530" s="25"/>
      <c r="JHR530" s="34"/>
      <c r="JHS530" s="6"/>
      <c r="JHT530" s="6"/>
      <c r="JHU530" s="27"/>
      <c r="JHV530" s="40"/>
      <c r="JHW530" s="25"/>
      <c r="JHX530" s="34"/>
      <c r="JHY530" s="6"/>
      <c r="JHZ530" s="6"/>
      <c r="JIA530" s="27"/>
      <c r="JIB530" s="40"/>
      <c r="JIC530" s="25"/>
      <c r="JID530" s="34"/>
      <c r="JIE530" s="6"/>
      <c r="JIF530" s="6"/>
      <c r="JIG530" s="27"/>
      <c r="JIH530" s="40"/>
      <c r="JII530" s="25"/>
      <c r="JIJ530" s="34"/>
      <c r="JIK530" s="6"/>
      <c r="JIL530" s="6"/>
      <c r="JIM530" s="27"/>
      <c r="JIN530" s="40"/>
      <c r="JIO530" s="25"/>
      <c r="JIP530" s="34"/>
      <c r="JIQ530" s="6"/>
      <c r="JIR530" s="6"/>
      <c r="JIS530" s="27"/>
      <c r="JIT530" s="40"/>
      <c r="JIU530" s="25"/>
      <c r="JIV530" s="34"/>
      <c r="JIW530" s="6"/>
      <c r="JIX530" s="6"/>
      <c r="JIY530" s="27"/>
      <c r="JIZ530" s="40"/>
      <c r="JJA530" s="25"/>
      <c r="JJB530" s="34"/>
      <c r="JJC530" s="6"/>
      <c r="JJD530" s="6"/>
      <c r="JJE530" s="27"/>
      <c r="JJF530" s="40"/>
      <c r="JJG530" s="25"/>
      <c r="JJH530" s="34"/>
      <c r="JJI530" s="6"/>
      <c r="JJJ530" s="6"/>
      <c r="JJK530" s="27"/>
      <c r="JJL530" s="40"/>
      <c r="JJM530" s="25"/>
      <c r="JJN530" s="34"/>
      <c r="JJO530" s="6"/>
      <c r="JJP530" s="6"/>
      <c r="JJQ530" s="27"/>
      <c r="JJR530" s="40"/>
      <c r="JJS530" s="25"/>
      <c r="JJT530" s="34"/>
      <c r="JJU530" s="6"/>
      <c r="JJV530" s="6"/>
      <c r="JJW530" s="27"/>
      <c r="JJX530" s="40"/>
      <c r="JJY530" s="25"/>
      <c r="JJZ530" s="34"/>
      <c r="JKA530" s="6"/>
      <c r="JKB530" s="6"/>
      <c r="JKC530" s="27"/>
      <c r="JKD530" s="40"/>
      <c r="JKE530" s="25"/>
      <c r="JKF530" s="34"/>
      <c r="JKG530" s="6"/>
      <c r="JKH530" s="6"/>
      <c r="JKI530" s="27"/>
      <c r="JKJ530" s="40"/>
      <c r="JKK530" s="25"/>
      <c r="JKL530" s="34"/>
      <c r="JKM530" s="6"/>
      <c r="JKN530" s="6"/>
      <c r="JKO530" s="27"/>
      <c r="JKP530" s="40"/>
      <c r="JKQ530" s="25"/>
      <c r="JKR530" s="34"/>
      <c r="JKS530" s="6"/>
      <c r="JKT530" s="6"/>
      <c r="JKU530" s="27"/>
      <c r="JKV530" s="40"/>
      <c r="JKW530" s="25"/>
      <c r="JKX530" s="34"/>
      <c r="JKY530" s="6"/>
      <c r="JKZ530" s="6"/>
      <c r="JLA530" s="27"/>
      <c r="JLB530" s="40"/>
      <c r="JLC530" s="25"/>
      <c r="JLD530" s="34"/>
      <c r="JLE530" s="6"/>
      <c r="JLF530" s="6"/>
      <c r="JLG530" s="27"/>
      <c r="JLH530" s="40"/>
      <c r="JLI530" s="25"/>
      <c r="JLJ530" s="34"/>
      <c r="JLK530" s="6"/>
      <c r="JLL530" s="6"/>
      <c r="JLM530" s="27"/>
      <c r="JLN530" s="40"/>
      <c r="JLO530" s="25"/>
      <c r="JLP530" s="34"/>
      <c r="JLQ530" s="6"/>
      <c r="JLR530" s="6"/>
      <c r="JLS530" s="27"/>
      <c r="JLT530" s="40"/>
      <c r="JLU530" s="25"/>
      <c r="JLV530" s="34"/>
      <c r="JLW530" s="6"/>
      <c r="JLX530" s="6"/>
      <c r="JLY530" s="27"/>
      <c r="JLZ530" s="40"/>
      <c r="JMA530" s="25"/>
      <c r="JMB530" s="34"/>
      <c r="JMC530" s="6"/>
      <c r="JMD530" s="6"/>
      <c r="JME530" s="27"/>
      <c r="JMF530" s="40"/>
      <c r="JMG530" s="25"/>
      <c r="JMH530" s="34"/>
      <c r="JMI530" s="6"/>
      <c r="JMJ530" s="6"/>
      <c r="JMK530" s="27"/>
      <c r="JML530" s="40"/>
      <c r="JMM530" s="25"/>
      <c r="JMN530" s="34"/>
      <c r="JMO530" s="6"/>
      <c r="JMP530" s="6"/>
      <c r="JMQ530" s="27"/>
      <c r="JMR530" s="40"/>
      <c r="JMS530" s="25"/>
      <c r="JMT530" s="34"/>
      <c r="JMU530" s="6"/>
      <c r="JMV530" s="6"/>
      <c r="JMW530" s="27"/>
      <c r="JMX530" s="40"/>
      <c r="JMY530" s="25"/>
      <c r="JMZ530" s="34"/>
      <c r="JNA530" s="6"/>
      <c r="JNB530" s="6"/>
      <c r="JNC530" s="27"/>
      <c r="JND530" s="40"/>
      <c r="JNE530" s="25"/>
      <c r="JNF530" s="34"/>
      <c r="JNG530" s="6"/>
      <c r="JNH530" s="6"/>
      <c r="JNI530" s="27"/>
      <c r="JNJ530" s="40"/>
      <c r="JNK530" s="25"/>
      <c r="JNL530" s="34"/>
      <c r="JNM530" s="6"/>
      <c r="JNN530" s="6"/>
      <c r="JNO530" s="27"/>
      <c r="JNP530" s="40"/>
      <c r="JNQ530" s="25"/>
      <c r="JNR530" s="34"/>
      <c r="JNS530" s="6"/>
      <c r="JNT530" s="6"/>
      <c r="JNU530" s="27"/>
      <c r="JNV530" s="40"/>
      <c r="JNW530" s="25"/>
      <c r="JNX530" s="34"/>
      <c r="JNY530" s="6"/>
      <c r="JNZ530" s="6"/>
      <c r="JOA530" s="27"/>
      <c r="JOB530" s="40"/>
      <c r="JOC530" s="25"/>
      <c r="JOD530" s="34"/>
      <c r="JOE530" s="6"/>
      <c r="JOF530" s="6"/>
      <c r="JOG530" s="27"/>
      <c r="JOH530" s="40"/>
      <c r="JOI530" s="25"/>
      <c r="JOJ530" s="34"/>
      <c r="JOK530" s="6"/>
      <c r="JOL530" s="6"/>
      <c r="JOM530" s="27"/>
      <c r="JON530" s="40"/>
      <c r="JOO530" s="25"/>
      <c r="JOP530" s="34"/>
      <c r="JOQ530" s="6"/>
      <c r="JOR530" s="6"/>
      <c r="JOS530" s="27"/>
      <c r="JOT530" s="40"/>
      <c r="JOU530" s="25"/>
      <c r="JOV530" s="34"/>
      <c r="JOW530" s="6"/>
      <c r="JOX530" s="6"/>
      <c r="JOY530" s="27"/>
      <c r="JOZ530" s="40"/>
      <c r="JPA530" s="25"/>
      <c r="JPB530" s="34"/>
      <c r="JPC530" s="6"/>
      <c r="JPD530" s="6"/>
      <c r="JPE530" s="27"/>
      <c r="JPF530" s="40"/>
      <c r="JPG530" s="25"/>
      <c r="JPH530" s="34"/>
      <c r="JPI530" s="6"/>
      <c r="JPJ530" s="6"/>
      <c r="JPK530" s="27"/>
      <c r="JPL530" s="40"/>
      <c r="JPM530" s="25"/>
      <c r="JPN530" s="34"/>
      <c r="JPO530" s="6"/>
      <c r="JPP530" s="6"/>
      <c r="JPQ530" s="27"/>
      <c r="JPR530" s="40"/>
      <c r="JPS530" s="25"/>
      <c r="JPT530" s="34"/>
      <c r="JPU530" s="6"/>
      <c r="JPV530" s="6"/>
      <c r="JPW530" s="27"/>
      <c r="JPX530" s="40"/>
      <c r="JPY530" s="25"/>
      <c r="JPZ530" s="34"/>
      <c r="JQA530" s="6"/>
      <c r="JQB530" s="6"/>
      <c r="JQC530" s="27"/>
      <c r="JQD530" s="40"/>
      <c r="JQE530" s="25"/>
      <c r="JQF530" s="34"/>
      <c r="JQG530" s="6"/>
      <c r="JQH530" s="6"/>
      <c r="JQI530" s="27"/>
      <c r="JQJ530" s="40"/>
      <c r="JQK530" s="25"/>
      <c r="JQL530" s="34"/>
      <c r="JQM530" s="6"/>
      <c r="JQN530" s="6"/>
      <c r="JQO530" s="27"/>
      <c r="JQP530" s="40"/>
      <c r="JQQ530" s="25"/>
      <c r="JQR530" s="34"/>
      <c r="JQS530" s="6"/>
      <c r="JQT530" s="6"/>
      <c r="JQU530" s="27"/>
      <c r="JQV530" s="40"/>
      <c r="JQW530" s="25"/>
      <c r="JQX530" s="34"/>
      <c r="JQY530" s="6"/>
      <c r="JQZ530" s="6"/>
      <c r="JRA530" s="27"/>
      <c r="JRB530" s="40"/>
      <c r="JRC530" s="25"/>
      <c r="JRD530" s="34"/>
      <c r="JRE530" s="6"/>
      <c r="JRF530" s="6"/>
      <c r="JRG530" s="27"/>
      <c r="JRH530" s="40"/>
      <c r="JRI530" s="25"/>
      <c r="JRJ530" s="34"/>
      <c r="JRK530" s="6"/>
      <c r="JRL530" s="6"/>
      <c r="JRM530" s="27"/>
      <c r="JRN530" s="40"/>
      <c r="JRO530" s="25"/>
      <c r="JRP530" s="34"/>
      <c r="JRQ530" s="6"/>
      <c r="JRR530" s="6"/>
      <c r="JRS530" s="27"/>
      <c r="JRT530" s="40"/>
      <c r="JRU530" s="25"/>
      <c r="JRV530" s="34"/>
      <c r="JRW530" s="6"/>
      <c r="JRX530" s="6"/>
      <c r="JRY530" s="27"/>
      <c r="JRZ530" s="40"/>
      <c r="JSA530" s="25"/>
      <c r="JSB530" s="34"/>
      <c r="JSC530" s="6"/>
      <c r="JSD530" s="6"/>
      <c r="JSE530" s="27"/>
      <c r="JSF530" s="40"/>
      <c r="JSG530" s="25"/>
      <c r="JSH530" s="34"/>
      <c r="JSI530" s="6"/>
      <c r="JSJ530" s="6"/>
      <c r="JSK530" s="27"/>
      <c r="JSL530" s="40"/>
      <c r="JSM530" s="25"/>
      <c r="JSN530" s="34"/>
      <c r="JSO530" s="6"/>
      <c r="JSP530" s="6"/>
      <c r="JSQ530" s="27"/>
      <c r="JSR530" s="40"/>
      <c r="JSS530" s="25"/>
      <c r="JST530" s="34"/>
      <c r="JSU530" s="6"/>
      <c r="JSV530" s="6"/>
      <c r="JSW530" s="27"/>
      <c r="JSX530" s="40"/>
      <c r="JSY530" s="25"/>
      <c r="JSZ530" s="34"/>
      <c r="JTA530" s="6"/>
      <c r="JTB530" s="6"/>
      <c r="JTC530" s="27"/>
      <c r="JTD530" s="40"/>
      <c r="JTE530" s="25"/>
      <c r="JTF530" s="34"/>
      <c r="JTG530" s="6"/>
      <c r="JTH530" s="6"/>
      <c r="JTI530" s="27"/>
      <c r="JTJ530" s="40"/>
      <c r="JTK530" s="25"/>
      <c r="JTL530" s="34"/>
      <c r="JTM530" s="6"/>
      <c r="JTN530" s="6"/>
      <c r="JTO530" s="27"/>
      <c r="JTP530" s="40"/>
      <c r="JTQ530" s="25"/>
      <c r="JTR530" s="34"/>
      <c r="JTS530" s="6"/>
      <c r="JTT530" s="6"/>
      <c r="JTU530" s="27"/>
      <c r="JTV530" s="40"/>
      <c r="JTW530" s="25"/>
      <c r="JTX530" s="34"/>
      <c r="JTY530" s="6"/>
      <c r="JTZ530" s="6"/>
      <c r="JUA530" s="27"/>
      <c r="JUB530" s="40"/>
      <c r="JUC530" s="25"/>
      <c r="JUD530" s="34"/>
      <c r="JUE530" s="6"/>
      <c r="JUF530" s="6"/>
      <c r="JUG530" s="27"/>
      <c r="JUH530" s="40"/>
      <c r="JUI530" s="25"/>
      <c r="JUJ530" s="34"/>
      <c r="JUK530" s="6"/>
      <c r="JUL530" s="6"/>
      <c r="JUM530" s="27"/>
      <c r="JUN530" s="40"/>
      <c r="JUO530" s="25"/>
      <c r="JUP530" s="34"/>
      <c r="JUQ530" s="6"/>
      <c r="JUR530" s="6"/>
      <c r="JUS530" s="27"/>
      <c r="JUT530" s="40"/>
      <c r="JUU530" s="25"/>
      <c r="JUV530" s="34"/>
      <c r="JUW530" s="6"/>
      <c r="JUX530" s="6"/>
      <c r="JUY530" s="27"/>
      <c r="JUZ530" s="40"/>
      <c r="JVA530" s="25"/>
      <c r="JVB530" s="34"/>
      <c r="JVC530" s="6"/>
      <c r="JVD530" s="6"/>
      <c r="JVE530" s="27"/>
      <c r="JVF530" s="40"/>
      <c r="JVG530" s="25"/>
      <c r="JVH530" s="34"/>
      <c r="JVI530" s="6"/>
      <c r="JVJ530" s="6"/>
      <c r="JVK530" s="27"/>
      <c r="JVL530" s="40"/>
      <c r="JVM530" s="25"/>
      <c r="JVN530" s="34"/>
      <c r="JVO530" s="6"/>
      <c r="JVP530" s="6"/>
      <c r="JVQ530" s="27"/>
      <c r="JVR530" s="40"/>
      <c r="JVS530" s="25"/>
      <c r="JVT530" s="34"/>
      <c r="JVU530" s="6"/>
      <c r="JVV530" s="6"/>
      <c r="JVW530" s="27"/>
      <c r="JVX530" s="40"/>
      <c r="JVY530" s="25"/>
      <c r="JVZ530" s="34"/>
      <c r="JWA530" s="6"/>
      <c r="JWB530" s="6"/>
      <c r="JWC530" s="27"/>
      <c r="JWD530" s="40"/>
      <c r="JWE530" s="25"/>
      <c r="JWF530" s="34"/>
      <c r="JWG530" s="6"/>
      <c r="JWH530" s="6"/>
      <c r="JWI530" s="27"/>
      <c r="JWJ530" s="40"/>
      <c r="JWK530" s="25"/>
      <c r="JWL530" s="34"/>
      <c r="JWM530" s="6"/>
      <c r="JWN530" s="6"/>
      <c r="JWO530" s="27"/>
      <c r="JWP530" s="40"/>
      <c r="JWQ530" s="25"/>
      <c r="JWR530" s="34"/>
      <c r="JWS530" s="6"/>
      <c r="JWT530" s="6"/>
      <c r="JWU530" s="27"/>
      <c r="JWV530" s="40"/>
      <c r="JWW530" s="25"/>
      <c r="JWX530" s="34"/>
      <c r="JWY530" s="6"/>
      <c r="JWZ530" s="6"/>
      <c r="JXA530" s="27"/>
      <c r="JXB530" s="40"/>
      <c r="JXC530" s="25"/>
      <c r="JXD530" s="34"/>
      <c r="JXE530" s="6"/>
      <c r="JXF530" s="6"/>
      <c r="JXG530" s="27"/>
      <c r="JXH530" s="40"/>
      <c r="JXI530" s="25"/>
      <c r="JXJ530" s="34"/>
      <c r="JXK530" s="6"/>
      <c r="JXL530" s="6"/>
      <c r="JXM530" s="27"/>
      <c r="JXN530" s="40"/>
      <c r="JXO530" s="25"/>
      <c r="JXP530" s="34"/>
      <c r="JXQ530" s="6"/>
      <c r="JXR530" s="6"/>
      <c r="JXS530" s="27"/>
      <c r="JXT530" s="40"/>
      <c r="JXU530" s="25"/>
      <c r="JXV530" s="34"/>
      <c r="JXW530" s="6"/>
      <c r="JXX530" s="6"/>
      <c r="JXY530" s="27"/>
      <c r="JXZ530" s="40"/>
      <c r="JYA530" s="25"/>
      <c r="JYB530" s="34"/>
      <c r="JYC530" s="6"/>
      <c r="JYD530" s="6"/>
      <c r="JYE530" s="27"/>
      <c r="JYF530" s="40"/>
      <c r="JYG530" s="25"/>
      <c r="JYH530" s="34"/>
      <c r="JYI530" s="6"/>
      <c r="JYJ530" s="6"/>
      <c r="JYK530" s="27"/>
      <c r="JYL530" s="40"/>
      <c r="JYM530" s="25"/>
      <c r="JYN530" s="34"/>
      <c r="JYO530" s="6"/>
      <c r="JYP530" s="6"/>
      <c r="JYQ530" s="27"/>
      <c r="JYR530" s="40"/>
      <c r="JYS530" s="25"/>
      <c r="JYT530" s="34"/>
      <c r="JYU530" s="6"/>
      <c r="JYV530" s="6"/>
      <c r="JYW530" s="27"/>
      <c r="JYX530" s="40"/>
      <c r="JYY530" s="25"/>
      <c r="JYZ530" s="34"/>
      <c r="JZA530" s="6"/>
      <c r="JZB530" s="6"/>
      <c r="JZC530" s="27"/>
      <c r="JZD530" s="40"/>
      <c r="JZE530" s="25"/>
      <c r="JZF530" s="34"/>
      <c r="JZG530" s="6"/>
      <c r="JZH530" s="6"/>
      <c r="JZI530" s="27"/>
      <c r="JZJ530" s="40"/>
      <c r="JZK530" s="25"/>
      <c r="JZL530" s="34"/>
      <c r="JZM530" s="6"/>
      <c r="JZN530" s="6"/>
      <c r="JZO530" s="27"/>
      <c r="JZP530" s="40"/>
      <c r="JZQ530" s="25"/>
      <c r="JZR530" s="34"/>
      <c r="JZS530" s="6"/>
      <c r="JZT530" s="6"/>
      <c r="JZU530" s="27"/>
      <c r="JZV530" s="40"/>
      <c r="JZW530" s="25"/>
      <c r="JZX530" s="34"/>
      <c r="JZY530" s="6"/>
      <c r="JZZ530" s="6"/>
      <c r="KAA530" s="27"/>
      <c r="KAB530" s="40"/>
      <c r="KAC530" s="25"/>
      <c r="KAD530" s="34"/>
      <c r="KAE530" s="6"/>
      <c r="KAF530" s="6"/>
      <c r="KAG530" s="27"/>
      <c r="KAH530" s="40"/>
      <c r="KAI530" s="25"/>
      <c r="KAJ530" s="34"/>
      <c r="KAK530" s="6"/>
      <c r="KAL530" s="6"/>
      <c r="KAM530" s="27"/>
      <c r="KAN530" s="40"/>
      <c r="KAO530" s="25"/>
      <c r="KAP530" s="34"/>
      <c r="KAQ530" s="6"/>
      <c r="KAR530" s="6"/>
      <c r="KAS530" s="27"/>
      <c r="KAT530" s="40"/>
      <c r="KAU530" s="25"/>
      <c r="KAV530" s="34"/>
      <c r="KAW530" s="6"/>
      <c r="KAX530" s="6"/>
      <c r="KAY530" s="27"/>
      <c r="KAZ530" s="40"/>
      <c r="KBA530" s="25"/>
      <c r="KBB530" s="34"/>
      <c r="KBC530" s="6"/>
      <c r="KBD530" s="6"/>
      <c r="KBE530" s="27"/>
      <c r="KBF530" s="40"/>
      <c r="KBG530" s="25"/>
      <c r="KBH530" s="34"/>
      <c r="KBI530" s="6"/>
      <c r="KBJ530" s="6"/>
      <c r="KBK530" s="27"/>
      <c r="KBL530" s="40"/>
      <c r="KBM530" s="25"/>
      <c r="KBN530" s="34"/>
      <c r="KBO530" s="6"/>
      <c r="KBP530" s="6"/>
      <c r="KBQ530" s="27"/>
      <c r="KBR530" s="40"/>
      <c r="KBS530" s="25"/>
      <c r="KBT530" s="34"/>
      <c r="KBU530" s="6"/>
      <c r="KBV530" s="6"/>
      <c r="KBW530" s="27"/>
      <c r="KBX530" s="40"/>
      <c r="KBY530" s="25"/>
      <c r="KBZ530" s="34"/>
      <c r="KCA530" s="6"/>
      <c r="KCB530" s="6"/>
      <c r="KCC530" s="27"/>
      <c r="KCD530" s="40"/>
      <c r="KCE530" s="25"/>
      <c r="KCF530" s="34"/>
      <c r="KCG530" s="6"/>
      <c r="KCH530" s="6"/>
      <c r="KCI530" s="27"/>
      <c r="KCJ530" s="40"/>
      <c r="KCK530" s="25"/>
      <c r="KCL530" s="34"/>
      <c r="KCM530" s="6"/>
      <c r="KCN530" s="6"/>
      <c r="KCO530" s="27"/>
      <c r="KCP530" s="40"/>
      <c r="KCQ530" s="25"/>
      <c r="KCR530" s="34"/>
      <c r="KCS530" s="6"/>
      <c r="KCT530" s="6"/>
      <c r="KCU530" s="27"/>
      <c r="KCV530" s="40"/>
      <c r="KCW530" s="25"/>
      <c r="KCX530" s="34"/>
      <c r="KCY530" s="6"/>
      <c r="KCZ530" s="6"/>
      <c r="KDA530" s="27"/>
      <c r="KDB530" s="40"/>
      <c r="KDC530" s="25"/>
      <c r="KDD530" s="34"/>
      <c r="KDE530" s="6"/>
      <c r="KDF530" s="6"/>
      <c r="KDG530" s="27"/>
      <c r="KDH530" s="40"/>
      <c r="KDI530" s="25"/>
      <c r="KDJ530" s="34"/>
      <c r="KDK530" s="6"/>
      <c r="KDL530" s="6"/>
      <c r="KDM530" s="27"/>
      <c r="KDN530" s="40"/>
      <c r="KDO530" s="25"/>
      <c r="KDP530" s="34"/>
      <c r="KDQ530" s="6"/>
      <c r="KDR530" s="6"/>
      <c r="KDS530" s="27"/>
      <c r="KDT530" s="40"/>
      <c r="KDU530" s="25"/>
      <c r="KDV530" s="34"/>
      <c r="KDW530" s="6"/>
      <c r="KDX530" s="6"/>
      <c r="KDY530" s="27"/>
      <c r="KDZ530" s="40"/>
      <c r="KEA530" s="25"/>
      <c r="KEB530" s="34"/>
      <c r="KEC530" s="6"/>
      <c r="KED530" s="6"/>
      <c r="KEE530" s="27"/>
      <c r="KEF530" s="40"/>
      <c r="KEG530" s="25"/>
      <c r="KEH530" s="34"/>
      <c r="KEI530" s="6"/>
      <c r="KEJ530" s="6"/>
      <c r="KEK530" s="27"/>
      <c r="KEL530" s="40"/>
      <c r="KEM530" s="25"/>
      <c r="KEN530" s="34"/>
      <c r="KEO530" s="6"/>
      <c r="KEP530" s="6"/>
      <c r="KEQ530" s="27"/>
      <c r="KER530" s="40"/>
      <c r="KES530" s="25"/>
      <c r="KET530" s="34"/>
      <c r="KEU530" s="6"/>
      <c r="KEV530" s="6"/>
      <c r="KEW530" s="27"/>
      <c r="KEX530" s="40"/>
      <c r="KEY530" s="25"/>
      <c r="KEZ530" s="34"/>
      <c r="KFA530" s="6"/>
      <c r="KFB530" s="6"/>
      <c r="KFC530" s="27"/>
      <c r="KFD530" s="40"/>
      <c r="KFE530" s="25"/>
      <c r="KFF530" s="34"/>
      <c r="KFG530" s="6"/>
      <c r="KFH530" s="6"/>
      <c r="KFI530" s="27"/>
      <c r="KFJ530" s="40"/>
      <c r="KFK530" s="25"/>
      <c r="KFL530" s="34"/>
      <c r="KFM530" s="6"/>
      <c r="KFN530" s="6"/>
      <c r="KFO530" s="27"/>
      <c r="KFP530" s="40"/>
      <c r="KFQ530" s="25"/>
      <c r="KFR530" s="34"/>
      <c r="KFS530" s="6"/>
      <c r="KFT530" s="6"/>
      <c r="KFU530" s="27"/>
      <c r="KFV530" s="40"/>
      <c r="KFW530" s="25"/>
      <c r="KFX530" s="34"/>
      <c r="KFY530" s="6"/>
      <c r="KFZ530" s="6"/>
      <c r="KGA530" s="27"/>
      <c r="KGB530" s="40"/>
      <c r="KGC530" s="25"/>
      <c r="KGD530" s="34"/>
      <c r="KGE530" s="6"/>
      <c r="KGF530" s="6"/>
      <c r="KGG530" s="27"/>
      <c r="KGH530" s="40"/>
      <c r="KGI530" s="25"/>
      <c r="KGJ530" s="34"/>
      <c r="KGK530" s="6"/>
      <c r="KGL530" s="6"/>
      <c r="KGM530" s="27"/>
      <c r="KGN530" s="40"/>
      <c r="KGO530" s="25"/>
      <c r="KGP530" s="34"/>
      <c r="KGQ530" s="6"/>
      <c r="KGR530" s="6"/>
      <c r="KGS530" s="27"/>
      <c r="KGT530" s="40"/>
      <c r="KGU530" s="25"/>
      <c r="KGV530" s="34"/>
      <c r="KGW530" s="6"/>
      <c r="KGX530" s="6"/>
      <c r="KGY530" s="27"/>
      <c r="KGZ530" s="40"/>
      <c r="KHA530" s="25"/>
      <c r="KHB530" s="34"/>
      <c r="KHC530" s="6"/>
      <c r="KHD530" s="6"/>
      <c r="KHE530" s="27"/>
      <c r="KHF530" s="40"/>
      <c r="KHG530" s="25"/>
      <c r="KHH530" s="34"/>
      <c r="KHI530" s="6"/>
      <c r="KHJ530" s="6"/>
      <c r="KHK530" s="27"/>
      <c r="KHL530" s="40"/>
      <c r="KHM530" s="25"/>
      <c r="KHN530" s="34"/>
      <c r="KHO530" s="6"/>
      <c r="KHP530" s="6"/>
      <c r="KHQ530" s="27"/>
      <c r="KHR530" s="40"/>
      <c r="KHS530" s="25"/>
      <c r="KHT530" s="34"/>
      <c r="KHU530" s="6"/>
      <c r="KHV530" s="6"/>
      <c r="KHW530" s="27"/>
      <c r="KHX530" s="40"/>
      <c r="KHY530" s="25"/>
      <c r="KHZ530" s="34"/>
      <c r="KIA530" s="6"/>
      <c r="KIB530" s="6"/>
      <c r="KIC530" s="27"/>
      <c r="KID530" s="40"/>
      <c r="KIE530" s="25"/>
      <c r="KIF530" s="34"/>
      <c r="KIG530" s="6"/>
      <c r="KIH530" s="6"/>
      <c r="KII530" s="27"/>
      <c r="KIJ530" s="40"/>
      <c r="KIK530" s="25"/>
      <c r="KIL530" s="34"/>
      <c r="KIM530" s="6"/>
      <c r="KIN530" s="6"/>
      <c r="KIO530" s="27"/>
      <c r="KIP530" s="40"/>
      <c r="KIQ530" s="25"/>
      <c r="KIR530" s="34"/>
      <c r="KIS530" s="6"/>
      <c r="KIT530" s="6"/>
      <c r="KIU530" s="27"/>
      <c r="KIV530" s="40"/>
      <c r="KIW530" s="25"/>
      <c r="KIX530" s="34"/>
      <c r="KIY530" s="6"/>
      <c r="KIZ530" s="6"/>
      <c r="KJA530" s="27"/>
      <c r="KJB530" s="40"/>
      <c r="KJC530" s="25"/>
      <c r="KJD530" s="34"/>
      <c r="KJE530" s="6"/>
      <c r="KJF530" s="6"/>
      <c r="KJG530" s="27"/>
      <c r="KJH530" s="40"/>
      <c r="KJI530" s="25"/>
      <c r="KJJ530" s="34"/>
      <c r="KJK530" s="6"/>
      <c r="KJL530" s="6"/>
      <c r="KJM530" s="27"/>
      <c r="KJN530" s="40"/>
      <c r="KJO530" s="25"/>
      <c r="KJP530" s="34"/>
      <c r="KJQ530" s="6"/>
      <c r="KJR530" s="6"/>
      <c r="KJS530" s="27"/>
      <c r="KJT530" s="40"/>
      <c r="KJU530" s="25"/>
      <c r="KJV530" s="34"/>
      <c r="KJW530" s="6"/>
      <c r="KJX530" s="6"/>
      <c r="KJY530" s="27"/>
      <c r="KJZ530" s="40"/>
      <c r="KKA530" s="25"/>
      <c r="KKB530" s="34"/>
      <c r="KKC530" s="6"/>
      <c r="KKD530" s="6"/>
      <c r="KKE530" s="27"/>
      <c r="KKF530" s="40"/>
      <c r="KKG530" s="25"/>
      <c r="KKH530" s="34"/>
      <c r="KKI530" s="6"/>
      <c r="KKJ530" s="6"/>
      <c r="KKK530" s="27"/>
      <c r="KKL530" s="40"/>
      <c r="KKM530" s="25"/>
      <c r="KKN530" s="34"/>
      <c r="KKO530" s="6"/>
      <c r="KKP530" s="6"/>
      <c r="KKQ530" s="27"/>
      <c r="KKR530" s="40"/>
      <c r="KKS530" s="25"/>
      <c r="KKT530" s="34"/>
      <c r="KKU530" s="6"/>
      <c r="KKV530" s="6"/>
      <c r="KKW530" s="27"/>
      <c r="KKX530" s="40"/>
      <c r="KKY530" s="25"/>
      <c r="KKZ530" s="34"/>
      <c r="KLA530" s="6"/>
      <c r="KLB530" s="6"/>
      <c r="KLC530" s="27"/>
      <c r="KLD530" s="40"/>
      <c r="KLE530" s="25"/>
      <c r="KLF530" s="34"/>
      <c r="KLG530" s="6"/>
      <c r="KLH530" s="6"/>
      <c r="KLI530" s="27"/>
      <c r="KLJ530" s="40"/>
      <c r="KLK530" s="25"/>
      <c r="KLL530" s="34"/>
      <c r="KLM530" s="6"/>
      <c r="KLN530" s="6"/>
      <c r="KLO530" s="27"/>
      <c r="KLP530" s="40"/>
      <c r="KLQ530" s="25"/>
      <c r="KLR530" s="34"/>
      <c r="KLS530" s="6"/>
      <c r="KLT530" s="6"/>
      <c r="KLU530" s="27"/>
      <c r="KLV530" s="40"/>
      <c r="KLW530" s="25"/>
      <c r="KLX530" s="34"/>
      <c r="KLY530" s="6"/>
      <c r="KLZ530" s="6"/>
      <c r="KMA530" s="27"/>
      <c r="KMB530" s="40"/>
      <c r="KMC530" s="25"/>
      <c r="KMD530" s="34"/>
      <c r="KME530" s="6"/>
      <c r="KMF530" s="6"/>
      <c r="KMG530" s="27"/>
      <c r="KMH530" s="40"/>
      <c r="KMI530" s="25"/>
      <c r="KMJ530" s="34"/>
      <c r="KMK530" s="6"/>
      <c r="KML530" s="6"/>
      <c r="KMM530" s="27"/>
      <c r="KMN530" s="40"/>
      <c r="KMO530" s="25"/>
      <c r="KMP530" s="34"/>
      <c r="KMQ530" s="6"/>
      <c r="KMR530" s="6"/>
      <c r="KMS530" s="27"/>
      <c r="KMT530" s="40"/>
      <c r="KMU530" s="25"/>
      <c r="KMV530" s="34"/>
      <c r="KMW530" s="6"/>
      <c r="KMX530" s="6"/>
      <c r="KMY530" s="27"/>
      <c r="KMZ530" s="40"/>
      <c r="KNA530" s="25"/>
      <c r="KNB530" s="34"/>
      <c r="KNC530" s="6"/>
      <c r="KND530" s="6"/>
      <c r="KNE530" s="27"/>
      <c r="KNF530" s="40"/>
      <c r="KNG530" s="25"/>
      <c r="KNH530" s="34"/>
      <c r="KNI530" s="6"/>
      <c r="KNJ530" s="6"/>
      <c r="KNK530" s="27"/>
      <c r="KNL530" s="40"/>
      <c r="KNM530" s="25"/>
      <c r="KNN530" s="34"/>
      <c r="KNO530" s="6"/>
      <c r="KNP530" s="6"/>
      <c r="KNQ530" s="27"/>
      <c r="KNR530" s="40"/>
      <c r="KNS530" s="25"/>
      <c r="KNT530" s="34"/>
      <c r="KNU530" s="6"/>
      <c r="KNV530" s="6"/>
      <c r="KNW530" s="27"/>
      <c r="KNX530" s="40"/>
      <c r="KNY530" s="25"/>
      <c r="KNZ530" s="34"/>
      <c r="KOA530" s="6"/>
      <c r="KOB530" s="6"/>
      <c r="KOC530" s="27"/>
      <c r="KOD530" s="40"/>
      <c r="KOE530" s="25"/>
      <c r="KOF530" s="34"/>
      <c r="KOG530" s="6"/>
      <c r="KOH530" s="6"/>
      <c r="KOI530" s="27"/>
      <c r="KOJ530" s="40"/>
      <c r="KOK530" s="25"/>
      <c r="KOL530" s="34"/>
      <c r="KOM530" s="6"/>
      <c r="KON530" s="6"/>
      <c r="KOO530" s="27"/>
      <c r="KOP530" s="40"/>
      <c r="KOQ530" s="25"/>
      <c r="KOR530" s="34"/>
      <c r="KOS530" s="6"/>
      <c r="KOT530" s="6"/>
      <c r="KOU530" s="27"/>
      <c r="KOV530" s="40"/>
      <c r="KOW530" s="25"/>
      <c r="KOX530" s="34"/>
      <c r="KOY530" s="6"/>
      <c r="KOZ530" s="6"/>
      <c r="KPA530" s="27"/>
      <c r="KPB530" s="40"/>
      <c r="KPC530" s="25"/>
      <c r="KPD530" s="34"/>
      <c r="KPE530" s="6"/>
      <c r="KPF530" s="6"/>
      <c r="KPG530" s="27"/>
      <c r="KPH530" s="40"/>
      <c r="KPI530" s="25"/>
      <c r="KPJ530" s="34"/>
      <c r="KPK530" s="6"/>
      <c r="KPL530" s="6"/>
      <c r="KPM530" s="27"/>
      <c r="KPN530" s="40"/>
      <c r="KPO530" s="25"/>
      <c r="KPP530" s="34"/>
      <c r="KPQ530" s="6"/>
      <c r="KPR530" s="6"/>
      <c r="KPS530" s="27"/>
      <c r="KPT530" s="40"/>
      <c r="KPU530" s="25"/>
      <c r="KPV530" s="34"/>
      <c r="KPW530" s="6"/>
      <c r="KPX530" s="6"/>
      <c r="KPY530" s="27"/>
      <c r="KPZ530" s="40"/>
      <c r="KQA530" s="25"/>
      <c r="KQB530" s="34"/>
      <c r="KQC530" s="6"/>
      <c r="KQD530" s="6"/>
      <c r="KQE530" s="27"/>
      <c r="KQF530" s="40"/>
      <c r="KQG530" s="25"/>
      <c r="KQH530" s="34"/>
      <c r="KQI530" s="6"/>
      <c r="KQJ530" s="6"/>
      <c r="KQK530" s="27"/>
      <c r="KQL530" s="40"/>
      <c r="KQM530" s="25"/>
      <c r="KQN530" s="34"/>
      <c r="KQO530" s="6"/>
      <c r="KQP530" s="6"/>
      <c r="KQQ530" s="27"/>
      <c r="KQR530" s="40"/>
      <c r="KQS530" s="25"/>
      <c r="KQT530" s="34"/>
      <c r="KQU530" s="6"/>
      <c r="KQV530" s="6"/>
      <c r="KQW530" s="27"/>
      <c r="KQX530" s="40"/>
      <c r="KQY530" s="25"/>
      <c r="KQZ530" s="34"/>
      <c r="KRA530" s="6"/>
      <c r="KRB530" s="6"/>
      <c r="KRC530" s="27"/>
      <c r="KRD530" s="40"/>
      <c r="KRE530" s="25"/>
      <c r="KRF530" s="34"/>
      <c r="KRG530" s="6"/>
      <c r="KRH530" s="6"/>
      <c r="KRI530" s="27"/>
      <c r="KRJ530" s="40"/>
      <c r="KRK530" s="25"/>
      <c r="KRL530" s="34"/>
      <c r="KRM530" s="6"/>
      <c r="KRN530" s="6"/>
      <c r="KRO530" s="27"/>
      <c r="KRP530" s="40"/>
      <c r="KRQ530" s="25"/>
      <c r="KRR530" s="34"/>
      <c r="KRS530" s="6"/>
      <c r="KRT530" s="6"/>
      <c r="KRU530" s="27"/>
      <c r="KRV530" s="40"/>
      <c r="KRW530" s="25"/>
      <c r="KRX530" s="34"/>
      <c r="KRY530" s="6"/>
      <c r="KRZ530" s="6"/>
      <c r="KSA530" s="27"/>
      <c r="KSB530" s="40"/>
      <c r="KSC530" s="25"/>
      <c r="KSD530" s="34"/>
      <c r="KSE530" s="6"/>
      <c r="KSF530" s="6"/>
      <c r="KSG530" s="27"/>
      <c r="KSH530" s="40"/>
      <c r="KSI530" s="25"/>
      <c r="KSJ530" s="34"/>
      <c r="KSK530" s="6"/>
      <c r="KSL530" s="6"/>
      <c r="KSM530" s="27"/>
      <c r="KSN530" s="40"/>
      <c r="KSO530" s="25"/>
      <c r="KSP530" s="34"/>
      <c r="KSQ530" s="6"/>
      <c r="KSR530" s="6"/>
      <c r="KSS530" s="27"/>
      <c r="KST530" s="40"/>
      <c r="KSU530" s="25"/>
      <c r="KSV530" s="34"/>
      <c r="KSW530" s="6"/>
      <c r="KSX530" s="6"/>
      <c r="KSY530" s="27"/>
      <c r="KSZ530" s="40"/>
      <c r="KTA530" s="25"/>
      <c r="KTB530" s="34"/>
      <c r="KTC530" s="6"/>
      <c r="KTD530" s="6"/>
      <c r="KTE530" s="27"/>
      <c r="KTF530" s="40"/>
      <c r="KTG530" s="25"/>
      <c r="KTH530" s="34"/>
      <c r="KTI530" s="6"/>
      <c r="KTJ530" s="6"/>
      <c r="KTK530" s="27"/>
      <c r="KTL530" s="40"/>
      <c r="KTM530" s="25"/>
      <c r="KTN530" s="34"/>
      <c r="KTO530" s="6"/>
      <c r="KTP530" s="6"/>
      <c r="KTQ530" s="27"/>
      <c r="KTR530" s="40"/>
      <c r="KTS530" s="25"/>
      <c r="KTT530" s="34"/>
      <c r="KTU530" s="6"/>
      <c r="KTV530" s="6"/>
      <c r="KTW530" s="27"/>
      <c r="KTX530" s="40"/>
      <c r="KTY530" s="25"/>
      <c r="KTZ530" s="34"/>
      <c r="KUA530" s="6"/>
      <c r="KUB530" s="6"/>
      <c r="KUC530" s="27"/>
      <c r="KUD530" s="40"/>
      <c r="KUE530" s="25"/>
      <c r="KUF530" s="34"/>
      <c r="KUG530" s="6"/>
      <c r="KUH530" s="6"/>
      <c r="KUI530" s="27"/>
      <c r="KUJ530" s="40"/>
      <c r="KUK530" s="25"/>
      <c r="KUL530" s="34"/>
      <c r="KUM530" s="6"/>
      <c r="KUN530" s="6"/>
      <c r="KUO530" s="27"/>
      <c r="KUP530" s="40"/>
      <c r="KUQ530" s="25"/>
      <c r="KUR530" s="34"/>
      <c r="KUS530" s="6"/>
      <c r="KUT530" s="6"/>
      <c r="KUU530" s="27"/>
      <c r="KUV530" s="40"/>
      <c r="KUW530" s="25"/>
      <c r="KUX530" s="34"/>
      <c r="KUY530" s="6"/>
      <c r="KUZ530" s="6"/>
      <c r="KVA530" s="27"/>
      <c r="KVB530" s="40"/>
      <c r="KVC530" s="25"/>
      <c r="KVD530" s="34"/>
      <c r="KVE530" s="6"/>
      <c r="KVF530" s="6"/>
      <c r="KVG530" s="27"/>
      <c r="KVH530" s="40"/>
      <c r="KVI530" s="25"/>
      <c r="KVJ530" s="34"/>
      <c r="KVK530" s="6"/>
      <c r="KVL530" s="6"/>
      <c r="KVM530" s="27"/>
      <c r="KVN530" s="40"/>
      <c r="KVO530" s="25"/>
      <c r="KVP530" s="34"/>
      <c r="KVQ530" s="6"/>
      <c r="KVR530" s="6"/>
      <c r="KVS530" s="27"/>
      <c r="KVT530" s="40"/>
      <c r="KVU530" s="25"/>
      <c r="KVV530" s="34"/>
      <c r="KVW530" s="6"/>
      <c r="KVX530" s="6"/>
      <c r="KVY530" s="27"/>
      <c r="KVZ530" s="40"/>
      <c r="KWA530" s="25"/>
      <c r="KWB530" s="34"/>
      <c r="KWC530" s="6"/>
      <c r="KWD530" s="6"/>
      <c r="KWE530" s="27"/>
      <c r="KWF530" s="40"/>
      <c r="KWG530" s="25"/>
      <c r="KWH530" s="34"/>
      <c r="KWI530" s="6"/>
      <c r="KWJ530" s="6"/>
      <c r="KWK530" s="27"/>
      <c r="KWL530" s="40"/>
      <c r="KWM530" s="25"/>
      <c r="KWN530" s="34"/>
      <c r="KWO530" s="6"/>
      <c r="KWP530" s="6"/>
      <c r="KWQ530" s="27"/>
      <c r="KWR530" s="40"/>
      <c r="KWS530" s="25"/>
      <c r="KWT530" s="34"/>
      <c r="KWU530" s="6"/>
      <c r="KWV530" s="6"/>
      <c r="KWW530" s="27"/>
      <c r="KWX530" s="40"/>
      <c r="KWY530" s="25"/>
      <c r="KWZ530" s="34"/>
      <c r="KXA530" s="6"/>
      <c r="KXB530" s="6"/>
      <c r="KXC530" s="27"/>
      <c r="KXD530" s="40"/>
      <c r="KXE530" s="25"/>
      <c r="KXF530" s="34"/>
      <c r="KXG530" s="6"/>
      <c r="KXH530" s="6"/>
      <c r="KXI530" s="27"/>
      <c r="KXJ530" s="40"/>
      <c r="KXK530" s="25"/>
      <c r="KXL530" s="34"/>
      <c r="KXM530" s="6"/>
      <c r="KXN530" s="6"/>
      <c r="KXO530" s="27"/>
      <c r="KXP530" s="40"/>
      <c r="KXQ530" s="25"/>
      <c r="KXR530" s="34"/>
      <c r="KXS530" s="6"/>
      <c r="KXT530" s="6"/>
      <c r="KXU530" s="27"/>
      <c r="KXV530" s="40"/>
      <c r="KXW530" s="25"/>
      <c r="KXX530" s="34"/>
      <c r="KXY530" s="6"/>
      <c r="KXZ530" s="6"/>
      <c r="KYA530" s="27"/>
      <c r="KYB530" s="40"/>
      <c r="KYC530" s="25"/>
      <c r="KYD530" s="34"/>
      <c r="KYE530" s="6"/>
      <c r="KYF530" s="6"/>
      <c r="KYG530" s="27"/>
      <c r="KYH530" s="40"/>
      <c r="KYI530" s="25"/>
      <c r="KYJ530" s="34"/>
      <c r="KYK530" s="6"/>
      <c r="KYL530" s="6"/>
      <c r="KYM530" s="27"/>
      <c r="KYN530" s="40"/>
      <c r="KYO530" s="25"/>
      <c r="KYP530" s="34"/>
      <c r="KYQ530" s="6"/>
      <c r="KYR530" s="6"/>
      <c r="KYS530" s="27"/>
      <c r="KYT530" s="40"/>
      <c r="KYU530" s="25"/>
      <c r="KYV530" s="34"/>
      <c r="KYW530" s="6"/>
      <c r="KYX530" s="6"/>
      <c r="KYY530" s="27"/>
      <c r="KYZ530" s="40"/>
      <c r="KZA530" s="25"/>
      <c r="KZB530" s="34"/>
      <c r="KZC530" s="6"/>
      <c r="KZD530" s="6"/>
      <c r="KZE530" s="27"/>
      <c r="KZF530" s="40"/>
      <c r="KZG530" s="25"/>
      <c r="KZH530" s="34"/>
      <c r="KZI530" s="6"/>
      <c r="KZJ530" s="6"/>
      <c r="KZK530" s="27"/>
      <c r="KZL530" s="40"/>
      <c r="KZM530" s="25"/>
      <c r="KZN530" s="34"/>
      <c r="KZO530" s="6"/>
      <c r="KZP530" s="6"/>
      <c r="KZQ530" s="27"/>
      <c r="KZR530" s="40"/>
      <c r="KZS530" s="25"/>
      <c r="KZT530" s="34"/>
      <c r="KZU530" s="6"/>
      <c r="KZV530" s="6"/>
      <c r="KZW530" s="27"/>
      <c r="KZX530" s="40"/>
      <c r="KZY530" s="25"/>
      <c r="KZZ530" s="34"/>
      <c r="LAA530" s="6"/>
      <c r="LAB530" s="6"/>
      <c r="LAC530" s="27"/>
      <c r="LAD530" s="40"/>
      <c r="LAE530" s="25"/>
      <c r="LAF530" s="34"/>
      <c r="LAG530" s="6"/>
      <c r="LAH530" s="6"/>
      <c r="LAI530" s="27"/>
      <c r="LAJ530" s="40"/>
      <c r="LAK530" s="25"/>
      <c r="LAL530" s="34"/>
      <c r="LAM530" s="6"/>
      <c r="LAN530" s="6"/>
      <c r="LAO530" s="27"/>
      <c r="LAP530" s="40"/>
      <c r="LAQ530" s="25"/>
      <c r="LAR530" s="34"/>
      <c r="LAS530" s="6"/>
      <c r="LAT530" s="6"/>
      <c r="LAU530" s="27"/>
      <c r="LAV530" s="40"/>
      <c r="LAW530" s="25"/>
      <c r="LAX530" s="34"/>
      <c r="LAY530" s="6"/>
      <c r="LAZ530" s="6"/>
      <c r="LBA530" s="27"/>
      <c r="LBB530" s="40"/>
      <c r="LBC530" s="25"/>
      <c r="LBD530" s="34"/>
      <c r="LBE530" s="6"/>
      <c r="LBF530" s="6"/>
      <c r="LBG530" s="27"/>
      <c r="LBH530" s="40"/>
      <c r="LBI530" s="25"/>
      <c r="LBJ530" s="34"/>
      <c r="LBK530" s="6"/>
      <c r="LBL530" s="6"/>
      <c r="LBM530" s="27"/>
      <c r="LBN530" s="40"/>
      <c r="LBO530" s="25"/>
      <c r="LBP530" s="34"/>
      <c r="LBQ530" s="6"/>
      <c r="LBR530" s="6"/>
      <c r="LBS530" s="27"/>
      <c r="LBT530" s="40"/>
      <c r="LBU530" s="25"/>
      <c r="LBV530" s="34"/>
      <c r="LBW530" s="6"/>
      <c r="LBX530" s="6"/>
      <c r="LBY530" s="27"/>
      <c r="LBZ530" s="40"/>
      <c r="LCA530" s="25"/>
      <c r="LCB530" s="34"/>
      <c r="LCC530" s="6"/>
      <c r="LCD530" s="6"/>
      <c r="LCE530" s="27"/>
      <c r="LCF530" s="40"/>
      <c r="LCG530" s="25"/>
      <c r="LCH530" s="34"/>
      <c r="LCI530" s="6"/>
      <c r="LCJ530" s="6"/>
      <c r="LCK530" s="27"/>
      <c r="LCL530" s="40"/>
      <c r="LCM530" s="25"/>
      <c r="LCN530" s="34"/>
      <c r="LCO530" s="6"/>
      <c r="LCP530" s="6"/>
      <c r="LCQ530" s="27"/>
      <c r="LCR530" s="40"/>
      <c r="LCS530" s="25"/>
      <c r="LCT530" s="34"/>
      <c r="LCU530" s="6"/>
      <c r="LCV530" s="6"/>
      <c r="LCW530" s="27"/>
      <c r="LCX530" s="40"/>
      <c r="LCY530" s="25"/>
      <c r="LCZ530" s="34"/>
      <c r="LDA530" s="6"/>
      <c r="LDB530" s="6"/>
      <c r="LDC530" s="27"/>
      <c r="LDD530" s="40"/>
      <c r="LDE530" s="25"/>
      <c r="LDF530" s="34"/>
      <c r="LDG530" s="6"/>
      <c r="LDH530" s="6"/>
      <c r="LDI530" s="27"/>
      <c r="LDJ530" s="40"/>
      <c r="LDK530" s="25"/>
      <c r="LDL530" s="34"/>
      <c r="LDM530" s="6"/>
      <c r="LDN530" s="6"/>
      <c r="LDO530" s="27"/>
      <c r="LDP530" s="40"/>
      <c r="LDQ530" s="25"/>
      <c r="LDR530" s="34"/>
      <c r="LDS530" s="6"/>
      <c r="LDT530" s="6"/>
      <c r="LDU530" s="27"/>
      <c r="LDV530" s="40"/>
      <c r="LDW530" s="25"/>
      <c r="LDX530" s="34"/>
      <c r="LDY530" s="6"/>
      <c r="LDZ530" s="6"/>
      <c r="LEA530" s="27"/>
      <c r="LEB530" s="40"/>
      <c r="LEC530" s="25"/>
      <c r="LED530" s="34"/>
      <c r="LEE530" s="6"/>
      <c r="LEF530" s="6"/>
      <c r="LEG530" s="27"/>
      <c r="LEH530" s="40"/>
      <c r="LEI530" s="25"/>
      <c r="LEJ530" s="34"/>
      <c r="LEK530" s="6"/>
      <c r="LEL530" s="6"/>
      <c r="LEM530" s="27"/>
      <c r="LEN530" s="40"/>
      <c r="LEO530" s="25"/>
      <c r="LEP530" s="34"/>
      <c r="LEQ530" s="6"/>
      <c r="LER530" s="6"/>
      <c r="LES530" s="27"/>
      <c r="LET530" s="40"/>
      <c r="LEU530" s="25"/>
      <c r="LEV530" s="34"/>
      <c r="LEW530" s="6"/>
      <c r="LEX530" s="6"/>
      <c r="LEY530" s="27"/>
      <c r="LEZ530" s="40"/>
      <c r="LFA530" s="25"/>
      <c r="LFB530" s="34"/>
      <c r="LFC530" s="6"/>
      <c r="LFD530" s="6"/>
      <c r="LFE530" s="27"/>
      <c r="LFF530" s="40"/>
      <c r="LFG530" s="25"/>
      <c r="LFH530" s="34"/>
      <c r="LFI530" s="6"/>
      <c r="LFJ530" s="6"/>
      <c r="LFK530" s="27"/>
      <c r="LFL530" s="40"/>
      <c r="LFM530" s="25"/>
      <c r="LFN530" s="34"/>
      <c r="LFO530" s="6"/>
      <c r="LFP530" s="6"/>
      <c r="LFQ530" s="27"/>
      <c r="LFR530" s="40"/>
      <c r="LFS530" s="25"/>
      <c r="LFT530" s="34"/>
      <c r="LFU530" s="6"/>
      <c r="LFV530" s="6"/>
      <c r="LFW530" s="27"/>
      <c r="LFX530" s="40"/>
      <c r="LFY530" s="25"/>
      <c r="LFZ530" s="34"/>
      <c r="LGA530" s="6"/>
      <c r="LGB530" s="6"/>
      <c r="LGC530" s="27"/>
      <c r="LGD530" s="40"/>
      <c r="LGE530" s="25"/>
      <c r="LGF530" s="34"/>
      <c r="LGG530" s="6"/>
      <c r="LGH530" s="6"/>
      <c r="LGI530" s="27"/>
      <c r="LGJ530" s="40"/>
      <c r="LGK530" s="25"/>
      <c r="LGL530" s="34"/>
      <c r="LGM530" s="6"/>
      <c r="LGN530" s="6"/>
      <c r="LGO530" s="27"/>
      <c r="LGP530" s="40"/>
      <c r="LGQ530" s="25"/>
      <c r="LGR530" s="34"/>
      <c r="LGS530" s="6"/>
      <c r="LGT530" s="6"/>
      <c r="LGU530" s="27"/>
      <c r="LGV530" s="40"/>
      <c r="LGW530" s="25"/>
      <c r="LGX530" s="34"/>
      <c r="LGY530" s="6"/>
      <c r="LGZ530" s="6"/>
      <c r="LHA530" s="27"/>
      <c r="LHB530" s="40"/>
      <c r="LHC530" s="25"/>
      <c r="LHD530" s="34"/>
      <c r="LHE530" s="6"/>
      <c r="LHF530" s="6"/>
      <c r="LHG530" s="27"/>
      <c r="LHH530" s="40"/>
      <c r="LHI530" s="25"/>
      <c r="LHJ530" s="34"/>
      <c r="LHK530" s="6"/>
      <c r="LHL530" s="6"/>
      <c r="LHM530" s="27"/>
      <c r="LHN530" s="40"/>
      <c r="LHO530" s="25"/>
      <c r="LHP530" s="34"/>
      <c r="LHQ530" s="6"/>
      <c r="LHR530" s="6"/>
      <c r="LHS530" s="27"/>
      <c r="LHT530" s="40"/>
      <c r="LHU530" s="25"/>
      <c r="LHV530" s="34"/>
      <c r="LHW530" s="6"/>
      <c r="LHX530" s="6"/>
      <c r="LHY530" s="27"/>
      <c r="LHZ530" s="40"/>
      <c r="LIA530" s="25"/>
      <c r="LIB530" s="34"/>
      <c r="LIC530" s="6"/>
      <c r="LID530" s="6"/>
      <c r="LIE530" s="27"/>
      <c r="LIF530" s="40"/>
      <c r="LIG530" s="25"/>
      <c r="LIH530" s="34"/>
      <c r="LII530" s="6"/>
      <c r="LIJ530" s="6"/>
      <c r="LIK530" s="27"/>
      <c r="LIL530" s="40"/>
      <c r="LIM530" s="25"/>
      <c r="LIN530" s="34"/>
      <c r="LIO530" s="6"/>
      <c r="LIP530" s="6"/>
      <c r="LIQ530" s="27"/>
      <c r="LIR530" s="40"/>
      <c r="LIS530" s="25"/>
      <c r="LIT530" s="34"/>
      <c r="LIU530" s="6"/>
      <c r="LIV530" s="6"/>
      <c r="LIW530" s="27"/>
      <c r="LIX530" s="40"/>
      <c r="LIY530" s="25"/>
      <c r="LIZ530" s="34"/>
      <c r="LJA530" s="6"/>
      <c r="LJB530" s="6"/>
      <c r="LJC530" s="27"/>
      <c r="LJD530" s="40"/>
      <c r="LJE530" s="25"/>
      <c r="LJF530" s="34"/>
      <c r="LJG530" s="6"/>
      <c r="LJH530" s="6"/>
      <c r="LJI530" s="27"/>
      <c r="LJJ530" s="40"/>
      <c r="LJK530" s="25"/>
      <c r="LJL530" s="34"/>
      <c r="LJM530" s="6"/>
      <c r="LJN530" s="6"/>
      <c r="LJO530" s="27"/>
      <c r="LJP530" s="40"/>
      <c r="LJQ530" s="25"/>
      <c r="LJR530" s="34"/>
      <c r="LJS530" s="6"/>
      <c r="LJT530" s="6"/>
      <c r="LJU530" s="27"/>
      <c r="LJV530" s="40"/>
      <c r="LJW530" s="25"/>
      <c r="LJX530" s="34"/>
      <c r="LJY530" s="6"/>
      <c r="LJZ530" s="6"/>
      <c r="LKA530" s="27"/>
      <c r="LKB530" s="40"/>
      <c r="LKC530" s="25"/>
      <c r="LKD530" s="34"/>
      <c r="LKE530" s="6"/>
      <c r="LKF530" s="6"/>
      <c r="LKG530" s="27"/>
      <c r="LKH530" s="40"/>
      <c r="LKI530" s="25"/>
      <c r="LKJ530" s="34"/>
      <c r="LKK530" s="6"/>
      <c r="LKL530" s="6"/>
      <c r="LKM530" s="27"/>
      <c r="LKN530" s="40"/>
      <c r="LKO530" s="25"/>
      <c r="LKP530" s="34"/>
      <c r="LKQ530" s="6"/>
      <c r="LKR530" s="6"/>
      <c r="LKS530" s="27"/>
      <c r="LKT530" s="40"/>
      <c r="LKU530" s="25"/>
      <c r="LKV530" s="34"/>
      <c r="LKW530" s="6"/>
      <c r="LKX530" s="6"/>
      <c r="LKY530" s="27"/>
      <c r="LKZ530" s="40"/>
      <c r="LLA530" s="25"/>
      <c r="LLB530" s="34"/>
      <c r="LLC530" s="6"/>
      <c r="LLD530" s="6"/>
      <c r="LLE530" s="27"/>
      <c r="LLF530" s="40"/>
      <c r="LLG530" s="25"/>
      <c r="LLH530" s="34"/>
      <c r="LLI530" s="6"/>
      <c r="LLJ530" s="6"/>
      <c r="LLK530" s="27"/>
      <c r="LLL530" s="40"/>
      <c r="LLM530" s="25"/>
      <c r="LLN530" s="34"/>
      <c r="LLO530" s="6"/>
      <c r="LLP530" s="6"/>
      <c r="LLQ530" s="27"/>
      <c r="LLR530" s="40"/>
      <c r="LLS530" s="25"/>
      <c r="LLT530" s="34"/>
      <c r="LLU530" s="6"/>
      <c r="LLV530" s="6"/>
      <c r="LLW530" s="27"/>
      <c r="LLX530" s="40"/>
      <c r="LLY530" s="25"/>
      <c r="LLZ530" s="34"/>
      <c r="LMA530" s="6"/>
      <c r="LMB530" s="6"/>
      <c r="LMC530" s="27"/>
      <c r="LMD530" s="40"/>
      <c r="LME530" s="25"/>
      <c r="LMF530" s="34"/>
      <c r="LMG530" s="6"/>
      <c r="LMH530" s="6"/>
      <c r="LMI530" s="27"/>
      <c r="LMJ530" s="40"/>
      <c r="LMK530" s="25"/>
      <c r="LML530" s="34"/>
      <c r="LMM530" s="6"/>
      <c r="LMN530" s="6"/>
      <c r="LMO530" s="27"/>
      <c r="LMP530" s="40"/>
      <c r="LMQ530" s="25"/>
      <c r="LMR530" s="34"/>
      <c r="LMS530" s="6"/>
      <c r="LMT530" s="6"/>
      <c r="LMU530" s="27"/>
      <c r="LMV530" s="40"/>
      <c r="LMW530" s="25"/>
      <c r="LMX530" s="34"/>
      <c r="LMY530" s="6"/>
      <c r="LMZ530" s="6"/>
      <c r="LNA530" s="27"/>
      <c r="LNB530" s="40"/>
      <c r="LNC530" s="25"/>
      <c r="LND530" s="34"/>
      <c r="LNE530" s="6"/>
      <c r="LNF530" s="6"/>
      <c r="LNG530" s="27"/>
      <c r="LNH530" s="40"/>
      <c r="LNI530" s="25"/>
      <c r="LNJ530" s="34"/>
      <c r="LNK530" s="6"/>
      <c r="LNL530" s="6"/>
      <c r="LNM530" s="27"/>
      <c r="LNN530" s="40"/>
      <c r="LNO530" s="25"/>
      <c r="LNP530" s="34"/>
      <c r="LNQ530" s="6"/>
      <c r="LNR530" s="6"/>
      <c r="LNS530" s="27"/>
      <c r="LNT530" s="40"/>
      <c r="LNU530" s="25"/>
      <c r="LNV530" s="34"/>
      <c r="LNW530" s="6"/>
      <c r="LNX530" s="6"/>
      <c r="LNY530" s="27"/>
      <c r="LNZ530" s="40"/>
      <c r="LOA530" s="25"/>
      <c r="LOB530" s="34"/>
      <c r="LOC530" s="6"/>
      <c r="LOD530" s="6"/>
      <c r="LOE530" s="27"/>
      <c r="LOF530" s="40"/>
      <c r="LOG530" s="25"/>
      <c r="LOH530" s="34"/>
      <c r="LOI530" s="6"/>
      <c r="LOJ530" s="6"/>
      <c r="LOK530" s="27"/>
      <c r="LOL530" s="40"/>
      <c r="LOM530" s="25"/>
      <c r="LON530" s="34"/>
      <c r="LOO530" s="6"/>
      <c r="LOP530" s="6"/>
      <c r="LOQ530" s="27"/>
      <c r="LOR530" s="40"/>
      <c r="LOS530" s="25"/>
      <c r="LOT530" s="34"/>
      <c r="LOU530" s="6"/>
      <c r="LOV530" s="6"/>
      <c r="LOW530" s="27"/>
      <c r="LOX530" s="40"/>
      <c r="LOY530" s="25"/>
      <c r="LOZ530" s="34"/>
      <c r="LPA530" s="6"/>
      <c r="LPB530" s="6"/>
      <c r="LPC530" s="27"/>
      <c r="LPD530" s="40"/>
      <c r="LPE530" s="25"/>
      <c r="LPF530" s="34"/>
      <c r="LPG530" s="6"/>
      <c r="LPH530" s="6"/>
      <c r="LPI530" s="27"/>
      <c r="LPJ530" s="40"/>
      <c r="LPK530" s="25"/>
      <c r="LPL530" s="34"/>
      <c r="LPM530" s="6"/>
      <c r="LPN530" s="6"/>
      <c r="LPO530" s="27"/>
      <c r="LPP530" s="40"/>
      <c r="LPQ530" s="25"/>
      <c r="LPR530" s="34"/>
      <c r="LPS530" s="6"/>
      <c r="LPT530" s="6"/>
      <c r="LPU530" s="27"/>
      <c r="LPV530" s="40"/>
      <c r="LPW530" s="25"/>
      <c r="LPX530" s="34"/>
      <c r="LPY530" s="6"/>
      <c r="LPZ530" s="6"/>
      <c r="LQA530" s="27"/>
      <c r="LQB530" s="40"/>
      <c r="LQC530" s="25"/>
      <c r="LQD530" s="34"/>
      <c r="LQE530" s="6"/>
      <c r="LQF530" s="6"/>
      <c r="LQG530" s="27"/>
      <c r="LQH530" s="40"/>
      <c r="LQI530" s="25"/>
      <c r="LQJ530" s="34"/>
      <c r="LQK530" s="6"/>
      <c r="LQL530" s="6"/>
      <c r="LQM530" s="27"/>
      <c r="LQN530" s="40"/>
      <c r="LQO530" s="25"/>
      <c r="LQP530" s="34"/>
      <c r="LQQ530" s="6"/>
      <c r="LQR530" s="6"/>
      <c r="LQS530" s="27"/>
      <c r="LQT530" s="40"/>
      <c r="LQU530" s="25"/>
      <c r="LQV530" s="34"/>
      <c r="LQW530" s="6"/>
      <c r="LQX530" s="6"/>
      <c r="LQY530" s="27"/>
      <c r="LQZ530" s="40"/>
      <c r="LRA530" s="25"/>
      <c r="LRB530" s="34"/>
      <c r="LRC530" s="6"/>
      <c r="LRD530" s="6"/>
      <c r="LRE530" s="27"/>
      <c r="LRF530" s="40"/>
      <c r="LRG530" s="25"/>
      <c r="LRH530" s="34"/>
      <c r="LRI530" s="6"/>
      <c r="LRJ530" s="6"/>
      <c r="LRK530" s="27"/>
      <c r="LRL530" s="40"/>
      <c r="LRM530" s="25"/>
      <c r="LRN530" s="34"/>
      <c r="LRO530" s="6"/>
      <c r="LRP530" s="6"/>
      <c r="LRQ530" s="27"/>
      <c r="LRR530" s="40"/>
      <c r="LRS530" s="25"/>
      <c r="LRT530" s="34"/>
      <c r="LRU530" s="6"/>
      <c r="LRV530" s="6"/>
      <c r="LRW530" s="27"/>
      <c r="LRX530" s="40"/>
      <c r="LRY530" s="25"/>
      <c r="LRZ530" s="34"/>
      <c r="LSA530" s="6"/>
      <c r="LSB530" s="6"/>
      <c r="LSC530" s="27"/>
      <c r="LSD530" s="40"/>
      <c r="LSE530" s="25"/>
      <c r="LSF530" s="34"/>
      <c r="LSG530" s="6"/>
      <c r="LSH530" s="6"/>
      <c r="LSI530" s="27"/>
      <c r="LSJ530" s="40"/>
      <c r="LSK530" s="25"/>
      <c r="LSL530" s="34"/>
      <c r="LSM530" s="6"/>
      <c r="LSN530" s="6"/>
      <c r="LSO530" s="27"/>
      <c r="LSP530" s="40"/>
      <c r="LSQ530" s="25"/>
      <c r="LSR530" s="34"/>
      <c r="LSS530" s="6"/>
      <c r="LST530" s="6"/>
      <c r="LSU530" s="27"/>
      <c r="LSV530" s="40"/>
      <c r="LSW530" s="25"/>
      <c r="LSX530" s="34"/>
      <c r="LSY530" s="6"/>
      <c r="LSZ530" s="6"/>
      <c r="LTA530" s="27"/>
      <c r="LTB530" s="40"/>
      <c r="LTC530" s="25"/>
      <c r="LTD530" s="34"/>
      <c r="LTE530" s="6"/>
      <c r="LTF530" s="6"/>
      <c r="LTG530" s="27"/>
      <c r="LTH530" s="40"/>
      <c r="LTI530" s="25"/>
      <c r="LTJ530" s="34"/>
      <c r="LTK530" s="6"/>
      <c r="LTL530" s="6"/>
      <c r="LTM530" s="27"/>
      <c r="LTN530" s="40"/>
      <c r="LTO530" s="25"/>
      <c r="LTP530" s="34"/>
      <c r="LTQ530" s="6"/>
      <c r="LTR530" s="6"/>
      <c r="LTS530" s="27"/>
      <c r="LTT530" s="40"/>
      <c r="LTU530" s="25"/>
      <c r="LTV530" s="34"/>
      <c r="LTW530" s="6"/>
      <c r="LTX530" s="6"/>
      <c r="LTY530" s="27"/>
      <c r="LTZ530" s="40"/>
      <c r="LUA530" s="25"/>
      <c r="LUB530" s="34"/>
      <c r="LUC530" s="6"/>
      <c r="LUD530" s="6"/>
      <c r="LUE530" s="27"/>
      <c r="LUF530" s="40"/>
      <c r="LUG530" s="25"/>
      <c r="LUH530" s="34"/>
      <c r="LUI530" s="6"/>
      <c r="LUJ530" s="6"/>
      <c r="LUK530" s="27"/>
      <c r="LUL530" s="40"/>
      <c r="LUM530" s="25"/>
      <c r="LUN530" s="34"/>
      <c r="LUO530" s="6"/>
      <c r="LUP530" s="6"/>
      <c r="LUQ530" s="27"/>
      <c r="LUR530" s="40"/>
      <c r="LUS530" s="25"/>
      <c r="LUT530" s="34"/>
      <c r="LUU530" s="6"/>
      <c r="LUV530" s="6"/>
      <c r="LUW530" s="27"/>
      <c r="LUX530" s="40"/>
      <c r="LUY530" s="25"/>
      <c r="LUZ530" s="34"/>
      <c r="LVA530" s="6"/>
      <c r="LVB530" s="6"/>
      <c r="LVC530" s="27"/>
      <c r="LVD530" s="40"/>
      <c r="LVE530" s="25"/>
      <c r="LVF530" s="34"/>
      <c r="LVG530" s="6"/>
      <c r="LVH530" s="6"/>
      <c r="LVI530" s="27"/>
      <c r="LVJ530" s="40"/>
      <c r="LVK530" s="25"/>
      <c r="LVL530" s="34"/>
      <c r="LVM530" s="6"/>
      <c r="LVN530" s="6"/>
      <c r="LVO530" s="27"/>
      <c r="LVP530" s="40"/>
      <c r="LVQ530" s="25"/>
      <c r="LVR530" s="34"/>
      <c r="LVS530" s="6"/>
      <c r="LVT530" s="6"/>
      <c r="LVU530" s="27"/>
      <c r="LVV530" s="40"/>
      <c r="LVW530" s="25"/>
      <c r="LVX530" s="34"/>
      <c r="LVY530" s="6"/>
      <c r="LVZ530" s="6"/>
      <c r="LWA530" s="27"/>
      <c r="LWB530" s="40"/>
      <c r="LWC530" s="25"/>
      <c r="LWD530" s="34"/>
      <c r="LWE530" s="6"/>
      <c r="LWF530" s="6"/>
      <c r="LWG530" s="27"/>
      <c r="LWH530" s="40"/>
      <c r="LWI530" s="25"/>
      <c r="LWJ530" s="34"/>
      <c r="LWK530" s="6"/>
      <c r="LWL530" s="6"/>
      <c r="LWM530" s="27"/>
      <c r="LWN530" s="40"/>
      <c r="LWO530" s="25"/>
      <c r="LWP530" s="34"/>
      <c r="LWQ530" s="6"/>
      <c r="LWR530" s="6"/>
      <c r="LWS530" s="27"/>
      <c r="LWT530" s="40"/>
      <c r="LWU530" s="25"/>
      <c r="LWV530" s="34"/>
      <c r="LWW530" s="6"/>
      <c r="LWX530" s="6"/>
      <c r="LWY530" s="27"/>
      <c r="LWZ530" s="40"/>
      <c r="LXA530" s="25"/>
      <c r="LXB530" s="34"/>
      <c r="LXC530" s="6"/>
      <c r="LXD530" s="6"/>
      <c r="LXE530" s="27"/>
      <c r="LXF530" s="40"/>
      <c r="LXG530" s="25"/>
      <c r="LXH530" s="34"/>
      <c r="LXI530" s="6"/>
      <c r="LXJ530" s="6"/>
      <c r="LXK530" s="27"/>
      <c r="LXL530" s="40"/>
      <c r="LXM530" s="25"/>
      <c r="LXN530" s="34"/>
      <c r="LXO530" s="6"/>
      <c r="LXP530" s="6"/>
      <c r="LXQ530" s="27"/>
      <c r="LXR530" s="40"/>
      <c r="LXS530" s="25"/>
      <c r="LXT530" s="34"/>
      <c r="LXU530" s="6"/>
      <c r="LXV530" s="6"/>
      <c r="LXW530" s="27"/>
      <c r="LXX530" s="40"/>
      <c r="LXY530" s="25"/>
      <c r="LXZ530" s="34"/>
      <c r="LYA530" s="6"/>
      <c r="LYB530" s="6"/>
      <c r="LYC530" s="27"/>
      <c r="LYD530" s="40"/>
      <c r="LYE530" s="25"/>
      <c r="LYF530" s="34"/>
      <c r="LYG530" s="6"/>
      <c r="LYH530" s="6"/>
      <c r="LYI530" s="27"/>
      <c r="LYJ530" s="40"/>
      <c r="LYK530" s="25"/>
      <c r="LYL530" s="34"/>
      <c r="LYM530" s="6"/>
      <c r="LYN530" s="6"/>
      <c r="LYO530" s="27"/>
      <c r="LYP530" s="40"/>
      <c r="LYQ530" s="25"/>
      <c r="LYR530" s="34"/>
      <c r="LYS530" s="6"/>
      <c r="LYT530" s="6"/>
      <c r="LYU530" s="27"/>
      <c r="LYV530" s="40"/>
      <c r="LYW530" s="25"/>
      <c r="LYX530" s="34"/>
      <c r="LYY530" s="6"/>
      <c r="LYZ530" s="6"/>
      <c r="LZA530" s="27"/>
      <c r="LZB530" s="40"/>
      <c r="LZC530" s="25"/>
      <c r="LZD530" s="34"/>
      <c r="LZE530" s="6"/>
      <c r="LZF530" s="6"/>
      <c r="LZG530" s="27"/>
      <c r="LZH530" s="40"/>
      <c r="LZI530" s="25"/>
      <c r="LZJ530" s="34"/>
      <c r="LZK530" s="6"/>
      <c r="LZL530" s="6"/>
      <c r="LZM530" s="27"/>
      <c r="LZN530" s="40"/>
      <c r="LZO530" s="25"/>
      <c r="LZP530" s="34"/>
      <c r="LZQ530" s="6"/>
      <c r="LZR530" s="6"/>
      <c r="LZS530" s="27"/>
      <c r="LZT530" s="40"/>
      <c r="LZU530" s="25"/>
      <c r="LZV530" s="34"/>
      <c r="LZW530" s="6"/>
      <c r="LZX530" s="6"/>
      <c r="LZY530" s="27"/>
      <c r="LZZ530" s="40"/>
      <c r="MAA530" s="25"/>
      <c r="MAB530" s="34"/>
      <c r="MAC530" s="6"/>
      <c r="MAD530" s="6"/>
      <c r="MAE530" s="27"/>
      <c r="MAF530" s="40"/>
      <c r="MAG530" s="25"/>
      <c r="MAH530" s="34"/>
      <c r="MAI530" s="6"/>
      <c r="MAJ530" s="6"/>
      <c r="MAK530" s="27"/>
      <c r="MAL530" s="40"/>
      <c r="MAM530" s="25"/>
      <c r="MAN530" s="34"/>
      <c r="MAO530" s="6"/>
      <c r="MAP530" s="6"/>
      <c r="MAQ530" s="27"/>
      <c r="MAR530" s="40"/>
      <c r="MAS530" s="25"/>
      <c r="MAT530" s="34"/>
      <c r="MAU530" s="6"/>
      <c r="MAV530" s="6"/>
      <c r="MAW530" s="27"/>
      <c r="MAX530" s="40"/>
      <c r="MAY530" s="25"/>
      <c r="MAZ530" s="34"/>
      <c r="MBA530" s="6"/>
      <c r="MBB530" s="6"/>
      <c r="MBC530" s="27"/>
      <c r="MBD530" s="40"/>
      <c r="MBE530" s="25"/>
      <c r="MBF530" s="34"/>
      <c r="MBG530" s="6"/>
      <c r="MBH530" s="6"/>
      <c r="MBI530" s="27"/>
      <c r="MBJ530" s="40"/>
      <c r="MBK530" s="25"/>
      <c r="MBL530" s="34"/>
      <c r="MBM530" s="6"/>
      <c r="MBN530" s="6"/>
      <c r="MBO530" s="27"/>
      <c r="MBP530" s="40"/>
      <c r="MBQ530" s="25"/>
      <c r="MBR530" s="34"/>
      <c r="MBS530" s="6"/>
      <c r="MBT530" s="6"/>
      <c r="MBU530" s="27"/>
      <c r="MBV530" s="40"/>
      <c r="MBW530" s="25"/>
      <c r="MBX530" s="34"/>
      <c r="MBY530" s="6"/>
      <c r="MBZ530" s="6"/>
      <c r="MCA530" s="27"/>
      <c r="MCB530" s="40"/>
      <c r="MCC530" s="25"/>
      <c r="MCD530" s="34"/>
      <c r="MCE530" s="6"/>
      <c r="MCF530" s="6"/>
      <c r="MCG530" s="27"/>
      <c r="MCH530" s="40"/>
      <c r="MCI530" s="25"/>
      <c r="MCJ530" s="34"/>
      <c r="MCK530" s="6"/>
      <c r="MCL530" s="6"/>
      <c r="MCM530" s="27"/>
      <c r="MCN530" s="40"/>
      <c r="MCO530" s="25"/>
      <c r="MCP530" s="34"/>
      <c r="MCQ530" s="6"/>
      <c r="MCR530" s="6"/>
      <c r="MCS530" s="27"/>
      <c r="MCT530" s="40"/>
      <c r="MCU530" s="25"/>
      <c r="MCV530" s="34"/>
      <c r="MCW530" s="6"/>
      <c r="MCX530" s="6"/>
      <c r="MCY530" s="27"/>
      <c r="MCZ530" s="40"/>
      <c r="MDA530" s="25"/>
      <c r="MDB530" s="34"/>
      <c r="MDC530" s="6"/>
      <c r="MDD530" s="6"/>
      <c r="MDE530" s="27"/>
      <c r="MDF530" s="40"/>
      <c r="MDG530" s="25"/>
      <c r="MDH530" s="34"/>
      <c r="MDI530" s="6"/>
      <c r="MDJ530" s="6"/>
      <c r="MDK530" s="27"/>
      <c r="MDL530" s="40"/>
      <c r="MDM530" s="25"/>
      <c r="MDN530" s="34"/>
      <c r="MDO530" s="6"/>
      <c r="MDP530" s="6"/>
      <c r="MDQ530" s="27"/>
      <c r="MDR530" s="40"/>
      <c r="MDS530" s="25"/>
      <c r="MDT530" s="34"/>
      <c r="MDU530" s="6"/>
      <c r="MDV530" s="6"/>
      <c r="MDW530" s="27"/>
      <c r="MDX530" s="40"/>
      <c r="MDY530" s="25"/>
      <c r="MDZ530" s="34"/>
      <c r="MEA530" s="6"/>
      <c r="MEB530" s="6"/>
      <c r="MEC530" s="27"/>
      <c r="MED530" s="40"/>
      <c r="MEE530" s="25"/>
      <c r="MEF530" s="34"/>
      <c r="MEG530" s="6"/>
      <c r="MEH530" s="6"/>
      <c r="MEI530" s="27"/>
      <c r="MEJ530" s="40"/>
      <c r="MEK530" s="25"/>
      <c r="MEL530" s="34"/>
      <c r="MEM530" s="6"/>
      <c r="MEN530" s="6"/>
      <c r="MEO530" s="27"/>
      <c r="MEP530" s="40"/>
      <c r="MEQ530" s="25"/>
      <c r="MER530" s="34"/>
      <c r="MES530" s="6"/>
      <c r="MET530" s="6"/>
      <c r="MEU530" s="27"/>
      <c r="MEV530" s="40"/>
      <c r="MEW530" s="25"/>
      <c r="MEX530" s="34"/>
      <c r="MEY530" s="6"/>
      <c r="MEZ530" s="6"/>
      <c r="MFA530" s="27"/>
      <c r="MFB530" s="40"/>
      <c r="MFC530" s="25"/>
      <c r="MFD530" s="34"/>
      <c r="MFE530" s="6"/>
      <c r="MFF530" s="6"/>
      <c r="MFG530" s="27"/>
      <c r="MFH530" s="40"/>
      <c r="MFI530" s="25"/>
      <c r="MFJ530" s="34"/>
      <c r="MFK530" s="6"/>
      <c r="MFL530" s="6"/>
      <c r="MFM530" s="27"/>
      <c r="MFN530" s="40"/>
      <c r="MFO530" s="25"/>
      <c r="MFP530" s="34"/>
      <c r="MFQ530" s="6"/>
      <c r="MFR530" s="6"/>
      <c r="MFS530" s="27"/>
      <c r="MFT530" s="40"/>
      <c r="MFU530" s="25"/>
      <c r="MFV530" s="34"/>
      <c r="MFW530" s="6"/>
      <c r="MFX530" s="6"/>
      <c r="MFY530" s="27"/>
      <c r="MFZ530" s="40"/>
      <c r="MGA530" s="25"/>
      <c r="MGB530" s="34"/>
      <c r="MGC530" s="6"/>
      <c r="MGD530" s="6"/>
      <c r="MGE530" s="27"/>
      <c r="MGF530" s="40"/>
      <c r="MGG530" s="25"/>
      <c r="MGH530" s="34"/>
      <c r="MGI530" s="6"/>
      <c r="MGJ530" s="6"/>
      <c r="MGK530" s="27"/>
      <c r="MGL530" s="40"/>
      <c r="MGM530" s="25"/>
      <c r="MGN530" s="34"/>
      <c r="MGO530" s="6"/>
      <c r="MGP530" s="6"/>
      <c r="MGQ530" s="27"/>
      <c r="MGR530" s="40"/>
      <c r="MGS530" s="25"/>
      <c r="MGT530" s="34"/>
      <c r="MGU530" s="6"/>
      <c r="MGV530" s="6"/>
      <c r="MGW530" s="27"/>
      <c r="MGX530" s="40"/>
      <c r="MGY530" s="25"/>
      <c r="MGZ530" s="34"/>
      <c r="MHA530" s="6"/>
      <c r="MHB530" s="6"/>
      <c r="MHC530" s="27"/>
      <c r="MHD530" s="40"/>
      <c r="MHE530" s="25"/>
      <c r="MHF530" s="34"/>
      <c r="MHG530" s="6"/>
      <c r="MHH530" s="6"/>
      <c r="MHI530" s="27"/>
      <c r="MHJ530" s="40"/>
      <c r="MHK530" s="25"/>
      <c r="MHL530" s="34"/>
      <c r="MHM530" s="6"/>
      <c r="MHN530" s="6"/>
      <c r="MHO530" s="27"/>
      <c r="MHP530" s="40"/>
      <c r="MHQ530" s="25"/>
      <c r="MHR530" s="34"/>
      <c r="MHS530" s="6"/>
      <c r="MHT530" s="6"/>
      <c r="MHU530" s="27"/>
      <c r="MHV530" s="40"/>
      <c r="MHW530" s="25"/>
      <c r="MHX530" s="34"/>
      <c r="MHY530" s="6"/>
      <c r="MHZ530" s="6"/>
      <c r="MIA530" s="27"/>
      <c r="MIB530" s="40"/>
      <c r="MIC530" s="25"/>
      <c r="MID530" s="34"/>
      <c r="MIE530" s="6"/>
      <c r="MIF530" s="6"/>
      <c r="MIG530" s="27"/>
      <c r="MIH530" s="40"/>
      <c r="MII530" s="25"/>
      <c r="MIJ530" s="34"/>
      <c r="MIK530" s="6"/>
      <c r="MIL530" s="6"/>
      <c r="MIM530" s="27"/>
      <c r="MIN530" s="40"/>
      <c r="MIO530" s="25"/>
      <c r="MIP530" s="34"/>
      <c r="MIQ530" s="6"/>
      <c r="MIR530" s="6"/>
      <c r="MIS530" s="27"/>
      <c r="MIT530" s="40"/>
      <c r="MIU530" s="25"/>
      <c r="MIV530" s="34"/>
      <c r="MIW530" s="6"/>
      <c r="MIX530" s="6"/>
      <c r="MIY530" s="27"/>
      <c r="MIZ530" s="40"/>
      <c r="MJA530" s="25"/>
      <c r="MJB530" s="34"/>
      <c r="MJC530" s="6"/>
      <c r="MJD530" s="6"/>
      <c r="MJE530" s="27"/>
      <c r="MJF530" s="40"/>
      <c r="MJG530" s="25"/>
      <c r="MJH530" s="34"/>
      <c r="MJI530" s="6"/>
      <c r="MJJ530" s="6"/>
      <c r="MJK530" s="27"/>
      <c r="MJL530" s="40"/>
      <c r="MJM530" s="25"/>
      <c r="MJN530" s="34"/>
      <c r="MJO530" s="6"/>
      <c r="MJP530" s="6"/>
      <c r="MJQ530" s="27"/>
      <c r="MJR530" s="40"/>
      <c r="MJS530" s="25"/>
      <c r="MJT530" s="34"/>
      <c r="MJU530" s="6"/>
      <c r="MJV530" s="6"/>
      <c r="MJW530" s="27"/>
      <c r="MJX530" s="40"/>
      <c r="MJY530" s="25"/>
      <c r="MJZ530" s="34"/>
      <c r="MKA530" s="6"/>
      <c r="MKB530" s="6"/>
      <c r="MKC530" s="27"/>
      <c r="MKD530" s="40"/>
      <c r="MKE530" s="25"/>
      <c r="MKF530" s="34"/>
      <c r="MKG530" s="6"/>
      <c r="MKH530" s="6"/>
      <c r="MKI530" s="27"/>
      <c r="MKJ530" s="40"/>
      <c r="MKK530" s="25"/>
      <c r="MKL530" s="34"/>
      <c r="MKM530" s="6"/>
      <c r="MKN530" s="6"/>
      <c r="MKO530" s="27"/>
      <c r="MKP530" s="40"/>
      <c r="MKQ530" s="25"/>
      <c r="MKR530" s="34"/>
      <c r="MKS530" s="6"/>
      <c r="MKT530" s="6"/>
      <c r="MKU530" s="27"/>
      <c r="MKV530" s="40"/>
      <c r="MKW530" s="25"/>
      <c r="MKX530" s="34"/>
      <c r="MKY530" s="6"/>
      <c r="MKZ530" s="6"/>
      <c r="MLA530" s="27"/>
      <c r="MLB530" s="40"/>
      <c r="MLC530" s="25"/>
      <c r="MLD530" s="34"/>
      <c r="MLE530" s="6"/>
      <c r="MLF530" s="6"/>
      <c r="MLG530" s="27"/>
      <c r="MLH530" s="40"/>
      <c r="MLI530" s="25"/>
      <c r="MLJ530" s="34"/>
      <c r="MLK530" s="6"/>
      <c r="MLL530" s="6"/>
      <c r="MLM530" s="27"/>
      <c r="MLN530" s="40"/>
      <c r="MLO530" s="25"/>
      <c r="MLP530" s="34"/>
      <c r="MLQ530" s="6"/>
      <c r="MLR530" s="6"/>
      <c r="MLS530" s="27"/>
      <c r="MLT530" s="40"/>
      <c r="MLU530" s="25"/>
      <c r="MLV530" s="34"/>
      <c r="MLW530" s="6"/>
      <c r="MLX530" s="6"/>
      <c r="MLY530" s="27"/>
      <c r="MLZ530" s="40"/>
      <c r="MMA530" s="25"/>
      <c r="MMB530" s="34"/>
      <c r="MMC530" s="6"/>
      <c r="MMD530" s="6"/>
      <c r="MME530" s="27"/>
      <c r="MMF530" s="40"/>
      <c r="MMG530" s="25"/>
      <c r="MMH530" s="34"/>
      <c r="MMI530" s="6"/>
      <c r="MMJ530" s="6"/>
      <c r="MMK530" s="27"/>
      <c r="MML530" s="40"/>
      <c r="MMM530" s="25"/>
      <c r="MMN530" s="34"/>
      <c r="MMO530" s="6"/>
      <c r="MMP530" s="6"/>
      <c r="MMQ530" s="27"/>
      <c r="MMR530" s="40"/>
      <c r="MMS530" s="25"/>
      <c r="MMT530" s="34"/>
      <c r="MMU530" s="6"/>
      <c r="MMV530" s="6"/>
      <c r="MMW530" s="27"/>
      <c r="MMX530" s="40"/>
      <c r="MMY530" s="25"/>
      <c r="MMZ530" s="34"/>
      <c r="MNA530" s="6"/>
      <c r="MNB530" s="6"/>
      <c r="MNC530" s="27"/>
      <c r="MND530" s="40"/>
      <c r="MNE530" s="25"/>
      <c r="MNF530" s="34"/>
      <c r="MNG530" s="6"/>
      <c r="MNH530" s="6"/>
      <c r="MNI530" s="27"/>
      <c r="MNJ530" s="40"/>
      <c r="MNK530" s="25"/>
      <c r="MNL530" s="34"/>
      <c r="MNM530" s="6"/>
      <c r="MNN530" s="6"/>
      <c r="MNO530" s="27"/>
      <c r="MNP530" s="40"/>
      <c r="MNQ530" s="25"/>
      <c r="MNR530" s="34"/>
      <c r="MNS530" s="6"/>
      <c r="MNT530" s="6"/>
      <c r="MNU530" s="27"/>
      <c r="MNV530" s="40"/>
      <c r="MNW530" s="25"/>
      <c r="MNX530" s="34"/>
      <c r="MNY530" s="6"/>
      <c r="MNZ530" s="6"/>
      <c r="MOA530" s="27"/>
      <c r="MOB530" s="40"/>
      <c r="MOC530" s="25"/>
      <c r="MOD530" s="34"/>
      <c r="MOE530" s="6"/>
      <c r="MOF530" s="6"/>
      <c r="MOG530" s="27"/>
      <c r="MOH530" s="40"/>
      <c r="MOI530" s="25"/>
      <c r="MOJ530" s="34"/>
      <c r="MOK530" s="6"/>
      <c r="MOL530" s="6"/>
      <c r="MOM530" s="27"/>
      <c r="MON530" s="40"/>
      <c r="MOO530" s="25"/>
      <c r="MOP530" s="34"/>
      <c r="MOQ530" s="6"/>
      <c r="MOR530" s="6"/>
      <c r="MOS530" s="27"/>
      <c r="MOT530" s="40"/>
      <c r="MOU530" s="25"/>
      <c r="MOV530" s="34"/>
      <c r="MOW530" s="6"/>
      <c r="MOX530" s="6"/>
      <c r="MOY530" s="27"/>
      <c r="MOZ530" s="40"/>
      <c r="MPA530" s="25"/>
      <c r="MPB530" s="34"/>
      <c r="MPC530" s="6"/>
      <c r="MPD530" s="6"/>
      <c r="MPE530" s="27"/>
      <c r="MPF530" s="40"/>
      <c r="MPG530" s="25"/>
      <c r="MPH530" s="34"/>
      <c r="MPI530" s="6"/>
      <c r="MPJ530" s="6"/>
      <c r="MPK530" s="27"/>
      <c r="MPL530" s="40"/>
      <c r="MPM530" s="25"/>
      <c r="MPN530" s="34"/>
      <c r="MPO530" s="6"/>
      <c r="MPP530" s="6"/>
      <c r="MPQ530" s="27"/>
      <c r="MPR530" s="40"/>
      <c r="MPS530" s="25"/>
      <c r="MPT530" s="34"/>
      <c r="MPU530" s="6"/>
      <c r="MPV530" s="6"/>
      <c r="MPW530" s="27"/>
      <c r="MPX530" s="40"/>
      <c r="MPY530" s="25"/>
      <c r="MPZ530" s="34"/>
      <c r="MQA530" s="6"/>
      <c r="MQB530" s="6"/>
      <c r="MQC530" s="27"/>
      <c r="MQD530" s="40"/>
      <c r="MQE530" s="25"/>
      <c r="MQF530" s="34"/>
      <c r="MQG530" s="6"/>
      <c r="MQH530" s="6"/>
      <c r="MQI530" s="27"/>
      <c r="MQJ530" s="40"/>
      <c r="MQK530" s="25"/>
      <c r="MQL530" s="34"/>
      <c r="MQM530" s="6"/>
      <c r="MQN530" s="6"/>
      <c r="MQO530" s="27"/>
      <c r="MQP530" s="40"/>
      <c r="MQQ530" s="25"/>
      <c r="MQR530" s="34"/>
      <c r="MQS530" s="6"/>
      <c r="MQT530" s="6"/>
      <c r="MQU530" s="27"/>
      <c r="MQV530" s="40"/>
      <c r="MQW530" s="25"/>
      <c r="MQX530" s="34"/>
      <c r="MQY530" s="6"/>
      <c r="MQZ530" s="6"/>
      <c r="MRA530" s="27"/>
      <c r="MRB530" s="40"/>
      <c r="MRC530" s="25"/>
      <c r="MRD530" s="34"/>
      <c r="MRE530" s="6"/>
      <c r="MRF530" s="6"/>
      <c r="MRG530" s="27"/>
      <c r="MRH530" s="40"/>
      <c r="MRI530" s="25"/>
      <c r="MRJ530" s="34"/>
      <c r="MRK530" s="6"/>
      <c r="MRL530" s="6"/>
      <c r="MRM530" s="27"/>
      <c r="MRN530" s="40"/>
      <c r="MRO530" s="25"/>
      <c r="MRP530" s="34"/>
      <c r="MRQ530" s="6"/>
      <c r="MRR530" s="6"/>
      <c r="MRS530" s="27"/>
      <c r="MRT530" s="40"/>
      <c r="MRU530" s="25"/>
      <c r="MRV530" s="34"/>
      <c r="MRW530" s="6"/>
      <c r="MRX530" s="6"/>
      <c r="MRY530" s="27"/>
      <c r="MRZ530" s="40"/>
      <c r="MSA530" s="25"/>
      <c r="MSB530" s="34"/>
      <c r="MSC530" s="6"/>
      <c r="MSD530" s="6"/>
      <c r="MSE530" s="27"/>
      <c r="MSF530" s="40"/>
      <c r="MSG530" s="25"/>
      <c r="MSH530" s="34"/>
      <c r="MSI530" s="6"/>
      <c r="MSJ530" s="6"/>
      <c r="MSK530" s="27"/>
      <c r="MSL530" s="40"/>
      <c r="MSM530" s="25"/>
      <c r="MSN530" s="34"/>
      <c r="MSO530" s="6"/>
      <c r="MSP530" s="6"/>
      <c r="MSQ530" s="27"/>
      <c r="MSR530" s="40"/>
      <c r="MSS530" s="25"/>
      <c r="MST530" s="34"/>
      <c r="MSU530" s="6"/>
      <c r="MSV530" s="6"/>
      <c r="MSW530" s="27"/>
      <c r="MSX530" s="40"/>
      <c r="MSY530" s="25"/>
      <c r="MSZ530" s="34"/>
      <c r="MTA530" s="6"/>
      <c r="MTB530" s="6"/>
      <c r="MTC530" s="27"/>
      <c r="MTD530" s="40"/>
      <c r="MTE530" s="25"/>
      <c r="MTF530" s="34"/>
      <c r="MTG530" s="6"/>
      <c r="MTH530" s="6"/>
      <c r="MTI530" s="27"/>
      <c r="MTJ530" s="40"/>
      <c r="MTK530" s="25"/>
      <c r="MTL530" s="34"/>
      <c r="MTM530" s="6"/>
      <c r="MTN530" s="6"/>
      <c r="MTO530" s="27"/>
      <c r="MTP530" s="40"/>
      <c r="MTQ530" s="25"/>
      <c r="MTR530" s="34"/>
      <c r="MTS530" s="6"/>
      <c r="MTT530" s="6"/>
      <c r="MTU530" s="27"/>
      <c r="MTV530" s="40"/>
      <c r="MTW530" s="25"/>
      <c r="MTX530" s="34"/>
      <c r="MTY530" s="6"/>
      <c r="MTZ530" s="6"/>
      <c r="MUA530" s="27"/>
      <c r="MUB530" s="40"/>
      <c r="MUC530" s="25"/>
      <c r="MUD530" s="34"/>
      <c r="MUE530" s="6"/>
      <c r="MUF530" s="6"/>
      <c r="MUG530" s="27"/>
      <c r="MUH530" s="40"/>
      <c r="MUI530" s="25"/>
      <c r="MUJ530" s="34"/>
      <c r="MUK530" s="6"/>
      <c r="MUL530" s="6"/>
      <c r="MUM530" s="27"/>
      <c r="MUN530" s="40"/>
      <c r="MUO530" s="25"/>
      <c r="MUP530" s="34"/>
      <c r="MUQ530" s="6"/>
      <c r="MUR530" s="6"/>
      <c r="MUS530" s="27"/>
      <c r="MUT530" s="40"/>
      <c r="MUU530" s="25"/>
      <c r="MUV530" s="34"/>
      <c r="MUW530" s="6"/>
      <c r="MUX530" s="6"/>
      <c r="MUY530" s="27"/>
      <c r="MUZ530" s="40"/>
      <c r="MVA530" s="25"/>
      <c r="MVB530" s="34"/>
      <c r="MVC530" s="6"/>
      <c r="MVD530" s="6"/>
      <c r="MVE530" s="27"/>
      <c r="MVF530" s="40"/>
      <c r="MVG530" s="25"/>
      <c r="MVH530" s="34"/>
      <c r="MVI530" s="6"/>
      <c r="MVJ530" s="6"/>
      <c r="MVK530" s="27"/>
      <c r="MVL530" s="40"/>
      <c r="MVM530" s="25"/>
      <c r="MVN530" s="34"/>
      <c r="MVO530" s="6"/>
      <c r="MVP530" s="6"/>
      <c r="MVQ530" s="27"/>
      <c r="MVR530" s="40"/>
      <c r="MVS530" s="25"/>
      <c r="MVT530" s="34"/>
      <c r="MVU530" s="6"/>
      <c r="MVV530" s="6"/>
      <c r="MVW530" s="27"/>
      <c r="MVX530" s="40"/>
      <c r="MVY530" s="25"/>
      <c r="MVZ530" s="34"/>
      <c r="MWA530" s="6"/>
      <c r="MWB530" s="6"/>
      <c r="MWC530" s="27"/>
      <c r="MWD530" s="40"/>
      <c r="MWE530" s="25"/>
      <c r="MWF530" s="34"/>
      <c r="MWG530" s="6"/>
      <c r="MWH530" s="6"/>
      <c r="MWI530" s="27"/>
      <c r="MWJ530" s="40"/>
      <c r="MWK530" s="25"/>
      <c r="MWL530" s="34"/>
      <c r="MWM530" s="6"/>
      <c r="MWN530" s="6"/>
      <c r="MWO530" s="27"/>
      <c r="MWP530" s="40"/>
      <c r="MWQ530" s="25"/>
      <c r="MWR530" s="34"/>
      <c r="MWS530" s="6"/>
      <c r="MWT530" s="6"/>
      <c r="MWU530" s="27"/>
      <c r="MWV530" s="40"/>
      <c r="MWW530" s="25"/>
      <c r="MWX530" s="34"/>
      <c r="MWY530" s="6"/>
      <c r="MWZ530" s="6"/>
      <c r="MXA530" s="27"/>
      <c r="MXB530" s="40"/>
      <c r="MXC530" s="25"/>
      <c r="MXD530" s="34"/>
      <c r="MXE530" s="6"/>
      <c r="MXF530" s="6"/>
      <c r="MXG530" s="27"/>
      <c r="MXH530" s="40"/>
      <c r="MXI530" s="25"/>
      <c r="MXJ530" s="34"/>
      <c r="MXK530" s="6"/>
      <c r="MXL530" s="6"/>
      <c r="MXM530" s="27"/>
      <c r="MXN530" s="40"/>
      <c r="MXO530" s="25"/>
      <c r="MXP530" s="34"/>
      <c r="MXQ530" s="6"/>
      <c r="MXR530" s="6"/>
      <c r="MXS530" s="27"/>
      <c r="MXT530" s="40"/>
      <c r="MXU530" s="25"/>
      <c r="MXV530" s="34"/>
      <c r="MXW530" s="6"/>
      <c r="MXX530" s="6"/>
      <c r="MXY530" s="27"/>
      <c r="MXZ530" s="40"/>
      <c r="MYA530" s="25"/>
      <c r="MYB530" s="34"/>
      <c r="MYC530" s="6"/>
      <c r="MYD530" s="6"/>
      <c r="MYE530" s="27"/>
      <c r="MYF530" s="40"/>
      <c r="MYG530" s="25"/>
      <c r="MYH530" s="34"/>
      <c r="MYI530" s="6"/>
      <c r="MYJ530" s="6"/>
      <c r="MYK530" s="27"/>
      <c r="MYL530" s="40"/>
      <c r="MYM530" s="25"/>
      <c r="MYN530" s="34"/>
      <c r="MYO530" s="6"/>
      <c r="MYP530" s="6"/>
      <c r="MYQ530" s="27"/>
      <c r="MYR530" s="40"/>
      <c r="MYS530" s="25"/>
      <c r="MYT530" s="34"/>
      <c r="MYU530" s="6"/>
      <c r="MYV530" s="6"/>
      <c r="MYW530" s="27"/>
      <c r="MYX530" s="40"/>
      <c r="MYY530" s="25"/>
      <c r="MYZ530" s="34"/>
      <c r="MZA530" s="6"/>
      <c r="MZB530" s="6"/>
      <c r="MZC530" s="27"/>
      <c r="MZD530" s="40"/>
      <c r="MZE530" s="25"/>
      <c r="MZF530" s="34"/>
      <c r="MZG530" s="6"/>
      <c r="MZH530" s="6"/>
      <c r="MZI530" s="27"/>
      <c r="MZJ530" s="40"/>
      <c r="MZK530" s="25"/>
      <c r="MZL530" s="34"/>
      <c r="MZM530" s="6"/>
      <c r="MZN530" s="6"/>
      <c r="MZO530" s="27"/>
      <c r="MZP530" s="40"/>
      <c r="MZQ530" s="25"/>
      <c r="MZR530" s="34"/>
      <c r="MZS530" s="6"/>
      <c r="MZT530" s="6"/>
      <c r="MZU530" s="27"/>
      <c r="MZV530" s="40"/>
      <c r="MZW530" s="25"/>
      <c r="MZX530" s="34"/>
      <c r="MZY530" s="6"/>
      <c r="MZZ530" s="6"/>
      <c r="NAA530" s="27"/>
      <c r="NAB530" s="40"/>
      <c r="NAC530" s="25"/>
      <c r="NAD530" s="34"/>
      <c r="NAE530" s="6"/>
      <c r="NAF530" s="6"/>
      <c r="NAG530" s="27"/>
      <c r="NAH530" s="40"/>
      <c r="NAI530" s="25"/>
      <c r="NAJ530" s="34"/>
      <c r="NAK530" s="6"/>
      <c r="NAL530" s="6"/>
      <c r="NAM530" s="27"/>
      <c r="NAN530" s="40"/>
      <c r="NAO530" s="25"/>
      <c r="NAP530" s="34"/>
      <c r="NAQ530" s="6"/>
      <c r="NAR530" s="6"/>
      <c r="NAS530" s="27"/>
      <c r="NAT530" s="40"/>
      <c r="NAU530" s="25"/>
      <c r="NAV530" s="34"/>
      <c r="NAW530" s="6"/>
      <c r="NAX530" s="6"/>
      <c r="NAY530" s="27"/>
      <c r="NAZ530" s="40"/>
      <c r="NBA530" s="25"/>
      <c r="NBB530" s="34"/>
      <c r="NBC530" s="6"/>
      <c r="NBD530" s="6"/>
      <c r="NBE530" s="27"/>
      <c r="NBF530" s="40"/>
      <c r="NBG530" s="25"/>
      <c r="NBH530" s="34"/>
      <c r="NBI530" s="6"/>
      <c r="NBJ530" s="6"/>
      <c r="NBK530" s="27"/>
      <c r="NBL530" s="40"/>
      <c r="NBM530" s="25"/>
      <c r="NBN530" s="34"/>
      <c r="NBO530" s="6"/>
      <c r="NBP530" s="6"/>
      <c r="NBQ530" s="27"/>
      <c r="NBR530" s="40"/>
      <c r="NBS530" s="25"/>
      <c r="NBT530" s="34"/>
      <c r="NBU530" s="6"/>
      <c r="NBV530" s="6"/>
      <c r="NBW530" s="27"/>
      <c r="NBX530" s="40"/>
      <c r="NBY530" s="25"/>
      <c r="NBZ530" s="34"/>
      <c r="NCA530" s="6"/>
      <c r="NCB530" s="6"/>
      <c r="NCC530" s="27"/>
      <c r="NCD530" s="40"/>
      <c r="NCE530" s="25"/>
      <c r="NCF530" s="34"/>
      <c r="NCG530" s="6"/>
      <c r="NCH530" s="6"/>
      <c r="NCI530" s="27"/>
      <c r="NCJ530" s="40"/>
      <c r="NCK530" s="25"/>
      <c r="NCL530" s="34"/>
      <c r="NCM530" s="6"/>
      <c r="NCN530" s="6"/>
      <c r="NCO530" s="27"/>
      <c r="NCP530" s="40"/>
      <c r="NCQ530" s="25"/>
      <c r="NCR530" s="34"/>
      <c r="NCS530" s="6"/>
      <c r="NCT530" s="6"/>
      <c r="NCU530" s="27"/>
      <c r="NCV530" s="40"/>
      <c r="NCW530" s="25"/>
      <c r="NCX530" s="34"/>
      <c r="NCY530" s="6"/>
      <c r="NCZ530" s="6"/>
      <c r="NDA530" s="27"/>
      <c r="NDB530" s="40"/>
      <c r="NDC530" s="25"/>
      <c r="NDD530" s="34"/>
      <c r="NDE530" s="6"/>
      <c r="NDF530" s="6"/>
      <c r="NDG530" s="27"/>
      <c r="NDH530" s="40"/>
      <c r="NDI530" s="25"/>
      <c r="NDJ530" s="34"/>
      <c r="NDK530" s="6"/>
      <c r="NDL530" s="6"/>
      <c r="NDM530" s="27"/>
      <c r="NDN530" s="40"/>
      <c r="NDO530" s="25"/>
      <c r="NDP530" s="34"/>
      <c r="NDQ530" s="6"/>
      <c r="NDR530" s="6"/>
      <c r="NDS530" s="27"/>
      <c r="NDT530" s="40"/>
      <c r="NDU530" s="25"/>
      <c r="NDV530" s="34"/>
      <c r="NDW530" s="6"/>
      <c r="NDX530" s="6"/>
      <c r="NDY530" s="27"/>
      <c r="NDZ530" s="40"/>
      <c r="NEA530" s="25"/>
      <c r="NEB530" s="34"/>
      <c r="NEC530" s="6"/>
      <c r="NED530" s="6"/>
      <c r="NEE530" s="27"/>
      <c r="NEF530" s="40"/>
      <c r="NEG530" s="25"/>
      <c r="NEH530" s="34"/>
      <c r="NEI530" s="6"/>
      <c r="NEJ530" s="6"/>
      <c r="NEK530" s="27"/>
      <c r="NEL530" s="40"/>
      <c r="NEM530" s="25"/>
      <c r="NEN530" s="34"/>
      <c r="NEO530" s="6"/>
      <c r="NEP530" s="6"/>
      <c r="NEQ530" s="27"/>
      <c r="NER530" s="40"/>
      <c r="NES530" s="25"/>
      <c r="NET530" s="34"/>
      <c r="NEU530" s="6"/>
      <c r="NEV530" s="6"/>
      <c r="NEW530" s="27"/>
      <c r="NEX530" s="40"/>
      <c r="NEY530" s="25"/>
      <c r="NEZ530" s="34"/>
      <c r="NFA530" s="6"/>
      <c r="NFB530" s="6"/>
      <c r="NFC530" s="27"/>
      <c r="NFD530" s="40"/>
      <c r="NFE530" s="25"/>
      <c r="NFF530" s="34"/>
      <c r="NFG530" s="6"/>
      <c r="NFH530" s="6"/>
      <c r="NFI530" s="27"/>
      <c r="NFJ530" s="40"/>
      <c r="NFK530" s="25"/>
      <c r="NFL530" s="34"/>
      <c r="NFM530" s="6"/>
      <c r="NFN530" s="6"/>
      <c r="NFO530" s="27"/>
      <c r="NFP530" s="40"/>
      <c r="NFQ530" s="25"/>
      <c r="NFR530" s="34"/>
      <c r="NFS530" s="6"/>
      <c r="NFT530" s="6"/>
      <c r="NFU530" s="27"/>
      <c r="NFV530" s="40"/>
      <c r="NFW530" s="25"/>
      <c r="NFX530" s="34"/>
      <c r="NFY530" s="6"/>
      <c r="NFZ530" s="6"/>
      <c r="NGA530" s="27"/>
      <c r="NGB530" s="40"/>
      <c r="NGC530" s="25"/>
      <c r="NGD530" s="34"/>
      <c r="NGE530" s="6"/>
      <c r="NGF530" s="6"/>
      <c r="NGG530" s="27"/>
      <c r="NGH530" s="40"/>
      <c r="NGI530" s="25"/>
      <c r="NGJ530" s="34"/>
      <c r="NGK530" s="6"/>
      <c r="NGL530" s="6"/>
      <c r="NGM530" s="27"/>
      <c r="NGN530" s="40"/>
      <c r="NGO530" s="25"/>
      <c r="NGP530" s="34"/>
      <c r="NGQ530" s="6"/>
      <c r="NGR530" s="6"/>
      <c r="NGS530" s="27"/>
      <c r="NGT530" s="40"/>
      <c r="NGU530" s="25"/>
      <c r="NGV530" s="34"/>
      <c r="NGW530" s="6"/>
      <c r="NGX530" s="6"/>
      <c r="NGY530" s="27"/>
      <c r="NGZ530" s="40"/>
      <c r="NHA530" s="25"/>
      <c r="NHB530" s="34"/>
      <c r="NHC530" s="6"/>
      <c r="NHD530" s="6"/>
      <c r="NHE530" s="27"/>
      <c r="NHF530" s="40"/>
      <c r="NHG530" s="25"/>
      <c r="NHH530" s="34"/>
      <c r="NHI530" s="6"/>
      <c r="NHJ530" s="6"/>
      <c r="NHK530" s="27"/>
      <c r="NHL530" s="40"/>
      <c r="NHM530" s="25"/>
      <c r="NHN530" s="34"/>
      <c r="NHO530" s="6"/>
      <c r="NHP530" s="6"/>
      <c r="NHQ530" s="27"/>
      <c r="NHR530" s="40"/>
      <c r="NHS530" s="25"/>
      <c r="NHT530" s="34"/>
      <c r="NHU530" s="6"/>
      <c r="NHV530" s="6"/>
      <c r="NHW530" s="27"/>
      <c r="NHX530" s="40"/>
      <c r="NHY530" s="25"/>
      <c r="NHZ530" s="34"/>
      <c r="NIA530" s="6"/>
      <c r="NIB530" s="6"/>
      <c r="NIC530" s="27"/>
      <c r="NID530" s="40"/>
      <c r="NIE530" s="25"/>
      <c r="NIF530" s="34"/>
      <c r="NIG530" s="6"/>
      <c r="NIH530" s="6"/>
      <c r="NII530" s="27"/>
      <c r="NIJ530" s="40"/>
      <c r="NIK530" s="25"/>
      <c r="NIL530" s="34"/>
      <c r="NIM530" s="6"/>
      <c r="NIN530" s="6"/>
      <c r="NIO530" s="27"/>
      <c r="NIP530" s="40"/>
      <c r="NIQ530" s="25"/>
      <c r="NIR530" s="34"/>
      <c r="NIS530" s="6"/>
      <c r="NIT530" s="6"/>
      <c r="NIU530" s="27"/>
      <c r="NIV530" s="40"/>
      <c r="NIW530" s="25"/>
      <c r="NIX530" s="34"/>
      <c r="NIY530" s="6"/>
      <c r="NIZ530" s="6"/>
      <c r="NJA530" s="27"/>
      <c r="NJB530" s="40"/>
      <c r="NJC530" s="25"/>
      <c r="NJD530" s="34"/>
      <c r="NJE530" s="6"/>
      <c r="NJF530" s="6"/>
      <c r="NJG530" s="27"/>
      <c r="NJH530" s="40"/>
      <c r="NJI530" s="25"/>
      <c r="NJJ530" s="34"/>
      <c r="NJK530" s="6"/>
      <c r="NJL530" s="6"/>
      <c r="NJM530" s="27"/>
      <c r="NJN530" s="40"/>
      <c r="NJO530" s="25"/>
      <c r="NJP530" s="34"/>
      <c r="NJQ530" s="6"/>
      <c r="NJR530" s="6"/>
      <c r="NJS530" s="27"/>
      <c r="NJT530" s="40"/>
      <c r="NJU530" s="25"/>
      <c r="NJV530" s="34"/>
      <c r="NJW530" s="6"/>
      <c r="NJX530" s="6"/>
      <c r="NJY530" s="27"/>
      <c r="NJZ530" s="40"/>
      <c r="NKA530" s="25"/>
      <c r="NKB530" s="34"/>
      <c r="NKC530" s="6"/>
      <c r="NKD530" s="6"/>
      <c r="NKE530" s="27"/>
      <c r="NKF530" s="40"/>
      <c r="NKG530" s="25"/>
      <c r="NKH530" s="34"/>
      <c r="NKI530" s="6"/>
      <c r="NKJ530" s="6"/>
      <c r="NKK530" s="27"/>
      <c r="NKL530" s="40"/>
      <c r="NKM530" s="25"/>
      <c r="NKN530" s="34"/>
      <c r="NKO530" s="6"/>
      <c r="NKP530" s="6"/>
      <c r="NKQ530" s="27"/>
      <c r="NKR530" s="40"/>
      <c r="NKS530" s="25"/>
      <c r="NKT530" s="34"/>
      <c r="NKU530" s="6"/>
      <c r="NKV530" s="6"/>
      <c r="NKW530" s="27"/>
      <c r="NKX530" s="40"/>
      <c r="NKY530" s="25"/>
      <c r="NKZ530" s="34"/>
      <c r="NLA530" s="6"/>
      <c r="NLB530" s="6"/>
      <c r="NLC530" s="27"/>
      <c r="NLD530" s="40"/>
      <c r="NLE530" s="25"/>
      <c r="NLF530" s="34"/>
      <c r="NLG530" s="6"/>
      <c r="NLH530" s="6"/>
      <c r="NLI530" s="27"/>
      <c r="NLJ530" s="40"/>
      <c r="NLK530" s="25"/>
      <c r="NLL530" s="34"/>
      <c r="NLM530" s="6"/>
      <c r="NLN530" s="6"/>
      <c r="NLO530" s="27"/>
      <c r="NLP530" s="40"/>
      <c r="NLQ530" s="25"/>
      <c r="NLR530" s="34"/>
      <c r="NLS530" s="6"/>
      <c r="NLT530" s="6"/>
      <c r="NLU530" s="27"/>
      <c r="NLV530" s="40"/>
      <c r="NLW530" s="25"/>
      <c r="NLX530" s="34"/>
      <c r="NLY530" s="6"/>
      <c r="NLZ530" s="6"/>
      <c r="NMA530" s="27"/>
      <c r="NMB530" s="40"/>
      <c r="NMC530" s="25"/>
      <c r="NMD530" s="34"/>
      <c r="NME530" s="6"/>
      <c r="NMF530" s="6"/>
      <c r="NMG530" s="27"/>
      <c r="NMH530" s="40"/>
      <c r="NMI530" s="25"/>
      <c r="NMJ530" s="34"/>
      <c r="NMK530" s="6"/>
      <c r="NML530" s="6"/>
      <c r="NMM530" s="27"/>
      <c r="NMN530" s="40"/>
      <c r="NMO530" s="25"/>
      <c r="NMP530" s="34"/>
      <c r="NMQ530" s="6"/>
      <c r="NMR530" s="6"/>
      <c r="NMS530" s="27"/>
      <c r="NMT530" s="40"/>
      <c r="NMU530" s="25"/>
      <c r="NMV530" s="34"/>
      <c r="NMW530" s="6"/>
      <c r="NMX530" s="6"/>
      <c r="NMY530" s="27"/>
      <c r="NMZ530" s="40"/>
      <c r="NNA530" s="25"/>
      <c r="NNB530" s="34"/>
      <c r="NNC530" s="6"/>
      <c r="NND530" s="6"/>
      <c r="NNE530" s="27"/>
      <c r="NNF530" s="40"/>
      <c r="NNG530" s="25"/>
      <c r="NNH530" s="34"/>
      <c r="NNI530" s="6"/>
      <c r="NNJ530" s="6"/>
      <c r="NNK530" s="27"/>
      <c r="NNL530" s="40"/>
      <c r="NNM530" s="25"/>
      <c r="NNN530" s="34"/>
      <c r="NNO530" s="6"/>
      <c r="NNP530" s="6"/>
      <c r="NNQ530" s="27"/>
      <c r="NNR530" s="40"/>
      <c r="NNS530" s="25"/>
      <c r="NNT530" s="34"/>
      <c r="NNU530" s="6"/>
      <c r="NNV530" s="6"/>
      <c r="NNW530" s="27"/>
      <c r="NNX530" s="40"/>
      <c r="NNY530" s="25"/>
      <c r="NNZ530" s="34"/>
      <c r="NOA530" s="6"/>
      <c r="NOB530" s="6"/>
      <c r="NOC530" s="27"/>
      <c r="NOD530" s="40"/>
      <c r="NOE530" s="25"/>
      <c r="NOF530" s="34"/>
      <c r="NOG530" s="6"/>
      <c r="NOH530" s="6"/>
      <c r="NOI530" s="27"/>
      <c r="NOJ530" s="40"/>
      <c r="NOK530" s="25"/>
      <c r="NOL530" s="34"/>
      <c r="NOM530" s="6"/>
      <c r="NON530" s="6"/>
      <c r="NOO530" s="27"/>
      <c r="NOP530" s="40"/>
      <c r="NOQ530" s="25"/>
      <c r="NOR530" s="34"/>
      <c r="NOS530" s="6"/>
      <c r="NOT530" s="6"/>
      <c r="NOU530" s="27"/>
      <c r="NOV530" s="40"/>
      <c r="NOW530" s="25"/>
      <c r="NOX530" s="34"/>
      <c r="NOY530" s="6"/>
      <c r="NOZ530" s="6"/>
      <c r="NPA530" s="27"/>
      <c r="NPB530" s="40"/>
      <c r="NPC530" s="25"/>
      <c r="NPD530" s="34"/>
      <c r="NPE530" s="6"/>
      <c r="NPF530" s="6"/>
      <c r="NPG530" s="27"/>
      <c r="NPH530" s="40"/>
      <c r="NPI530" s="25"/>
      <c r="NPJ530" s="34"/>
      <c r="NPK530" s="6"/>
      <c r="NPL530" s="6"/>
      <c r="NPM530" s="27"/>
      <c r="NPN530" s="40"/>
      <c r="NPO530" s="25"/>
      <c r="NPP530" s="34"/>
      <c r="NPQ530" s="6"/>
      <c r="NPR530" s="6"/>
      <c r="NPS530" s="27"/>
      <c r="NPT530" s="40"/>
      <c r="NPU530" s="25"/>
      <c r="NPV530" s="34"/>
      <c r="NPW530" s="6"/>
      <c r="NPX530" s="6"/>
      <c r="NPY530" s="27"/>
      <c r="NPZ530" s="40"/>
      <c r="NQA530" s="25"/>
      <c r="NQB530" s="34"/>
      <c r="NQC530" s="6"/>
      <c r="NQD530" s="6"/>
      <c r="NQE530" s="27"/>
      <c r="NQF530" s="40"/>
      <c r="NQG530" s="25"/>
      <c r="NQH530" s="34"/>
      <c r="NQI530" s="6"/>
      <c r="NQJ530" s="6"/>
      <c r="NQK530" s="27"/>
      <c r="NQL530" s="40"/>
      <c r="NQM530" s="25"/>
      <c r="NQN530" s="34"/>
      <c r="NQO530" s="6"/>
      <c r="NQP530" s="6"/>
      <c r="NQQ530" s="27"/>
      <c r="NQR530" s="40"/>
      <c r="NQS530" s="25"/>
      <c r="NQT530" s="34"/>
      <c r="NQU530" s="6"/>
      <c r="NQV530" s="6"/>
      <c r="NQW530" s="27"/>
      <c r="NQX530" s="40"/>
      <c r="NQY530" s="25"/>
      <c r="NQZ530" s="34"/>
      <c r="NRA530" s="6"/>
      <c r="NRB530" s="6"/>
      <c r="NRC530" s="27"/>
      <c r="NRD530" s="40"/>
      <c r="NRE530" s="25"/>
      <c r="NRF530" s="34"/>
      <c r="NRG530" s="6"/>
      <c r="NRH530" s="6"/>
      <c r="NRI530" s="27"/>
      <c r="NRJ530" s="40"/>
      <c r="NRK530" s="25"/>
      <c r="NRL530" s="34"/>
      <c r="NRM530" s="6"/>
      <c r="NRN530" s="6"/>
      <c r="NRO530" s="27"/>
      <c r="NRP530" s="40"/>
      <c r="NRQ530" s="25"/>
      <c r="NRR530" s="34"/>
      <c r="NRS530" s="6"/>
      <c r="NRT530" s="6"/>
      <c r="NRU530" s="27"/>
      <c r="NRV530" s="40"/>
      <c r="NRW530" s="25"/>
      <c r="NRX530" s="34"/>
      <c r="NRY530" s="6"/>
      <c r="NRZ530" s="6"/>
      <c r="NSA530" s="27"/>
      <c r="NSB530" s="40"/>
      <c r="NSC530" s="25"/>
      <c r="NSD530" s="34"/>
      <c r="NSE530" s="6"/>
      <c r="NSF530" s="6"/>
      <c r="NSG530" s="27"/>
      <c r="NSH530" s="40"/>
      <c r="NSI530" s="25"/>
      <c r="NSJ530" s="34"/>
      <c r="NSK530" s="6"/>
      <c r="NSL530" s="6"/>
      <c r="NSM530" s="27"/>
      <c r="NSN530" s="40"/>
      <c r="NSO530" s="25"/>
      <c r="NSP530" s="34"/>
      <c r="NSQ530" s="6"/>
      <c r="NSR530" s="6"/>
      <c r="NSS530" s="27"/>
      <c r="NST530" s="40"/>
      <c r="NSU530" s="25"/>
      <c r="NSV530" s="34"/>
      <c r="NSW530" s="6"/>
      <c r="NSX530" s="6"/>
      <c r="NSY530" s="27"/>
      <c r="NSZ530" s="40"/>
      <c r="NTA530" s="25"/>
      <c r="NTB530" s="34"/>
      <c r="NTC530" s="6"/>
      <c r="NTD530" s="6"/>
      <c r="NTE530" s="27"/>
      <c r="NTF530" s="40"/>
      <c r="NTG530" s="25"/>
      <c r="NTH530" s="34"/>
      <c r="NTI530" s="6"/>
      <c r="NTJ530" s="6"/>
      <c r="NTK530" s="27"/>
      <c r="NTL530" s="40"/>
      <c r="NTM530" s="25"/>
      <c r="NTN530" s="34"/>
      <c r="NTO530" s="6"/>
      <c r="NTP530" s="6"/>
      <c r="NTQ530" s="27"/>
      <c r="NTR530" s="40"/>
      <c r="NTS530" s="25"/>
      <c r="NTT530" s="34"/>
      <c r="NTU530" s="6"/>
      <c r="NTV530" s="6"/>
      <c r="NTW530" s="27"/>
      <c r="NTX530" s="40"/>
      <c r="NTY530" s="25"/>
      <c r="NTZ530" s="34"/>
      <c r="NUA530" s="6"/>
      <c r="NUB530" s="6"/>
      <c r="NUC530" s="27"/>
      <c r="NUD530" s="40"/>
      <c r="NUE530" s="25"/>
      <c r="NUF530" s="34"/>
      <c r="NUG530" s="6"/>
      <c r="NUH530" s="6"/>
      <c r="NUI530" s="27"/>
      <c r="NUJ530" s="40"/>
      <c r="NUK530" s="25"/>
      <c r="NUL530" s="34"/>
      <c r="NUM530" s="6"/>
      <c r="NUN530" s="6"/>
      <c r="NUO530" s="27"/>
      <c r="NUP530" s="40"/>
      <c r="NUQ530" s="25"/>
      <c r="NUR530" s="34"/>
      <c r="NUS530" s="6"/>
      <c r="NUT530" s="6"/>
      <c r="NUU530" s="27"/>
      <c r="NUV530" s="40"/>
      <c r="NUW530" s="25"/>
      <c r="NUX530" s="34"/>
      <c r="NUY530" s="6"/>
      <c r="NUZ530" s="6"/>
      <c r="NVA530" s="27"/>
      <c r="NVB530" s="40"/>
      <c r="NVC530" s="25"/>
      <c r="NVD530" s="34"/>
      <c r="NVE530" s="6"/>
      <c r="NVF530" s="6"/>
      <c r="NVG530" s="27"/>
      <c r="NVH530" s="40"/>
      <c r="NVI530" s="25"/>
      <c r="NVJ530" s="34"/>
      <c r="NVK530" s="6"/>
      <c r="NVL530" s="6"/>
      <c r="NVM530" s="27"/>
      <c r="NVN530" s="40"/>
      <c r="NVO530" s="25"/>
      <c r="NVP530" s="34"/>
      <c r="NVQ530" s="6"/>
      <c r="NVR530" s="6"/>
      <c r="NVS530" s="27"/>
      <c r="NVT530" s="40"/>
      <c r="NVU530" s="25"/>
      <c r="NVV530" s="34"/>
      <c r="NVW530" s="6"/>
      <c r="NVX530" s="6"/>
      <c r="NVY530" s="27"/>
      <c r="NVZ530" s="40"/>
      <c r="NWA530" s="25"/>
      <c r="NWB530" s="34"/>
      <c r="NWC530" s="6"/>
      <c r="NWD530" s="6"/>
      <c r="NWE530" s="27"/>
      <c r="NWF530" s="40"/>
      <c r="NWG530" s="25"/>
      <c r="NWH530" s="34"/>
      <c r="NWI530" s="6"/>
      <c r="NWJ530" s="6"/>
      <c r="NWK530" s="27"/>
      <c r="NWL530" s="40"/>
      <c r="NWM530" s="25"/>
      <c r="NWN530" s="34"/>
      <c r="NWO530" s="6"/>
      <c r="NWP530" s="6"/>
      <c r="NWQ530" s="27"/>
      <c r="NWR530" s="40"/>
      <c r="NWS530" s="25"/>
      <c r="NWT530" s="34"/>
      <c r="NWU530" s="6"/>
      <c r="NWV530" s="6"/>
      <c r="NWW530" s="27"/>
      <c r="NWX530" s="40"/>
      <c r="NWY530" s="25"/>
      <c r="NWZ530" s="34"/>
      <c r="NXA530" s="6"/>
      <c r="NXB530" s="6"/>
      <c r="NXC530" s="27"/>
      <c r="NXD530" s="40"/>
      <c r="NXE530" s="25"/>
      <c r="NXF530" s="34"/>
      <c r="NXG530" s="6"/>
      <c r="NXH530" s="6"/>
      <c r="NXI530" s="27"/>
      <c r="NXJ530" s="40"/>
      <c r="NXK530" s="25"/>
      <c r="NXL530" s="34"/>
      <c r="NXM530" s="6"/>
      <c r="NXN530" s="6"/>
      <c r="NXO530" s="27"/>
      <c r="NXP530" s="40"/>
      <c r="NXQ530" s="25"/>
      <c r="NXR530" s="34"/>
      <c r="NXS530" s="6"/>
      <c r="NXT530" s="6"/>
      <c r="NXU530" s="27"/>
      <c r="NXV530" s="40"/>
      <c r="NXW530" s="25"/>
      <c r="NXX530" s="34"/>
      <c r="NXY530" s="6"/>
      <c r="NXZ530" s="6"/>
      <c r="NYA530" s="27"/>
      <c r="NYB530" s="40"/>
      <c r="NYC530" s="25"/>
      <c r="NYD530" s="34"/>
      <c r="NYE530" s="6"/>
      <c r="NYF530" s="6"/>
      <c r="NYG530" s="27"/>
      <c r="NYH530" s="40"/>
      <c r="NYI530" s="25"/>
      <c r="NYJ530" s="34"/>
      <c r="NYK530" s="6"/>
      <c r="NYL530" s="6"/>
      <c r="NYM530" s="27"/>
      <c r="NYN530" s="40"/>
      <c r="NYO530" s="25"/>
      <c r="NYP530" s="34"/>
      <c r="NYQ530" s="6"/>
      <c r="NYR530" s="6"/>
      <c r="NYS530" s="27"/>
      <c r="NYT530" s="40"/>
      <c r="NYU530" s="25"/>
      <c r="NYV530" s="34"/>
      <c r="NYW530" s="6"/>
      <c r="NYX530" s="6"/>
      <c r="NYY530" s="27"/>
      <c r="NYZ530" s="40"/>
      <c r="NZA530" s="25"/>
      <c r="NZB530" s="34"/>
      <c r="NZC530" s="6"/>
      <c r="NZD530" s="6"/>
      <c r="NZE530" s="27"/>
      <c r="NZF530" s="40"/>
      <c r="NZG530" s="25"/>
      <c r="NZH530" s="34"/>
      <c r="NZI530" s="6"/>
      <c r="NZJ530" s="6"/>
      <c r="NZK530" s="27"/>
      <c r="NZL530" s="40"/>
      <c r="NZM530" s="25"/>
      <c r="NZN530" s="34"/>
      <c r="NZO530" s="6"/>
      <c r="NZP530" s="6"/>
      <c r="NZQ530" s="27"/>
      <c r="NZR530" s="40"/>
      <c r="NZS530" s="25"/>
      <c r="NZT530" s="34"/>
      <c r="NZU530" s="6"/>
      <c r="NZV530" s="6"/>
      <c r="NZW530" s="27"/>
      <c r="NZX530" s="40"/>
      <c r="NZY530" s="25"/>
      <c r="NZZ530" s="34"/>
      <c r="OAA530" s="6"/>
      <c r="OAB530" s="6"/>
      <c r="OAC530" s="27"/>
      <c r="OAD530" s="40"/>
      <c r="OAE530" s="25"/>
      <c r="OAF530" s="34"/>
      <c r="OAG530" s="6"/>
      <c r="OAH530" s="6"/>
      <c r="OAI530" s="27"/>
      <c r="OAJ530" s="40"/>
      <c r="OAK530" s="25"/>
      <c r="OAL530" s="34"/>
      <c r="OAM530" s="6"/>
      <c r="OAN530" s="6"/>
      <c r="OAO530" s="27"/>
      <c r="OAP530" s="40"/>
      <c r="OAQ530" s="25"/>
      <c r="OAR530" s="34"/>
      <c r="OAS530" s="6"/>
      <c r="OAT530" s="6"/>
      <c r="OAU530" s="27"/>
      <c r="OAV530" s="40"/>
      <c r="OAW530" s="25"/>
      <c r="OAX530" s="34"/>
      <c r="OAY530" s="6"/>
      <c r="OAZ530" s="6"/>
      <c r="OBA530" s="27"/>
      <c r="OBB530" s="40"/>
      <c r="OBC530" s="25"/>
      <c r="OBD530" s="34"/>
      <c r="OBE530" s="6"/>
      <c r="OBF530" s="6"/>
      <c r="OBG530" s="27"/>
      <c r="OBH530" s="40"/>
      <c r="OBI530" s="25"/>
      <c r="OBJ530" s="34"/>
      <c r="OBK530" s="6"/>
      <c r="OBL530" s="6"/>
      <c r="OBM530" s="27"/>
      <c r="OBN530" s="40"/>
      <c r="OBO530" s="25"/>
      <c r="OBP530" s="34"/>
      <c r="OBQ530" s="6"/>
      <c r="OBR530" s="6"/>
      <c r="OBS530" s="27"/>
      <c r="OBT530" s="40"/>
      <c r="OBU530" s="25"/>
      <c r="OBV530" s="34"/>
      <c r="OBW530" s="6"/>
      <c r="OBX530" s="6"/>
      <c r="OBY530" s="27"/>
      <c r="OBZ530" s="40"/>
      <c r="OCA530" s="25"/>
      <c r="OCB530" s="34"/>
      <c r="OCC530" s="6"/>
      <c r="OCD530" s="6"/>
      <c r="OCE530" s="27"/>
      <c r="OCF530" s="40"/>
      <c r="OCG530" s="25"/>
      <c r="OCH530" s="34"/>
      <c r="OCI530" s="6"/>
      <c r="OCJ530" s="6"/>
      <c r="OCK530" s="27"/>
      <c r="OCL530" s="40"/>
      <c r="OCM530" s="25"/>
      <c r="OCN530" s="34"/>
      <c r="OCO530" s="6"/>
      <c r="OCP530" s="6"/>
      <c r="OCQ530" s="27"/>
      <c r="OCR530" s="40"/>
      <c r="OCS530" s="25"/>
      <c r="OCT530" s="34"/>
      <c r="OCU530" s="6"/>
      <c r="OCV530" s="6"/>
      <c r="OCW530" s="27"/>
      <c r="OCX530" s="40"/>
      <c r="OCY530" s="25"/>
      <c r="OCZ530" s="34"/>
      <c r="ODA530" s="6"/>
      <c r="ODB530" s="6"/>
      <c r="ODC530" s="27"/>
      <c r="ODD530" s="40"/>
      <c r="ODE530" s="25"/>
      <c r="ODF530" s="34"/>
      <c r="ODG530" s="6"/>
      <c r="ODH530" s="6"/>
      <c r="ODI530" s="27"/>
      <c r="ODJ530" s="40"/>
      <c r="ODK530" s="25"/>
      <c r="ODL530" s="34"/>
      <c r="ODM530" s="6"/>
      <c r="ODN530" s="6"/>
      <c r="ODO530" s="27"/>
      <c r="ODP530" s="40"/>
      <c r="ODQ530" s="25"/>
      <c r="ODR530" s="34"/>
      <c r="ODS530" s="6"/>
      <c r="ODT530" s="6"/>
      <c r="ODU530" s="27"/>
      <c r="ODV530" s="40"/>
      <c r="ODW530" s="25"/>
      <c r="ODX530" s="34"/>
      <c r="ODY530" s="6"/>
      <c r="ODZ530" s="6"/>
      <c r="OEA530" s="27"/>
      <c r="OEB530" s="40"/>
      <c r="OEC530" s="25"/>
      <c r="OED530" s="34"/>
      <c r="OEE530" s="6"/>
      <c r="OEF530" s="6"/>
      <c r="OEG530" s="27"/>
      <c r="OEH530" s="40"/>
      <c r="OEI530" s="25"/>
      <c r="OEJ530" s="34"/>
      <c r="OEK530" s="6"/>
      <c r="OEL530" s="6"/>
      <c r="OEM530" s="27"/>
      <c r="OEN530" s="40"/>
      <c r="OEO530" s="25"/>
      <c r="OEP530" s="34"/>
      <c r="OEQ530" s="6"/>
      <c r="OER530" s="6"/>
      <c r="OES530" s="27"/>
      <c r="OET530" s="40"/>
      <c r="OEU530" s="25"/>
      <c r="OEV530" s="34"/>
      <c r="OEW530" s="6"/>
      <c r="OEX530" s="6"/>
      <c r="OEY530" s="27"/>
      <c r="OEZ530" s="40"/>
      <c r="OFA530" s="25"/>
      <c r="OFB530" s="34"/>
      <c r="OFC530" s="6"/>
      <c r="OFD530" s="6"/>
      <c r="OFE530" s="27"/>
      <c r="OFF530" s="40"/>
      <c r="OFG530" s="25"/>
      <c r="OFH530" s="34"/>
      <c r="OFI530" s="6"/>
      <c r="OFJ530" s="6"/>
      <c r="OFK530" s="27"/>
      <c r="OFL530" s="40"/>
      <c r="OFM530" s="25"/>
      <c r="OFN530" s="34"/>
      <c r="OFO530" s="6"/>
      <c r="OFP530" s="6"/>
      <c r="OFQ530" s="27"/>
      <c r="OFR530" s="40"/>
      <c r="OFS530" s="25"/>
      <c r="OFT530" s="34"/>
      <c r="OFU530" s="6"/>
      <c r="OFV530" s="6"/>
      <c r="OFW530" s="27"/>
      <c r="OFX530" s="40"/>
      <c r="OFY530" s="25"/>
      <c r="OFZ530" s="34"/>
      <c r="OGA530" s="6"/>
      <c r="OGB530" s="6"/>
      <c r="OGC530" s="27"/>
      <c r="OGD530" s="40"/>
      <c r="OGE530" s="25"/>
      <c r="OGF530" s="34"/>
      <c r="OGG530" s="6"/>
      <c r="OGH530" s="6"/>
      <c r="OGI530" s="27"/>
      <c r="OGJ530" s="40"/>
      <c r="OGK530" s="25"/>
      <c r="OGL530" s="34"/>
      <c r="OGM530" s="6"/>
      <c r="OGN530" s="6"/>
      <c r="OGO530" s="27"/>
      <c r="OGP530" s="40"/>
      <c r="OGQ530" s="25"/>
      <c r="OGR530" s="34"/>
      <c r="OGS530" s="6"/>
      <c r="OGT530" s="6"/>
      <c r="OGU530" s="27"/>
      <c r="OGV530" s="40"/>
      <c r="OGW530" s="25"/>
      <c r="OGX530" s="34"/>
      <c r="OGY530" s="6"/>
      <c r="OGZ530" s="6"/>
      <c r="OHA530" s="27"/>
      <c r="OHB530" s="40"/>
      <c r="OHC530" s="25"/>
      <c r="OHD530" s="34"/>
      <c r="OHE530" s="6"/>
      <c r="OHF530" s="6"/>
      <c r="OHG530" s="27"/>
      <c r="OHH530" s="40"/>
      <c r="OHI530" s="25"/>
      <c r="OHJ530" s="34"/>
      <c r="OHK530" s="6"/>
      <c r="OHL530" s="6"/>
      <c r="OHM530" s="27"/>
      <c r="OHN530" s="40"/>
      <c r="OHO530" s="25"/>
      <c r="OHP530" s="34"/>
      <c r="OHQ530" s="6"/>
      <c r="OHR530" s="6"/>
      <c r="OHS530" s="27"/>
      <c r="OHT530" s="40"/>
      <c r="OHU530" s="25"/>
      <c r="OHV530" s="34"/>
      <c r="OHW530" s="6"/>
      <c r="OHX530" s="6"/>
      <c r="OHY530" s="27"/>
      <c r="OHZ530" s="40"/>
      <c r="OIA530" s="25"/>
      <c r="OIB530" s="34"/>
      <c r="OIC530" s="6"/>
      <c r="OID530" s="6"/>
      <c r="OIE530" s="27"/>
      <c r="OIF530" s="40"/>
      <c r="OIG530" s="25"/>
      <c r="OIH530" s="34"/>
      <c r="OII530" s="6"/>
      <c r="OIJ530" s="6"/>
      <c r="OIK530" s="27"/>
      <c r="OIL530" s="40"/>
      <c r="OIM530" s="25"/>
      <c r="OIN530" s="34"/>
      <c r="OIO530" s="6"/>
      <c r="OIP530" s="6"/>
      <c r="OIQ530" s="27"/>
      <c r="OIR530" s="40"/>
      <c r="OIS530" s="25"/>
      <c r="OIT530" s="34"/>
      <c r="OIU530" s="6"/>
      <c r="OIV530" s="6"/>
      <c r="OIW530" s="27"/>
      <c r="OIX530" s="40"/>
      <c r="OIY530" s="25"/>
      <c r="OIZ530" s="34"/>
      <c r="OJA530" s="6"/>
      <c r="OJB530" s="6"/>
      <c r="OJC530" s="27"/>
      <c r="OJD530" s="40"/>
      <c r="OJE530" s="25"/>
      <c r="OJF530" s="34"/>
      <c r="OJG530" s="6"/>
      <c r="OJH530" s="6"/>
      <c r="OJI530" s="27"/>
      <c r="OJJ530" s="40"/>
      <c r="OJK530" s="25"/>
      <c r="OJL530" s="34"/>
      <c r="OJM530" s="6"/>
      <c r="OJN530" s="6"/>
      <c r="OJO530" s="27"/>
      <c r="OJP530" s="40"/>
      <c r="OJQ530" s="25"/>
      <c r="OJR530" s="34"/>
      <c r="OJS530" s="6"/>
      <c r="OJT530" s="6"/>
      <c r="OJU530" s="27"/>
      <c r="OJV530" s="40"/>
      <c r="OJW530" s="25"/>
      <c r="OJX530" s="34"/>
      <c r="OJY530" s="6"/>
      <c r="OJZ530" s="6"/>
      <c r="OKA530" s="27"/>
      <c r="OKB530" s="40"/>
      <c r="OKC530" s="25"/>
      <c r="OKD530" s="34"/>
      <c r="OKE530" s="6"/>
      <c r="OKF530" s="6"/>
      <c r="OKG530" s="27"/>
      <c r="OKH530" s="40"/>
      <c r="OKI530" s="25"/>
      <c r="OKJ530" s="34"/>
      <c r="OKK530" s="6"/>
      <c r="OKL530" s="6"/>
      <c r="OKM530" s="27"/>
      <c r="OKN530" s="40"/>
      <c r="OKO530" s="25"/>
      <c r="OKP530" s="34"/>
      <c r="OKQ530" s="6"/>
      <c r="OKR530" s="6"/>
      <c r="OKS530" s="27"/>
      <c r="OKT530" s="40"/>
      <c r="OKU530" s="25"/>
      <c r="OKV530" s="34"/>
      <c r="OKW530" s="6"/>
      <c r="OKX530" s="6"/>
      <c r="OKY530" s="27"/>
      <c r="OKZ530" s="40"/>
      <c r="OLA530" s="25"/>
      <c r="OLB530" s="34"/>
      <c r="OLC530" s="6"/>
      <c r="OLD530" s="6"/>
      <c r="OLE530" s="27"/>
      <c r="OLF530" s="40"/>
      <c r="OLG530" s="25"/>
      <c r="OLH530" s="34"/>
      <c r="OLI530" s="6"/>
      <c r="OLJ530" s="6"/>
      <c r="OLK530" s="27"/>
      <c r="OLL530" s="40"/>
      <c r="OLM530" s="25"/>
      <c r="OLN530" s="34"/>
      <c r="OLO530" s="6"/>
      <c r="OLP530" s="6"/>
      <c r="OLQ530" s="27"/>
      <c r="OLR530" s="40"/>
      <c r="OLS530" s="25"/>
      <c r="OLT530" s="34"/>
      <c r="OLU530" s="6"/>
      <c r="OLV530" s="6"/>
      <c r="OLW530" s="27"/>
      <c r="OLX530" s="40"/>
      <c r="OLY530" s="25"/>
      <c r="OLZ530" s="34"/>
      <c r="OMA530" s="6"/>
      <c r="OMB530" s="6"/>
      <c r="OMC530" s="27"/>
      <c r="OMD530" s="40"/>
      <c r="OME530" s="25"/>
      <c r="OMF530" s="34"/>
      <c r="OMG530" s="6"/>
      <c r="OMH530" s="6"/>
      <c r="OMI530" s="27"/>
      <c r="OMJ530" s="40"/>
      <c r="OMK530" s="25"/>
      <c r="OML530" s="34"/>
      <c r="OMM530" s="6"/>
      <c r="OMN530" s="6"/>
      <c r="OMO530" s="27"/>
      <c r="OMP530" s="40"/>
      <c r="OMQ530" s="25"/>
      <c r="OMR530" s="34"/>
      <c r="OMS530" s="6"/>
      <c r="OMT530" s="6"/>
      <c r="OMU530" s="27"/>
      <c r="OMV530" s="40"/>
      <c r="OMW530" s="25"/>
      <c r="OMX530" s="34"/>
      <c r="OMY530" s="6"/>
      <c r="OMZ530" s="6"/>
      <c r="ONA530" s="27"/>
      <c r="ONB530" s="40"/>
      <c r="ONC530" s="25"/>
      <c r="OND530" s="34"/>
      <c r="ONE530" s="6"/>
      <c r="ONF530" s="6"/>
      <c r="ONG530" s="27"/>
      <c r="ONH530" s="40"/>
      <c r="ONI530" s="25"/>
      <c r="ONJ530" s="34"/>
      <c r="ONK530" s="6"/>
      <c r="ONL530" s="6"/>
      <c r="ONM530" s="27"/>
      <c r="ONN530" s="40"/>
      <c r="ONO530" s="25"/>
      <c r="ONP530" s="34"/>
      <c r="ONQ530" s="6"/>
      <c r="ONR530" s="6"/>
      <c r="ONS530" s="27"/>
      <c r="ONT530" s="40"/>
      <c r="ONU530" s="25"/>
      <c r="ONV530" s="34"/>
      <c r="ONW530" s="6"/>
      <c r="ONX530" s="6"/>
      <c r="ONY530" s="27"/>
      <c r="ONZ530" s="40"/>
      <c r="OOA530" s="25"/>
      <c r="OOB530" s="34"/>
      <c r="OOC530" s="6"/>
      <c r="OOD530" s="6"/>
      <c r="OOE530" s="27"/>
      <c r="OOF530" s="40"/>
      <c r="OOG530" s="25"/>
      <c r="OOH530" s="34"/>
      <c r="OOI530" s="6"/>
      <c r="OOJ530" s="6"/>
      <c r="OOK530" s="27"/>
      <c r="OOL530" s="40"/>
      <c r="OOM530" s="25"/>
      <c r="OON530" s="34"/>
      <c r="OOO530" s="6"/>
      <c r="OOP530" s="6"/>
      <c r="OOQ530" s="27"/>
      <c r="OOR530" s="40"/>
      <c r="OOS530" s="25"/>
      <c r="OOT530" s="34"/>
      <c r="OOU530" s="6"/>
      <c r="OOV530" s="6"/>
      <c r="OOW530" s="27"/>
      <c r="OOX530" s="40"/>
      <c r="OOY530" s="25"/>
      <c r="OOZ530" s="34"/>
      <c r="OPA530" s="6"/>
      <c r="OPB530" s="6"/>
      <c r="OPC530" s="27"/>
      <c r="OPD530" s="40"/>
      <c r="OPE530" s="25"/>
      <c r="OPF530" s="34"/>
      <c r="OPG530" s="6"/>
      <c r="OPH530" s="6"/>
      <c r="OPI530" s="27"/>
      <c r="OPJ530" s="40"/>
      <c r="OPK530" s="25"/>
      <c r="OPL530" s="34"/>
      <c r="OPM530" s="6"/>
      <c r="OPN530" s="6"/>
      <c r="OPO530" s="27"/>
      <c r="OPP530" s="40"/>
      <c r="OPQ530" s="25"/>
      <c r="OPR530" s="34"/>
      <c r="OPS530" s="6"/>
      <c r="OPT530" s="6"/>
      <c r="OPU530" s="27"/>
      <c r="OPV530" s="40"/>
      <c r="OPW530" s="25"/>
      <c r="OPX530" s="34"/>
      <c r="OPY530" s="6"/>
      <c r="OPZ530" s="6"/>
      <c r="OQA530" s="27"/>
      <c r="OQB530" s="40"/>
      <c r="OQC530" s="25"/>
      <c r="OQD530" s="34"/>
      <c r="OQE530" s="6"/>
      <c r="OQF530" s="6"/>
      <c r="OQG530" s="27"/>
      <c r="OQH530" s="40"/>
      <c r="OQI530" s="25"/>
      <c r="OQJ530" s="34"/>
      <c r="OQK530" s="6"/>
      <c r="OQL530" s="6"/>
      <c r="OQM530" s="27"/>
      <c r="OQN530" s="40"/>
      <c r="OQO530" s="25"/>
      <c r="OQP530" s="34"/>
      <c r="OQQ530" s="6"/>
      <c r="OQR530" s="6"/>
      <c r="OQS530" s="27"/>
      <c r="OQT530" s="40"/>
      <c r="OQU530" s="25"/>
      <c r="OQV530" s="34"/>
      <c r="OQW530" s="6"/>
      <c r="OQX530" s="6"/>
      <c r="OQY530" s="27"/>
      <c r="OQZ530" s="40"/>
      <c r="ORA530" s="25"/>
      <c r="ORB530" s="34"/>
      <c r="ORC530" s="6"/>
      <c r="ORD530" s="6"/>
      <c r="ORE530" s="27"/>
      <c r="ORF530" s="40"/>
      <c r="ORG530" s="25"/>
      <c r="ORH530" s="34"/>
      <c r="ORI530" s="6"/>
      <c r="ORJ530" s="6"/>
      <c r="ORK530" s="27"/>
      <c r="ORL530" s="40"/>
      <c r="ORM530" s="25"/>
      <c r="ORN530" s="34"/>
      <c r="ORO530" s="6"/>
      <c r="ORP530" s="6"/>
      <c r="ORQ530" s="27"/>
      <c r="ORR530" s="40"/>
      <c r="ORS530" s="25"/>
      <c r="ORT530" s="34"/>
      <c r="ORU530" s="6"/>
      <c r="ORV530" s="6"/>
      <c r="ORW530" s="27"/>
      <c r="ORX530" s="40"/>
      <c r="ORY530" s="25"/>
      <c r="ORZ530" s="34"/>
      <c r="OSA530" s="6"/>
      <c r="OSB530" s="6"/>
      <c r="OSC530" s="27"/>
      <c r="OSD530" s="40"/>
      <c r="OSE530" s="25"/>
      <c r="OSF530" s="34"/>
      <c r="OSG530" s="6"/>
      <c r="OSH530" s="6"/>
      <c r="OSI530" s="27"/>
      <c r="OSJ530" s="40"/>
      <c r="OSK530" s="25"/>
      <c r="OSL530" s="34"/>
      <c r="OSM530" s="6"/>
      <c r="OSN530" s="6"/>
      <c r="OSO530" s="27"/>
      <c r="OSP530" s="40"/>
      <c r="OSQ530" s="25"/>
      <c r="OSR530" s="34"/>
      <c r="OSS530" s="6"/>
      <c r="OST530" s="6"/>
      <c r="OSU530" s="27"/>
      <c r="OSV530" s="40"/>
      <c r="OSW530" s="25"/>
      <c r="OSX530" s="34"/>
      <c r="OSY530" s="6"/>
      <c r="OSZ530" s="6"/>
      <c r="OTA530" s="27"/>
      <c r="OTB530" s="40"/>
      <c r="OTC530" s="25"/>
      <c r="OTD530" s="34"/>
      <c r="OTE530" s="6"/>
      <c r="OTF530" s="6"/>
      <c r="OTG530" s="27"/>
      <c r="OTH530" s="40"/>
      <c r="OTI530" s="25"/>
      <c r="OTJ530" s="34"/>
      <c r="OTK530" s="6"/>
      <c r="OTL530" s="6"/>
      <c r="OTM530" s="27"/>
      <c r="OTN530" s="40"/>
      <c r="OTO530" s="25"/>
      <c r="OTP530" s="34"/>
      <c r="OTQ530" s="6"/>
      <c r="OTR530" s="6"/>
      <c r="OTS530" s="27"/>
      <c r="OTT530" s="40"/>
      <c r="OTU530" s="25"/>
      <c r="OTV530" s="34"/>
      <c r="OTW530" s="6"/>
      <c r="OTX530" s="6"/>
      <c r="OTY530" s="27"/>
      <c r="OTZ530" s="40"/>
      <c r="OUA530" s="25"/>
      <c r="OUB530" s="34"/>
      <c r="OUC530" s="6"/>
      <c r="OUD530" s="6"/>
      <c r="OUE530" s="27"/>
      <c r="OUF530" s="40"/>
      <c r="OUG530" s="25"/>
      <c r="OUH530" s="34"/>
      <c r="OUI530" s="6"/>
      <c r="OUJ530" s="6"/>
      <c r="OUK530" s="27"/>
      <c r="OUL530" s="40"/>
      <c r="OUM530" s="25"/>
      <c r="OUN530" s="34"/>
      <c r="OUO530" s="6"/>
      <c r="OUP530" s="6"/>
      <c r="OUQ530" s="27"/>
      <c r="OUR530" s="40"/>
      <c r="OUS530" s="25"/>
      <c r="OUT530" s="34"/>
      <c r="OUU530" s="6"/>
      <c r="OUV530" s="6"/>
      <c r="OUW530" s="27"/>
      <c r="OUX530" s="40"/>
      <c r="OUY530" s="25"/>
      <c r="OUZ530" s="34"/>
      <c r="OVA530" s="6"/>
      <c r="OVB530" s="6"/>
      <c r="OVC530" s="27"/>
      <c r="OVD530" s="40"/>
      <c r="OVE530" s="25"/>
      <c r="OVF530" s="34"/>
      <c r="OVG530" s="6"/>
      <c r="OVH530" s="6"/>
      <c r="OVI530" s="27"/>
      <c r="OVJ530" s="40"/>
      <c r="OVK530" s="25"/>
      <c r="OVL530" s="34"/>
      <c r="OVM530" s="6"/>
      <c r="OVN530" s="6"/>
      <c r="OVO530" s="27"/>
      <c r="OVP530" s="40"/>
      <c r="OVQ530" s="25"/>
      <c r="OVR530" s="34"/>
      <c r="OVS530" s="6"/>
      <c r="OVT530" s="6"/>
      <c r="OVU530" s="27"/>
      <c r="OVV530" s="40"/>
      <c r="OVW530" s="25"/>
      <c r="OVX530" s="34"/>
      <c r="OVY530" s="6"/>
      <c r="OVZ530" s="6"/>
      <c r="OWA530" s="27"/>
      <c r="OWB530" s="40"/>
      <c r="OWC530" s="25"/>
      <c r="OWD530" s="34"/>
      <c r="OWE530" s="6"/>
      <c r="OWF530" s="6"/>
      <c r="OWG530" s="27"/>
      <c r="OWH530" s="40"/>
      <c r="OWI530" s="25"/>
      <c r="OWJ530" s="34"/>
      <c r="OWK530" s="6"/>
      <c r="OWL530" s="6"/>
      <c r="OWM530" s="27"/>
      <c r="OWN530" s="40"/>
      <c r="OWO530" s="25"/>
      <c r="OWP530" s="34"/>
      <c r="OWQ530" s="6"/>
      <c r="OWR530" s="6"/>
      <c r="OWS530" s="27"/>
      <c r="OWT530" s="40"/>
      <c r="OWU530" s="25"/>
      <c r="OWV530" s="34"/>
      <c r="OWW530" s="6"/>
      <c r="OWX530" s="6"/>
      <c r="OWY530" s="27"/>
      <c r="OWZ530" s="40"/>
      <c r="OXA530" s="25"/>
      <c r="OXB530" s="34"/>
      <c r="OXC530" s="6"/>
      <c r="OXD530" s="6"/>
      <c r="OXE530" s="27"/>
      <c r="OXF530" s="40"/>
      <c r="OXG530" s="25"/>
      <c r="OXH530" s="34"/>
      <c r="OXI530" s="6"/>
      <c r="OXJ530" s="6"/>
      <c r="OXK530" s="27"/>
      <c r="OXL530" s="40"/>
      <c r="OXM530" s="25"/>
      <c r="OXN530" s="34"/>
      <c r="OXO530" s="6"/>
      <c r="OXP530" s="6"/>
      <c r="OXQ530" s="27"/>
      <c r="OXR530" s="40"/>
      <c r="OXS530" s="25"/>
      <c r="OXT530" s="34"/>
      <c r="OXU530" s="6"/>
      <c r="OXV530" s="6"/>
      <c r="OXW530" s="27"/>
      <c r="OXX530" s="40"/>
      <c r="OXY530" s="25"/>
      <c r="OXZ530" s="34"/>
      <c r="OYA530" s="6"/>
      <c r="OYB530" s="6"/>
      <c r="OYC530" s="27"/>
      <c r="OYD530" s="40"/>
      <c r="OYE530" s="25"/>
      <c r="OYF530" s="34"/>
      <c r="OYG530" s="6"/>
      <c r="OYH530" s="6"/>
      <c r="OYI530" s="27"/>
      <c r="OYJ530" s="40"/>
      <c r="OYK530" s="25"/>
      <c r="OYL530" s="34"/>
      <c r="OYM530" s="6"/>
      <c r="OYN530" s="6"/>
      <c r="OYO530" s="27"/>
      <c r="OYP530" s="40"/>
      <c r="OYQ530" s="25"/>
      <c r="OYR530" s="34"/>
      <c r="OYS530" s="6"/>
      <c r="OYT530" s="6"/>
      <c r="OYU530" s="27"/>
      <c r="OYV530" s="40"/>
      <c r="OYW530" s="25"/>
      <c r="OYX530" s="34"/>
      <c r="OYY530" s="6"/>
      <c r="OYZ530" s="6"/>
      <c r="OZA530" s="27"/>
      <c r="OZB530" s="40"/>
      <c r="OZC530" s="25"/>
      <c r="OZD530" s="34"/>
      <c r="OZE530" s="6"/>
      <c r="OZF530" s="6"/>
      <c r="OZG530" s="27"/>
      <c r="OZH530" s="40"/>
      <c r="OZI530" s="25"/>
      <c r="OZJ530" s="34"/>
      <c r="OZK530" s="6"/>
      <c r="OZL530" s="6"/>
      <c r="OZM530" s="27"/>
      <c r="OZN530" s="40"/>
      <c r="OZO530" s="25"/>
      <c r="OZP530" s="34"/>
      <c r="OZQ530" s="6"/>
      <c r="OZR530" s="6"/>
      <c r="OZS530" s="27"/>
      <c r="OZT530" s="40"/>
      <c r="OZU530" s="25"/>
      <c r="OZV530" s="34"/>
      <c r="OZW530" s="6"/>
      <c r="OZX530" s="6"/>
      <c r="OZY530" s="27"/>
      <c r="OZZ530" s="40"/>
      <c r="PAA530" s="25"/>
      <c r="PAB530" s="34"/>
      <c r="PAC530" s="6"/>
      <c r="PAD530" s="6"/>
      <c r="PAE530" s="27"/>
      <c r="PAF530" s="40"/>
      <c r="PAG530" s="25"/>
      <c r="PAH530" s="34"/>
      <c r="PAI530" s="6"/>
      <c r="PAJ530" s="6"/>
      <c r="PAK530" s="27"/>
      <c r="PAL530" s="40"/>
      <c r="PAM530" s="25"/>
      <c r="PAN530" s="34"/>
      <c r="PAO530" s="6"/>
      <c r="PAP530" s="6"/>
      <c r="PAQ530" s="27"/>
      <c r="PAR530" s="40"/>
      <c r="PAS530" s="25"/>
      <c r="PAT530" s="34"/>
      <c r="PAU530" s="6"/>
      <c r="PAV530" s="6"/>
      <c r="PAW530" s="27"/>
      <c r="PAX530" s="40"/>
      <c r="PAY530" s="25"/>
      <c r="PAZ530" s="34"/>
      <c r="PBA530" s="6"/>
      <c r="PBB530" s="6"/>
      <c r="PBC530" s="27"/>
      <c r="PBD530" s="40"/>
      <c r="PBE530" s="25"/>
      <c r="PBF530" s="34"/>
      <c r="PBG530" s="6"/>
      <c r="PBH530" s="6"/>
      <c r="PBI530" s="27"/>
      <c r="PBJ530" s="40"/>
      <c r="PBK530" s="25"/>
      <c r="PBL530" s="34"/>
      <c r="PBM530" s="6"/>
      <c r="PBN530" s="6"/>
      <c r="PBO530" s="27"/>
      <c r="PBP530" s="40"/>
      <c r="PBQ530" s="25"/>
      <c r="PBR530" s="34"/>
      <c r="PBS530" s="6"/>
      <c r="PBT530" s="6"/>
      <c r="PBU530" s="27"/>
      <c r="PBV530" s="40"/>
      <c r="PBW530" s="25"/>
      <c r="PBX530" s="34"/>
      <c r="PBY530" s="6"/>
      <c r="PBZ530" s="6"/>
      <c r="PCA530" s="27"/>
      <c r="PCB530" s="40"/>
      <c r="PCC530" s="25"/>
      <c r="PCD530" s="34"/>
      <c r="PCE530" s="6"/>
      <c r="PCF530" s="6"/>
      <c r="PCG530" s="27"/>
      <c r="PCH530" s="40"/>
      <c r="PCI530" s="25"/>
      <c r="PCJ530" s="34"/>
      <c r="PCK530" s="6"/>
      <c r="PCL530" s="6"/>
      <c r="PCM530" s="27"/>
      <c r="PCN530" s="40"/>
      <c r="PCO530" s="25"/>
      <c r="PCP530" s="34"/>
      <c r="PCQ530" s="6"/>
      <c r="PCR530" s="6"/>
      <c r="PCS530" s="27"/>
      <c r="PCT530" s="40"/>
      <c r="PCU530" s="25"/>
      <c r="PCV530" s="34"/>
      <c r="PCW530" s="6"/>
      <c r="PCX530" s="6"/>
      <c r="PCY530" s="27"/>
      <c r="PCZ530" s="40"/>
      <c r="PDA530" s="25"/>
      <c r="PDB530" s="34"/>
      <c r="PDC530" s="6"/>
      <c r="PDD530" s="6"/>
      <c r="PDE530" s="27"/>
      <c r="PDF530" s="40"/>
      <c r="PDG530" s="25"/>
      <c r="PDH530" s="34"/>
      <c r="PDI530" s="6"/>
      <c r="PDJ530" s="6"/>
      <c r="PDK530" s="27"/>
      <c r="PDL530" s="40"/>
      <c r="PDM530" s="25"/>
      <c r="PDN530" s="34"/>
      <c r="PDO530" s="6"/>
      <c r="PDP530" s="6"/>
      <c r="PDQ530" s="27"/>
      <c r="PDR530" s="40"/>
      <c r="PDS530" s="25"/>
      <c r="PDT530" s="34"/>
      <c r="PDU530" s="6"/>
      <c r="PDV530" s="6"/>
      <c r="PDW530" s="27"/>
      <c r="PDX530" s="40"/>
      <c r="PDY530" s="25"/>
      <c r="PDZ530" s="34"/>
      <c r="PEA530" s="6"/>
      <c r="PEB530" s="6"/>
      <c r="PEC530" s="27"/>
      <c r="PED530" s="40"/>
      <c r="PEE530" s="25"/>
      <c r="PEF530" s="34"/>
      <c r="PEG530" s="6"/>
      <c r="PEH530" s="6"/>
      <c r="PEI530" s="27"/>
      <c r="PEJ530" s="40"/>
      <c r="PEK530" s="25"/>
      <c r="PEL530" s="34"/>
      <c r="PEM530" s="6"/>
      <c r="PEN530" s="6"/>
      <c r="PEO530" s="27"/>
      <c r="PEP530" s="40"/>
      <c r="PEQ530" s="25"/>
      <c r="PER530" s="34"/>
      <c r="PES530" s="6"/>
      <c r="PET530" s="6"/>
      <c r="PEU530" s="27"/>
      <c r="PEV530" s="40"/>
      <c r="PEW530" s="25"/>
      <c r="PEX530" s="34"/>
      <c r="PEY530" s="6"/>
      <c r="PEZ530" s="6"/>
      <c r="PFA530" s="27"/>
      <c r="PFB530" s="40"/>
      <c r="PFC530" s="25"/>
      <c r="PFD530" s="34"/>
      <c r="PFE530" s="6"/>
      <c r="PFF530" s="6"/>
      <c r="PFG530" s="27"/>
      <c r="PFH530" s="40"/>
      <c r="PFI530" s="25"/>
      <c r="PFJ530" s="34"/>
      <c r="PFK530" s="6"/>
      <c r="PFL530" s="6"/>
      <c r="PFM530" s="27"/>
      <c r="PFN530" s="40"/>
      <c r="PFO530" s="25"/>
      <c r="PFP530" s="34"/>
      <c r="PFQ530" s="6"/>
      <c r="PFR530" s="6"/>
      <c r="PFS530" s="27"/>
      <c r="PFT530" s="40"/>
      <c r="PFU530" s="25"/>
      <c r="PFV530" s="34"/>
      <c r="PFW530" s="6"/>
      <c r="PFX530" s="6"/>
      <c r="PFY530" s="27"/>
      <c r="PFZ530" s="40"/>
      <c r="PGA530" s="25"/>
      <c r="PGB530" s="34"/>
      <c r="PGC530" s="6"/>
      <c r="PGD530" s="6"/>
      <c r="PGE530" s="27"/>
      <c r="PGF530" s="40"/>
      <c r="PGG530" s="25"/>
      <c r="PGH530" s="34"/>
      <c r="PGI530" s="6"/>
      <c r="PGJ530" s="6"/>
      <c r="PGK530" s="27"/>
      <c r="PGL530" s="40"/>
      <c r="PGM530" s="25"/>
      <c r="PGN530" s="34"/>
      <c r="PGO530" s="6"/>
      <c r="PGP530" s="6"/>
      <c r="PGQ530" s="27"/>
      <c r="PGR530" s="40"/>
      <c r="PGS530" s="25"/>
      <c r="PGT530" s="34"/>
      <c r="PGU530" s="6"/>
      <c r="PGV530" s="6"/>
      <c r="PGW530" s="27"/>
      <c r="PGX530" s="40"/>
      <c r="PGY530" s="25"/>
      <c r="PGZ530" s="34"/>
      <c r="PHA530" s="6"/>
      <c r="PHB530" s="6"/>
      <c r="PHC530" s="27"/>
      <c r="PHD530" s="40"/>
      <c r="PHE530" s="25"/>
      <c r="PHF530" s="34"/>
      <c r="PHG530" s="6"/>
      <c r="PHH530" s="6"/>
      <c r="PHI530" s="27"/>
      <c r="PHJ530" s="40"/>
      <c r="PHK530" s="25"/>
      <c r="PHL530" s="34"/>
      <c r="PHM530" s="6"/>
      <c r="PHN530" s="6"/>
      <c r="PHO530" s="27"/>
      <c r="PHP530" s="40"/>
      <c r="PHQ530" s="25"/>
      <c r="PHR530" s="34"/>
      <c r="PHS530" s="6"/>
      <c r="PHT530" s="6"/>
      <c r="PHU530" s="27"/>
      <c r="PHV530" s="40"/>
      <c r="PHW530" s="25"/>
      <c r="PHX530" s="34"/>
      <c r="PHY530" s="6"/>
      <c r="PHZ530" s="6"/>
      <c r="PIA530" s="27"/>
      <c r="PIB530" s="40"/>
      <c r="PIC530" s="25"/>
      <c r="PID530" s="34"/>
      <c r="PIE530" s="6"/>
      <c r="PIF530" s="6"/>
      <c r="PIG530" s="27"/>
      <c r="PIH530" s="40"/>
      <c r="PII530" s="25"/>
      <c r="PIJ530" s="34"/>
      <c r="PIK530" s="6"/>
      <c r="PIL530" s="6"/>
      <c r="PIM530" s="27"/>
      <c r="PIN530" s="40"/>
      <c r="PIO530" s="25"/>
      <c r="PIP530" s="34"/>
      <c r="PIQ530" s="6"/>
      <c r="PIR530" s="6"/>
      <c r="PIS530" s="27"/>
      <c r="PIT530" s="40"/>
      <c r="PIU530" s="25"/>
      <c r="PIV530" s="34"/>
      <c r="PIW530" s="6"/>
      <c r="PIX530" s="6"/>
      <c r="PIY530" s="27"/>
      <c r="PIZ530" s="40"/>
      <c r="PJA530" s="25"/>
      <c r="PJB530" s="34"/>
      <c r="PJC530" s="6"/>
      <c r="PJD530" s="6"/>
      <c r="PJE530" s="27"/>
      <c r="PJF530" s="40"/>
      <c r="PJG530" s="25"/>
      <c r="PJH530" s="34"/>
      <c r="PJI530" s="6"/>
      <c r="PJJ530" s="6"/>
      <c r="PJK530" s="27"/>
      <c r="PJL530" s="40"/>
      <c r="PJM530" s="25"/>
      <c r="PJN530" s="34"/>
      <c r="PJO530" s="6"/>
      <c r="PJP530" s="6"/>
      <c r="PJQ530" s="27"/>
      <c r="PJR530" s="40"/>
      <c r="PJS530" s="25"/>
      <c r="PJT530" s="34"/>
      <c r="PJU530" s="6"/>
      <c r="PJV530" s="6"/>
      <c r="PJW530" s="27"/>
      <c r="PJX530" s="40"/>
      <c r="PJY530" s="25"/>
      <c r="PJZ530" s="34"/>
      <c r="PKA530" s="6"/>
      <c r="PKB530" s="6"/>
      <c r="PKC530" s="27"/>
      <c r="PKD530" s="40"/>
      <c r="PKE530" s="25"/>
      <c r="PKF530" s="34"/>
      <c r="PKG530" s="6"/>
      <c r="PKH530" s="6"/>
      <c r="PKI530" s="27"/>
      <c r="PKJ530" s="40"/>
      <c r="PKK530" s="25"/>
      <c r="PKL530" s="34"/>
      <c r="PKM530" s="6"/>
      <c r="PKN530" s="6"/>
      <c r="PKO530" s="27"/>
      <c r="PKP530" s="40"/>
      <c r="PKQ530" s="25"/>
      <c r="PKR530" s="34"/>
      <c r="PKS530" s="6"/>
      <c r="PKT530" s="6"/>
      <c r="PKU530" s="27"/>
      <c r="PKV530" s="40"/>
      <c r="PKW530" s="25"/>
      <c r="PKX530" s="34"/>
      <c r="PKY530" s="6"/>
      <c r="PKZ530" s="6"/>
      <c r="PLA530" s="27"/>
      <c r="PLB530" s="40"/>
      <c r="PLC530" s="25"/>
      <c r="PLD530" s="34"/>
      <c r="PLE530" s="6"/>
      <c r="PLF530" s="6"/>
      <c r="PLG530" s="27"/>
      <c r="PLH530" s="40"/>
      <c r="PLI530" s="25"/>
      <c r="PLJ530" s="34"/>
      <c r="PLK530" s="6"/>
      <c r="PLL530" s="6"/>
      <c r="PLM530" s="27"/>
      <c r="PLN530" s="40"/>
      <c r="PLO530" s="25"/>
      <c r="PLP530" s="34"/>
      <c r="PLQ530" s="6"/>
      <c r="PLR530" s="6"/>
      <c r="PLS530" s="27"/>
      <c r="PLT530" s="40"/>
      <c r="PLU530" s="25"/>
      <c r="PLV530" s="34"/>
      <c r="PLW530" s="6"/>
      <c r="PLX530" s="6"/>
      <c r="PLY530" s="27"/>
      <c r="PLZ530" s="40"/>
      <c r="PMA530" s="25"/>
      <c r="PMB530" s="34"/>
      <c r="PMC530" s="6"/>
      <c r="PMD530" s="6"/>
      <c r="PME530" s="27"/>
      <c r="PMF530" s="40"/>
      <c r="PMG530" s="25"/>
      <c r="PMH530" s="34"/>
      <c r="PMI530" s="6"/>
      <c r="PMJ530" s="6"/>
      <c r="PMK530" s="27"/>
      <c r="PML530" s="40"/>
      <c r="PMM530" s="25"/>
      <c r="PMN530" s="34"/>
      <c r="PMO530" s="6"/>
      <c r="PMP530" s="6"/>
      <c r="PMQ530" s="27"/>
      <c r="PMR530" s="40"/>
      <c r="PMS530" s="25"/>
      <c r="PMT530" s="34"/>
      <c r="PMU530" s="6"/>
      <c r="PMV530" s="6"/>
      <c r="PMW530" s="27"/>
      <c r="PMX530" s="40"/>
      <c r="PMY530" s="25"/>
      <c r="PMZ530" s="34"/>
      <c r="PNA530" s="6"/>
      <c r="PNB530" s="6"/>
      <c r="PNC530" s="27"/>
      <c r="PND530" s="40"/>
      <c r="PNE530" s="25"/>
      <c r="PNF530" s="34"/>
      <c r="PNG530" s="6"/>
      <c r="PNH530" s="6"/>
      <c r="PNI530" s="27"/>
      <c r="PNJ530" s="40"/>
      <c r="PNK530" s="25"/>
      <c r="PNL530" s="34"/>
      <c r="PNM530" s="6"/>
      <c r="PNN530" s="6"/>
      <c r="PNO530" s="27"/>
      <c r="PNP530" s="40"/>
      <c r="PNQ530" s="25"/>
      <c r="PNR530" s="34"/>
      <c r="PNS530" s="6"/>
      <c r="PNT530" s="6"/>
      <c r="PNU530" s="27"/>
      <c r="PNV530" s="40"/>
      <c r="PNW530" s="25"/>
      <c r="PNX530" s="34"/>
      <c r="PNY530" s="6"/>
      <c r="PNZ530" s="6"/>
      <c r="POA530" s="27"/>
      <c r="POB530" s="40"/>
      <c r="POC530" s="25"/>
      <c r="POD530" s="34"/>
      <c r="POE530" s="6"/>
      <c r="POF530" s="6"/>
      <c r="POG530" s="27"/>
      <c r="POH530" s="40"/>
      <c r="POI530" s="25"/>
      <c r="POJ530" s="34"/>
      <c r="POK530" s="6"/>
      <c r="POL530" s="6"/>
      <c r="POM530" s="27"/>
      <c r="PON530" s="40"/>
      <c r="POO530" s="25"/>
      <c r="POP530" s="34"/>
      <c r="POQ530" s="6"/>
      <c r="POR530" s="6"/>
      <c r="POS530" s="27"/>
      <c r="POT530" s="40"/>
      <c r="POU530" s="25"/>
      <c r="POV530" s="34"/>
      <c r="POW530" s="6"/>
      <c r="POX530" s="6"/>
      <c r="POY530" s="27"/>
      <c r="POZ530" s="40"/>
      <c r="PPA530" s="25"/>
      <c r="PPB530" s="34"/>
      <c r="PPC530" s="6"/>
      <c r="PPD530" s="6"/>
      <c r="PPE530" s="27"/>
      <c r="PPF530" s="40"/>
      <c r="PPG530" s="25"/>
      <c r="PPH530" s="34"/>
      <c r="PPI530" s="6"/>
      <c r="PPJ530" s="6"/>
      <c r="PPK530" s="27"/>
      <c r="PPL530" s="40"/>
      <c r="PPM530" s="25"/>
      <c r="PPN530" s="34"/>
      <c r="PPO530" s="6"/>
      <c r="PPP530" s="6"/>
      <c r="PPQ530" s="27"/>
      <c r="PPR530" s="40"/>
      <c r="PPS530" s="25"/>
      <c r="PPT530" s="34"/>
      <c r="PPU530" s="6"/>
      <c r="PPV530" s="6"/>
      <c r="PPW530" s="27"/>
      <c r="PPX530" s="40"/>
      <c r="PPY530" s="25"/>
      <c r="PPZ530" s="34"/>
      <c r="PQA530" s="6"/>
      <c r="PQB530" s="6"/>
      <c r="PQC530" s="27"/>
      <c r="PQD530" s="40"/>
      <c r="PQE530" s="25"/>
      <c r="PQF530" s="34"/>
      <c r="PQG530" s="6"/>
      <c r="PQH530" s="6"/>
      <c r="PQI530" s="27"/>
      <c r="PQJ530" s="40"/>
      <c r="PQK530" s="25"/>
      <c r="PQL530" s="34"/>
      <c r="PQM530" s="6"/>
      <c r="PQN530" s="6"/>
      <c r="PQO530" s="27"/>
      <c r="PQP530" s="40"/>
      <c r="PQQ530" s="25"/>
      <c r="PQR530" s="34"/>
      <c r="PQS530" s="6"/>
      <c r="PQT530" s="6"/>
      <c r="PQU530" s="27"/>
      <c r="PQV530" s="40"/>
      <c r="PQW530" s="25"/>
      <c r="PQX530" s="34"/>
      <c r="PQY530" s="6"/>
      <c r="PQZ530" s="6"/>
      <c r="PRA530" s="27"/>
      <c r="PRB530" s="40"/>
      <c r="PRC530" s="25"/>
      <c r="PRD530" s="34"/>
      <c r="PRE530" s="6"/>
      <c r="PRF530" s="6"/>
      <c r="PRG530" s="27"/>
      <c r="PRH530" s="40"/>
      <c r="PRI530" s="25"/>
      <c r="PRJ530" s="34"/>
      <c r="PRK530" s="6"/>
      <c r="PRL530" s="6"/>
      <c r="PRM530" s="27"/>
      <c r="PRN530" s="40"/>
      <c r="PRO530" s="25"/>
      <c r="PRP530" s="34"/>
      <c r="PRQ530" s="6"/>
      <c r="PRR530" s="6"/>
      <c r="PRS530" s="27"/>
      <c r="PRT530" s="40"/>
      <c r="PRU530" s="25"/>
      <c r="PRV530" s="34"/>
      <c r="PRW530" s="6"/>
      <c r="PRX530" s="6"/>
      <c r="PRY530" s="27"/>
      <c r="PRZ530" s="40"/>
      <c r="PSA530" s="25"/>
      <c r="PSB530" s="34"/>
      <c r="PSC530" s="6"/>
      <c r="PSD530" s="6"/>
      <c r="PSE530" s="27"/>
      <c r="PSF530" s="40"/>
      <c r="PSG530" s="25"/>
      <c r="PSH530" s="34"/>
      <c r="PSI530" s="6"/>
      <c r="PSJ530" s="6"/>
      <c r="PSK530" s="27"/>
      <c r="PSL530" s="40"/>
      <c r="PSM530" s="25"/>
      <c r="PSN530" s="34"/>
      <c r="PSO530" s="6"/>
      <c r="PSP530" s="6"/>
      <c r="PSQ530" s="27"/>
      <c r="PSR530" s="40"/>
      <c r="PSS530" s="25"/>
      <c r="PST530" s="34"/>
      <c r="PSU530" s="6"/>
      <c r="PSV530" s="6"/>
      <c r="PSW530" s="27"/>
      <c r="PSX530" s="40"/>
      <c r="PSY530" s="25"/>
      <c r="PSZ530" s="34"/>
      <c r="PTA530" s="6"/>
      <c r="PTB530" s="6"/>
      <c r="PTC530" s="27"/>
      <c r="PTD530" s="40"/>
      <c r="PTE530" s="25"/>
      <c r="PTF530" s="34"/>
      <c r="PTG530" s="6"/>
      <c r="PTH530" s="6"/>
      <c r="PTI530" s="27"/>
      <c r="PTJ530" s="40"/>
      <c r="PTK530" s="25"/>
      <c r="PTL530" s="34"/>
      <c r="PTM530" s="6"/>
      <c r="PTN530" s="6"/>
      <c r="PTO530" s="27"/>
      <c r="PTP530" s="40"/>
      <c r="PTQ530" s="25"/>
      <c r="PTR530" s="34"/>
      <c r="PTS530" s="6"/>
      <c r="PTT530" s="6"/>
      <c r="PTU530" s="27"/>
      <c r="PTV530" s="40"/>
      <c r="PTW530" s="25"/>
      <c r="PTX530" s="34"/>
      <c r="PTY530" s="6"/>
      <c r="PTZ530" s="6"/>
      <c r="PUA530" s="27"/>
      <c r="PUB530" s="40"/>
      <c r="PUC530" s="25"/>
      <c r="PUD530" s="34"/>
      <c r="PUE530" s="6"/>
      <c r="PUF530" s="6"/>
      <c r="PUG530" s="27"/>
      <c r="PUH530" s="40"/>
      <c r="PUI530" s="25"/>
      <c r="PUJ530" s="34"/>
      <c r="PUK530" s="6"/>
      <c r="PUL530" s="6"/>
      <c r="PUM530" s="27"/>
      <c r="PUN530" s="40"/>
      <c r="PUO530" s="25"/>
      <c r="PUP530" s="34"/>
      <c r="PUQ530" s="6"/>
      <c r="PUR530" s="6"/>
      <c r="PUS530" s="27"/>
      <c r="PUT530" s="40"/>
      <c r="PUU530" s="25"/>
      <c r="PUV530" s="34"/>
      <c r="PUW530" s="6"/>
      <c r="PUX530" s="6"/>
      <c r="PUY530" s="27"/>
      <c r="PUZ530" s="40"/>
      <c r="PVA530" s="25"/>
      <c r="PVB530" s="34"/>
      <c r="PVC530" s="6"/>
      <c r="PVD530" s="6"/>
      <c r="PVE530" s="27"/>
      <c r="PVF530" s="40"/>
      <c r="PVG530" s="25"/>
      <c r="PVH530" s="34"/>
      <c r="PVI530" s="6"/>
      <c r="PVJ530" s="6"/>
      <c r="PVK530" s="27"/>
      <c r="PVL530" s="40"/>
      <c r="PVM530" s="25"/>
      <c r="PVN530" s="34"/>
      <c r="PVO530" s="6"/>
      <c r="PVP530" s="6"/>
      <c r="PVQ530" s="27"/>
      <c r="PVR530" s="40"/>
      <c r="PVS530" s="25"/>
      <c r="PVT530" s="34"/>
      <c r="PVU530" s="6"/>
      <c r="PVV530" s="6"/>
      <c r="PVW530" s="27"/>
      <c r="PVX530" s="40"/>
      <c r="PVY530" s="25"/>
      <c r="PVZ530" s="34"/>
      <c r="PWA530" s="6"/>
      <c r="PWB530" s="6"/>
      <c r="PWC530" s="27"/>
      <c r="PWD530" s="40"/>
      <c r="PWE530" s="25"/>
      <c r="PWF530" s="34"/>
      <c r="PWG530" s="6"/>
      <c r="PWH530" s="6"/>
      <c r="PWI530" s="27"/>
      <c r="PWJ530" s="40"/>
      <c r="PWK530" s="25"/>
      <c r="PWL530" s="34"/>
      <c r="PWM530" s="6"/>
      <c r="PWN530" s="6"/>
      <c r="PWO530" s="27"/>
      <c r="PWP530" s="40"/>
      <c r="PWQ530" s="25"/>
      <c r="PWR530" s="34"/>
      <c r="PWS530" s="6"/>
      <c r="PWT530" s="6"/>
      <c r="PWU530" s="27"/>
      <c r="PWV530" s="40"/>
      <c r="PWW530" s="25"/>
      <c r="PWX530" s="34"/>
      <c r="PWY530" s="6"/>
      <c r="PWZ530" s="6"/>
      <c r="PXA530" s="27"/>
      <c r="PXB530" s="40"/>
      <c r="PXC530" s="25"/>
      <c r="PXD530" s="34"/>
      <c r="PXE530" s="6"/>
      <c r="PXF530" s="6"/>
      <c r="PXG530" s="27"/>
      <c r="PXH530" s="40"/>
      <c r="PXI530" s="25"/>
      <c r="PXJ530" s="34"/>
      <c r="PXK530" s="6"/>
      <c r="PXL530" s="6"/>
      <c r="PXM530" s="27"/>
      <c r="PXN530" s="40"/>
      <c r="PXO530" s="25"/>
      <c r="PXP530" s="34"/>
      <c r="PXQ530" s="6"/>
      <c r="PXR530" s="6"/>
      <c r="PXS530" s="27"/>
      <c r="PXT530" s="40"/>
      <c r="PXU530" s="25"/>
      <c r="PXV530" s="34"/>
      <c r="PXW530" s="6"/>
      <c r="PXX530" s="6"/>
      <c r="PXY530" s="27"/>
      <c r="PXZ530" s="40"/>
      <c r="PYA530" s="25"/>
      <c r="PYB530" s="34"/>
      <c r="PYC530" s="6"/>
      <c r="PYD530" s="6"/>
      <c r="PYE530" s="27"/>
      <c r="PYF530" s="40"/>
      <c r="PYG530" s="25"/>
      <c r="PYH530" s="34"/>
      <c r="PYI530" s="6"/>
      <c r="PYJ530" s="6"/>
      <c r="PYK530" s="27"/>
      <c r="PYL530" s="40"/>
      <c r="PYM530" s="25"/>
      <c r="PYN530" s="34"/>
      <c r="PYO530" s="6"/>
      <c r="PYP530" s="6"/>
      <c r="PYQ530" s="27"/>
      <c r="PYR530" s="40"/>
      <c r="PYS530" s="25"/>
      <c r="PYT530" s="34"/>
      <c r="PYU530" s="6"/>
      <c r="PYV530" s="6"/>
      <c r="PYW530" s="27"/>
      <c r="PYX530" s="40"/>
      <c r="PYY530" s="25"/>
      <c r="PYZ530" s="34"/>
      <c r="PZA530" s="6"/>
      <c r="PZB530" s="6"/>
      <c r="PZC530" s="27"/>
      <c r="PZD530" s="40"/>
      <c r="PZE530" s="25"/>
      <c r="PZF530" s="34"/>
      <c r="PZG530" s="6"/>
      <c r="PZH530" s="6"/>
      <c r="PZI530" s="27"/>
      <c r="PZJ530" s="40"/>
      <c r="PZK530" s="25"/>
      <c r="PZL530" s="34"/>
      <c r="PZM530" s="6"/>
      <c r="PZN530" s="6"/>
      <c r="PZO530" s="27"/>
      <c r="PZP530" s="40"/>
      <c r="PZQ530" s="25"/>
      <c r="PZR530" s="34"/>
      <c r="PZS530" s="6"/>
      <c r="PZT530" s="6"/>
      <c r="PZU530" s="27"/>
      <c r="PZV530" s="40"/>
      <c r="PZW530" s="25"/>
      <c r="PZX530" s="34"/>
      <c r="PZY530" s="6"/>
      <c r="PZZ530" s="6"/>
      <c r="QAA530" s="27"/>
      <c r="QAB530" s="40"/>
      <c r="QAC530" s="25"/>
      <c r="QAD530" s="34"/>
      <c r="QAE530" s="6"/>
      <c r="QAF530" s="6"/>
      <c r="QAG530" s="27"/>
      <c r="QAH530" s="40"/>
      <c r="QAI530" s="25"/>
      <c r="QAJ530" s="34"/>
      <c r="QAK530" s="6"/>
      <c r="QAL530" s="6"/>
      <c r="QAM530" s="27"/>
      <c r="QAN530" s="40"/>
      <c r="QAO530" s="25"/>
      <c r="QAP530" s="34"/>
      <c r="QAQ530" s="6"/>
      <c r="QAR530" s="6"/>
      <c r="QAS530" s="27"/>
      <c r="QAT530" s="40"/>
      <c r="QAU530" s="25"/>
      <c r="QAV530" s="34"/>
      <c r="QAW530" s="6"/>
      <c r="QAX530" s="6"/>
      <c r="QAY530" s="27"/>
      <c r="QAZ530" s="40"/>
      <c r="QBA530" s="25"/>
      <c r="QBB530" s="34"/>
      <c r="QBC530" s="6"/>
      <c r="QBD530" s="6"/>
      <c r="QBE530" s="27"/>
      <c r="QBF530" s="40"/>
      <c r="QBG530" s="25"/>
      <c r="QBH530" s="34"/>
      <c r="QBI530" s="6"/>
      <c r="QBJ530" s="6"/>
      <c r="QBK530" s="27"/>
      <c r="QBL530" s="40"/>
      <c r="QBM530" s="25"/>
      <c r="QBN530" s="34"/>
      <c r="QBO530" s="6"/>
      <c r="QBP530" s="6"/>
      <c r="QBQ530" s="27"/>
      <c r="QBR530" s="40"/>
      <c r="QBS530" s="25"/>
      <c r="QBT530" s="34"/>
      <c r="QBU530" s="6"/>
      <c r="QBV530" s="6"/>
      <c r="QBW530" s="27"/>
      <c r="QBX530" s="40"/>
      <c r="QBY530" s="25"/>
      <c r="QBZ530" s="34"/>
      <c r="QCA530" s="6"/>
      <c r="QCB530" s="6"/>
      <c r="QCC530" s="27"/>
      <c r="QCD530" s="40"/>
      <c r="QCE530" s="25"/>
      <c r="QCF530" s="34"/>
      <c r="QCG530" s="6"/>
      <c r="QCH530" s="6"/>
      <c r="QCI530" s="27"/>
      <c r="QCJ530" s="40"/>
      <c r="QCK530" s="25"/>
      <c r="QCL530" s="34"/>
      <c r="QCM530" s="6"/>
      <c r="QCN530" s="6"/>
      <c r="QCO530" s="27"/>
      <c r="QCP530" s="40"/>
      <c r="QCQ530" s="25"/>
      <c r="QCR530" s="34"/>
      <c r="QCS530" s="6"/>
      <c r="QCT530" s="6"/>
      <c r="QCU530" s="27"/>
      <c r="QCV530" s="40"/>
      <c r="QCW530" s="25"/>
      <c r="QCX530" s="34"/>
      <c r="QCY530" s="6"/>
      <c r="QCZ530" s="6"/>
      <c r="QDA530" s="27"/>
      <c r="QDB530" s="40"/>
      <c r="QDC530" s="25"/>
      <c r="QDD530" s="34"/>
      <c r="QDE530" s="6"/>
      <c r="QDF530" s="6"/>
      <c r="QDG530" s="27"/>
      <c r="QDH530" s="40"/>
      <c r="QDI530" s="25"/>
      <c r="QDJ530" s="34"/>
      <c r="QDK530" s="6"/>
      <c r="QDL530" s="6"/>
      <c r="QDM530" s="27"/>
      <c r="QDN530" s="40"/>
      <c r="QDO530" s="25"/>
      <c r="QDP530" s="34"/>
      <c r="QDQ530" s="6"/>
      <c r="QDR530" s="6"/>
      <c r="QDS530" s="27"/>
      <c r="QDT530" s="40"/>
      <c r="QDU530" s="25"/>
      <c r="QDV530" s="34"/>
      <c r="QDW530" s="6"/>
      <c r="QDX530" s="6"/>
      <c r="QDY530" s="27"/>
      <c r="QDZ530" s="40"/>
      <c r="QEA530" s="25"/>
      <c r="QEB530" s="34"/>
      <c r="QEC530" s="6"/>
      <c r="QED530" s="6"/>
      <c r="QEE530" s="27"/>
      <c r="QEF530" s="40"/>
      <c r="QEG530" s="25"/>
      <c r="QEH530" s="34"/>
      <c r="QEI530" s="6"/>
      <c r="QEJ530" s="6"/>
      <c r="QEK530" s="27"/>
      <c r="QEL530" s="40"/>
      <c r="QEM530" s="25"/>
      <c r="QEN530" s="34"/>
      <c r="QEO530" s="6"/>
      <c r="QEP530" s="6"/>
      <c r="QEQ530" s="27"/>
      <c r="QER530" s="40"/>
      <c r="QES530" s="25"/>
      <c r="QET530" s="34"/>
      <c r="QEU530" s="6"/>
      <c r="QEV530" s="6"/>
      <c r="QEW530" s="27"/>
      <c r="QEX530" s="40"/>
      <c r="QEY530" s="25"/>
      <c r="QEZ530" s="34"/>
      <c r="QFA530" s="6"/>
      <c r="QFB530" s="6"/>
      <c r="QFC530" s="27"/>
      <c r="QFD530" s="40"/>
      <c r="QFE530" s="25"/>
      <c r="QFF530" s="34"/>
      <c r="QFG530" s="6"/>
      <c r="QFH530" s="6"/>
      <c r="QFI530" s="27"/>
      <c r="QFJ530" s="40"/>
      <c r="QFK530" s="25"/>
      <c r="QFL530" s="34"/>
      <c r="QFM530" s="6"/>
      <c r="QFN530" s="6"/>
      <c r="QFO530" s="27"/>
      <c r="QFP530" s="40"/>
      <c r="QFQ530" s="25"/>
      <c r="QFR530" s="34"/>
      <c r="QFS530" s="6"/>
      <c r="QFT530" s="6"/>
      <c r="QFU530" s="27"/>
      <c r="QFV530" s="40"/>
      <c r="QFW530" s="25"/>
      <c r="QFX530" s="34"/>
      <c r="QFY530" s="6"/>
      <c r="QFZ530" s="6"/>
      <c r="QGA530" s="27"/>
      <c r="QGB530" s="40"/>
      <c r="QGC530" s="25"/>
      <c r="QGD530" s="34"/>
      <c r="QGE530" s="6"/>
      <c r="QGF530" s="6"/>
      <c r="QGG530" s="27"/>
      <c r="QGH530" s="40"/>
      <c r="QGI530" s="25"/>
      <c r="QGJ530" s="34"/>
      <c r="QGK530" s="6"/>
      <c r="QGL530" s="6"/>
      <c r="QGM530" s="27"/>
      <c r="QGN530" s="40"/>
      <c r="QGO530" s="25"/>
      <c r="QGP530" s="34"/>
      <c r="QGQ530" s="6"/>
      <c r="QGR530" s="6"/>
      <c r="QGS530" s="27"/>
      <c r="QGT530" s="40"/>
      <c r="QGU530" s="25"/>
      <c r="QGV530" s="34"/>
      <c r="QGW530" s="6"/>
      <c r="QGX530" s="6"/>
      <c r="QGY530" s="27"/>
      <c r="QGZ530" s="40"/>
      <c r="QHA530" s="25"/>
      <c r="QHB530" s="34"/>
      <c r="QHC530" s="6"/>
      <c r="QHD530" s="6"/>
      <c r="QHE530" s="27"/>
      <c r="QHF530" s="40"/>
      <c r="QHG530" s="25"/>
      <c r="QHH530" s="34"/>
      <c r="QHI530" s="6"/>
      <c r="QHJ530" s="6"/>
      <c r="QHK530" s="27"/>
      <c r="QHL530" s="40"/>
      <c r="QHM530" s="25"/>
      <c r="QHN530" s="34"/>
      <c r="QHO530" s="6"/>
      <c r="QHP530" s="6"/>
      <c r="QHQ530" s="27"/>
      <c r="QHR530" s="40"/>
      <c r="QHS530" s="25"/>
      <c r="QHT530" s="34"/>
      <c r="QHU530" s="6"/>
      <c r="QHV530" s="6"/>
      <c r="QHW530" s="27"/>
      <c r="QHX530" s="40"/>
      <c r="QHY530" s="25"/>
      <c r="QHZ530" s="34"/>
      <c r="QIA530" s="6"/>
      <c r="QIB530" s="6"/>
      <c r="QIC530" s="27"/>
      <c r="QID530" s="40"/>
      <c r="QIE530" s="25"/>
      <c r="QIF530" s="34"/>
      <c r="QIG530" s="6"/>
      <c r="QIH530" s="6"/>
      <c r="QII530" s="27"/>
      <c r="QIJ530" s="40"/>
      <c r="QIK530" s="25"/>
      <c r="QIL530" s="34"/>
      <c r="QIM530" s="6"/>
      <c r="QIN530" s="6"/>
      <c r="QIO530" s="27"/>
      <c r="QIP530" s="40"/>
      <c r="QIQ530" s="25"/>
      <c r="QIR530" s="34"/>
      <c r="QIS530" s="6"/>
      <c r="QIT530" s="6"/>
      <c r="QIU530" s="27"/>
      <c r="QIV530" s="40"/>
      <c r="QIW530" s="25"/>
      <c r="QIX530" s="34"/>
      <c r="QIY530" s="6"/>
      <c r="QIZ530" s="6"/>
      <c r="QJA530" s="27"/>
      <c r="QJB530" s="40"/>
      <c r="QJC530" s="25"/>
      <c r="QJD530" s="34"/>
      <c r="QJE530" s="6"/>
      <c r="QJF530" s="6"/>
      <c r="QJG530" s="27"/>
      <c r="QJH530" s="40"/>
      <c r="QJI530" s="25"/>
      <c r="QJJ530" s="34"/>
      <c r="QJK530" s="6"/>
      <c r="QJL530" s="6"/>
      <c r="QJM530" s="27"/>
      <c r="QJN530" s="40"/>
      <c r="QJO530" s="25"/>
      <c r="QJP530" s="34"/>
      <c r="QJQ530" s="6"/>
      <c r="QJR530" s="6"/>
      <c r="QJS530" s="27"/>
      <c r="QJT530" s="40"/>
      <c r="QJU530" s="25"/>
      <c r="QJV530" s="34"/>
      <c r="QJW530" s="6"/>
      <c r="QJX530" s="6"/>
      <c r="QJY530" s="27"/>
      <c r="QJZ530" s="40"/>
      <c r="QKA530" s="25"/>
      <c r="QKB530" s="34"/>
      <c r="QKC530" s="6"/>
      <c r="QKD530" s="6"/>
      <c r="QKE530" s="27"/>
      <c r="QKF530" s="40"/>
      <c r="QKG530" s="25"/>
      <c r="QKH530" s="34"/>
      <c r="QKI530" s="6"/>
      <c r="QKJ530" s="6"/>
      <c r="QKK530" s="27"/>
      <c r="QKL530" s="40"/>
      <c r="QKM530" s="25"/>
      <c r="QKN530" s="34"/>
      <c r="QKO530" s="6"/>
      <c r="QKP530" s="6"/>
      <c r="QKQ530" s="27"/>
      <c r="QKR530" s="40"/>
      <c r="QKS530" s="25"/>
      <c r="QKT530" s="34"/>
      <c r="QKU530" s="6"/>
      <c r="QKV530" s="6"/>
      <c r="QKW530" s="27"/>
      <c r="QKX530" s="40"/>
      <c r="QKY530" s="25"/>
      <c r="QKZ530" s="34"/>
      <c r="QLA530" s="6"/>
      <c r="QLB530" s="6"/>
      <c r="QLC530" s="27"/>
      <c r="QLD530" s="40"/>
      <c r="QLE530" s="25"/>
      <c r="QLF530" s="34"/>
      <c r="QLG530" s="6"/>
      <c r="QLH530" s="6"/>
      <c r="QLI530" s="27"/>
      <c r="QLJ530" s="40"/>
      <c r="QLK530" s="25"/>
      <c r="QLL530" s="34"/>
      <c r="QLM530" s="6"/>
      <c r="QLN530" s="6"/>
      <c r="QLO530" s="27"/>
      <c r="QLP530" s="40"/>
      <c r="QLQ530" s="25"/>
      <c r="QLR530" s="34"/>
      <c r="QLS530" s="6"/>
      <c r="QLT530" s="6"/>
      <c r="QLU530" s="27"/>
      <c r="QLV530" s="40"/>
      <c r="QLW530" s="25"/>
      <c r="QLX530" s="34"/>
      <c r="QLY530" s="6"/>
      <c r="QLZ530" s="6"/>
      <c r="QMA530" s="27"/>
      <c r="QMB530" s="40"/>
      <c r="QMC530" s="25"/>
      <c r="QMD530" s="34"/>
      <c r="QME530" s="6"/>
      <c r="QMF530" s="6"/>
      <c r="QMG530" s="27"/>
      <c r="QMH530" s="40"/>
      <c r="QMI530" s="25"/>
      <c r="QMJ530" s="34"/>
      <c r="QMK530" s="6"/>
      <c r="QML530" s="6"/>
      <c r="QMM530" s="27"/>
      <c r="QMN530" s="40"/>
      <c r="QMO530" s="25"/>
      <c r="QMP530" s="34"/>
      <c r="QMQ530" s="6"/>
      <c r="QMR530" s="6"/>
      <c r="QMS530" s="27"/>
      <c r="QMT530" s="40"/>
      <c r="QMU530" s="25"/>
      <c r="QMV530" s="34"/>
      <c r="QMW530" s="6"/>
      <c r="QMX530" s="6"/>
      <c r="QMY530" s="27"/>
      <c r="QMZ530" s="40"/>
      <c r="QNA530" s="25"/>
      <c r="QNB530" s="34"/>
      <c r="QNC530" s="6"/>
      <c r="QND530" s="6"/>
      <c r="QNE530" s="27"/>
      <c r="QNF530" s="40"/>
      <c r="QNG530" s="25"/>
      <c r="QNH530" s="34"/>
      <c r="QNI530" s="6"/>
      <c r="QNJ530" s="6"/>
      <c r="QNK530" s="27"/>
      <c r="QNL530" s="40"/>
      <c r="QNM530" s="25"/>
      <c r="QNN530" s="34"/>
      <c r="QNO530" s="6"/>
      <c r="QNP530" s="6"/>
      <c r="QNQ530" s="27"/>
      <c r="QNR530" s="40"/>
      <c r="QNS530" s="25"/>
      <c r="QNT530" s="34"/>
      <c r="QNU530" s="6"/>
      <c r="QNV530" s="6"/>
      <c r="QNW530" s="27"/>
      <c r="QNX530" s="40"/>
      <c r="QNY530" s="25"/>
      <c r="QNZ530" s="34"/>
      <c r="QOA530" s="6"/>
      <c r="QOB530" s="6"/>
      <c r="QOC530" s="27"/>
      <c r="QOD530" s="40"/>
      <c r="QOE530" s="25"/>
      <c r="QOF530" s="34"/>
      <c r="QOG530" s="6"/>
      <c r="QOH530" s="6"/>
      <c r="QOI530" s="27"/>
      <c r="QOJ530" s="40"/>
      <c r="QOK530" s="25"/>
      <c r="QOL530" s="34"/>
      <c r="QOM530" s="6"/>
      <c r="QON530" s="6"/>
      <c r="QOO530" s="27"/>
      <c r="QOP530" s="40"/>
      <c r="QOQ530" s="25"/>
      <c r="QOR530" s="34"/>
      <c r="QOS530" s="6"/>
      <c r="QOT530" s="6"/>
      <c r="QOU530" s="27"/>
      <c r="QOV530" s="40"/>
      <c r="QOW530" s="25"/>
      <c r="QOX530" s="34"/>
      <c r="QOY530" s="6"/>
      <c r="QOZ530" s="6"/>
      <c r="QPA530" s="27"/>
      <c r="QPB530" s="40"/>
      <c r="QPC530" s="25"/>
      <c r="QPD530" s="34"/>
      <c r="QPE530" s="6"/>
      <c r="QPF530" s="6"/>
      <c r="QPG530" s="27"/>
      <c r="QPH530" s="40"/>
      <c r="QPI530" s="25"/>
      <c r="QPJ530" s="34"/>
      <c r="QPK530" s="6"/>
      <c r="QPL530" s="6"/>
      <c r="QPM530" s="27"/>
      <c r="QPN530" s="40"/>
      <c r="QPO530" s="25"/>
      <c r="QPP530" s="34"/>
      <c r="QPQ530" s="6"/>
      <c r="QPR530" s="6"/>
      <c r="QPS530" s="27"/>
      <c r="QPT530" s="40"/>
      <c r="QPU530" s="25"/>
      <c r="QPV530" s="34"/>
      <c r="QPW530" s="6"/>
      <c r="QPX530" s="6"/>
      <c r="QPY530" s="27"/>
      <c r="QPZ530" s="40"/>
      <c r="QQA530" s="25"/>
      <c r="QQB530" s="34"/>
      <c r="QQC530" s="6"/>
      <c r="QQD530" s="6"/>
      <c r="QQE530" s="27"/>
      <c r="QQF530" s="40"/>
      <c r="QQG530" s="25"/>
      <c r="QQH530" s="34"/>
      <c r="QQI530" s="6"/>
      <c r="QQJ530" s="6"/>
      <c r="QQK530" s="27"/>
      <c r="QQL530" s="40"/>
      <c r="QQM530" s="25"/>
      <c r="QQN530" s="34"/>
      <c r="QQO530" s="6"/>
      <c r="QQP530" s="6"/>
      <c r="QQQ530" s="27"/>
      <c r="QQR530" s="40"/>
      <c r="QQS530" s="25"/>
      <c r="QQT530" s="34"/>
      <c r="QQU530" s="6"/>
      <c r="QQV530" s="6"/>
      <c r="QQW530" s="27"/>
      <c r="QQX530" s="40"/>
      <c r="QQY530" s="25"/>
      <c r="QQZ530" s="34"/>
      <c r="QRA530" s="6"/>
      <c r="QRB530" s="6"/>
      <c r="QRC530" s="27"/>
      <c r="QRD530" s="40"/>
      <c r="QRE530" s="25"/>
      <c r="QRF530" s="34"/>
      <c r="QRG530" s="6"/>
      <c r="QRH530" s="6"/>
      <c r="QRI530" s="27"/>
      <c r="QRJ530" s="40"/>
      <c r="QRK530" s="25"/>
      <c r="QRL530" s="34"/>
      <c r="QRM530" s="6"/>
      <c r="QRN530" s="6"/>
      <c r="QRO530" s="27"/>
      <c r="QRP530" s="40"/>
      <c r="QRQ530" s="25"/>
      <c r="QRR530" s="34"/>
      <c r="QRS530" s="6"/>
      <c r="QRT530" s="6"/>
      <c r="QRU530" s="27"/>
      <c r="QRV530" s="40"/>
      <c r="QRW530" s="25"/>
      <c r="QRX530" s="34"/>
      <c r="QRY530" s="6"/>
      <c r="QRZ530" s="6"/>
      <c r="QSA530" s="27"/>
      <c r="QSB530" s="40"/>
      <c r="QSC530" s="25"/>
      <c r="QSD530" s="34"/>
      <c r="QSE530" s="6"/>
      <c r="QSF530" s="6"/>
      <c r="QSG530" s="27"/>
      <c r="QSH530" s="40"/>
      <c r="QSI530" s="25"/>
      <c r="QSJ530" s="34"/>
      <c r="QSK530" s="6"/>
      <c r="QSL530" s="6"/>
      <c r="QSM530" s="27"/>
      <c r="QSN530" s="40"/>
      <c r="QSO530" s="25"/>
      <c r="QSP530" s="34"/>
      <c r="QSQ530" s="6"/>
      <c r="QSR530" s="6"/>
      <c r="QSS530" s="27"/>
      <c r="QST530" s="40"/>
      <c r="QSU530" s="25"/>
      <c r="QSV530" s="34"/>
      <c r="QSW530" s="6"/>
      <c r="QSX530" s="6"/>
      <c r="QSY530" s="27"/>
      <c r="QSZ530" s="40"/>
      <c r="QTA530" s="25"/>
      <c r="QTB530" s="34"/>
      <c r="QTC530" s="6"/>
      <c r="QTD530" s="6"/>
      <c r="QTE530" s="27"/>
      <c r="QTF530" s="40"/>
      <c r="QTG530" s="25"/>
      <c r="QTH530" s="34"/>
      <c r="QTI530" s="6"/>
      <c r="QTJ530" s="6"/>
      <c r="QTK530" s="27"/>
      <c r="QTL530" s="40"/>
      <c r="QTM530" s="25"/>
      <c r="QTN530" s="34"/>
      <c r="QTO530" s="6"/>
      <c r="QTP530" s="6"/>
      <c r="QTQ530" s="27"/>
      <c r="QTR530" s="40"/>
      <c r="QTS530" s="25"/>
      <c r="QTT530" s="34"/>
      <c r="QTU530" s="6"/>
      <c r="QTV530" s="6"/>
      <c r="QTW530" s="27"/>
      <c r="QTX530" s="40"/>
      <c r="QTY530" s="25"/>
      <c r="QTZ530" s="34"/>
      <c r="QUA530" s="6"/>
      <c r="QUB530" s="6"/>
      <c r="QUC530" s="27"/>
      <c r="QUD530" s="40"/>
      <c r="QUE530" s="25"/>
      <c r="QUF530" s="34"/>
      <c r="QUG530" s="6"/>
      <c r="QUH530" s="6"/>
      <c r="QUI530" s="27"/>
      <c r="QUJ530" s="40"/>
      <c r="QUK530" s="25"/>
      <c r="QUL530" s="34"/>
      <c r="QUM530" s="6"/>
      <c r="QUN530" s="6"/>
      <c r="QUO530" s="27"/>
      <c r="QUP530" s="40"/>
      <c r="QUQ530" s="25"/>
      <c r="QUR530" s="34"/>
      <c r="QUS530" s="6"/>
      <c r="QUT530" s="6"/>
      <c r="QUU530" s="27"/>
      <c r="QUV530" s="40"/>
      <c r="QUW530" s="25"/>
      <c r="QUX530" s="34"/>
      <c r="QUY530" s="6"/>
      <c r="QUZ530" s="6"/>
      <c r="QVA530" s="27"/>
      <c r="QVB530" s="40"/>
      <c r="QVC530" s="25"/>
      <c r="QVD530" s="34"/>
      <c r="QVE530" s="6"/>
      <c r="QVF530" s="6"/>
      <c r="QVG530" s="27"/>
      <c r="QVH530" s="40"/>
      <c r="QVI530" s="25"/>
      <c r="QVJ530" s="34"/>
      <c r="QVK530" s="6"/>
      <c r="QVL530" s="6"/>
      <c r="QVM530" s="27"/>
      <c r="QVN530" s="40"/>
      <c r="QVO530" s="25"/>
      <c r="QVP530" s="34"/>
      <c r="QVQ530" s="6"/>
      <c r="QVR530" s="6"/>
      <c r="QVS530" s="27"/>
      <c r="QVT530" s="40"/>
      <c r="QVU530" s="25"/>
      <c r="QVV530" s="34"/>
      <c r="QVW530" s="6"/>
      <c r="QVX530" s="6"/>
      <c r="QVY530" s="27"/>
      <c r="QVZ530" s="40"/>
      <c r="QWA530" s="25"/>
      <c r="QWB530" s="34"/>
      <c r="QWC530" s="6"/>
      <c r="QWD530" s="6"/>
      <c r="QWE530" s="27"/>
      <c r="QWF530" s="40"/>
      <c r="QWG530" s="25"/>
      <c r="QWH530" s="34"/>
      <c r="QWI530" s="6"/>
      <c r="QWJ530" s="6"/>
      <c r="QWK530" s="27"/>
      <c r="QWL530" s="40"/>
      <c r="QWM530" s="25"/>
      <c r="QWN530" s="34"/>
      <c r="QWO530" s="6"/>
      <c r="QWP530" s="6"/>
      <c r="QWQ530" s="27"/>
      <c r="QWR530" s="40"/>
      <c r="QWS530" s="25"/>
      <c r="QWT530" s="34"/>
      <c r="QWU530" s="6"/>
      <c r="QWV530" s="6"/>
      <c r="QWW530" s="27"/>
      <c r="QWX530" s="40"/>
      <c r="QWY530" s="25"/>
      <c r="QWZ530" s="34"/>
      <c r="QXA530" s="6"/>
      <c r="QXB530" s="6"/>
      <c r="QXC530" s="27"/>
      <c r="QXD530" s="40"/>
      <c r="QXE530" s="25"/>
      <c r="QXF530" s="34"/>
      <c r="QXG530" s="6"/>
      <c r="QXH530" s="6"/>
      <c r="QXI530" s="27"/>
      <c r="QXJ530" s="40"/>
      <c r="QXK530" s="25"/>
      <c r="QXL530" s="34"/>
      <c r="QXM530" s="6"/>
      <c r="QXN530" s="6"/>
      <c r="QXO530" s="27"/>
      <c r="QXP530" s="40"/>
      <c r="QXQ530" s="25"/>
      <c r="QXR530" s="34"/>
      <c r="QXS530" s="6"/>
      <c r="QXT530" s="6"/>
      <c r="QXU530" s="27"/>
      <c r="QXV530" s="40"/>
      <c r="QXW530" s="25"/>
      <c r="QXX530" s="34"/>
      <c r="QXY530" s="6"/>
      <c r="QXZ530" s="6"/>
      <c r="QYA530" s="27"/>
      <c r="QYB530" s="40"/>
      <c r="QYC530" s="25"/>
      <c r="QYD530" s="34"/>
      <c r="QYE530" s="6"/>
      <c r="QYF530" s="6"/>
      <c r="QYG530" s="27"/>
      <c r="QYH530" s="40"/>
      <c r="QYI530" s="25"/>
      <c r="QYJ530" s="34"/>
      <c r="QYK530" s="6"/>
      <c r="QYL530" s="6"/>
      <c r="QYM530" s="27"/>
      <c r="QYN530" s="40"/>
      <c r="QYO530" s="25"/>
      <c r="QYP530" s="34"/>
      <c r="QYQ530" s="6"/>
      <c r="QYR530" s="6"/>
      <c r="QYS530" s="27"/>
      <c r="QYT530" s="40"/>
      <c r="QYU530" s="25"/>
      <c r="QYV530" s="34"/>
      <c r="QYW530" s="6"/>
      <c r="QYX530" s="6"/>
      <c r="QYY530" s="27"/>
      <c r="QYZ530" s="40"/>
      <c r="QZA530" s="25"/>
      <c r="QZB530" s="34"/>
      <c r="QZC530" s="6"/>
      <c r="QZD530" s="6"/>
      <c r="QZE530" s="27"/>
      <c r="QZF530" s="40"/>
      <c r="QZG530" s="25"/>
      <c r="QZH530" s="34"/>
      <c r="QZI530" s="6"/>
      <c r="QZJ530" s="6"/>
      <c r="QZK530" s="27"/>
      <c r="QZL530" s="40"/>
      <c r="QZM530" s="25"/>
      <c r="QZN530" s="34"/>
      <c r="QZO530" s="6"/>
      <c r="QZP530" s="6"/>
      <c r="QZQ530" s="27"/>
      <c r="QZR530" s="40"/>
      <c r="QZS530" s="25"/>
      <c r="QZT530" s="34"/>
      <c r="QZU530" s="6"/>
      <c r="QZV530" s="6"/>
      <c r="QZW530" s="27"/>
      <c r="QZX530" s="40"/>
      <c r="QZY530" s="25"/>
      <c r="QZZ530" s="34"/>
      <c r="RAA530" s="6"/>
      <c r="RAB530" s="6"/>
      <c r="RAC530" s="27"/>
      <c r="RAD530" s="40"/>
      <c r="RAE530" s="25"/>
      <c r="RAF530" s="34"/>
      <c r="RAG530" s="6"/>
      <c r="RAH530" s="6"/>
      <c r="RAI530" s="27"/>
      <c r="RAJ530" s="40"/>
      <c r="RAK530" s="25"/>
      <c r="RAL530" s="34"/>
      <c r="RAM530" s="6"/>
      <c r="RAN530" s="6"/>
      <c r="RAO530" s="27"/>
      <c r="RAP530" s="40"/>
      <c r="RAQ530" s="25"/>
      <c r="RAR530" s="34"/>
      <c r="RAS530" s="6"/>
      <c r="RAT530" s="6"/>
      <c r="RAU530" s="27"/>
      <c r="RAV530" s="40"/>
      <c r="RAW530" s="25"/>
      <c r="RAX530" s="34"/>
      <c r="RAY530" s="6"/>
      <c r="RAZ530" s="6"/>
      <c r="RBA530" s="27"/>
      <c r="RBB530" s="40"/>
      <c r="RBC530" s="25"/>
      <c r="RBD530" s="34"/>
      <c r="RBE530" s="6"/>
      <c r="RBF530" s="6"/>
      <c r="RBG530" s="27"/>
      <c r="RBH530" s="40"/>
      <c r="RBI530" s="25"/>
      <c r="RBJ530" s="34"/>
      <c r="RBK530" s="6"/>
      <c r="RBL530" s="6"/>
      <c r="RBM530" s="27"/>
      <c r="RBN530" s="40"/>
      <c r="RBO530" s="25"/>
      <c r="RBP530" s="34"/>
      <c r="RBQ530" s="6"/>
      <c r="RBR530" s="6"/>
      <c r="RBS530" s="27"/>
      <c r="RBT530" s="40"/>
      <c r="RBU530" s="25"/>
      <c r="RBV530" s="34"/>
      <c r="RBW530" s="6"/>
      <c r="RBX530" s="6"/>
      <c r="RBY530" s="27"/>
      <c r="RBZ530" s="40"/>
      <c r="RCA530" s="25"/>
      <c r="RCB530" s="34"/>
      <c r="RCC530" s="6"/>
      <c r="RCD530" s="6"/>
      <c r="RCE530" s="27"/>
      <c r="RCF530" s="40"/>
      <c r="RCG530" s="25"/>
      <c r="RCH530" s="34"/>
      <c r="RCI530" s="6"/>
      <c r="RCJ530" s="6"/>
      <c r="RCK530" s="27"/>
      <c r="RCL530" s="40"/>
      <c r="RCM530" s="25"/>
      <c r="RCN530" s="34"/>
      <c r="RCO530" s="6"/>
      <c r="RCP530" s="6"/>
      <c r="RCQ530" s="27"/>
      <c r="RCR530" s="40"/>
      <c r="RCS530" s="25"/>
      <c r="RCT530" s="34"/>
      <c r="RCU530" s="6"/>
      <c r="RCV530" s="6"/>
      <c r="RCW530" s="27"/>
      <c r="RCX530" s="40"/>
      <c r="RCY530" s="25"/>
      <c r="RCZ530" s="34"/>
      <c r="RDA530" s="6"/>
      <c r="RDB530" s="6"/>
      <c r="RDC530" s="27"/>
      <c r="RDD530" s="40"/>
      <c r="RDE530" s="25"/>
      <c r="RDF530" s="34"/>
      <c r="RDG530" s="6"/>
      <c r="RDH530" s="6"/>
      <c r="RDI530" s="27"/>
      <c r="RDJ530" s="40"/>
      <c r="RDK530" s="25"/>
      <c r="RDL530" s="34"/>
      <c r="RDM530" s="6"/>
      <c r="RDN530" s="6"/>
      <c r="RDO530" s="27"/>
      <c r="RDP530" s="40"/>
      <c r="RDQ530" s="25"/>
      <c r="RDR530" s="34"/>
      <c r="RDS530" s="6"/>
      <c r="RDT530" s="6"/>
      <c r="RDU530" s="27"/>
      <c r="RDV530" s="40"/>
      <c r="RDW530" s="25"/>
      <c r="RDX530" s="34"/>
      <c r="RDY530" s="6"/>
      <c r="RDZ530" s="6"/>
      <c r="REA530" s="27"/>
      <c r="REB530" s="40"/>
      <c r="REC530" s="25"/>
      <c r="RED530" s="34"/>
      <c r="REE530" s="6"/>
      <c r="REF530" s="6"/>
      <c r="REG530" s="27"/>
      <c r="REH530" s="40"/>
      <c r="REI530" s="25"/>
      <c r="REJ530" s="34"/>
      <c r="REK530" s="6"/>
      <c r="REL530" s="6"/>
      <c r="REM530" s="27"/>
      <c r="REN530" s="40"/>
      <c r="REO530" s="25"/>
      <c r="REP530" s="34"/>
      <c r="REQ530" s="6"/>
      <c r="RER530" s="6"/>
      <c r="RES530" s="27"/>
      <c r="RET530" s="40"/>
      <c r="REU530" s="25"/>
      <c r="REV530" s="34"/>
      <c r="REW530" s="6"/>
      <c r="REX530" s="6"/>
      <c r="REY530" s="27"/>
      <c r="REZ530" s="40"/>
      <c r="RFA530" s="25"/>
      <c r="RFB530" s="34"/>
      <c r="RFC530" s="6"/>
      <c r="RFD530" s="6"/>
      <c r="RFE530" s="27"/>
      <c r="RFF530" s="40"/>
      <c r="RFG530" s="25"/>
      <c r="RFH530" s="34"/>
      <c r="RFI530" s="6"/>
      <c r="RFJ530" s="6"/>
      <c r="RFK530" s="27"/>
      <c r="RFL530" s="40"/>
      <c r="RFM530" s="25"/>
      <c r="RFN530" s="34"/>
      <c r="RFO530" s="6"/>
      <c r="RFP530" s="6"/>
      <c r="RFQ530" s="27"/>
      <c r="RFR530" s="40"/>
      <c r="RFS530" s="25"/>
      <c r="RFT530" s="34"/>
      <c r="RFU530" s="6"/>
      <c r="RFV530" s="6"/>
      <c r="RFW530" s="27"/>
      <c r="RFX530" s="40"/>
      <c r="RFY530" s="25"/>
      <c r="RFZ530" s="34"/>
      <c r="RGA530" s="6"/>
      <c r="RGB530" s="6"/>
      <c r="RGC530" s="27"/>
      <c r="RGD530" s="40"/>
      <c r="RGE530" s="25"/>
      <c r="RGF530" s="34"/>
      <c r="RGG530" s="6"/>
      <c r="RGH530" s="6"/>
      <c r="RGI530" s="27"/>
      <c r="RGJ530" s="40"/>
      <c r="RGK530" s="25"/>
      <c r="RGL530" s="34"/>
      <c r="RGM530" s="6"/>
      <c r="RGN530" s="6"/>
      <c r="RGO530" s="27"/>
      <c r="RGP530" s="40"/>
      <c r="RGQ530" s="25"/>
      <c r="RGR530" s="34"/>
      <c r="RGS530" s="6"/>
      <c r="RGT530" s="6"/>
      <c r="RGU530" s="27"/>
      <c r="RGV530" s="40"/>
      <c r="RGW530" s="25"/>
      <c r="RGX530" s="34"/>
      <c r="RGY530" s="6"/>
      <c r="RGZ530" s="6"/>
      <c r="RHA530" s="27"/>
      <c r="RHB530" s="40"/>
      <c r="RHC530" s="25"/>
      <c r="RHD530" s="34"/>
      <c r="RHE530" s="6"/>
      <c r="RHF530" s="6"/>
      <c r="RHG530" s="27"/>
      <c r="RHH530" s="40"/>
      <c r="RHI530" s="25"/>
      <c r="RHJ530" s="34"/>
      <c r="RHK530" s="6"/>
      <c r="RHL530" s="6"/>
      <c r="RHM530" s="27"/>
      <c r="RHN530" s="40"/>
      <c r="RHO530" s="25"/>
      <c r="RHP530" s="34"/>
      <c r="RHQ530" s="6"/>
      <c r="RHR530" s="6"/>
      <c r="RHS530" s="27"/>
      <c r="RHT530" s="40"/>
      <c r="RHU530" s="25"/>
      <c r="RHV530" s="34"/>
      <c r="RHW530" s="6"/>
      <c r="RHX530" s="6"/>
      <c r="RHY530" s="27"/>
      <c r="RHZ530" s="40"/>
      <c r="RIA530" s="25"/>
      <c r="RIB530" s="34"/>
      <c r="RIC530" s="6"/>
      <c r="RID530" s="6"/>
      <c r="RIE530" s="27"/>
      <c r="RIF530" s="40"/>
      <c r="RIG530" s="25"/>
      <c r="RIH530" s="34"/>
      <c r="RII530" s="6"/>
      <c r="RIJ530" s="6"/>
      <c r="RIK530" s="27"/>
      <c r="RIL530" s="40"/>
      <c r="RIM530" s="25"/>
      <c r="RIN530" s="34"/>
      <c r="RIO530" s="6"/>
      <c r="RIP530" s="6"/>
      <c r="RIQ530" s="27"/>
      <c r="RIR530" s="40"/>
      <c r="RIS530" s="25"/>
      <c r="RIT530" s="34"/>
      <c r="RIU530" s="6"/>
      <c r="RIV530" s="6"/>
      <c r="RIW530" s="27"/>
      <c r="RIX530" s="40"/>
      <c r="RIY530" s="25"/>
      <c r="RIZ530" s="34"/>
      <c r="RJA530" s="6"/>
      <c r="RJB530" s="6"/>
      <c r="RJC530" s="27"/>
      <c r="RJD530" s="40"/>
      <c r="RJE530" s="25"/>
      <c r="RJF530" s="34"/>
      <c r="RJG530" s="6"/>
      <c r="RJH530" s="6"/>
      <c r="RJI530" s="27"/>
      <c r="RJJ530" s="40"/>
      <c r="RJK530" s="25"/>
      <c r="RJL530" s="34"/>
      <c r="RJM530" s="6"/>
      <c r="RJN530" s="6"/>
      <c r="RJO530" s="27"/>
      <c r="RJP530" s="40"/>
      <c r="RJQ530" s="25"/>
      <c r="RJR530" s="34"/>
      <c r="RJS530" s="6"/>
      <c r="RJT530" s="6"/>
      <c r="RJU530" s="27"/>
      <c r="RJV530" s="40"/>
      <c r="RJW530" s="25"/>
      <c r="RJX530" s="34"/>
      <c r="RJY530" s="6"/>
      <c r="RJZ530" s="6"/>
      <c r="RKA530" s="27"/>
      <c r="RKB530" s="40"/>
      <c r="RKC530" s="25"/>
      <c r="RKD530" s="34"/>
      <c r="RKE530" s="6"/>
      <c r="RKF530" s="6"/>
      <c r="RKG530" s="27"/>
      <c r="RKH530" s="40"/>
      <c r="RKI530" s="25"/>
      <c r="RKJ530" s="34"/>
      <c r="RKK530" s="6"/>
      <c r="RKL530" s="6"/>
      <c r="RKM530" s="27"/>
      <c r="RKN530" s="40"/>
      <c r="RKO530" s="25"/>
      <c r="RKP530" s="34"/>
      <c r="RKQ530" s="6"/>
      <c r="RKR530" s="6"/>
      <c r="RKS530" s="27"/>
      <c r="RKT530" s="40"/>
      <c r="RKU530" s="25"/>
      <c r="RKV530" s="34"/>
      <c r="RKW530" s="6"/>
      <c r="RKX530" s="6"/>
      <c r="RKY530" s="27"/>
      <c r="RKZ530" s="40"/>
      <c r="RLA530" s="25"/>
      <c r="RLB530" s="34"/>
      <c r="RLC530" s="6"/>
      <c r="RLD530" s="6"/>
      <c r="RLE530" s="27"/>
      <c r="RLF530" s="40"/>
      <c r="RLG530" s="25"/>
      <c r="RLH530" s="34"/>
      <c r="RLI530" s="6"/>
      <c r="RLJ530" s="6"/>
      <c r="RLK530" s="27"/>
      <c r="RLL530" s="40"/>
      <c r="RLM530" s="25"/>
      <c r="RLN530" s="34"/>
      <c r="RLO530" s="6"/>
      <c r="RLP530" s="6"/>
      <c r="RLQ530" s="27"/>
      <c r="RLR530" s="40"/>
      <c r="RLS530" s="25"/>
      <c r="RLT530" s="34"/>
      <c r="RLU530" s="6"/>
      <c r="RLV530" s="6"/>
      <c r="RLW530" s="27"/>
      <c r="RLX530" s="40"/>
      <c r="RLY530" s="25"/>
      <c r="RLZ530" s="34"/>
      <c r="RMA530" s="6"/>
      <c r="RMB530" s="6"/>
      <c r="RMC530" s="27"/>
      <c r="RMD530" s="40"/>
      <c r="RME530" s="25"/>
      <c r="RMF530" s="34"/>
      <c r="RMG530" s="6"/>
      <c r="RMH530" s="6"/>
      <c r="RMI530" s="27"/>
      <c r="RMJ530" s="40"/>
      <c r="RMK530" s="25"/>
      <c r="RML530" s="34"/>
      <c r="RMM530" s="6"/>
      <c r="RMN530" s="6"/>
      <c r="RMO530" s="27"/>
      <c r="RMP530" s="40"/>
      <c r="RMQ530" s="25"/>
      <c r="RMR530" s="34"/>
      <c r="RMS530" s="6"/>
      <c r="RMT530" s="6"/>
      <c r="RMU530" s="27"/>
      <c r="RMV530" s="40"/>
      <c r="RMW530" s="25"/>
      <c r="RMX530" s="34"/>
      <c r="RMY530" s="6"/>
      <c r="RMZ530" s="6"/>
      <c r="RNA530" s="27"/>
      <c r="RNB530" s="40"/>
      <c r="RNC530" s="25"/>
      <c r="RND530" s="34"/>
      <c r="RNE530" s="6"/>
      <c r="RNF530" s="6"/>
      <c r="RNG530" s="27"/>
      <c r="RNH530" s="40"/>
      <c r="RNI530" s="25"/>
      <c r="RNJ530" s="34"/>
      <c r="RNK530" s="6"/>
      <c r="RNL530" s="6"/>
      <c r="RNM530" s="27"/>
      <c r="RNN530" s="40"/>
      <c r="RNO530" s="25"/>
      <c r="RNP530" s="34"/>
      <c r="RNQ530" s="6"/>
      <c r="RNR530" s="6"/>
      <c r="RNS530" s="27"/>
      <c r="RNT530" s="40"/>
      <c r="RNU530" s="25"/>
      <c r="RNV530" s="34"/>
      <c r="RNW530" s="6"/>
      <c r="RNX530" s="6"/>
      <c r="RNY530" s="27"/>
      <c r="RNZ530" s="40"/>
      <c r="ROA530" s="25"/>
      <c r="ROB530" s="34"/>
      <c r="ROC530" s="6"/>
      <c r="ROD530" s="6"/>
      <c r="ROE530" s="27"/>
      <c r="ROF530" s="40"/>
      <c r="ROG530" s="25"/>
      <c r="ROH530" s="34"/>
      <c r="ROI530" s="6"/>
      <c r="ROJ530" s="6"/>
      <c r="ROK530" s="27"/>
      <c r="ROL530" s="40"/>
      <c r="ROM530" s="25"/>
      <c r="RON530" s="34"/>
      <c r="ROO530" s="6"/>
      <c r="ROP530" s="6"/>
      <c r="ROQ530" s="27"/>
      <c r="ROR530" s="40"/>
      <c r="ROS530" s="25"/>
      <c r="ROT530" s="34"/>
      <c r="ROU530" s="6"/>
      <c r="ROV530" s="6"/>
      <c r="ROW530" s="27"/>
      <c r="ROX530" s="40"/>
      <c r="ROY530" s="25"/>
      <c r="ROZ530" s="34"/>
      <c r="RPA530" s="6"/>
      <c r="RPB530" s="6"/>
      <c r="RPC530" s="27"/>
      <c r="RPD530" s="40"/>
      <c r="RPE530" s="25"/>
      <c r="RPF530" s="34"/>
      <c r="RPG530" s="6"/>
      <c r="RPH530" s="6"/>
      <c r="RPI530" s="27"/>
      <c r="RPJ530" s="40"/>
      <c r="RPK530" s="25"/>
      <c r="RPL530" s="34"/>
      <c r="RPM530" s="6"/>
      <c r="RPN530" s="6"/>
      <c r="RPO530" s="27"/>
      <c r="RPP530" s="40"/>
      <c r="RPQ530" s="25"/>
      <c r="RPR530" s="34"/>
      <c r="RPS530" s="6"/>
      <c r="RPT530" s="6"/>
      <c r="RPU530" s="27"/>
      <c r="RPV530" s="40"/>
      <c r="RPW530" s="25"/>
      <c r="RPX530" s="34"/>
      <c r="RPY530" s="6"/>
      <c r="RPZ530" s="6"/>
      <c r="RQA530" s="27"/>
      <c r="RQB530" s="40"/>
      <c r="RQC530" s="25"/>
      <c r="RQD530" s="34"/>
      <c r="RQE530" s="6"/>
      <c r="RQF530" s="6"/>
      <c r="RQG530" s="27"/>
      <c r="RQH530" s="40"/>
      <c r="RQI530" s="25"/>
      <c r="RQJ530" s="34"/>
      <c r="RQK530" s="6"/>
      <c r="RQL530" s="6"/>
      <c r="RQM530" s="27"/>
      <c r="RQN530" s="40"/>
      <c r="RQO530" s="25"/>
      <c r="RQP530" s="34"/>
      <c r="RQQ530" s="6"/>
      <c r="RQR530" s="6"/>
      <c r="RQS530" s="27"/>
      <c r="RQT530" s="40"/>
      <c r="RQU530" s="25"/>
      <c r="RQV530" s="34"/>
      <c r="RQW530" s="6"/>
      <c r="RQX530" s="6"/>
      <c r="RQY530" s="27"/>
      <c r="RQZ530" s="40"/>
      <c r="RRA530" s="25"/>
      <c r="RRB530" s="34"/>
      <c r="RRC530" s="6"/>
      <c r="RRD530" s="6"/>
      <c r="RRE530" s="27"/>
      <c r="RRF530" s="40"/>
      <c r="RRG530" s="25"/>
      <c r="RRH530" s="34"/>
      <c r="RRI530" s="6"/>
      <c r="RRJ530" s="6"/>
      <c r="RRK530" s="27"/>
      <c r="RRL530" s="40"/>
      <c r="RRM530" s="25"/>
      <c r="RRN530" s="34"/>
      <c r="RRO530" s="6"/>
      <c r="RRP530" s="6"/>
      <c r="RRQ530" s="27"/>
      <c r="RRR530" s="40"/>
      <c r="RRS530" s="25"/>
      <c r="RRT530" s="34"/>
      <c r="RRU530" s="6"/>
      <c r="RRV530" s="6"/>
      <c r="RRW530" s="27"/>
      <c r="RRX530" s="40"/>
      <c r="RRY530" s="25"/>
      <c r="RRZ530" s="34"/>
      <c r="RSA530" s="6"/>
      <c r="RSB530" s="6"/>
      <c r="RSC530" s="27"/>
      <c r="RSD530" s="40"/>
      <c r="RSE530" s="25"/>
      <c r="RSF530" s="34"/>
      <c r="RSG530" s="6"/>
      <c r="RSH530" s="6"/>
      <c r="RSI530" s="27"/>
      <c r="RSJ530" s="40"/>
      <c r="RSK530" s="25"/>
      <c r="RSL530" s="34"/>
      <c r="RSM530" s="6"/>
      <c r="RSN530" s="6"/>
      <c r="RSO530" s="27"/>
      <c r="RSP530" s="40"/>
      <c r="RSQ530" s="25"/>
      <c r="RSR530" s="34"/>
      <c r="RSS530" s="6"/>
      <c r="RST530" s="6"/>
      <c r="RSU530" s="27"/>
      <c r="RSV530" s="40"/>
      <c r="RSW530" s="25"/>
      <c r="RSX530" s="34"/>
      <c r="RSY530" s="6"/>
      <c r="RSZ530" s="6"/>
      <c r="RTA530" s="27"/>
      <c r="RTB530" s="40"/>
      <c r="RTC530" s="25"/>
      <c r="RTD530" s="34"/>
      <c r="RTE530" s="6"/>
      <c r="RTF530" s="6"/>
      <c r="RTG530" s="27"/>
      <c r="RTH530" s="40"/>
      <c r="RTI530" s="25"/>
      <c r="RTJ530" s="34"/>
      <c r="RTK530" s="6"/>
      <c r="RTL530" s="6"/>
      <c r="RTM530" s="27"/>
      <c r="RTN530" s="40"/>
      <c r="RTO530" s="25"/>
      <c r="RTP530" s="34"/>
      <c r="RTQ530" s="6"/>
      <c r="RTR530" s="6"/>
      <c r="RTS530" s="27"/>
      <c r="RTT530" s="40"/>
      <c r="RTU530" s="25"/>
      <c r="RTV530" s="34"/>
      <c r="RTW530" s="6"/>
      <c r="RTX530" s="6"/>
      <c r="RTY530" s="27"/>
      <c r="RTZ530" s="40"/>
      <c r="RUA530" s="25"/>
      <c r="RUB530" s="34"/>
      <c r="RUC530" s="6"/>
      <c r="RUD530" s="6"/>
      <c r="RUE530" s="27"/>
      <c r="RUF530" s="40"/>
      <c r="RUG530" s="25"/>
      <c r="RUH530" s="34"/>
      <c r="RUI530" s="6"/>
      <c r="RUJ530" s="6"/>
      <c r="RUK530" s="27"/>
      <c r="RUL530" s="40"/>
      <c r="RUM530" s="25"/>
      <c r="RUN530" s="34"/>
      <c r="RUO530" s="6"/>
      <c r="RUP530" s="6"/>
      <c r="RUQ530" s="27"/>
      <c r="RUR530" s="40"/>
      <c r="RUS530" s="25"/>
      <c r="RUT530" s="34"/>
      <c r="RUU530" s="6"/>
      <c r="RUV530" s="6"/>
      <c r="RUW530" s="27"/>
      <c r="RUX530" s="40"/>
      <c r="RUY530" s="25"/>
      <c r="RUZ530" s="34"/>
      <c r="RVA530" s="6"/>
      <c r="RVB530" s="6"/>
      <c r="RVC530" s="27"/>
      <c r="RVD530" s="40"/>
      <c r="RVE530" s="25"/>
      <c r="RVF530" s="34"/>
      <c r="RVG530" s="6"/>
      <c r="RVH530" s="6"/>
      <c r="RVI530" s="27"/>
      <c r="RVJ530" s="40"/>
      <c r="RVK530" s="25"/>
      <c r="RVL530" s="34"/>
      <c r="RVM530" s="6"/>
      <c r="RVN530" s="6"/>
      <c r="RVO530" s="27"/>
      <c r="RVP530" s="40"/>
      <c r="RVQ530" s="25"/>
      <c r="RVR530" s="34"/>
      <c r="RVS530" s="6"/>
      <c r="RVT530" s="6"/>
      <c r="RVU530" s="27"/>
      <c r="RVV530" s="40"/>
      <c r="RVW530" s="25"/>
      <c r="RVX530" s="34"/>
      <c r="RVY530" s="6"/>
      <c r="RVZ530" s="6"/>
      <c r="RWA530" s="27"/>
      <c r="RWB530" s="40"/>
      <c r="RWC530" s="25"/>
      <c r="RWD530" s="34"/>
      <c r="RWE530" s="6"/>
      <c r="RWF530" s="6"/>
      <c r="RWG530" s="27"/>
      <c r="RWH530" s="40"/>
      <c r="RWI530" s="25"/>
      <c r="RWJ530" s="34"/>
      <c r="RWK530" s="6"/>
      <c r="RWL530" s="6"/>
      <c r="RWM530" s="27"/>
      <c r="RWN530" s="40"/>
      <c r="RWO530" s="25"/>
      <c r="RWP530" s="34"/>
      <c r="RWQ530" s="6"/>
      <c r="RWR530" s="6"/>
      <c r="RWS530" s="27"/>
      <c r="RWT530" s="40"/>
      <c r="RWU530" s="25"/>
      <c r="RWV530" s="34"/>
      <c r="RWW530" s="6"/>
      <c r="RWX530" s="6"/>
      <c r="RWY530" s="27"/>
      <c r="RWZ530" s="40"/>
      <c r="RXA530" s="25"/>
      <c r="RXB530" s="34"/>
      <c r="RXC530" s="6"/>
      <c r="RXD530" s="6"/>
      <c r="RXE530" s="27"/>
      <c r="RXF530" s="40"/>
      <c r="RXG530" s="25"/>
      <c r="RXH530" s="34"/>
      <c r="RXI530" s="6"/>
      <c r="RXJ530" s="6"/>
      <c r="RXK530" s="27"/>
      <c r="RXL530" s="40"/>
      <c r="RXM530" s="25"/>
      <c r="RXN530" s="34"/>
      <c r="RXO530" s="6"/>
      <c r="RXP530" s="6"/>
      <c r="RXQ530" s="27"/>
      <c r="RXR530" s="40"/>
      <c r="RXS530" s="25"/>
      <c r="RXT530" s="34"/>
      <c r="RXU530" s="6"/>
      <c r="RXV530" s="6"/>
      <c r="RXW530" s="27"/>
      <c r="RXX530" s="40"/>
      <c r="RXY530" s="25"/>
      <c r="RXZ530" s="34"/>
      <c r="RYA530" s="6"/>
      <c r="RYB530" s="6"/>
      <c r="RYC530" s="27"/>
      <c r="RYD530" s="40"/>
      <c r="RYE530" s="25"/>
      <c r="RYF530" s="34"/>
      <c r="RYG530" s="6"/>
      <c r="RYH530" s="6"/>
      <c r="RYI530" s="27"/>
      <c r="RYJ530" s="40"/>
      <c r="RYK530" s="25"/>
      <c r="RYL530" s="34"/>
      <c r="RYM530" s="6"/>
      <c r="RYN530" s="6"/>
      <c r="RYO530" s="27"/>
      <c r="RYP530" s="40"/>
      <c r="RYQ530" s="25"/>
      <c r="RYR530" s="34"/>
      <c r="RYS530" s="6"/>
      <c r="RYT530" s="6"/>
      <c r="RYU530" s="27"/>
      <c r="RYV530" s="40"/>
      <c r="RYW530" s="25"/>
      <c r="RYX530" s="34"/>
      <c r="RYY530" s="6"/>
      <c r="RYZ530" s="6"/>
      <c r="RZA530" s="27"/>
      <c r="RZB530" s="40"/>
      <c r="RZC530" s="25"/>
      <c r="RZD530" s="34"/>
      <c r="RZE530" s="6"/>
      <c r="RZF530" s="6"/>
      <c r="RZG530" s="27"/>
      <c r="RZH530" s="40"/>
      <c r="RZI530" s="25"/>
      <c r="RZJ530" s="34"/>
      <c r="RZK530" s="6"/>
      <c r="RZL530" s="6"/>
      <c r="RZM530" s="27"/>
      <c r="RZN530" s="40"/>
      <c r="RZO530" s="25"/>
      <c r="RZP530" s="34"/>
      <c r="RZQ530" s="6"/>
      <c r="RZR530" s="6"/>
      <c r="RZS530" s="27"/>
      <c r="RZT530" s="40"/>
      <c r="RZU530" s="25"/>
      <c r="RZV530" s="34"/>
      <c r="RZW530" s="6"/>
      <c r="RZX530" s="6"/>
      <c r="RZY530" s="27"/>
      <c r="RZZ530" s="40"/>
      <c r="SAA530" s="25"/>
      <c r="SAB530" s="34"/>
      <c r="SAC530" s="6"/>
      <c r="SAD530" s="6"/>
      <c r="SAE530" s="27"/>
      <c r="SAF530" s="40"/>
      <c r="SAG530" s="25"/>
      <c r="SAH530" s="34"/>
      <c r="SAI530" s="6"/>
      <c r="SAJ530" s="6"/>
      <c r="SAK530" s="27"/>
      <c r="SAL530" s="40"/>
      <c r="SAM530" s="25"/>
      <c r="SAN530" s="34"/>
      <c r="SAO530" s="6"/>
      <c r="SAP530" s="6"/>
      <c r="SAQ530" s="27"/>
      <c r="SAR530" s="40"/>
      <c r="SAS530" s="25"/>
      <c r="SAT530" s="34"/>
      <c r="SAU530" s="6"/>
      <c r="SAV530" s="6"/>
      <c r="SAW530" s="27"/>
      <c r="SAX530" s="40"/>
      <c r="SAY530" s="25"/>
      <c r="SAZ530" s="34"/>
      <c r="SBA530" s="6"/>
      <c r="SBB530" s="6"/>
      <c r="SBC530" s="27"/>
      <c r="SBD530" s="40"/>
      <c r="SBE530" s="25"/>
      <c r="SBF530" s="34"/>
      <c r="SBG530" s="6"/>
      <c r="SBH530" s="6"/>
      <c r="SBI530" s="27"/>
      <c r="SBJ530" s="40"/>
      <c r="SBK530" s="25"/>
      <c r="SBL530" s="34"/>
      <c r="SBM530" s="6"/>
      <c r="SBN530" s="6"/>
      <c r="SBO530" s="27"/>
      <c r="SBP530" s="40"/>
      <c r="SBQ530" s="25"/>
      <c r="SBR530" s="34"/>
      <c r="SBS530" s="6"/>
      <c r="SBT530" s="6"/>
      <c r="SBU530" s="27"/>
      <c r="SBV530" s="40"/>
      <c r="SBW530" s="25"/>
      <c r="SBX530" s="34"/>
      <c r="SBY530" s="6"/>
      <c r="SBZ530" s="6"/>
      <c r="SCA530" s="27"/>
      <c r="SCB530" s="40"/>
      <c r="SCC530" s="25"/>
      <c r="SCD530" s="34"/>
      <c r="SCE530" s="6"/>
      <c r="SCF530" s="6"/>
      <c r="SCG530" s="27"/>
      <c r="SCH530" s="40"/>
      <c r="SCI530" s="25"/>
      <c r="SCJ530" s="34"/>
      <c r="SCK530" s="6"/>
      <c r="SCL530" s="6"/>
      <c r="SCM530" s="27"/>
      <c r="SCN530" s="40"/>
      <c r="SCO530" s="25"/>
      <c r="SCP530" s="34"/>
      <c r="SCQ530" s="6"/>
      <c r="SCR530" s="6"/>
      <c r="SCS530" s="27"/>
      <c r="SCT530" s="40"/>
      <c r="SCU530" s="25"/>
      <c r="SCV530" s="34"/>
      <c r="SCW530" s="6"/>
      <c r="SCX530" s="6"/>
      <c r="SCY530" s="27"/>
      <c r="SCZ530" s="40"/>
      <c r="SDA530" s="25"/>
      <c r="SDB530" s="34"/>
      <c r="SDC530" s="6"/>
      <c r="SDD530" s="6"/>
      <c r="SDE530" s="27"/>
      <c r="SDF530" s="40"/>
      <c r="SDG530" s="25"/>
      <c r="SDH530" s="34"/>
      <c r="SDI530" s="6"/>
      <c r="SDJ530" s="6"/>
      <c r="SDK530" s="27"/>
      <c r="SDL530" s="40"/>
      <c r="SDM530" s="25"/>
      <c r="SDN530" s="34"/>
      <c r="SDO530" s="6"/>
      <c r="SDP530" s="6"/>
      <c r="SDQ530" s="27"/>
      <c r="SDR530" s="40"/>
      <c r="SDS530" s="25"/>
      <c r="SDT530" s="34"/>
      <c r="SDU530" s="6"/>
      <c r="SDV530" s="6"/>
      <c r="SDW530" s="27"/>
      <c r="SDX530" s="40"/>
      <c r="SDY530" s="25"/>
      <c r="SDZ530" s="34"/>
      <c r="SEA530" s="6"/>
      <c r="SEB530" s="6"/>
      <c r="SEC530" s="27"/>
      <c r="SED530" s="40"/>
      <c r="SEE530" s="25"/>
      <c r="SEF530" s="34"/>
      <c r="SEG530" s="6"/>
      <c r="SEH530" s="6"/>
      <c r="SEI530" s="27"/>
      <c r="SEJ530" s="40"/>
      <c r="SEK530" s="25"/>
      <c r="SEL530" s="34"/>
      <c r="SEM530" s="6"/>
      <c r="SEN530" s="6"/>
      <c r="SEO530" s="27"/>
      <c r="SEP530" s="40"/>
      <c r="SEQ530" s="25"/>
      <c r="SER530" s="34"/>
      <c r="SES530" s="6"/>
      <c r="SET530" s="6"/>
      <c r="SEU530" s="27"/>
      <c r="SEV530" s="40"/>
      <c r="SEW530" s="25"/>
      <c r="SEX530" s="34"/>
      <c r="SEY530" s="6"/>
      <c r="SEZ530" s="6"/>
      <c r="SFA530" s="27"/>
      <c r="SFB530" s="40"/>
      <c r="SFC530" s="25"/>
      <c r="SFD530" s="34"/>
      <c r="SFE530" s="6"/>
      <c r="SFF530" s="6"/>
      <c r="SFG530" s="27"/>
      <c r="SFH530" s="40"/>
      <c r="SFI530" s="25"/>
      <c r="SFJ530" s="34"/>
      <c r="SFK530" s="6"/>
      <c r="SFL530" s="6"/>
      <c r="SFM530" s="27"/>
      <c r="SFN530" s="40"/>
      <c r="SFO530" s="25"/>
      <c r="SFP530" s="34"/>
      <c r="SFQ530" s="6"/>
      <c r="SFR530" s="6"/>
      <c r="SFS530" s="27"/>
      <c r="SFT530" s="40"/>
      <c r="SFU530" s="25"/>
      <c r="SFV530" s="34"/>
      <c r="SFW530" s="6"/>
      <c r="SFX530" s="6"/>
      <c r="SFY530" s="27"/>
      <c r="SFZ530" s="40"/>
      <c r="SGA530" s="25"/>
      <c r="SGB530" s="34"/>
      <c r="SGC530" s="6"/>
      <c r="SGD530" s="6"/>
      <c r="SGE530" s="27"/>
      <c r="SGF530" s="40"/>
      <c r="SGG530" s="25"/>
      <c r="SGH530" s="34"/>
      <c r="SGI530" s="6"/>
      <c r="SGJ530" s="6"/>
      <c r="SGK530" s="27"/>
      <c r="SGL530" s="40"/>
      <c r="SGM530" s="25"/>
      <c r="SGN530" s="34"/>
      <c r="SGO530" s="6"/>
      <c r="SGP530" s="6"/>
      <c r="SGQ530" s="27"/>
      <c r="SGR530" s="40"/>
      <c r="SGS530" s="25"/>
      <c r="SGT530" s="34"/>
      <c r="SGU530" s="6"/>
      <c r="SGV530" s="6"/>
      <c r="SGW530" s="27"/>
      <c r="SGX530" s="40"/>
      <c r="SGY530" s="25"/>
      <c r="SGZ530" s="34"/>
      <c r="SHA530" s="6"/>
      <c r="SHB530" s="6"/>
      <c r="SHC530" s="27"/>
      <c r="SHD530" s="40"/>
      <c r="SHE530" s="25"/>
      <c r="SHF530" s="34"/>
      <c r="SHG530" s="6"/>
      <c r="SHH530" s="6"/>
      <c r="SHI530" s="27"/>
      <c r="SHJ530" s="40"/>
      <c r="SHK530" s="25"/>
      <c r="SHL530" s="34"/>
      <c r="SHM530" s="6"/>
      <c r="SHN530" s="6"/>
      <c r="SHO530" s="27"/>
      <c r="SHP530" s="40"/>
      <c r="SHQ530" s="25"/>
      <c r="SHR530" s="34"/>
      <c r="SHS530" s="6"/>
      <c r="SHT530" s="6"/>
      <c r="SHU530" s="27"/>
      <c r="SHV530" s="40"/>
      <c r="SHW530" s="25"/>
      <c r="SHX530" s="34"/>
      <c r="SHY530" s="6"/>
      <c r="SHZ530" s="6"/>
      <c r="SIA530" s="27"/>
      <c r="SIB530" s="40"/>
      <c r="SIC530" s="25"/>
      <c r="SID530" s="34"/>
      <c r="SIE530" s="6"/>
      <c r="SIF530" s="6"/>
      <c r="SIG530" s="27"/>
      <c r="SIH530" s="40"/>
      <c r="SII530" s="25"/>
      <c r="SIJ530" s="34"/>
      <c r="SIK530" s="6"/>
      <c r="SIL530" s="6"/>
      <c r="SIM530" s="27"/>
      <c r="SIN530" s="40"/>
      <c r="SIO530" s="25"/>
      <c r="SIP530" s="34"/>
      <c r="SIQ530" s="6"/>
      <c r="SIR530" s="6"/>
      <c r="SIS530" s="27"/>
      <c r="SIT530" s="40"/>
      <c r="SIU530" s="25"/>
      <c r="SIV530" s="34"/>
      <c r="SIW530" s="6"/>
      <c r="SIX530" s="6"/>
      <c r="SIY530" s="27"/>
      <c r="SIZ530" s="40"/>
      <c r="SJA530" s="25"/>
      <c r="SJB530" s="34"/>
      <c r="SJC530" s="6"/>
      <c r="SJD530" s="6"/>
      <c r="SJE530" s="27"/>
      <c r="SJF530" s="40"/>
      <c r="SJG530" s="25"/>
      <c r="SJH530" s="34"/>
      <c r="SJI530" s="6"/>
      <c r="SJJ530" s="6"/>
      <c r="SJK530" s="27"/>
      <c r="SJL530" s="40"/>
      <c r="SJM530" s="25"/>
      <c r="SJN530" s="34"/>
      <c r="SJO530" s="6"/>
      <c r="SJP530" s="6"/>
      <c r="SJQ530" s="27"/>
      <c r="SJR530" s="40"/>
      <c r="SJS530" s="25"/>
      <c r="SJT530" s="34"/>
      <c r="SJU530" s="6"/>
      <c r="SJV530" s="6"/>
      <c r="SJW530" s="27"/>
      <c r="SJX530" s="40"/>
      <c r="SJY530" s="25"/>
      <c r="SJZ530" s="34"/>
      <c r="SKA530" s="6"/>
      <c r="SKB530" s="6"/>
      <c r="SKC530" s="27"/>
      <c r="SKD530" s="40"/>
      <c r="SKE530" s="25"/>
      <c r="SKF530" s="34"/>
      <c r="SKG530" s="6"/>
      <c r="SKH530" s="6"/>
      <c r="SKI530" s="27"/>
      <c r="SKJ530" s="40"/>
      <c r="SKK530" s="25"/>
      <c r="SKL530" s="34"/>
      <c r="SKM530" s="6"/>
      <c r="SKN530" s="6"/>
      <c r="SKO530" s="27"/>
      <c r="SKP530" s="40"/>
      <c r="SKQ530" s="25"/>
      <c r="SKR530" s="34"/>
      <c r="SKS530" s="6"/>
      <c r="SKT530" s="6"/>
      <c r="SKU530" s="27"/>
      <c r="SKV530" s="40"/>
      <c r="SKW530" s="25"/>
      <c r="SKX530" s="34"/>
      <c r="SKY530" s="6"/>
      <c r="SKZ530" s="6"/>
      <c r="SLA530" s="27"/>
      <c r="SLB530" s="40"/>
      <c r="SLC530" s="25"/>
      <c r="SLD530" s="34"/>
      <c r="SLE530" s="6"/>
      <c r="SLF530" s="6"/>
      <c r="SLG530" s="27"/>
      <c r="SLH530" s="40"/>
      <c r="SLI530" s="25"/>
      <c r="SLJ530" s="34"/>
      <c r="SLK530" s="6"/>
      <c r="SLL530" s="6"/>
      <c r="SLM530" s="27"/>
      <c r="SLN530" s="40"/>
      <c r="SLO530" s="25"/>
      <c r="SLP530" s="34"/>
      <c r="SLQ530" s="6"/>
      <c r="SLR530" s="6"/>
      <c r="SLS530" s="27"/>
      <c r="SLT530" s="40"/>
      <c r="SLU530" s="25"/>
      <c r="SLV530" s="34"/>
      <c r="SLW530" s="6"/>
      <c r="SLX530" s="6"/>
      <c r="SLY530" s="27"/>
      <c r="SLZ530" s="40"/>
      <c r="SMA530" s="25"/>
      <c r="SMB530" s="34"/>
      <c r="SMC530" s="6"/>
      <c r="SMD530" s="6"/>
      <c r="SME530" s="27"/>
      <c r="SMF530" s="40"/>
      <c r="SMG530" s="25"/>
      <c r="SMH530" s="34"/>
      <c r="SMI530" s="6"/>
      <c r="SMJ530" s="6"/>
      <c r="SMK530" s="27"/>
      <c r="SML530" s="40"/>
      <c r="SMM530" s="25"/>
      <c r="SMN530" s="34"/>
      <c r="SMO530" s="6"/>
      <c r="SMP530" s="6"/>
      <c r="SMQ530" s="27"/>
      <c r="SMR530" s="40"/>
      <c r="SMS530" s="25"/>
      <c r="SMT530" s="34"/>
      <c r="SMU530" s="6"/>
      <c r="SMV530" s="6"/>
      <c r="SMW530" s="27"/>
      <c r="SMX530" s="40"/>
      <c r="SMY530" s="25"/>
      <c r="SMZ530" s="34"/>
      <c r="SNA530" s="6"/>
      <c r="SNB530" s="6"/>
      <c r="SNC530" s="27"/>
      <c r="SND530" s="40"/>
      <c r="SNE530" s="25"/>
      <c r="SNF530" s="34"/>
      <c r="SNG530" s="6"/>
      <c r="SNH530" s="6"/>
      <c r="SNI530" s="27"/>
      <c r="SNJ530" s="40"/>
      <c r="SNK530" s="25"/>
      <c r="SNL530" s="34"/>
      <c r="SNM530" s="6"/>
      <c r="SNN530" s="6"/>
      <c r="SNO530" s="27"/>
      <c r="SNP530" s="40"/>
      <c r="SNQ530" s="25"/>
      <c r="SNR530" s="34"/>
      <c r="SNS530" s="6"/>
      <c r="SNT530" s="6"/>
      <c r="SNU530" s="27"/>
      <c r="SNV530" s="40"/>
      <c r="SNW530" s="25"/>
      <c r="SNX530" s="34"/>
      <c r="SNY530" s="6"/>
      <c r="SNZ530" s="6"/>
      <c r="SOA530" s="27"/>
      <c r="SOB530" s="40"/>
      <c r="SOC530" s="25"/>
      <c r="SOD530" s="34"/>
      <c r="SOE530" s="6"/>
      <c r="SOF530" s="6"/>
      <c r="SOG530" s="27"/>
      <c r="SOH530" s="40"/>
      <c r="SOI530" s="25"/>
      <c r="SOJ530" s="34"/>
      <c r="SOK530" s="6"/>
      <c r="SOL530" s="6"/>
      <c r="SOM530" s="27"/>
      <c r="SON530" s="40"/>
      <c r="SOO530" s="25"/>
      <c r="SOP530" s="34"/>
      <c r="SOQ530" s="6"/>
      <c r="SOR530" s="6"/>
      <c r="SOS530" s="27"/>
      <c r="SOT530" s="40"/>
      <c r="SOU530" s="25"/>
      <c r="SOV530" s="34"/>
      <c r="SOW530" s="6"/>
      <c r="SOX530" s="6"/>
      <c r="SOY530" s="27"/>
      <c r="SOZ530" s="40"/>
      <c r="SPA530" s="25"/>
      <c r="SPB530" s="34"/>
      <c r="SPC530" s="6"/>
      <c r="SPD530" s="6"/>
      <c r="SPE530" s="27"/>
      <c r="SPF530" s="40"/>
      <c r="SPG530" s="25"/>
      <c r="SPH530" s="34"/>
      <c r="SPI530" s="6"/>
      <c r="SPJ530" s="6"/>
      <c r="SPK530" s="27"/>
      <c r="SPL530" s="40"/>
      <c r="SPM530" s="25"/>
      <c r="SPN530" s="34"/>
      <c r="SPO530" s="6"/>
      <c r="SPP530" s="6"/>
      <c r="SPQ530" s="27"/>
      <c r="SPR530" s="40"/>
      <c r="SPS530" s="25"/>
      <c r="SPT530" s="34"/>
      <c r="SPU530" s="6"/>
      <c r="SPV530" s="6"/>
      <c r="SPW530" s="27"/>
      <c r="SPX530" s="40"/>
      <c r="SPY530" s="25"/>
      <c r="SPZ530" s="34"/>
      <c r="SQA530" s="6"/>
      <c r="SQB530" s="6"/>
      <c r="SQC530" s="27"/>
      <c r="SQD530" s="40"/>
      <c r="SQE530" s="25"/>
      <c r="SQF530" s="34"/>
      <c r="SQG530" s="6"/>
      <c r="SQH530" s="6"/>
      <c r="SQI530" s="27"/>
      <c r="SQJ530" s="40"/>
      <c r="SQK530" s="25"/>
      <c r="SQL530" s="34"/>
      <c r="SQM530" s="6"/>
      <c r="SQN530" s="6"/>
      <c r="SQO530" s="27"/>
      <c r="SQP530" s="40"/>
      <c r="SQQ530" s="25"/>
      <c r="SQR530" s="34"/>
      <c r="SQS530" s="6"/>
      <c r="SQT530" s="6"/>
      <c r="SQU530" s="27"/>
      <c r="SQV530" s="40"/>
      <c r="SQW530" s="25"/>
      <c r="SQX530" s="34"/>
      <c r="SQY530" s="6"/>
      <c r="SQZ530" s="6"/>
      <c r="SRA530" s="27"/>
      <c r="SRB530" s="40"/>
      <c r="SRC530" s="25"/>
      <c r="SRD530" s="34"/>
      <c r="SRE530" s="6"/>
      <c r="SRF530" s="6"/>
      <c r="SRG530" s="27"/>
      <c r="SRH530" s="40"/>
      <c r="SRI530" s="25"/>
      <c r="SRJ530" s="34"/>
      <c r="SRK530" s="6"/>
      <c r="SRL530" s="6"/>
      <c r="SRM530" s="27"/>
      <c r="SRN530" s="40"/>
      <c r="SRO530" s="25"/>
      <c r="SRP530" s="34"/>
      <c r="SRQ530" s="6"/>
      <c r="SRR530" s="6"/>
      <c r="SRS530" s="27"/>
      <c r="SRT530" s="40"/>
      <c r="SRU530" s="25"/>
      <c r="SRV530" s="34"/>
      <c r="SRW530" s="6"/>
      <c r="SRX530" s="6"/>
      <c r="SRY530" s="27"/>
      <c r="SRZ530" s="40"/>
      <c r="SSA530" s="25"/>
      <c r="SSB530" s="34"/>
      <c r="SSC530" s="6"/>
      <c r="SSD530" s="6"/>
      <c r="SSE530" s="27"/>
      <c r="SSF530" s="40"/>
      <c r="SSG530" s="25"/>
      <c r="SSH530" s="34"/>
      <c r="SSI530" s="6"/>
      <c r="SSJ530" s="6"/>
      <c r="SSK530" s="27"/>
      <c r="SSL530" s="40"/>
      <c r="SSM530" s="25"/>
      <c r="SSN530" s="34"/>
      <c r="SSO530" s="6"/>
      <c r="SSP530" s="6"/>
      <c r="SSQ530" s="27"/>
      <c r="SSR530" s="40"/>
      <c r="SSS530" s="25"/>
      <c r="SST530" s="34"/>
      <c r="SSU530" s="6"/>
      <c r="SSV530" s="6"/>
      <c r="SSW530" s="27"/>
      <c r="SSX530" s="40"/>
      <c r="SSY530" s="25"/>
      <c r="SSZ530" s="34"/>
      <c r="STA530" s="6"/>
      <c r="STB530" s="6"/>
      <c r="STC530" s="27"/>
      <c r="STD530" s="40"/>
      <c r="STE530" s="25"/>
      <c r="STF530" s="34"/>
      <c r="STG530" s="6"/>
      <c r="STH530" s="6"/>
      <c r="STI530" s="27"/>
      <c r="STJ530" s="40"/>
      <c r="STK530" s="25"/>
      <c r="STL530" s="34"/>
      <c r="STM530" s="6"/>
      <c r="STN530" s="6"/>
      <c r="STO530" s="27"/>
      <c r="STP530" s="40"/>
      <c r="STQ530" s="25"/>
      <c r="STR530" s="34"/>
      <c r="STS530" s="6"/>
      <c r="STT530" s="6"/>
      <c r="STU530" s="27"/>
      <c r="STV530" s="40"/>
      <c r="STW530" s="25"/>
      <c r="STX530" s="34"/>
      <c r="STY530" s="6"/>
      <c r="STZ530" s="6"/>
      <c r="SUA530" s="27"/>
      <c r="SUB530" s="40"/>
      <c r="SUC530" s="25"/>
      <c r="SUD530" s="34"/>
      <c r="SUE530" s="6"/>
      <c r="SUF530" s="6"/>
      <c r="SUG530" s="27"/>
      <c r="SUH530" s="40"/>
      <c r="SUI530" s="25"/>
      <c r="SUJ530" s="34"/>
      <c r="SUK530" s="6"/>
      <c r="SUL530" s="6"/>
      <c r="SUM530" s="27"/>
      <c r="SUN530" s="40"/>
      <c r="SUO530" s="25"/>
      <c r="SUP530" s="34"/>
      <c r="SUQ530" s="6"/>
      <c r="SUR530" s="6"/>
      <c r="SUS530" s="27"/>
      <c r="SUT530" s="40"/>
      <c r="SUU530" s="25"/>
      <c r="SUV530" s="34"/>
      <c r="SUW530" s="6"/>
      <c r="SUX530" s="6"/>
      <c r="SUY530" s="27"/>
      <c r="SUZ530" s="40"/>
      <c r="SVA530" s="25"/>
      <c r="SVB530" s="34"/>
      <c r="SVC530" s="6"/>
      <c r="SVD530" s="6"/>
      <c r="SVE530" s="27"/>
      <c r="SVF530" s="40"/>
      <c r="SVG530" s="25"/>
      <c r="SVH530" s="34"/>
      <c r="SVI530" s="6"/>
      <c r="SVJ530" s="6"/>
      <c r="SVK530" s="27"/>
      <c r="SVL530" s="40"/>
      <c r="SVM530" s="25"/>
      <c r="SVN530" s="34"/>
      <c r="SVO530" s="6"/>
      <c r="SVP530" s="6"/>
      <c r="SVQ530" s="27"/>
      <c r="SVR530" s="40"/>
      <c r="SVS530" s="25"/>
      <c r="SVT530" s="34"/>
      <c r="SVU530" s="6"/>
      <c r="SVV530" s="6"/>
      <c r="SVW530" s="27"/>
      <c r="SVX530" s="40"/>
      <c r="SVY530" s="25"/>
      <c r="SVZ530" s="34"/>
      <c r="SWA530" s="6"/>
      <c r="SWB530" s="6"/>
      <c r="SWC530" s="27"/>
      <c r="SWD530" s="40"/>
      <c r="SWE530" s="25"/>
      <c r="SWF530" s="34"/>
      <c r="SWG530" s="6"/>
      <c r="SWH530" s="6"/>
      <c r="SWI530" s="27"/>
      <c r="SWJ530" s="40"/>
      <c r="SWK530" s="25"/>
      <c r="SWL530" s="34"/>
      <c r="SWM530" s="6"/>
      <c r="SWN530" s="6"/>
      <c r="SWO530" s="27"/>
      <c r="SWP530" s="40"/>
      <c r="SWQ530" s="25"/>
      <c r="SWR530" s="34"/>
      <c r="SWS530" s="6"/>
      <c r="SWT530" s="6"/>
      <c r="SWU530" s="27"/>
      <c r="SWV530" s="40"/>
      <c r="SWW530" s="25"/>
      <c r="SWX530" s="34"/>
      <c r="SWY530" s="6"/>
      <c r="SWZ530" s="6"/>
      <c r="SXA530" s="27"/>
      <c r="SXB530" s="40"/>
      <c r="SXC530" s="25"/>
      <c r="SXD530" s="34"/>
      <c r="SXE530" s="6"/>
      <c r="SXF530" s="6"/>
      <c r="SXG530" s="27"/>
      <c r="SXH530" s="40"/>
      <c r="SXI530" s="25"/>
      <c r="SXJ530" s="34"/>
      <c r="SXK530" s="6"/>
      <c r="SXL530" s="6"/>
      <c r="SXM530" s="27"/>
      <c r="SXN530" s="40"/>
      <c r="SXO530" s="25"/>
      <c r="SXP530" s="34"/>
      <c r="SXQ530" s="6"/>
      <c r="SXR530" s="6"/>
      <c r="SXS530" s="27"/>
      <c r="SXT530" s="40"/>
      <c r="SXU530" s="25"/>
      <c r="SXV530" s="34"/>
      <c r="SXW530" s="6"/>
      <c r="SXX530" s="6"/>
      <c r="SXY530" s="27"/>
      <c r="SXZ530" s="40"/>
      <c r="SYA530" s="25"/>
      <c r="SYB530" s="34"/>
      <c r="SYC530" s="6"/>
      <c r="SYD530" s="6"/>
      <c r="SYE530" s="27"/>
      <c r="SYF530" s="40"/>
      <c r="SYG530" s="25"/>
      <c r="SYH530" s="34"/>
      <c r="SYI530" s="6"/>
      <c r="SYJ530" s="6"/>
      <c r="SYK530" s="27"/>
      <c r="SYL530" s="40"/>
      <c r="SYM530" s="25"/>
      <c r="SYN530" s="34"/>
      <c r="SYO530" s="6"/>
      <c r="SYP530" s="6"/>
      <c r="SYQ530" s="27"/>
      <c r="SYR530" s="40"/>
      <c r="SYS530" s="25"/>
      <c r="SYT530" s="34"/>
      <c r="SYU530" s="6"/>
      <c r="SYV530" s="6"/>
      <c r="SYW530" s="27"/>
      <c r="SYX530" s="40"/>
      <c r="SYY530" s="25"/>
      <c r="SYZ530" s="34"/>
      <c r="SZA530" s="6"/>
      <c r="SZB530" s="6"/>
      <c r="SZC530" s="27"/>
      <c r="SZD530" s="40"/>
      <c r="SZE530" s="25"/>
      <c r="SZF530" s="34"/>
      <c r="SZG530" s="6"/>
      <c r="SZH530" s="6"/>
      <c r="SZI530" s="27"/>
      <c r="SZJ530" s="40"/>
      <c r="SZK530" s="25"/>
      <c r="SZL530" s="34"/>
      <c r="SZM530" s="6"/>
      <c r="SZN530" s="6"/>
      <c r="SZO530" s="27"/>
      <c r="SZP530" s="40"/>
      <c r="SZQ530" s="25"/>
      <c r="SZR530" s="34"/>
      <c r="SZS530" s="6"/>
      <c r="SZT530" s="6"/>
      <c r="SZU530" s="27"/>
      <c r="SZV530" s="40"/>
      <c r="SZW530" s="25"/>
      <c r="SZX530" s="34"/>
      <c r="SZY530" s="6"/>
      <c r="SZZ530" s="6"/>
      <c r="TAA530" s="27"/>
      <c r="TAB530" s="40"/>
      <c r="TAC530" s="25"/>
      <c r="TAD530" s="34"/>
      <c r="TAE530" s="6"/>
      <c r="TAF530" s="6"/>
      <c r="TAG530" s="27"/>
      <c r="TAH530" s="40"/>
      <c r="TAI530" s="25"/>
      <c r="TAJ530" s="34"/>
      <c r="TAK530" s="6"/>
      <c r="TAL530" s="6"/>
      <c r="TAM530" s="27"/>
      <c r="TAN530" s="40"/>
      <c r="TAO530" s="25"/>
      <c r="TAP530" s="34"/>
      <c r="TAQ530" s="6"/>
      <c r="TAR530" s="6"/>
      <c r="TAS530" s="27"/>
      <c r="TAT530" s="40"/>
      <c r="TAU530" s="25"/>
      <c r="TAV530" s="34"/>
      <c r="TAW530" s="6"/>
      <c r="TAX530" s="6"/>
      <c r="TAY530" s="27"/>
      <c r="TAZ530" s="40"/>
      <c r="TBA530" s="25"/>
      <c r="TBB530" s="34"/>
      <c r="TBC530" s="6"/>
      <c r="TBD530" s="6"/>
      <c r="TBE530" s="27"/>
      <c r="TBF530" s="40"/>
      <c r="TBG530" s="25"/>
      <c r="TBH530" s="34"/>
      <c r="TBI530" s="6"/>
      <c r="TBJ530" s="6"/>
      <c r="TBK530" s="27"/>
      <c r="TBL530" s="40"/>
      <c r="TBM530" s="25"/>
      <c r="TBN530" s="34"/>
      <c r="TBO530" s="6"/>
      <c r="TBP530" s="6"/>
      <c r="TBQ530" s="27"/>
      <c r="TBR530" s="40"/>
      <c r="TBS530" s="25"/>
      <c r="TBT530" s="34"/>
      <c r="TBU530" s="6"/>
      <c r="TBV530" s="6"/>
      <c r="TBW530" s="27"/>
      <c r="TBX530" s="40"/>
      <c r="TBY530" s="25"/>
      <c r="TBZ530" s="34"/>
      <c r="TCA530" s="6"/>
      <c r="TCB530" s="6"/>
      <c r="TCC530" s="27"/>
      <c r="TCD530" s="40"/>
      <c r="TCE530" s="25"/>
      <c r="TCF530" s="34"/>
      <c r="TCG530" s="6"/>
      <c r="TCH530" s="6"/>
      <c r="TCI530" s="27"/>
      <c r="TCJ530" s="40"/>
      <c r="TCK530" s="25"/>
      <c r="TCL530" s="34"/>
      <c r="TCM530" s="6"/>
      <c r="TCN530" s="6"/>
      <c r="TCO530" s="27"/>
      <c r="TCP530" s="40"/>
      <c r="TCQ530" s="25"/>
      <c r="TCR530" s="34"/>
      <c r="TCS530" s="6"/>
      <c r="TCT530" s="6"/>
      <c r="TCU530" s="27"/>
      <c r="TCV530" s="40"/>
      <c r="TCW530" s="25"/>
      <c r="TCX530" s="34"/>
      <c r="TCY530" s="6"/>
      <c r="TCZ530" s="6"/>
      <c r="TDA530" s="27"/>
      <c r="TDB530" s="40"/>
      <c r="TDC530" s="25"/>
      <c r="TDD530" s="34"/>
      <c r="TDE530" s="6"/>
      <c r="TDF530" s="6"/>
      <c r="TDG530" s="27"/>
      <c r="TDH530" s="40"/>
      <c r="TDI530" s="25"/>
      <c r="TDJ530" s="34"/>
      <c r="TDK530" s="6"/>
      <c r="TDL530" s="6"/>
      <c r="TDM530" s="27"/>
      <c r="TDN530" s="40"/>
      <c r="TDO530" s="25"/>
      <c r="TDP530" s="34"/>
      <c r="TDQ530" s="6"/>
      <c r="TDR530" s="6"/>
      <c r="TDS530" s="27"/>
      <c r="TDT530" s="40"/>
      <c r="TDU530" s="25"/>
      <c r="TDV530" s="34"/>
      <c r="TDW530" s="6"/>
      <c r="TDX530" s="6"/>
      <c r="TDY530" s="27"/>
      <c r="TDZ530" s="40"/>
      <c r="TEA530" s="25"/>
      <c r="TEB530" s="34"/>
      <c r="TEC530" s="6"/>
      <c r="TED530" s="6"/>
      <c r="TEE530" s="27"/>
      <c r="TEF530" s="40"/>
      <c r="TEG530" s="25"/>
      <c r="TEH530" s="34"/>
      <c r="TEI530" s="6"/>
      <c r="TEJ530" s="6"/>
      <c r="TEK530" s="27"/>
      <c r="TEL530" s="40"/>
      <c r="TEM530" s="25"/>
      <c r="TEN530" s="34"/>
      <c r="TEO530" s="6"/>
      <c r="TEP530" s="6"/>
      <c r="TEQ530" s="27"/>
      <c r="TER530" s="40"/>
      <c r="TES530" s="25"/>
      <c r="TET530" s="34"/>
      <c r="TEU530" s="6"/>
      <c r="TEV530" s="6"/>
      <c r="TEW530" s="27"/>
      <c r="TEX530" s="40"/>
      <c r="TEY530" s="25"/>
      <c r="TEZ530" s="34"/>
      <c r="TFA530" s="6"/>
      <c r="TFB530" s="6"/>
      <c r="TFC530" s="27"/>
      <c r="TFD530" s="40"/>
      <c r="TFE530" s="25"/>
      <c r="TFF530" s="34"/>
      <c r="TFG530" s="6"/>
      <c r="TFH530" s="6"/>
      <c r="TFI530" s="27"/>
      <c r="TFJ530" s="40"/>
      <c r="TFK530" s="25"/>
      <c r="TFL530" s="34"/>
      <c r="TFM530" s="6"/>
      <c r="TFN530" s="6"/>
      <c r="TFO530" s="27"/>
      <c r="TFP530" s="40"/>
      <c r="TFQ530" s="25"/>
      <c r="TFR530" s="34"/>
      <c r="TFS530" s="6"/>
      <c r="TFT530" s="6"/>
      <c r="TFU530" s="27"/>
      <c r="TFV530" s="40"/>
      <c r="TFW530" s="25"/>
      <c r="TFX530" s="34"/>
      <c r="TFY530" s="6"/>
      <c r="TFZ530" s="6"/>
      <c r="TGA530" s="27"/>
      <c r="TGB530" s="40"/>
      <c r="TGC530" s="25"/>
      <c r="TGD530" s="34"/>
      <c r="TGE530" s="6"/>
      <c r="TGF530" s="6"/>
      <c r="TGG530" s="27"/>
      <c r="TGH530" s="40"/>
      <c r="TGI530" s="25"/>
      <c r="TGJ530" s="34"/>
      <c r="TGK530" s="6"/>
      <c r="TGL530" s="6"/>
      <c r="TGM530" s="27"/>
      <c r="TGN530" s="40"/>
      <c r="TGO530" s="25"/>
      <c r="TGP530" s="34"/>
      <c r="TGQ530" s="6"/>
      <c r="TGR530" s="6"/>
      <c r="TGS530" s="27"/>
      <c r="TGT530" s="40"/>
      <c r="TGU530" s="25"/>
      <c r="TGV530" s="34"/>
      <c r="TGW530" s="6"/>
      <c r="TGX530" s="6"/>
      <c r="TGY530" s="27"/>
      <c r="TGZ530" s="40"/>
      <c r="THA530" s="25"/>
      <c r="THB530" s="34"/>
      <c r="THC530" s="6"/>
      <c r="THD530" s="6"/>
      <c r="THE530" s="27"/>
      <c r="THF530" s="40"/>
      <c r="THG530" s="25"/>
      <c r="THH530" s="34"/>
      <c r="THI530" s="6"/>
      <c r="THJ530" s="6"/>
      <c r="THK530" s="27"/>
      <c r="THL530" s="40"/>
      <c r="THM530" s="25"/>
      <c r="THN530" s="34"/>
      <c r="THO530" s="6"/>
      <c r="THP530" s="6"/>
      <c r="THQ530" s="27"/>
      <c r="THR530" s="40"/>
      <c r="THS530" s="25"/>
      <c r="THT530" s="34"/>
      <c r="THU530" s="6"/>
      <c r="THV530" s="6"/>
      <c r="THW530" s="27"/>
      <c r="THX530" s="40"/>
      <c r="THY530" s="25"/>
      <c r="THZ530" s="34"/>
      <c r="TIA530" s="6"/>
      <c r="TIB530" s="6"/>
      <c r="TIC530" s="27"/>
      <c r="TID530" s="40"/>
      <c r="TIE530" s="25"/>
      <c r="TIF530" s="34"/>
      <c r="TIG530" s="6"/>
      <c r="TIH530" s="6"/>
      <c r="TII530" s="27"/>
      <c r="TIJ530" s="40"/>
      <c r="TIK530" s="25"/>
      <c r="TIL530" s="34"/>
      <c r="TIM530" s="6"/>
      <c r="TIN530" s="6"/>
      <c r="TIO530" s="27"/>
      <c r="TIP530" s="40"/>
      <c r="TIQ530" s="25"/>
      <c r="TIR530" s="34"/>
      <c r="TIS530" s="6"/>
      <c r="TIT530" s="6"/>
      <c r="TIU530" s="27"/>
      <c r="TIV530" s="40"/>
      <c r="TIW530" s="25"/>
      <c r="TIX530" s="34"/>
      <c r="TIY530" s="6"/>
      <c r="TIZ530" s="6"/>
      <c r="TJA530" s="27"/>
      <c r="TJB530" s="40"/>
      <c r="TJC530" s="25"/>
      <c r="TJD530" s="34"/>
      <c r="TJE530" s="6"/>
      <c r="TJF530" s="6"/>
      <c r="TJG530" s="27"/>
      <c r="TJH530" s="40"/>
      <c r="TJI530" s="25"/>
      <c r="TJJ530" s="34"/>
      <c r="TJK530" s="6"/>
      <c r="TJL530" s="6"/>
      <c r="TJM530" s="27"/>
      <c r="TJN530" s="40"/>
      <c r="TJO530" s="25"/>
      <c r="TJP530" s="34"/>
      <c r="TJQ530" s="6"/>
      <c r="TJR530" s="6"/>
      <c r="TJS530" s="27"/>
      <c r="TJT530" s="40"/>
      <c r="TJU530" s="25"/>
      <c r="TJV530" s="34"/>
      <c r="TJW530" s="6"/>
      <c r="TJX530" s="6"/>
      <c r="TJY530" s="27"/>
      <c r="TJZ530" s="40"/>
      <c r="TKA530" s="25"/>
      <c r="TKB530" s="34"/>
      <c r="TKC530" s="6"/>
      <c r="TKD530" s="6"/>
      <c r="TKE530" s="27"/>
      <c r="TKF530" s="40"/>
      <c r="TKG530" s="25"/>
      <c r="TKH530" s="34"/>
      <c r="TKI530" s="6"/>
      <c r="TKJ530" s="6"/>
      <c r="TKK530" s="27"/>
      <c r="TKL530" s="40"/>
      <c r="TKM530" s="25"/>
      <c r="TKN530" s="34"/>
      <c r="TKO530" s="6"/>
      <c r="TKP530" s="6"/>
      <c r="TKQ530" s="27"/>
      <c r="TKR530" s="40"/>
      <c r="TKS530" s="25"/>
      <c r="TKT530" s="34"/>
      <c r="TKU530" s="6"/>
      <c r="TKV530" s="6"/>
      <c r="TKW530" s="27"/>
      <c r="TKX530" s="40"/>
      <c r="TKY530" s="25"/>
      <c r="TKZ530" s="34"/>
      <c r="TLA530" s="6"/>
      <c r="TLB530" s="6"/>
      <c r="TLC530" s="27"/>
      <c r="TLD530" s="40"/>
      <c r="TLE530" s="25"/>
      <c r="TLF530" s="34"/>
      <c r="TLG530" s="6"/>
      <c r="TLH530" s="6"/>
      <c r="TLI530" s="27"/>
      <c r="TLJ530" s="40"/>
      <c r="TLK530" s="25"/>
      <c r="TLL530" s="34"/>
      <c r="TLM530" s="6"/>
      <c r="TLN530" s="6"/>
      <c r="TLO530" s="27"/>
      <c r="TLP530" s="40"/>
      <c r="TLQ530" s="25"/>
      <c r="TLR530" s="34"/>
      <c r="TLS530" s="6"/>
      <c r="TLT530" s="6"/>
      <c r="TLU530" s="27"/>
      <c r="TLV530" s="40"/>
      <c r="TLW530" s="25"/>
      <c r="TLX530" s="34"/>
      <c r="TLY530" s="6"/>
      <c r="TLZ530" s="6"/>
      <c r="TMA530" s="27"/>
      <c r="TMB530" s="40"/>
      <c r="TMC530" s="25"/>
      <c r="TMD530" s="34"/>
      <c r="TME530" s="6"/>
      <c r="TMF530" s="6"/>
      <c r="TMG530" s="27"/>
      <c r="TMH530" s="40"/>
      <c r="TMI530" s="25"/>
      <c r="TMJ530" s="34"/>
      <c r="TMK530" s="6"/>
      <c r="TML530" s="6"/>
      <c r="TMM530" s="27"/>
      <c r="TMN530" s="40"/>
      <c r="TMO530" s="25"/>
      <c r="TMP530" s="34"/>
      <c r="TMQ530" s="6"/>
      <c r="TMR530" s="6"/>
      <c r="TMS530" s="27"/>
      <c r="TMT530" s="40"/>
      <c r="TMU530" s="25"/>
      <c r="TMV530" s="34"/>
      <c r="TMW530" s="6"/>
      <c r="TMX530" s="6"/>
      <c r="TMY530" s="27"/>
      <c r="TMZ530" s="40"/>
      <c r="TNA530" s="25"/>
      <c r="TNB530" s="34"/>
      <c r="TNC530" s="6"/>
      <c r="TND530" s="6"/>
      <c r="TNE530" s="27"/>
      <c r="TNF530" s="40"/>
      <c r="TNG530" s="25"/>
      <c r="TNH530" s="34"/>
      <c r="TNI530" s="6"/>
      <c r="TNJ530" s="6"/>
      <c r="TNK530" s="27"/>
      <c r="TNL530" s="40"/>
      <c r="TNM530" s="25"/>
      <c r="TNN530" s="34"/>
      <c r="TNO530" s="6"/>
      <c r="TNP530" s="6"/>
      <c r="TNQ530" s="27"/>
      <c r="TNR530" s="40"/>
      <c r="TNS530" s="25"/>
      <c r="TNT530" s="34"/>
      <c r="TNU530" s="6"/>
      <c r="TNV530" s="6"/>
      <c r="TNW530" s="27"/>
      <c r="TNX530" s="40"/>
      <c r="TNY530" s="25"/>
      <c r="TNZ530" s="34"/>
      <c r="TOA530" s="6"/>
      <c r="TOB530" s="6"/>
      <c r="TOC530" s="27"/>
      <c r="TOD530" s="40"/>
      <c r="TOE530" s="25"/>
      <c r="TOF530" s="34"/>
      <c r="TOG530" s="6"/>
      <c r="TOH530" s="6"/>
      <c r="TOI530" s="27"/>
      <c r="TOJ530" s="40"/>
      <c r="TOK530" s="25"/>
      <c r="TOL530" s="34"/>
      <c r="TOM530" s="6"/>
      <c r="TON530" s="6"/>
      <c r="TOO530" s="27"/>
      <c r="TOP530" s="40"/>
      <c r="TOQ530" s="25"/>
      <c r="TOR530" s="34"/>
      <c r="TOS530" s="6"/>
      <c r="TOT530" s="6"/>
      <c r="TOU530" s="27"/>
      <c r="TOV530" s="40"/>
      <c r="TOW530" s="25"/>
      <c r="TOX530" s="34"/>
      <c r="TOY530" s="6"/>
      <c r="TOZ530" s="6"/>
      <c r="TPA530" s="27"/>
      <c r="TPB530" s="40"/>
      <c r="TPC530" s="25"/>
      <c r="TPD530" s="34"/>
      <c r="TPE530" s="6"/>
      <c r="TPF530" s="6"/>
      <c r="TPG530" s="27"/>
      <c r="TPH530" s="40"/>
      <c r="TPI530" s="25"/>
      <c r="TPJ530" s="34"/>
      <c r="TPK530" s="6"/>
      <c r="TPL530" s="6"/>
      <c r="TPM530" s="27"/>
      <c r="TPN530" s="40"/>
      <c r="TPO530" s="25"/>
      <c r="TPP530" s="34"/>
      <c r="TPQ530" s="6"/>
      <c r="TPR530" s="6"/>
      <c r="TPS530" s="27"/>
      <c r="TPT530" s="40"/>
      <c r="TPU530" s="25"/>
      <c r="TPV530" s="34"/>
      <c r="TPW530" s="6"/>
      <c r="TPX530" s="6"/>
      <c r="TPY530" s="27"/>
      <c r="TPZ530" s="40"/>
      <c r="TQA530" s="25"/>
      <c r="TQB530" s="34"/>
      <c r="TQC530" s="6"/>
      <c r="TQD530" s="6"/>
      <c r="TQE530" s="27"/>
      <c r="TQF530" s="40"/>
      <c r="TQG530" s="25"/>
      <c r="TQH530" s="34"/>
      <c r="TQI530" s="6"/>
      <c r="TQJ530" s="6"/>
      <c r="TQK530" s="27"/>
      <c r="TQL530" s="40"/>
      <c r="TQM530" s="25"/>
      <c r="TQN530" s="34"/>
      <c r="TQO530" s="6"/>
      <c r="TQP530" s="6"/>
      <c r="TQQ530" s="27"/>
      <c r="TQR530" s="40"/>
      <c r="TQS530" s="25"/>
      <c r="TQT530" s="34"/>
      <c r="TQU530" s="6"/>
      <c r="TQV530" s="6"/>
      <c r="TQW530" s="27"/>
      <c r="TQX530" s="40"/>
      <c r="TQY530" s="25"/>
      <c r="TQZ530" s="34"/>
      <c r="TRA530" s="6"/>
      <c r="TRB530" s="6"/>
      <c r="TRC530" s="27"/>
      <c r="TRD530" s="40"/>
      <c r="TRE530" s="25"/>
      <c r="TRF530" s="34"/>
      <c r="TRG530" s="6"/>
      <c r="TRH530" s="6"/>
      <c r="TRI530" s="27"/>
      <c r="TRJ530" s="40"/>
      <c r="TRK530" s="25"/>
      <c r="TRL530" s="34"/>
      <c r="TRM530" s="6"/>
      <c r="TRN530" s="6"/>
      <c r="TRO530" s="27"/>
      <c r="TRP530" s="40"/>
      <c r="TRQ530" s="25"/>
      <c r="TRR530" s="34"/>
      <c r="TRS530" s="6"/>
      <c r="TRT530" s="6"/>
      <c r="TRU530" s="27"/>
      <c r="TRV530" s="40"/>
      <c r="TRW530" s="25"/>
      <c r="TRX530" s="34"/>
      <c r="TRY530" s="6"/>
      <c r="TRZ530" s="6"/>
      <c r="TSA530" s="27"/>
      <c r="TSB530" s="40"/>
      <c r="TSC530" s="25"/>
      <c r="TSD530" s="34"/>
      <c r="TSE530" s="6"/>
      <c r="TSF530" s="6"/>
      <c r="TSG530" s="27"/>
      <c r="TSH530" s="40"/>
      <c r="TSI530" s="25"/>
      <c r="TSJ530" s="34"/>
      <c r="TSK530" s="6"/>
      <c r="TSL530" s="6"/>
      <c r="TSM530" s="27"/>
      <c r="TSN530" s="40"/>
      <c r="TSO530" s="25"/>
      <c r="TSP530" s="34"/>
      <c r="TSQ530" s="6"/>
      <c r="TSR530" s="6"/>
      <c r="TSS530" s="27"/>
      <c r="TST530" s="40"/>
      <c r="TSU530" s="25"/>
      <c r="TSV530" s="34"/>
      <c r="TSW530" s="6"/>
      <c r="TSX530" s="6"/>
      <c r="TSY530" s="27"/>
      <c r="TSZ530" s="40"/>
      <c r="TTA530" s="25"/>
      <c r="TTB530" s="34"/>
      <c r="TTC530" s="6"/>
      <c r="TTD530" s="6"/>
      <c r="TTE530" s="27"/>
      <c r="TTF530" s="40"/>
      <c r="TTG530" s="25"/>
      <c r="TTH530" s="34"/>
      <c r="TTI530" s="6"/>
      <c r="TTJ530" s="6"/>
      <c r="TTK530" s="27"/>
      <c r="TTL530" s="40"/>
      <c r="TTM530" s="25"/>
      <c r="TTN530" s="34"/>
      <c r="TTO530" s="6"/>
      <c r="TTP530" s="6"/>
      <c r="TTQ530" s="27"/>
      <c r="TTR530" s="40"/>
      <c r="TTS530" s="25"/>
      <c r="TTT530" s="34"/>
      <c r="TTU530" s="6"/>
      <c r="TTV530" s="6"/>
      <c r="TTW530" s="27"/>
      <c r="TTX530" s="40"/>
      <c r="TTY530" s="25"/>
      <c r="TTZ530" s="34"/>
      <c r="TUA530" s="6"/>
      <c r="TUB530" s="6"/>
      <c r="TUC530" s="27"/>
      <c r="TUD530" s="40"/>
      <c r="TUE530" s="25"/>
      <c r="TUF530" s="34"/>
      <c r="TUG530" s="6"/>
      <c r="TUH530" s="6"/>
      <c r="TUI530" s="27"/>
      <c r="TUJ530" s="40"/>
      <c r="TUK530" s="25"/>
      <c r="TUL530" s="34"/>
      <c r="TUM530" s="6"/>
      <c r="TUN530" s="6"/>
      <c r="TUO530" s="27"/>
      <c r="TUP530" s="40"/>
      <c r="TUQ530" s="25"/>
      <c r="TUR530" s="34"/>
      <c r="TUS530" s="6"/>
      <c r="TUT530" s="6"/>
      <c r="TUU530" s="27"/>
      <c r="TUV530" s="40"/>
      <c r="TUW530" s="25"/>
      <c r="TUX530" s="34"/>
      <c r="TUY530" s="6"/>
      <c r="TUZ530" s="6"/>
      <c r="TVA530" s="27"/>
      <c r="TVB530" s="40"/>
      <c r="TVC530" s="25"/>
      <c r="TVD530" s="34"/>
      <c r="TVE530" s="6"/>
      <c r="TVF530" s="6"/>
      <c r="TVG530" s="27"/>
      <c r="TVH530" s="40"/>
      <c r="TVI530" s="25"/>
      <c r="TVJ530" s="34"/>
      <c r="TVK530" s="6"/>
      <c r="TVL530" s="6"/>
      <c r="TVM530" s="27"/>
      <c r="TVN530" s="40"/>
      <c r="TVO530" s="25"/>
      <c r="TVP530" s="34"/>
      <c r="TVQ530" s="6"/>
      <c r="TVR530" s="6"/>
      <c r="TVS530" s="27"/>
      <c r="TVT530" s="40"/>
      <c r="TVU530" s="25"/>
      <c r="TVV530" s="34"/>
      <c r="TVW530" s="6"/>
      <c r="TVX530" s="6"/>
      <c r="TVY530" s="27"/>
      <c r="TVZ530" s="40"/>
      <c r="TWA530" s="25"/>
      <c r="TWB530" s="34"/>
      <c r="TWC530" s="6"/>
      <c r="TWD530" s="6"/>
      <c r="TWE530" s="27"/>
      <c r="TWF530" s="40"/>
      <c r="TWG530" s="25"/>
      <c r="TWH530" s="34"/>
      <c r="TWI530" s="6"/>
      <c r="TWJ530" s="6"/>
      <c r="TWK530" s="27"/>
      <c r="TWL530" s="40"/>
      <c r="TWM530" s="25"/>
      <c r="TWN530" s="34"/>
      <c r="TWO530" s="6"/>
      <c r="TWP530" s="6"/>
      <c r="TWQ530" s="27"/>
      <c r="TWR530" s="40"/>
      <c r="TWS530" s="25"/>
      <c r="TWT530" s="34"/>
      <c r="TWU530" s="6"/>
      <c r="TWV530" s="6"/>
      <c r="TWW530" s="27"/>
      <c r="TWX530" s="40"/>
      <c r="TWY530" s="25"/>
      <c r="TWZ530" s="34"/>
      <c r="TXA530" s="6"/>
      <c r="TXB530" s="6"/>
      <c r="TXC530" s="27"/>
      <c r="TXD530" s="40"/>
      <c r="TXE530" s="25"/>
      <c r="TXF530" s="34"/>
      <c r="TXG530" s="6"/>
      <c r="TXH530" s="6"/>
      <c r="TXI530" s="27"/>
      <c r="TXJ530" s="40"/>
      <c r="TXK530" s="25"/>
      <c r="TXL530" s="34"/>
      <c r="TXM530" s="6"/>
      <c r="TXN530" s="6"/>
      <c r="TXO530" s="27"/>
      <c r="TXP530" s="40"/>
      <c r="TXQ530" s="25"/>
      <c r="TXR530" s="34"/>
      <c r="TXS530" s="6"/>
      <c r="TXT530" s="6"/>
      <c r="TXU530" s="27"/>
      <c r="TXV530" s="40"/>
      <c r="TXW530" s="25"/>
      <c r="TXX530" s="34"/>
      <c r="TXY530" s="6"/>
      <c r="TXZ530" s="6"/>
      <c r="TYA530" s="27"/>
      <c r="TYB530" s="40"/>
      <c r="TYC530" s="25"/>
      <c r="TYD530" s="34"/>
      <c r="TYE530" s="6"/>
      <c r="TYF530" s="6"/>
      <c r="TYG530" s="27"/>
      <c r="TYH530" s="40"/>
      <c r="TYI530" s="25"/>
      <c r="TYJ530" s="34"/>
      <c r="TYK530" s="6"/>
      <c r="TYL530" s="6"/>
      <c r="TYM530" s="27"/>
      <c r="TYN530" s="40"/>
      <c r="TYO530" s="25"/>
      <c r="TYP530" s="34"/>
      <c r="TYQ530" s="6"/>
      <c r="TYR530" s="6"/>
      <c r="TYS530" s="27"/>
      <c r="TYT530" s="40"/>
      <c r="TYU530" s="25"/>
      <c r="TYV530" s="34"/>
      <c r="TYW530" s="6"/>
      <c r="TYX530" s="6"/>
      <c r="TYY530" s="27"/>
      <c r="TYZ530" s="40"/>
      <c r="TZA530" s="25"/>
      <c r="TZB530" s="34"/>
      <c r="TZC530" s="6"/>
      <c r="TZD530" s="6"/>
      <c r="TZE530" s="27"/>
      <c r="TZF530" s="40"/>
      <c r="TZG530" s="25"/>
      <c r="TZH530" s="34"/>
      <c r="TZI530" s="6"/>
      <c r="TZJ530" s="6"/>
      <c r="TZK530" s="27"/>
      <c r="TZL530" s="40"/>
      <c r="TZM530" s="25"/>
      <c r="TZN530" s="34"/>
      <c r="TZO530" s="6"/>
      <c r="TZP530" s="6"/>
      <c r="TZQ530" s="27"/>
      <c r="TZR530" s="40"/>
      <c r="TZS530" s="25"/>
      <c r="TZT530" s="34"/>
      <c r="TZU530" s="6"/>
      <c r="TZV530" s="6"/>
      <c r="TZW530" s="27"/>
      <c r="TZX530" s="40"/>
      <c r="TZY530" s="25"/>
      <c r="TZZ530" s="34"/>
      <c r="UAA530" s="6"/>
      <c r="UAB530" s="6"/>
      <c r="UAC530" s="27"/>
      <c r="UAD530" s="40"/>
      <c r="UAE530" s="25"/>
      <c r="UAF530" s="34"/>
      <c r="UAG530" s="6"/>
      <c r="UAH530" s="6"/>
      <c r="UAI530" s="27"/>
      <c r="UAJ530" s="40"/>
      <c r="UAK530" s="25"/>
      <c r="UAL530" s="34"/>
      <c r="UAM530" s="6"/>
      <c r="UAN530" s="6"/>
      <c r="UAO530" s="27"/>
      <c r="UAP530" s="40"/>
      <c r="UAQ530" s="25"/>
      <c r="UAR530" s="34"/>
      <c r="UAS530" s="6"/>
      <c r="UAT530" s="6"/>
      <c r="UAU530" s="27"/>
      <c r="UAV530" s="40"/>
      <c r="UAW530" s="25"/>
      <c r="UAX530" s="34"/>
      <c r="UAY530" s="6"/>
      <c r="UAZ530" s="6"/>
      <c r="UBA530" s="27"/>
      <c r="UBB530" s="40"/>
      <c r="UBC530" s="25"/>
      <c r="UBD530" s="34"/>
      <c r="UBE530" s="6"/>
      <c r="UBF530" s="6"/>
      <c r="UBG530" s="27"/>
      <c r="UBH530" s="40"/>
      <c r="UBI530" s="25"/>
      <c r="UBJ530" s="34"/>
      <c r="UBK530" s="6"/>
      <c r="UBL530" s="6"/>
      <c r="UBM530" s="27"/>
      <c r="UBN530" s="40"/>
      <c r="UBO530" s="25"/>
      <c r="UBP530" s="34"/>
      <c r="UBQ530" s="6"/>
      <c r="UBR530" s="6"/>
      <c r="UBS530" s="27"/>
      <c r="UBT530" s="40"/>
      <c r="UBU530" s="25"/>
      <c r="UBV530" s="34"/>
      <c r="UBW530" s="6"/>
      <c r="UBX530" s="6"/>
      <c r="UBY530" s="27"/>
      <c r="UBZ530" s="40"/>
      <c r="UCA530" s="25"/>
      <c r="UCB530" s="34"/>
      <c r="UCC530" s="6"/>
      <c r="UCD530" s="6"/>
      <c r="UCE530" s="27"/>
      <c r="UCF530" s="40"/>
      <c r="UCG530" s="25"/>
      <c r="UCH530" s="34"/>
      <c r="UCI530" s="6"/>
      <c r="UCJ530" s="6"/>
      <c r="UCK530" s="27"/>
      <c r="UCL530" s="40"/>
      <c r="UCM530" s="25"/>
      <c r="UCN530" s="34"/>
      <c r="UCO530" s="6"/>
      <c r="UCP530" s="6"/>
      <c r="UCQ530" s="27"/>
      <c r="UCR530" s="40"/>
      <c r="UCS530" s="25"/>
      <c r="UCT530" s="34"/>
      <c r="UCU530" s="6"/>
      <c r="UCV530" s="6"/>
      <c r="UCW530" s="27"/>
      <c r="UCX530" s="40"/>
      <c r="UCY530" s="25"/>
      <c r="UCZ530" s="34"/>
      <c r="UDA530" s="6"/>
      <c r="UDB530" s="6"/>
      <c r="UDC530" s="27"/>
      <c r="UDD530" s="40"/>
      <c r="UDE530" s="25"/>
      <c r="UDF530" s="34"/>
      <c r="UDG530" s="6"/>
      <c r="UDH530" s="6"/>
      <c r="UDI530" s="27"/>
      <c r="UDJ530" s="40"/>
      <c r="UDK530" s="25"/>
      <c r="UDL530" s="34"/>
      <c r="UDM530" s="6"/>
      <c r="UDN530" s="6"/>
      <c r="UDO530" s="27"/>
      <c r="UDP530" s="40"/>
      <c r="UDQ530" s="25"/>
      <c r="UDR530" s="34"/>
      <c r="UDS530" s="6"/>
      <c r="UDT530" s="6"/>
      <c r="UDU530" s="27"/>
      <c r="UDV530" s="40"/>
      <c r="UDW530" s="25"/>
      <c r="UDX530" s="34"/>
      <c r="UDY530" s="6"/>
      <c r="UDZ530" s="6"/>
      <c r="UEA530" s="27"/>
      <c r="UEB530" s="40"/>
      <c r="UEC530" s="25"/>
      <c r="UED530" s="34"/>
      <c r="UEE530" s="6"/>
      <c r="UEF530" s="6"/>
      <c r="UEG530" s="27"/>
      <c r="UEH530" s="40"/>
      <c r="UEI530" s="25"/>
      <c r="UEJ530" s="34"/>
      <c r="UEK530" s="6"/>
      <c r="UEL530" s="6"/>
      <c r="UEM530" s="27"/>
      <c r="UEN530" s="40"/>
      <c r="UEO530" s="25"/>
      <c r="UEP530" s="34"/>
      <c r="UEQ530" s="6"/>
      <c r="UER530" s="6"/>
      <c r="UES530" s="27"/>
      <c r="UET530" s="40"/>
      <c r="UEU530" s="25"/>
      <c r="UEV530" s="34"/>
      <c r="UEW530" s="6"/>
      <c r="UEX530" s="6"/>
      <c r="UEY530" s="27"/>
      <c r="UEZ530" s="40"/>
      <c r="UFA530" s="25"/>
      <c r="UFB530" s="34"/>
      <c r="UFC530" s="6"/>
      <c r="UFD530" s="6"/>
      <c r="UFE530" s="27"/>
      <c r="UFF530" s="40"/>
      <c r="UFG530" s="25"/>
      <c r="UFH530" s="34"/>
      <c r="UFI530" s="6"/>
      <c r="UFJ530" s="6"/>
      <c r="UFK530" s="27"/>
      <c r="UFL530" s="40"/>
      <c r="UFM530" s="25"/>
      <c r="UFN530" s="34"/>
      <c r="UFO530" s="6"/>
      <c r="UFP530" s="6"/>
      <c r="UFQ530" s="27"/>
      <c r="UFR530" s="40"/>
      <c r="UFS530" s="25"/>
      <c r="UFT530" s="34"/>
      <c r="UFU530" s="6"/>
      <c r="UFV530" s="6"/>
      <c r="UFW530" s="27"/>
      <c r="UFX530" s="40"/>
      <c r="UFY530" s="25"/>
      <c r="UFZ530" s="34"/>
      <c r="UGA530" s="6"/>
      <c r="UGB530" s="6"/>
      <c r="UGC530" s="27"/>
      <c r="UGD530" s="40"/>
      <c r="UGE530" s="25"/>
      <c r="UGF530" s="34"/>
      <c r="UGG530" s="6"/>
      <c r="UGH530" s="6"/>
      <c r="UGI530" s="27"/>
      <c r="UGJ530" s="40"/>
      <c r="UGK530" s="25"/>
      <c r="UGL530" s="34"/>
      <c r="UGM530" s="6"/>
      <c r="UGN530" s="6"/>
      <c r="UGO530" s="27"/>
      <c r="UGP530" s="40"/>
      <c r="UGQ530" s="25"/>
      <c r="UGR530" s="34"/>
      <c r="UGS530" s="6"/>
      <c r="UGT530" s="6"/>
      <c r="UGU530" s="27"/>
      <c r="UGV530" s="40"/>
      <c r="UGW530" s="25"/>
      <c r="UGX530" s="34"/>
      <c r="UGY530" s="6"/>
      <c r="UGZ530" s="6"/>
      <c r="UHA530" s="27"/>
      <c r="UHB530" s="40"/>
      <c r="UHC530" s="25"/>
      <c r="UHD530" s="34"/>
      <c r="UHE530" s="6"/>
      <c r="UHF530" s="6"/>
      <c r="UHG530" s="27"/>
      <c r="UHH530" s="40"/>
      <c r="UHI530" s="25"/>
      <c r="UHJ530" s="34"/>
      <c r="UHK530" s="6"/>
      <c r="UHL530" s="6"/>
      <c r="UHM530" s="27"/>
      <c r="UHN530" s="40"/>
      <c r="UHO530" s="25"/>
      <c r="UHP530" s="34"/>
      <c r="UHQ530" s="6"/>
      <c r="UHR530" s="6"/>
      <c r="UHS530" s="27"/>
      <c r="UHT530" s="40"/>
      <c r="UHU530" s="25"/>
      <c r="UHV530" s="34"/>
      <c r="UHW530" s="6"/>
      <c r="UHX530" s="6"/>
      <c r="UHY530" s="27"/>
      <c r="UHZ530" s="40"/>
      <c r="UIA530" s="25"/>
      <c r="UIB530" s="34"/>
      <c r="UIC530" s="6"/>
      <c r="UID530" s="6"/>
      <c r="UIE530" s="27"/>
      <c r="UIF530" s="40"/>
      <c r="UIG530" s="25"/>
      <c r="UIH530" s="34"/>
      <c r="UII530" s="6"/>
      <c r="UIJ530" s="6"/>
      <c r="UIK530" s="27"/>
      <c r="UIL530" s="40"/>
      <c r="UIM530" s="25"/>
      <c r="UIN530" s="34"/>
      <c r="UIO530" s="6"/>
      <c r="UIP530" s="6"/>
      <c r="UIQ530" s="27"/>
      <c r="UIR530" s="40"/>
      <c r="UIS530" s="25"/>
      <c r="UIT530" s="34"/>
      <c r="UIU530" s="6"/>
      <c r="UIV530" s="6"/>
      <c r="UIW530" s="27"/>
      <c r="UIX530" s="40"/>
      <c r="UIY530" s="25"/>
      <c r="UIZ530" s="34"/>
      <c r="UJA530" s="6"/>
      <c r="UJB530" s="6"/>
      <c r="UJC530" s="27"/>
      <c r="UJD530" s="40"/>
      <c r="UJE530" s="25"/>
      <c r="UJF530" s="34"/>
      <c r="UJG530" s="6"/>
      <c r="UJH530" s="6"/>
      <c r="UJI530" s="27"/>
      <c r="UJJ530" s="40"/>
      <c r="UJK530" s="25"/>
      <c r="UJL530" s="34"/>
      <c r="UJM530" s="6"/>
      <c r="UJN530" s="6"/>
      <c r="UJO530" s="27"/>
      <c r="UJP530" s="40"/>
      <c r="UJQ530" s="25"/>
      <c r="UJR530" s="34"/>
      <c r="UJS530" s="6"/>
      <c r="UJT530" s="6"/>
      <c r="UJU530" s="27"/>
      <c r="UJV530" s="40"/>
      <c r="UJW530" s="25"/>
      <c r="UJX530" s="34"/>
      <c r="UJY530" s="6"/>
      <c r="UJZ530" s="6"/>
      <c r="UKA530" s="27"/>
      <c r="UKB530" s="40"/>
      <c r="UKC530" s="25"/>
      <c r="UKD530" s="34"/>
      <c r="UKE530" s="6"/>
      <c r="UKF530" s="6"/>
      <c r="UKG530" s="27"/>
      <c r="UKH530" s="40"/>
      <c r="UKI530" s="25"/>
      <c r="UKJ530" s="34"/>
      <c r="UKK530" s="6"/>
      <c r="UKL530" s="6"/>
      <c r="UKM530" s="27"/>
      <c r="UKN530" s="40"/>
      <c r="UKO530" s="25"/>
      <c r="UKP530" s="34"/>
      <c r="UKQ530" s="6"/>
      <c r="UKR530" s="6"/>
      <c r="UKS530" s="27"/>
      <c r="UKT530" s="40"/>
      <c r="UKU530" s="25"/>
      <c r="UKV530" s="34"/>
      <c r="UKW530" s="6"/>
      <c r="UKX530" s="6"/>
      <c r="UKY530" s="27"/>
      <c r="UKZ530" s="40"/>
      <c r="ULA530" s="25"/>
      <c r="ULB530" s="34"/>
      <c r="ULC530" s="6"/>
      <c r="ULD530" s="6"/>
      <c r="ULE530" s="27"/>
      <c r="ULF530" s="40"/>
      <c r="ULG530" s="25"/>
      <c r="ULH530" s="34"/>
      <c r="ULI530" s="6"/>
      <c r="ULJ530" s="6"/>
      <c r="ULK530" s="27"/>
      <c r="ULL530" s="40"/>
      <c r="ULM530" s="25"/>
      <c r="ULN530" s="34"/>
      <c r="ULO530" s="6"/>
      <c r="ULP530" s="6"/>
      <c r="ULQ530" s="27"/>
      <c r="ULR530" s="40"/>
      <c r="ULS530" s="25"/>
      <c r="ULT530" s="34"/>
      <c r="ULU530" s="6"/>
      <c r="ULV530" s="6"/>
      <c r="ULW530" s="27"/>
      <c r="ULX530" s="40"/>
      <c r="ULY530" s="25"/>
      <c r="ULZ530" s="34"/>
      <c r="UMA530" s="6"/>
      <c r="UMB530" s="6"/>
      <c r="UMC530" s="27"/>
      <c r="UMD530" s="40"/>
      <c r="UME530" s="25"/>
      <c r="UMF530" s="34"/>
      <c r="UMG530" s="6"/>
      <c r="UMH530" s="6"/>
      <c r="UMI530" s="27"/>
      <c r="UMJ530" s="40"/>
      <c r="UMK530" s="25"/>
      <c r="UML530" s="34"/>
      <c r="UMM530" s="6"/>
      <c r="UMN530" s="6"/>
      <c r="UMO530" s="27"/>
      <c r="UMP530" s="40"/>
      <c r="UMQ530" s="25"/>
      <c r="UMR530" s="34"/>
      <c r="UMS530" s="6"/>
      <c r="UMT530" s="6"/>
      <c r="UMU530" s="27"/>
      <c r="UMV530" s="40"/>
      <c r="UMW530" s="25"/>
      <c r="UMX530" s="34"/>
      <c r="UMY530" s="6"/>
      <c r="UMZ530" s="6"/>
      <c r="UNA530" s="27"/>
      <c r="UNB530" s="40"/>
      <c r="UNC530" s="25"/>
      <c r="UND530" s="34"/>
      <c r="UNE530" s="6"/>
      <c r="UNF530" s="6"/>
      <c r="UNG530" s="27"/>
      <c r="UNH530" s="40"/>
      <c r="UNI530" s="25"/>
      <c r="UNJ530" s="34"/>
      <c r="UNK530" s="6"/>
      <c r="UNL530" s="6"/>
      <c r="UNM530" s="27"/>
      <c r="UNN530" s="40"/>
      <c r="UNO530" s="25"/>
      <c r="UNP530" s="34"/>
      <c r="UNQ530" s="6"/>
      <c r="UNR530" s="6"/>
      <c r="UNS530" s="27"/>
      <c r="UNT530" s="40"/>
      <c r="UNU530" s="25"/>
      <c r="UNV530" s="34"/>
      <c r="UNW530" s="6"/>
      <c r="UNX530" s="6"/>
      <c r="UNY530" s="27"/>
      <c r="UNZ530" s="40"/>
      <c r="UOA530" s="25"/>
      <c r="UOB530" s="34"/>
      <c r="UOC530" s="6"/>
      <c r="UOD530" s="6"/>
      <c r="UOE530" s="27"/>
      <c r="UOF530" s="40"/>
      <c r="UOG530" s="25"/>
      <c r="UOH530" s="34"/>
      <c r="UOI530" s="6"/>
      <c r="UOJ530" s="6"/>
      <c r="UOK530" s="27"/>
      <c r="UOL530" s="40"/>
      <c r="UOM530" s="25"/>
      <c r="UON530" s="34"/>
      <c r="UOO530" s="6"/>
      <c r="UOP530" s="6"/>
      <c r="UOQ530" s="27"/>
      <c r="UOR530" s="40"/>
      <c r="UOS530" s="25"/>
      <c r="UOT530" s="34"/>
      <c r="UOU530" s="6"/>
      <c r="UOV530" s="6"/>
      <c r="UOW530" s="27"/>
      <c r="UOX530" s="40"/>
      <c r="UOY530" s="25"/>
      <c r="UOZ530" s="34"/>
      <c r="UPA530" s="6"/>
      <c r="UPB530" s="6"/>
      <c r="UPC530" s="27"/>
      <c r="UPD530" s="40"/>
      <c r="UPE530" s="25"/>
      <c r="UPF530" s="34"/>
      <c r="UPG530" s="6"/>
      <c r="UPH530" s="6"/>
      <c r="UPI530" s="27"/>
      <c r="UPJ530" s="40"/>
      <c r="UPK530" s="25"/>
      <c r="UPL530" s="34"/>
      <c r="UPM530" s="6"/>
      <c r="UPN530" s="6"/>
      <c r="UPO530" s="27"/>
      <c r="UPP530" s="40"/>
      <c r="UPQ530" s="25"/>
      <c r="UPR530" s="34"/>
      <c r="UPS530" s="6"/>
      <c r="UPT530" s="6"/>
      <c r="UPU530" s="27"/>
      <c r="UPV530" s="40"/>
      <c r="UPW530" s="25"/>
      <c r="UPX530" s="34"/>
      <c r="UPY530" s="6"/>
      <c r="UPZ530" s="6"/>
      <c r="UQA530" s="27"/>
      <c r="UQB530" s="40"/>
      <c r="UQC530" s="25"/>
      <c r="UQD530" s="34"/>
      <c r="UQE530" s="6"/>
      <c r="UQF530" s="6"/>
      <c r="UQG530" s="27"/>
      <c r="UQH530" s="40"/>
      <c r="UQI530" s="25"/>
      <c r="UQJ530" s="34"/>
      <c r="UQK530" s="6"/>
      <c r="UQL530" s="6"/>
      <c r="UQM530" s="27"/>
      <c r="UQN530" s="40"/>
      <c r="UQO530" s="25"/>
      <c r="UQP530" s="34"/>
      <c r="UQQ530" s="6"/>
      <c r="UQR530" s="6"/>
      <c r="UQS530" s="27"/>
      <c r="UQT530" s="40"/>
      <c r="UQU530" s="25"/>
      <c r="UQV530" s="34"/>
      <c r="UQW530" s="6"/>
      <c r="UQX530" s="6"/>
      <c r="UQY530" s="27"/>
      <c r="UQZ530" s="40"/>
      <c r="URA530" s="25"/>
      <c r="URB530" s="34"/>
      <c r="URC530" s="6"/>
      <c r="URD530" s="6"/>
      <c r="URE530" s="27"/>
      <c r="URF530" s="40"/>
      <c r="URG530" s="25"/>
      <c r="URH530" s="34"/>
      <c r="URI530" s="6"/>
      <c r="URJ530" s="6"/>
      <c r="URK530" s="27"/>
      <c r="URL530" s="40"/>
      <c r="URM530" s="25"/>
      <c r="URN530" s="34"/>
      <c r="URO530" s="6"/>
      <c r="URP530" s="6"/>
      <c r="URQ530" s="27"/>
      <c r="URR530" s="40"/>
      <c r="URS530" s="25"/>
      <c r="URT530" s="34"/>
      <c r="URU530" s="6"/>
      <c r="URV530" s="6"/>
      <c r="URW530" s="27"/>
      <c r="URX530" s="40"/>
      <c r="URY530" s="25"/>
      <c r="URZ530" s="34"/>
      <c r="USA530" s="6"/>
      <c r="USB530" s="6"/>
      <c r="USC530" s="27"/>
      <c r="USD530" s="40"/>
      <c r="USE530" s="25"/>
      <c r="USF530" s="34"/>
      <c r="USG530" s="6"/>
      <c r="USH530" s="6"/>
      <c r="USI530" s="27"/>
      <c r="USJ530" s="40"/>
      <c r="USK530" s="25"/>
      <c r="USL530" s="34"/>
      <c r="USM530" s="6"/>
      <c r="USN530" s="6"/>
      <c r="USO530" s="27"/>
      <c r="USP530" s="40"/>
      <c r="USQ530" s="25"/>
      <c r="USR530" s="34"/>
      <c r="USS530" s="6"/>
      <c r="UST530" s="6"/>
      <c r="USU530" s="27"/>
      <c r="USV530" s="40"/>
      <c r="USW530" s="25"/>
      <c r="USX530" s="34"/>
      <c r="USY530" s="6"/>
      <c r="USZ530" s="6"/>
      <c r="UTA530" s="27"/>
      <c r="UTB530" s="40"/>
      <c r="UTC530" s="25"/>
      <c r="UTD530" s="34"/>
      <c r="UTE530" s="6"/>
      <c r="UTF530" s="6"/>
      <c r="UTG530" s="27"/>
      <c r="UTH530" s="40"/>
      <c r="UTI530" s="25"/>
      <c r="UTJ530" s="34"/>
      <c r="UTK530" s="6"/>
      <c r="UTL530" s="6"/>
      <c r="UTM530" s="27"/>
      <c r="UTN530" s="40"/>
      <c r="UTO530" s="25"/>
      <c r="UTP530" s="34"/>
      <c r="UTQ530" s="6"/>
      <c r="UTR530" s="6"/>
      <c r="UTS530" s="27"/>
      <c r="UTT530" s="40"/>
      <c r="UTU530" s="25"/>
      <c r="UTV530" s="34"/>
      <c r="UTW530" s="6"/>
      <c r="UTX530" s="6"/>
      <c r="UTY530" s="27"/>
      <c r="UTZ530" s="40"/>
      <c r="UUA530" s="25"/>
      <c r="UUB530" s="34"/>
      <c r="UUC530" s="6"/>
      <c r="UUD530" s="6"/>
      <c r="UUE530" s="27"/>
      <c r="UUF530" s="40"/>
      <c r="UUG530" s="25"/>
      <c r="UUH530" s="34"/>
      <c r="UUI530" s="6"/>
      <c r="UUJ530" s="6"/>
      <c r="UUK530" s="27"/>
      <c r="UUL530" s="40"/>
      <c r="UUM530" s="25"/>
      <c r="UUN530" s="34"/>
      <c r="UUO530" s="6"/>
      <c r="UUP530" s="6"/>
      <c r="UUQ530" s="27"/>
      <c r="UUR530" s="40"/>
      <c r="UUS530" s="25"/>
      <c r="UUT530" s="34"/>
      <c r="UUU530" s="6"/>
      <c r="UUV530" s="6"/>
      <c r="UUW530" s="27"/>
      <c r="UUX530" s="40"/>
      <c r="UUY530" s="25"/>
      <c r="UUZ530" s="34"/>
      <c r="UVA530" s="6"/>
      <c r="UVB530" s="6"/>
      <c r="UVC530" s="27"/>
      <c r="UVD530" s="40"/>
      <c r="UVE530" s="25"/>
      <c r="UVF530" s="34"/>
      <c r="UVG530" s="6"/>
      <c r="UVH530" s="6"/>
      <c r="UVI530" s="27"/>
      <c r="UVJ530" s="40"/>
      <c r="UVK530" s="25"/>
      <c r="UVL530" s="34"/>
      <c r="UVM530" s="6"/>
      <c r="UVN530" s="6"/>
      <c r="UVO530" s="27"/>
      <c r="UVP530" s="40"/>
      <c r="UVQ530" s="25"/>
      <c r="UVR530" s="34"/>
      <c r="UVS530" s="6"/>
      <c r="UVT530" s="6"/>
      <c r="UVU530" s="27"/>
      <c r="UVV530" s="40"/>
      <c r="UVW530" s="25"/>
      <c r="UVX530" s="34"/>
      <c r="UVY530" s="6"/>
      <c r="UVZ530" s="6"/>
      <c r="UWA530" s="27"/>
      <c r="UWB530" s="40"/>
      <c r="UWC530" s="25"/>
      <c r="UWD530" s="34"/>
      <c r="UWE530" s="6"/>
      <c r="UWF530" s="6"/>
      <c r="UWG530" s="27"/>
      <c r="UWH530" s="40"/>
      <c r="UWI530" s="25"/>
      <c r="UWJ530" s="34"/>
      <c r="UWK530" s="6"/>
      <c r="UWL530" s="6"/>
      <c r="UWM530" s="27"/>
      <c r="UWN530" s="40"/>
      <c r="UWO530" s="25"/>
      <c r="UWP530" s="34"/>
      <c r="UWQ530" s="6"/>
      <c r="UWR530" s="6"/>
      <c r="UWS530" s="27"/>
      <c r="UWT530" s="40"/>
      <c r="UWU530" s="25"/>
      <c r="UWV530" s="34"/>
      <c r="UWW530" s="6"/>
      <c r="UWX530" s="6"/>
      <c r="UWY530" s="27"/>
      <c r="UWZ530" s="40"/>
      <c r="UXA530" s="25"/>
      <c r="UXB530" s="34"/>
      <c r="UXC530" s="6"/>
      <c r="UXD530" s="6"/>
      <c r="UXE530" s="27"/>
      <c r="UXF530" s="40"/>
      <c r="UXG530" s="25"/>
      <c r="UXH530" s="34"/>
      <c r="UXI530" s="6"/>
      <c r="UXJ530" s="6"/>
      <c r="UXK530" s="27"/>
      <c r="UXL530" s="40"/>
      <c r="UXM530" s="25"/>
      <c r="UXN530" s="34"/>
      <c r="UXO530" s="6"/>
      <c r="UXP530" s="6"/>
      <c r="UXQ530" s="27"/>
      <c r="UXR530" s="40"/>
      <c r="UXS530" s="25"/>
      <c r="UXT530" s="34"/>
      <c r="UXU530" s="6"/>
      <c r="UXV530" s="6"/>
      <c r="UXW530" s="27"/>
      <c r="UXX530" s="40"/>
      <c r="UXY530" s="25"/>
      <c r="UXZ530" s="34"/>
      <c r="UYA530" s="6"/>
      <c r="UYB530" s="6"/>
      <c r="UYC530" s="27"/>
      <c r="UYD530" s="40"/>
      <c r="UYE530" s="25"/>
      <c r="UYF530" s="34"/>
      <c r="UYG530" s="6"/>
      <c r="UYH530" s="6"/>
      <c r="UYI530" s="27"/>
      <c r="UYJ530" s="40"/>
      <c r="UYK530" s="25"/>
      <c r="UYL530" s="34"/>
      <c r="UYM530" s="6"/>
      <c r="UYN530" s="6"/>
      <c r="UYO530" s="27"/>
      <c r="UYP530" s="40"/>
      <c r="UYQ530" s="25"/>
      <c r="UYR530" s="34"/>
      <c r="UYS530" s="6"/>
      <c r="UYT530" s="6"/>
      <c r="UYU530" s="27"/>
      <c r="UYV530" s="40"/>
      <c r="UYW530" s="25"/>
      <c r="UYX530" s="34"/>
      <c r="UYY530" s="6"/>
      <c r="UYZ530" s="6"/>
      <c r="UZA530" s="27"/>
      <c r="UZB530" s="40"/>
      <c r="UZC530" s="25"/>
      <c r="UZD530" s="34"/>
      <c r="UZE530" s="6"/>
      <c r="UZF530" s="6"/>
      <c r="UZG530" s="27"/>
      <c r="UZH530" s="40"/>
      <c r="UZI530" s="25"/>
      <c r="UZJ530" s="34"/>
      <c r="UZK530" s="6"/>
      <c r="UZL530" s="6"/>
      <c r="UZM530" s="27"/>
      <c r="UZN530" s="40"/>
      <c r="UZO530" s="25"/>
      <c r="UZP530" s="34"/>
      <c r="UZQ530" s="6"/>
      <c r="UZR530" s="6"/>
      <c r="UZS530" s="27"/>
      <c r="UZT530" s="40"/>
      <c r="UZU530" s="25"/>
      <c r="UZV530" s="34"/>
      <c r="UZW530" s="6"/>
      <c r="UZX530" s="6"/>
      <c r="UZY530" s="27"/>
      <c r="UZZ530" s="40"/>
      <c r="VAA530" s="25"/>
      <c r="VAB530" s="34"/>
      <c r="VAC530" s="6"/>
      <c r="VAD530" s="6"/>
      <c r="VAE530" s="27"/>
      <c r="VAF530" s="40"/>
      <c r="VAG530" s="25"/>
      <c r="VAH530" s="34"/>
      <c r="VAI530" s="6"/>
      <c r="VAJ530" s="6"/>
      <c r="VAK530" s="27"/>
      <c r="VAL530" s="40"/>
      <c r="VAM530" s="25"/>
      <c r="VAN530" s="34"/>
      <c r="VAO530" s="6"/>
      <c r="VAP530" s="6"/>
      <c r="VAQ530" s="27"/>
      <c r="VAR530" s="40"/>
      <c r="VAS530" s="25"/>
      <c r="VAT530" s="34"/>
      <c r="VAU530" s="6"/>
      <c r="VAV530" s="6"/>
      <c r="VAW530" s="27"/>
      <c r="VAX530" s="40"/>
      <c r="VAY530" s="25"/>
      <c r="VAZ530" s="34"/>
      <c r="VBA530" s="6"/>
      <c r="VBB530" s="6"/>
      <c r="VBC530" s="27"/>
      <c r="VBD530" s="40"/>
      <c r="VBE530" s="25"/>
      <c r="VBF530" s="34"/>
      <c r="VBG530" s="6"/>
      <c r="VBH530" s="6"/>
      <c r="VBI530" s="27"/>
      <c r="VBJ530" s="40"/>
      <c r="VBK530" s="25"/>
      <c r="VBL530" s="34"/>
      <c r="VBM530" s="6"/>
      <c r="VBN530" s="6"/>
      <c r="VBO530" s="27"/>
      <c r="VBP530" s="40"/>
      <c r="VBQ530" s="25"/>
      <c r="VBR530" s="34"/>
      <c r="VBS530" s="6"/>
      <c r="VBT530" s="6"/>
      <c r="VBU530" s="27"/>
      <c r="VBV530" s="40"/>
      <c r="VBW530" s="25"/>
      <c r="VBX530" s="34"/>
      <c r="VBY530" s="6"/>
      <c r="VBZ530" s="6"/>
      <c r="VCA530" s="27"/>
      <c r="VCB530" s="40"/>
      <c r="VCC530" s="25"/>
      <c r="VCD530" s="34"/>
      <c r="VCE530" s="6"/>
      <c r="VCF530" s="6"/>
      <c r="VCG530" s="27"/>
      <c r="VCH530" s="40"/>
      <c r="VCI530" s="25"/>
      <c r="VCJ530" s="34"/>
      <c r="VCK530" s="6"/>
      <c r="VCL530" s="6"/>
      <c r="VCM530" s="27"/>
      <c r="VCN530" s="40"/>
      <c r="VCO530" s="25"/>
      <c r="VCP530" s="34"/>
      <c r="VCQ530" s="6"/>
      <c r="VCR530" s="6"/>
      <c r="VCS530" s="27"/>
      <c r="VCT530" s="40"/>
      <c r="VCU530" s="25"/>
      <c r="VCV530" s="34"/>
      <c r="VCW530" s="6"/>
      <c r="VCX530" s="6"/>
      <c r="VCY530" s="27"/>
      <c r="VCZ530" s="40"/>
      <c r="VDA530" s="25"/>
      <c r="VDB530" s="34"/>
      <c r="VDC530" s="6"/>
      <c r="VDD530" s="6"/>
      <c r="VDE530" s="27"/>
      <c r="VDF530" s="40"/>
      <c r="VDG530" s="25"/>
      <c r="VDH530" s="34"/>
      <c r="VDI530" s="6"/>
      <c r="VDJ530" s="6"/>
      <c r="VDK530" s="27"/>
      <c r="VDL530" s="40"/>
      <c r="VDM530" s="25"/>
      <c r="VDN530" s="34"/>
      <c r="VDO530" s="6"/>
      <c r="VDP530" s="6"/>
      <c r="VDQ530" s="27"/>
      <c r="VDR530" s="40"/>
      <c r="VDS530" s="25"/>
      <c r="VDT530" s="34"/>
      <c r="VDU530" s="6"/>
      <c r="VDV530" s="6"/>
      <c r="VDW530" s="27"/>
      <c r="VDX530" s="40"/>
      <c r="VDY530" s="25"/>
      <c r="VDZ530" s="34"/>
      <c r="VEA530" s="6"/>
      <c r="VEB530" s="6"/>
      <c r="VEC530" s="27"/>
      <c r="VED530" s="40"/>
      <c r="VEE530" s="25"/>
      <c r="VEF530" s="34"/>
      <c r="VEG530" s="6"/>
      <c r="VEH530" s="6"/>
      <c r="VEI530" s="27"/>
      <c r="VEJ530" s="40"/>
      <c r="VEK530" s="25"/>
      <c r="VEL530" s="34"/>
      <c r="VEM530" s="6"/>
      <c r="VEN530" s="6"/>
      <c r="VEO530" s="27"/>
      <c r="VEP530" s="40"/>
      <c r="VEQ530" s="25"/>
      <c r="VER530" s="34"/>
      <c r="VES530" s="6"/>
      <c r="VET530" s="6"/>
      <c r="VEU530" s="27"/>
      <c r="VEV530" s="40"/>
      <c r="VEW530" s="25"/>
      <c r="VEX530" s="34"/>
      <c r="VEY530" s="6"/>
      <c r="VEZ530" s="6"/>
      <c r="VFA530" s="27"/>
      <c r="VFB530" s="40"/>
      <c r="VFC530" s="25"/>
      <c r="VFD530" s="34"/>
      <c r="VFE530" s="6"/>
      <c r="VFF530" s="6"/>
      <c r="VFG530" s="27"/>
      <c r="VFH530" s="40"/>
      <c r="VFI530" s="25"/>
      <c r="VFJ530" s="34"/>
      <c r="VFK530" s="6"/>
      <c r="VFL530" s="6"/>
      <c r="VFM530" s="27"/>
      <c r="VFN530" s="40"/>
      <c r="VFO530" s="25"/>
      <c r="VFP530" s="34"/>
      <c r="VFQ530" s="6"/>
      <c r="VFR530" s="6"/>
      <c r="VFS530" s="27"/>
      <c r="VFT530" s="40"/>
      <c r="VFU530" s="25"/>
      <c r="VFV530" s="34"/>
      <c r="VFW530" s="6"/>
      <c r="VFX530" s="6"/>
      <c r="VFY530" s="27"/>
      <c r="VFZ530" s="40"/>
      <c r="VGA530" s="25"/>
      <c r="VGB530" s="34"/>
      <c r="VGC530" s="6"/>
      <c r="VGD530" s="6"/>
      <c r="VGE530" s="27"/>
      <c r="VGF530" s="40"/>
      <c r="VGG530" s="25"/>
      <c r="VGH530" s="34"/>
      <c r="VGI530" s="6"/>
      <c r="VGJ530" s="6"/>
      <c r="VGK530" s="27"/>
      <c r="VGL530" s="40"/>
      <c r="VGM530" s="25"/>
      <c r="VGN530" s="34"/>
      <c r="VGO530" s="6"/>
      <c r="VGP530" s="6"/>
      <c r="VGQ530" s="27"/>
      <c r="VGR530" s="40"/>
      <c r="VGS530" s="25"/>
      <c r="VGT530" s="34"/>
      <c r="VGU530" s="6"/>
      <c r="VGV530" s="6"/>
      <c r="VGW530" s="27"/>
      <c r="VGX530" s="40"/>
      <c r="VGY530" s="25"/>
      <c r="VGZ530" s="34"/>
      <c r="VHA530" s="6"/>
      <c r="VHB530" s="6"/>
      <c r="VHC530" s="27"/>
      <c r="VHD530" s="40"/>
      <c r="VHE530" s="25"/>
      <c r="VHF530" s="34"/>
      <c r="VHG530" s="6"/>
      <c r="VHH530" s="6"/>
      <c r="VHI530" s="27"/>
      <c r="VHJ530" s="40"/>
      <c r="VHK530" s="25"/>
      <c r="VHL530" s="34"/>
      <c r="VHM530" s="6"/>
      <c r="VHN530" s="6"/>
      <c r="VHO530" s="27"/>
      <c r="VHP530" s="40"/>
      <c r="VHQ530" s="25"/>
      <c r="VHR530" s="34"/>
      <c r="VHS530" s="6"/>
      <c r="VHT530" s="6"/>
      <c r="VHU530" s="27"/>
      <c r="VHV530" s="40"/>
      <c r="VHW530" s="25"/>
      <c r="VHX530" s="34"/>
      <c r="VHY530" s="6"/>
      <c r="VHZ530" s="6"/>
      <c r="VIA530" s="27"/>
      <c r="VIB530" s="40"/>
      <c r="VIC530" s="25"/>
      <c r="VID530" s="34"/>
      <c r="VIE530" s="6"/>
      <c r="VIF530" s="6"/>
      <c r="VIG530" s="27"/>
      <c r="VIH530" s="40"/>
      <c r="VII530" s="25"/>
      <c r="VIJ530" s="34"/>
      <c r="VIK530" s="6"/>
      <c r="VIL530" s="6"/>
      <c r="VIM530" s="27"/>
      <c r="VIN530" s="40"/>
      <c r="VIO530" s="25"/>
      <c r="VIP530" s="34"/>
      <c r="VIQ530" s="6"/>
      <c r="VIR530" s="6"/>
      <c r="VIS530" s="27"/>
      <c r="VIT530" s="40"/>
      <c r="VIU530" s="25"/>
      <c r="VIV530" s="34"/>
      <c r="VIW530" s="6"/>
      <c r="VIX530" s="6"/>
      <c r="VIY530" s="27"/>
      <c r="VIZ530" s="40"/>
      <c r="VJA530" s="25"/>
      <c r="VJB530" s="34"/>
      <c r="VJC530" s="6"/>
      <c r="VJD530" s="6"/>
      <c r="VJE530" s="27"/>
      <c r="VJF530" s="40"/>
      <c r="VJG530" s="25"/>
      <c r="VJH530" s="34"/>
      <c r="VJI530" s="6"/>
      <c r="VJJ530" s="6"/>
      <c r="VJK530" s="27"/>
      <c r="VJL530" s="40"/>
      <c r="VJM530" s="25"/>
      <c r="VJN530" s="34"/>
      <c r="VJO530" s="6"/>
      <c r="VJP530" s="6"/>
      <c r="VJQ530" s="27"/>
      <c r="VJR530" s="40"/>
      <c r="VJS530" s="25"/>
      <c r="VJT530" s="34"/>
      <c r="VJU530" s="6"/>
      <c r="VJV530" s="6"/>
      <c r="VJW530" s="27"/>
      <c r="VJX530" s="40"/>
      <c r="VJY530" s="25"/>
      <c r="VJZ530" s="34"/>
      <c r="VKA530" s="6"/>
      <c r="VKB530" s="6"/>
      <c r="VKC530" s="27"/>
      <c r="VKD530" s="40"/>
      <c r="VKE530" s="25"/>
      <c r="VKF530" s="34"/>
      <c r="VKG530" s="6"/>
      <c r="VKH530" s="6"/>
      <c r="VKI530" s="27"/>
      <c r="VKJ530" s="40"/>
      <c r="VKK530" s="25"/>
      <c r="VKL530" s="34"/>
      <c r="VKM530" s="6"/>
      <c r="VKN530" s="6"/>
      <c r="VKO530" s="27"/>
      <c r="VKP530" s="40"/>
      <c r="VKQ530" s="25"/>
      <c r="VKR530" s="34"/>
      <c r="VKS530" s="6"/>
      <c r="VKT530" s="6"/>
      <c r="VKU530" s="27"/>
      <c r="VKV530" s="40"/>
      <c r="VKW530" s="25"/>
      <c r="VKX530" s="34"/>
      <c r="VKY530" s="6"/>
      <c r="VKZ530" s="6"/>
      <c r="VLA530" s="27"/>
      <c r="VLB530" s="40"/>
      <c r="VLC530" s="25"/>
      <c r="VLD530" s="34"/>
      <c r="VLE530" s="6"/>
      <c r="VLF530" s="6"/>
      <c r="VLG530" s="27"/>
      <c r="VLH530" s="40"/>
      <c r="VLI530" s="25"/>
      <c r="VLJ530" s="34"/>
      <c r="VLK530" s="6"/>
      <c r="VLL530" s="6"/>
      <c r="VLM530" s="27"/>
      <c r="VLN530" s="40"/>
      <c r="VLO530" s="25"/>
      <c r="VLP530" s="34"/>
      <c r="VLQ530" s="6"/>
      <c r="VLR530" s="6"/>
      <c r="VLS530" s="27"/>
      <c r="VLT530" s="40"/>
      <c r="VLU530" s="25"/>
      <c r="VLV530" s="34"/>
      <c r="VLW530" s="6"/>
      <c r="VLX530" s="6"/>
      <c r="VLY530" s="27"/>
      <c r="VLZ530" s="40"/>
      <c r="VMA530" s="25"/>
      <c r="VMB530" s="34"/>
      <c r="VMC530" s="6"/>
      <c r="VMD530" s="6"/>
      <c r="VME530" s="27"/>
      <c r="VMF530" s="40"/>
      <c r="VMG530" s="25"/>
      <c r="VMH530" s="34"/>
      <c r="VMI530" s="6"/>
      <c r="VMJ530" s="6"/>
      <c r="VMK530" s="27"/>
      <c r="VML530" s="40"/>
      <c r="VMM530" s="25"/>
      <c r="VMN530" s="34"/>
      <c r="VMO530" s="6"/>
      <c r="VMP530" s="6"/>
      <c r="VMQ530" s="27"/>
      <c r="VMR530" s="40"/>
      <c r="VMS530" s="25"/>
      <c r="VMT530" s="34"/>
      <c r="VMU530" s="6"/>
      <c r="VMV530" s="6"/>
      <c r="VMW530" s="27"/>
      <c r="VMX530" s="40"/>
      <c r="VMY530" s="25"/>
      <c r="VMZ530" s="34"/>
      <c r="VNA530" s="6"/>
      <c r="VNB530" s="6"/>
      <c r="VNC530" s="27"/>
      <c r="VND530" s="40"/>
      <c r="VNE530" s="25"/>
      <c r="VNF530" s="34"/>
      <c r="VNG530" s="6"/>
      <c r="VNH530" s="6"/>
      <c r="VNI530" s="27"/>
      <c r="VNJ530" s="40"/>
      <c r="VNK530" s="25"/>
      <c r="VNL530" s="34"/>
      <c r="VNM530" s="6"/>
      <c r="VNN530" s="6"/>
      <c r="VNO530" s="27"/>
      <c r="VNP530" s="40"/>
      <c r="VNQ530" s="25"/>
      <c r="VNR530" s="34"/>
      <c r="VNS530" s="6"/>
      <c r="VNT530" s="6"/>
      <c r="VNU530" s="27"/>
      <c r="VNV530" s="40"/>
      <c r="VNW530" s="25"/>
      <c r="VNX530" s="34"/>
      <c r="VNY530" s="6"/>
      <c r="VNZ530" s="6"/>
      <c r="VOA530" s="27"/>
      <c r="VOB530" s="40"/>
      <c r="VOC530" s="25"/>
      <c r="VOD530" s="34"/>
      <c r="VOE530" s="6"/>
      <c r="VOF530" s="6"/>
      <c r="VOG530" s="27"/>
      <c r="VOH530" s="40"/>
      <c r="VOI530" s="25"/>
      <c r="VOJ530" s="34"/>
      <c r="VOK530" s="6"/>
      <c r="VOL530" s="6"/>
      <c r="VOM530" s="27"/>
      <c r="VON530" s="40"/>
      <c r="VOO530" s="25"/>
      <c r="VOP530" s="34"/>
      <c r="VOQ530" s="6"/>
      <c r="VOR530" s="6"/>
      <c r="VOS530" s="27"/>
      <c r="VOT530" s="40"/>
      <c r="VOU530" s="25"/>
      <c r="VOV530" s="34"/>
      <c r="VOW530" s="6"/>
      <c r="VOX530" s="6"/>
      <c r="VOY530" s="27"/>
      <c r="VOZ530" s="40"/>
      <c r="VPA530" s="25"/>
      <c r="VPB530" s="34"/>
      <c r="VPC530" s="6"/>
      <c r="VPD530" s="6"/>
      <c r="VPE530" s="27"/>
      <c r="VPF530" s="40"/>
      <c r="VPG530" s="25"/>
      <c r="VPH530" s="34"/>
      <c r="VPI530" s="6"/>
      <c r="VPJ530" s="6"/>
      <c r="VPK530" s="27"/>
      <c r="VPL530" s="40"/>
      <c r="VPM530" s="25"/>
      <c r="VPN530" s="34"/>
      <c r="VPO530" s="6"/>
      <c r="VPP530" s="6"/>
      <c r="VPQ530" s="27"/>
      <c r="VPR530" s="40"/>
      <c r="VPS530" s="25"/>
      <c r="VPT530" s="34"/>
      <c r="VPU530" s="6"/>
      <c r="VPV530" s="6"/>
      <c r="VPW530" s="27"/>
      <c r="VPX530" s="40"/>
      <c r="VPY530" s="25"/>
      <c r="VPZ530" s="34"/>
      <c r="VQA530" s="6"/>
      <c r="VQB530" s="6"/>
      <c r="VQC530" s="27"/>
      <c r="VQD530" s="40"/>
      <c r="VQE530" s="25"/>
      <c r="VQF530" s="34"/>
      <c r="VQG530" s="6"/>
      <c r="VQH530" s="6"/>
      <c r="VQI530" s="27"/>
      <c r="VQJ530" s="40"/>
      <c r="VQK530" s="25"/>
      <c r="VQL530" s="34"/>
      <c r="VQM530" s="6"/>
      <c r="VQN530" s="6"/>
      <c r="VQO530" s="27"/>
      <c r="VQP530" s="40"/>
      <c r="VQQ530" s="25"/>
      <c r="VQR530" s="34"/>
      <c r="VQS530" s="6"/>
      <c r="VQT530" s="6"/>
      <c r="VQU530" s="27"/>
      <c r="VQV530" s="40"/>
      <c r="VQW530" s="25"/>
      <c r="VQX530" s="34"/>
      <c r="VQY530" s="6"/>
      <c r="VQZ530" s="6"/>
      <c r="VRA530" s="27"/>
      <c r="VRB530" s="40"/>
      <c r="VRC530" s="25"/>
      <c r="VRD530" s="34"/>
      <c r="VRE530" s="6"/>
      <c r="VRF530" s="6"/>
      <c r="VRG530" s="27"/>
      <c r="VRH530" s="40"/>
      <c r="VRI530" s="25"/>
      <c r="VRJ530" s="34"/>
      <c r="VRK530" s="6"/>
      <c r="VRL530" s="6"/>
      <c r="VRM530" s="27"/>
      <c r="VRN530" s="40"/>
      <c r="VRO530" s="25"/>
      <c r="VRP530" s="34"/>
      <c r="VRQ530" s="6"/>
      <c r="VRR530" s="6"/>
      <c r="VRS530" s="27"/>
      <c r="VRT530" s="40"/>
      <c r="VRU530" s="25"/>
      <c r="VRV530" s="34"/>
      <c r="VRW530" s="6"/>
      <c r="VRX530" s="6"/>
      <c r="VRY530" s="27"/>
      <c r="VRZ530" s="40"/>
      <c r="VSA530" s="25"/>
      <c r="VSB530" s="34"/>
      <c r="VSC530" s="6"/>
      <c r="VSD530" s="6"/>
      <c r="VSE530" s="27"/>
      <c r="VSF530" s="40"/>
      <c r="VSG530" s="25"/>
      <c r="VSH530" s="34"/>
      <c r="VSI530" s="6"/>
      <c r="VSJ530" s="6"/>
      <c r="VSK530" s="27"/>
      <c r="VSL530" s="40"/>
      <c r="VSM530" s="25"/>
      <c r="VSN530" s="34"/>
      <c r="VSO530" s="6"/>
      <c r="VSP530" s="6"/>
      <c r="VSQ530" s="27"/>
      <c r="VSR530" s="40"/>
      <c r="VSS530" s="25"/>
      <c r="VST530" s="34"/>
      <c r="VSU530" s="6"/>
      <c r="VSV530" s="6"/>
      <c r="VSW530" s="27"/>
      <c r="VSX530" s="40"/>
      <c r="VSY530" s="25"/>
      <c r="VSZ530" s="34"/>
      <c r="VTA530" s="6"/>
      <c r="VTB530" s="6"/>
      <c r="VTC530" s="27"/>
      <c r="VTD530" s="40"/>
      <c r="VTE530" s="25"/>
      <c r="VTF530" s="34"/>
      <c r="VTG530" s="6"/>
      <c r="VTH530" s="6"/>
      <c r="VTI530" s="27"/>
      <c r="VTJ530" s="40"/>
      <c r="VTK530" s="25"/>
      <c r="VTL530" s="34"/>
      <c r="VTM530" s="6"/>
      <c r="VTN530" s="6"/>
      <c r="VTO530" s="27"/>
      <c r="VTP530" s="40"/>
      <c r="VTQ530" s="25"/>
      <c r="VTR530" s="34"/>
      <c r="VTS530" s="6"/>
      <c r="VTT530" s="6"/>
      <c r="VTU530" s="27"/>
      <c r="VTV530" s="40"/>
      <c r="VTW530" s="25"/>
      <c r="VTX530" s="34"/>
      <c r="VTY530" s="6"/>
      <c r="VTZ530" s="6"/>
      <c r="VUA530" s="27"/>
      <c r="VUB530" s="40"/>
      <c r="VUC530" s="25"/>
      <c r="VUD530" s="34"/>
      <c r="VUE530" s="6"/>
      <c r="VUF530" s="6"/>
      <c r="VUG530" s="27"/>
      <c r="VUH530" s="40"/>
      <c r="VUI530" s="25"/>
      <c r="VUJ530" s="34"/>
      <c r="VUK530" s="6"/>
      <c r="VUL530" s="6"/>
      <c r="VUM530" s="27"/>
      <c r="VUN530" s="40"/>
      <c r="VUO530" s="25"/>
      <c r="VUP530" s="34"/>
      <c r="VUQ530" s="6"/>
      <c r="VUR530" s="6"/>
      <c r="VUS530" s="27"/>
      <c r="VUT530" s="40"/>
      <c r="VUU530" s="25"/>
      <c r="VUV530" s="34"/>
      <c r="VUW530" s="6"/>
      <c r="VUX530" s="6"/>
      <c r="VUY530" s="27"/>
      <c r="VUZ530" s="40"/>
      <c r="VVA530" s="25"/>
      <c r="VVB530" s="34"/>
      <c r="VVC530" s="6"/>
      <c r="VVD530" s="6"/>
      <c r="VVE530" s="27"/>
      <c r="VVF530" s="40"/>
      <c r="VVG530" s="25"/>
      <c r="VVH530" s="34"/>
      <c r="VVI530" s="6"/>
      <c r="VVJ530" s="6"/>
      <c r="VVK530" s="27"/>
      <c r="VVL530" s="40"/>
      <c r="VVM530" s="25"/>
      <c r="VVN530" s="34"/>
      <c r="VVO530" s="6"/>
      <c r="VVP530" s="6"/>
      <c r="VVQ530" s="27"/>
      <c r="VVR530" s="40"/>
      <c r="VVS530" s="25"/>
      <c r="VVT530" s="34"/>
      <c r="VVU530" s="6"/>
      <c r="VVV530" s="6"/>
      <c r="VVW530" s="27"/>
      <c r="VVX530" s="40"/>
      <c r="VVY530" s="25"/>
      <c r="VVZ530" s="34"/>
      <c r="VWA530" s="6"/>
      <c r="VWB530" s="6"/>
      <c r="VWC530" s="27"/>
      <c r="VWD530" s="40"/>
      <c r="VWE530" s="25"/>
      <c r="VWF530" s="34"/>
      <c r="VWG530" s="6"/>
      <c r="VWH530" s="6"/>
      <c r="VWI530" s="27"/>
      <c r="VWJ530" s="40"/>
      <c r="VWK530" s="25"/>
      <c r="VWL530" s="34"/>
      <c r="VWM530" s="6"/>
      <c r="VWN530" s="6"/>
      <c r="VWO530" s="27"/>
      <c r="VWP530" s="40"/>
      <c r="VWQ530" s="25"/>
      <c r="VWR530" s="34"/>
      <c r="VWS530" s="6"/>
      <c r="VWT530" s="6"/>
      <c r="VWU530" s="27"/>
      <c r="VWV530" s="40"/>
      <c r="VWW530" s="25"/>
      <c r="VWX530" s="34"/>
      <c r="VWY530" s="6"/>
      <c r="VWZ530" s="6"/>
      <c r="VXA530" s="27"/>
      <c r="VXB530" s="40"/>
      <c r="VXC530" s="25"/>
      <c r="VXD530" s="34"/>
      <c r="VXE530" s="6"/>
      <c r="VXF530" s="6"/>
      <c r="VXG530" s="27"/>
      <c r="VXH530" s="40"/>
      <c r="VXI530" s="25"/>
      <c r="VXJ530" s="34"/>
      <c r="VXK530" s="6"/>
      <c r="VXL530" s="6"/>
      <c r="VXM530" s="27"/>
      <c r="VXN530" s="40"/>
      <c r="VXO530" s="25"/>
      <c r="VXP530" s="34"/>
      <c r="VXQ530" s="6"/>
      <c r="VXR530" s="6"/>
      <c r="VXS530" s="27"/>
      <c r="VXT530" s="40"/>
      <c r="VXU530" s="25"/>
      <c r="VXV530" s="34"/>
      <c r="VXW530" s="6"/>
      <c r="VXX530" s="6"/>
      <c r="VXY530" s="27"/>
      <c r="VXZ530" s="40"/>
      <c r="VYA530" s="25"/>
      <c r="VYB530" s="34"/>
      <c r="VYC530" s="6"/>
      <c r="VYD530" s="6"/>
      <c r="VYE530" s="27"/>
      <c r="VYF530" s="40"/>
      <c r="VYG530" s="25"/>
      <c r="VYH530" s="34"/>
      <c r="VYI530" s="6"/>
      <c r="VYJ530" s="6"/>
      <c r="VYK530" s="27"/>
      <c r="VYL530" s="40"/>
      <c r="VYM530" s="25"/>
      <c r="VYN530" s="34"/>
      <c r="VYO530" s="6"/>
      <c r="VYP530" s="6"/>
      <c r="VYQ530" s="27"/>
      <c r="VYR530" s="40"/>
      <c r="VYS530" s="25"/>
      <c r="VYT530" s="34"/>
      <c r="VYU530" s="6"/>
      <c r="VYV530" s="6"/>
      <c r="VYW530" s="27"/>
      <c r="VYX530" s="40"/>
      <c r="VYY530" s="25"/>
      <c r="VYZ530" s="34"/>
      <c r="VZA530" s="6"/>
      <c r="VZB530" s="6"/>
      <c r="VZC530" s="27"/>
      <c r="VZD530" s="40"/>
      <c r="VZE530" s="25"/>
      <c r="VZF530" s="34"/>
      <c r="VZG530" s="6"/>
      <c r="VZH530" s="6"/>
      <c r="VZI530" s="27"/>
      <c r="VZJ530" s="40"/>
      <c r="VZK530" s="25"/>
      <c r="VZL530" s="34"/>
      <c r="VZM530" s="6"/>
      <c r="VZN530" s="6"/>
      <c r="VZO530" s="27"/>
      <c r="VZP530" s="40"/>
      <c r="VZQ530" s="25"/>
      <c r="VZR530" s="34"/>
      <c r="VZS530" s="6"/>
      <c r="VZT530" s="6"/>
      <c r="VZU530" s="27"/>
      <c r="VZV530" s="40"/>
      <c r="VZW530" s="25"/>
      <c r="VZX530" s="34"/>
      <c r="VZY530" s="6"/>
      <c r="VZZ530" s="6"/>
      <c r="WAA530" s="27"/>
      <c r="WAB530" s="40"/>
      <c r="WAC530" s="25"/>
      <c r="WAD530" s="34"/>
      <c r="WAE530" s="6"/>
      <c r="WAF530" s="6"/>
      <c r="WAG530" s="27"/>
      <c r="WAH530" s="40"/>
      <c r="WAI530" s="25"/>
      <c r="WAJ530" s="34"/>
      <c r="WAK530" s="6"/>
      <c r="WAL530" s="6"/>
      <c r="WAM530" s="27"/>
      <c r="WAN530" s="40"/>
      <c r="WAO530" s="25"/>
      <c r="WAP530" s="34"/>
      <c r="WAQ530" s="6"/>
      <c r="WAR530" s="6"/>
      <c r="WAS530" s="27"/>
      <c r="WAT530" s="40"/>
      <c r="WAU530" s="25"/>
      <c r="WAV530" s="34"/>
      <c r="WAW530" s="6"/>
      <c r="WAX530" s="6"/>
      <c r="WAY530" s="27"/>
      <c r="WAZ530" s="40"/>
      <c r="WBA530" s="25"/>
      <c r="WBB530" s="34"/>
      <c r="WBC530" s="6"/>
      <c r="WBD530" s="6"/>
      <c r="WBE530" s="27"/>
      <c r="WBF530" s="40"/>
      <c r="WBG530" s="25"/>
      <c r="WBH530" s="34"/>
      <c r="WBI530" s="6"/>
      <c r="WBJ530" s="6"/>
      <c r="WBK530" s="27"/>
      <c r="WBL530" s="40"/>
      <c r="WBM530" s="25"/>
      <c r="WBN530" s="34"/>
      <c r="WBO530" s="6"/>
      <c r="WBP530" s="6"/>
      <c r="WBQ530" s="27"/>
      <c r="WBR530" s="40"/>
      <c r="WBS530" s="25"/>
      <c r="WBT530" s="34"/>
      <c r="WBU530" s="6"/>
      <c r="WBV530" s="6"/>
      <c r="WBW530" s="27"/>
      <c r="WBX530" s="40"/>
      <c r="WBY530" s="25"/>
      <c r="WBZ530" s="34"/>
      <c r="WCA530" s="6"/>
      <c r="WCB530" s="6"/>
      <c r="WCC530" s="27"/>
      <c r="WCD530" s="40"/>
      <c r="WCE530" s="25"/>
      <c r="WCF530" s="34"/>
      <c r="WCG530" s="6"/>
      <c r="WCH530" s="6"/>
      <c r="WCI530" s="27"/>
      <c r="WCJ530" s="40"/>
      <c r="WCK530" s="25"/>
      <c r="WCL530" s="34"/>
      <c r="WCM530" s="6"/>
      <c r="WCN530" s="6"/>
      <c r="WCO530" s="27"/>
      <c r="WCP530" s="40"/>
      <c r="WCQ530" s="25"/>
      <c r="WCR530" s="34"/>
      <c r="WCS530" s="6"/>
      <c r="WCT530" s="6"/>
      <c r="WCU530" s="27"/>
      <c r="WCV530" s="40"/>
      <c r="WCW530" s="25"/>
      <c r="WCX530" s="34"/>
      <c r="WCY530" s="6"/>
      <c r="WCZ530" s="6"/>
      <c r="WDA530" s="27"/>
      <c r="WDB530" s="40"/>
      <c r="WDC530" s="25"/>
      <c r="WDD530" s="34"/>
      <c r="WDE530" s="6"/>
      <c r="WDF530" s="6"/>
      <c r="WDG530" s="27"/>
      <c r="WDH530" s="40"/>
      <c r="WDI530" s="25"/>
      <c r="WDJ530" s="34"/>
      <c r="WDK530" s="6"/>
      <c r="WDL530" s="6"/>
      <c r="WDM530" s="27"/>
      <c r="WDN530" s="40"/>
      <c r="WDO530" s="25"/>
      <c r="WDP530" s="34"/>
      <c r="WDQ530" s="6"/>
      <c r="WDR530" s="6"/>
      <c r="WDS530" s="27"/>
      <c r="WDT530" s="40"/>
      <c r="WDU530" s="25"/>
      <c r="WDV530" s="34"/>
      <c r="WDW530" s="6"/>
      <c r="WDX530" s="6"/>
      <c r="WDY530" s="27"/>
      <c r="WDZ530" s="40"/>
      <c r="WEA530" s="25"/>
      <c r="WEB530" s="34"/>
      <c r="WEC530" s="6"/>
      <c r="WED530" s="6"/>
      <c r="WEE530" s="27"/>
      <c r="WEF530" s="40"/>
      <c r="WEG530" s="25"/>
      <c r="WEH530" s="34"/>
      <c r="WEI530" s="6"/>
      <c r="WEJ530" s="6"/>
      <c r="WEK530" s="27"/>
      <c r="WEL530" s="40"/>
      <c r="WEM530" s="25"/>
      <c r="WEN530" s="34"/>
      <c r="WEO530" s="6"/>
      <c r="WEP530" s="6"/>
      <c r="WEQ530" s="27"/>
      <c r="WER530" s="40"/>
      <c r="WES530" s="25"/>
      <c r="WET530" s="34"/>
      <c r="WEU530" s="6"/>
      <c r="WEV530" s="6"/>
      <c r="WEW530" s="27"/>
      <c r="WEX530" s="40"/>
      <c r="WEY530" s="25"/>
      <c r="WEZ530" s="34"/>
      <c r="WFA530" s="6"/>
      <c r="WFB530" s="6"/>
      <c r="WFC530" s="27"/>
      <c r="WFD530" s="40"/>
      <c r="WFE530" s="25"/>
      <c r="WFF530" s="34"/>
      <c r="WFG530" s="6"/>
      <c r="WFH530" s="6"/>
      <c r="WFI530" s="27"/>
      <c r="WFJ530" s="40"/>
      <c r="WFK530" s="25"/>
      <c r="WFL530" s="34"/>
      <c r="WFM530" s="6"/>
      <c r="WFN530" s="6"/>
      <c r="WFO530" s="27"/>
      <c r="WFP530" s="40"/>
      <c r="WFQ530" s="25"/>
      <c r="WFR530" s="34"/>
      <c r="WFS530" s="6"/>
      <c r="WFT530" s="6"/>
      <c r="WFU530" s="27"/>
      <c r="WFV530" s="40"/>
      <c r="WFW530" s="25"/>
      <c r="WFX530" s="34"/>
      <c r="WFY530" s="6"/>
      <c r="WFZ530" s="6"/>
      <c r="WGA530" s="27"/>
      <c r="WGB530" s="40"/>
      <c r="WGC530" s="25"/>
      <c r="WGD530" s="34"/>
      <c r="WGE530" s="6"/>
      <c r="WGF530" s="6"/>
      <c r="WGG530" s="27"/>
      <c r="WGH530" s="40"/>
      <c r="WGI530" s="25"/>
      <c r="WGJ530" s="34"/>
      <c r="WGK530" s="6"/>
      <c r="WGL530" s="6"/>
      <c r="WGM530" s="27"/>
      <c r="WGN530" s="40"/>
      <c r="WGO530" s="25"/>
      <c r="WGP530" s="34"/>
      <c r="WGQ530" s="6"/>
      <c r="WGR530" s="6"/>
      <c r="WGS530" s="27"/>
      <c r="WGT530" s="40"/>
      <c r="WGU530" s="25"/>
      <c r="WGV530" s="34"/>
      <c r="WGW530" s="6"/>
      <c r="WGX530" s="6"/>
      <c r="WGY530" s="27"/>
      <c r="WGZ530" s="40"/>
      <c r="WHA530" s="25"/>
      <c r="WHB530" s="34"/>
      <c r="WHC530" s="6"/>
      <c r="WHD530" s="6"/>
      <c r="WHE530" s="27"/>
      <c r="WHF530" s="40"/>
      <c r="WHG530" s="25"/>
      <c r="WHH530" s="34"/>
      <c r="WHI530" s="6"/>
      <c r="WHJ530" s="6"/>
      <c r="WHK530" s="27"/>
      <c r="WHL530" s="40"/>
      <c r="WHM530" s="25"/>
      <c r="WHN530" s="34"/>
      <c r="WHO530" s="6"/>
      <c r="WHP530" s="6"/>
      <c r="WHQ530" s="27"/>
      <c r="WHR530" s="40"/>
      <c r="WHS530" s="25"/>
      <c r="WHT530" s="34"/>
      <c r="WHU530" s="6"/>
      <c r="WHV530" s="6"/>
      <c r="WHW530" s="27"/>
      <c r="WHX530" s="40"/>
      <c r="WHY530" s="25"/>
      <c r="WHZ530" s="34"/>
      <c r="WIA530" s="6"/>
      <c r="WIB530" s="6"/>
      <c r="WIC530" s="27"/>
      <c r="WID530" s="40"/>
      <c r="WIE530" s="25"/>
      <c r="WIF530" s="34"/>
      <c r="WIG530" s="6"/>
      <c r="WIH530" s="6"/>
      <c r="WII530" s="27"/>
      <c r="WIJ530" s="40"/>
      <c r="WIK530" s="25"/>
      <c r="WIL530" s="34"/>
      <c r="WIM530" s="6"/>
      <c r="WIN530" s="6"/>
      <c r="WIO530" s="27"/>
      <c r="WIP530" s="40"/>
      <c r="WIQ530" s="25"/>
      <c r="WIR530" s="34"/>
      <c r="WIS530" s="6"/>
      <c r="WIT530" s="6"/>
      <c r="WIU530" s="27"/>
      <c r="WIV530" s="40"/>
      <c r="WIW530" s="25"/>
      <c r="WIX530" s="34"/>
      <c r="WIY530" s="6"/>
      <c r="WIZ530" s="6"/>
      <c r="WJA530" s="27"/>
      <c r="WJB530" s="40"/>
      <c r="WJC530" s="25"/>
      <c r="WJD530" s="34"/>
      <c r="WJE530" s="6"/>
      <c r="WJF530" s="6"/>
      <c r="WJG530" s="27"/>
      <c r="WJH530" s="40"/>
      <c r="WJI530" s="25"/>
      <c r="WJJ530" s="34"/>
      <c r="WJK530" s="6"/>
      <c r="WJL530" s="6"/>
      <c r="WJM530" s="27"/>
      <c r="WJN530" s="40"/>
      <c r="WJO530" s="25"/>
      <c r="WJP530" s="34"/>
      <c r="WJQ530" s="6"/>
      <c r="WJR530" s="6"/>
      <c r="WJS530" s="27"/>
      <c r="WJT530" s="40"/>
      <c r="WJU530" s="25"/>
      <c r="WJV530" s="34"/>
      <c r="WJW530" s="6"/>
      <c r="WJX530" s="6"/>
      <c r="WJY530" s="27"/>
      <c r="WJZ530" s="40"/>
      <c r="WKA530" s="25"/>
      <c r="WKB530" s="34"/>
      <c r="WKC530" s="6"/>
      <c r="WKD530" s="6"/>
      <c r="WKE530" s="27"/>
      <c r="WKF530" s="40"/>
      <c r="WKG530" s="25"/>
      <c r="WKH530" s="34"/>
      <c r="WKI530" s="6"/>
      <c r="WKJ530" s="6"/>
      <c r="WKK530" s="27"/>
      <c r="WKL530" s="40"/>
      <c r="WKM530" s="25"/>
      <c r="WKN530" s="34"/>
      <c r="WKO530" s="6"/>
      <c r="WKP530" s="6"/>
      <c r="WKQ530" s="27"/>
      <c r="WKR530" s="40"/>
      <c r="WKS530" s="25"/>
      <c r="WKT530" s="34"/>
      <c r="WKU530" s="6"/>
      <c r="WKV530" s="6"/>
      <c r="WKW530" s="27"/>
      <c r="WKX530" s="40"/>
      <c r="WKY530" s="25"/>
      <c r="WKZ530" s="34"/>
      <c r="WLA530" s="6"/>
      <c r="WLB530" s="6"/>
      <c r="WLC530" s="27"/>
      <c r="WLD530" s="40"/>
      <c r="WLE530" s="25"/>
      <c r="WLF530" s="34"/>
      <c r="WLG530" s="6"/>
      <c r="WLH530" s="6"/>
      <c r="WLI530" s="27"/>
      <c r="WLJ530" s="40"/>
      <c r="WLK530" s="25"/>
      <c r="WLL530" s="34"/>
      <c r="WLM530" s="6"/>
      <c r="WLN530" s="6"/>
      <c r="WLO530" s="27"/>
      <c r="WLP530" s="40"/>
      <c r="WLQ530" s="25"/>
      <c r="WLR530" s="34"/>
      <c r="WLS530" s="6"/>
      <c r="WLT530" s="6"/>
      <c r="WLU530" s="27"/>
      <c r="WLV530" s="40"/>
      <c r="WLW530" s="25"/>
      <c r="WLX530" s="34"/>
      <c r="WLY530" s="6"/>
      <c r="WLZ530" s="6"/>
      <c r="WMA530" s="27"/>
      <c r="WMB530" s="40"/>
      <c r="WMC530" s="25"/>
      <c r="WMD530" s="34"/>
      <c r="WME530" s="6"/>
      <c r="WMF530" s="6"/>
      <c r="WMG530" s="27"/>
      <c r="WMH530" s="40"/>
      <c r="WMI530" s="25"/>
      <c r="WMJ530" s="34"/>
      <c r="WMK530" s="6"/>
      <c r="WML530" s="6"/>
      <c r="WMM530" s="27"/>
      <c r="WMN530" s="40"/>
      <c r="WMO530" s="25"/>
      <c r="WMP530" s="34"/>
      <c r="WMQ530" s="6"/>
      <c r="WMR530" s="6"/>
      <c r="WMS530" s="27"/>
      <c r="WMT530" s="40"/>
      <c r="WMU530" s="25"/>
      <c r="WMV530" s="34"/>
      <c r="WMW530" s="6"/>
      <c r="WMX530" s="6"/>
      <c r="WMY530" s="27"/>
      <c r="WMZ530" s="40"/>
      <c r="WNA530" s="25"/>
      <c r="WNB530" s="34"/>
      <c r="WNC530" s="6"/>
      <c r="WND530" s="6"/>
      <c r="WNE530" s="27"/>
      <c r="WNF530" s="40"/>
      <c r="WNG530" s="25"/>
      <c r="WNH530" s="34"/>
      <c r="WNI530" s="6"/>
      <c r="WNJ530" s="6"/>
      <c r="WNK530" s="27"/>
      <c r="WNL530" s="40"/>
      <c r="WNM530" s="25"/>
      <c r="WNN530" s="34"/>
      <c r="WNO530" s="6"/>
      <c r="WNP530" s="6"/>
      <c r="WNQ530" s="27"/>
      <c r="WNR530" s="40"/>
      <c r="WNS530" s="25"/>
      <c r="WNT530" s="34"/>
      <c r="WNU530" s="6"/>
      <c r="WNV530" s="6"/>
      <c r="WNW530" s="27"/>
      <c r="WNX530" s="40"/>
      <c r="WNY530" s="25"/>
      <c r="WNZ530" s="34"/>
      <c r="WOA530" s="6"/>
      <c r="WOB530" s="6"/>
      <c r="WOC530" s="27"/>
      <c r="WOD530" s="40"/>
      <c r="WOE530" s="25"/>
      <c r="WOF530" s="34"/>
      <c r="WOG530" s="6"/>
      <c r="WOH530" s="6"/>
      <c r="WOI530" s="27"/>
      <c r="WOJ530" s="40"/>
      <c r="WOK530" s="25"/>
      <c r="WOL530" s="34"/>
      <c r="WOM530" s="6"/>
      <c r="WON530" s="6"/>
      <c r="WOO530" s="27"/>
      <c r="WOP530" s="40"/>
      <c r="WOQ530" s="25"/>
      <c r="WOR530" s="34"/>
      <c r="WOS530" s="6"/>
      <c r="WOT530" s="6"/>
      <c r="WOU530" s="27"/>
      <c r="WOV530" s="40"/>
      <c r="WOW530" s="25"/>
      <c r="WOX530" s="34"/>
      <c r="WOY530" s="6"/>
      <c r="WOZ530" s="6"/>
      <c r="WPA530" s="27"/>
      <c r="WPB530" s="40"/>
      <c r="WPC530" s="25"/>
      <c r="WPD530" s="34"/>
      <c r="WPE530" s="6"/>
      <c r="WPF530" s="6"/>
      <c r="WPG530" s="27"/>
      <c r="WPH530" s="40"/>
      <c r="WPI530" s="25"/>
      <c r="WPJ530" s="34"/>
      <c r="WPK530" s="6"/>
      <c r="WPL530" s="6"/>
      <c r="WPM530" s="27"/>
      <c r="WPN530" s="40"/>
      <c r="WPO530" s="25"/>
      <c r="WPP530" s="34"/>
      <c r="WPQ530" s="6"/>
      <c r="WPR530" s="6"/>
      <c r="WPS530" s="27"/>
      <c r="WPT530" s="40"/>
      <c r="WPU530" s="25"/>
      <c r="WPV530" s="34"/>
      <c r="WPW530" s="6"/>
      <c r="WPX530" s="6"/>
      <c r="WPY530" s="27"/>
      <c r="WPZ530" s="40"/>
      <c r="WQA530" s="25"/>
      <c r="WQB530" s="34"/>
      <c r="WQC530" s="6"/>
      <c r="WQD530" s="6"/>
      <c r="WQE530" s="27"/>
      <c r="WQF530" s="40"/>
      <c r="WQG530" s="25"/>
      <c r="WQH530" s="34"/>
      <c r="WQI530" s="6"/>
      <c r="WQJ530" s="6"/>
      <c r="WQK530" s="27"/>
      <c r="WQL530" s="40"/>
      <c r="WQM530" s="25"/>
      <c r="WQN530" s="34"/>
      <c r="WQO530" s="6"/>
      <c r="WQP530" s="6"/>
      <c r="WQQ530" s="27"/>
      <c r="WQR530" s="40"/>
      <c r="WQS530" s="25"/>
      <c r="WQT530" s="34"/>
      <c r="WQU530" s="6"/>
      <c r="WQV530" s="6"/>
      <c r="WQW530" s="27"/>
      <c r="WQX530" s="40"/>
      <c r="WQY530" s="25"/>
      <c r="WQZ530" s="34"/>
      <c r="WRA530" s="6"/>
      <c r="WRB530" s="6"/>
      <c r="WRC530" s="27"/>
      <c r="WRD530" s="40"/>
      <c r="WRE530" s="25"/>
      <c r="WRF530" s="34"/>
      <c r="WRG530" s="6"/>
      <c r="WRH530" s="6"/>
      <c r="WRI530" s="27"/>
      <c r="WRJ530" s="40"/>
      <c r="WRK530" s="25"/>
      <c r="WRL530" s="34"/>
      <c r="WRM530" s="6"/>
      <c r="WRN530" s="6"/>
      <c r="WRO530" s="27"/>
      <c r="WRP530" s="40"/>
      <c r="WRQ530" s="25"/>
      <c r="WRR530" s="34"/>
      <c r="WRS530" s="6"/>
      <c r="WRT530" s="6"/>
      <c r="WRU530" s="27"/>
      <c r="WRV530" s="40"/>
      <c r="WRW530" s="25"/>
      <c r="WRX530" s="34"/>
      <c r="WRY530" s="6"/>
      <c r="WRZ530" s="6"/>
      <c r="WSA530" s="27"/>
      <c r="WSB530" s="40"/>
      <c r="WSC530" s="25"/>
      <c r="WSD530" s="34"/>
      <c r="WSE530" s="6"/>
      <c r="WSF530" s="6"/>
      <c r="WSG530" s="27"/>
      <c r="WSH530" s="40"/>
      <c r="WSI530" s="25"/>
      <c r="WSJ530" s="34"/>
      <c r="WSK530" s="6"/>
      <c r="WSL530" s="6"/>
      <c r="WSM530" s="27"/>
      <c r="WSN530" s="40"/>
      <c r="WSO530" s="25"/>
      <c r="WSP530" s="34"/>
      <c r="WSQ530" s="6"/>
      <c r="WSR530" s="6"/>
      <c r="WSS530" s="27"/>
      <c r="WST530" s="40"/>
      <c r="WSU530" s="25"/>
      <c r="WSV530" s="34"/>
      <c r="WSW530" s="6"/>
      <c r="WSX530" s="6"/>
      <c r="WSY530" s="27"/>
      <c r="WSZ530" s="40"/>
      <c r="WTA530" s="25"/>
      <c r="WTB530" s="34"/>
      <c r="WTC530" s="6"/>
      <c r="WTD530" s="6"/>
      <c r="WTE530" s="27"/>
      <c r="WTF530" s="40"/>
      <c r="WTG530" s="25"/>
      <c r="WTH530" s="34"/>
      <c r="WTI530" s="6"/>
      <c r="WTJ530" s="6"/>
      <c r="WTK530" s="27"/>
      <c r="WTL530" s="40"/>
      <c r="WTM530" s="25"/>
      <c r="WTN530" s="34"/>
      <c r="WTO530" s="6"/>
      <c r="WTP530" s="6"/>
      <c r="WTQ530" s="27"/>
      <c r="WTR530" s="40"/>
      <c r="WTS530" s="25"/>
      <c r="WTT530" s="34"/>
      <c r="WTU530" s="6"/>
      <c r="WTV530" s="6"/>
      <c r="WTW530" s="27"/>
      <c r="WTX530" s="40"/>
      <c r="WTY530" s="25"/>
      <c r="WTZ530" s="34"/>
      <c r="WUA530" s="6"/>
      <c r="WUB530" s="6"/>
      <c r="WUC530" s="27"/>
      <c r="WUD530" s="40"/>
      <c r="WUE530" s="25"/>
      <c r="WUF530" s="34"/>
      <c r="WUG530" s="6"/>
      <c r="WUH530" s="6"/>
      <c r="WUI530" s="27"/>
      <c r="WUJ530" s="40"/>
      <c r="WUK530" s="25"/>
      <c r="WUL530" s="34"/>
      <c r="WUM530" s="6"/>
      <c r="WUN530" s="6"/>
      <c r="WUO530" s="27"/>
      <c r="WUP530" s="40"/>
      <c r="WUQ530" s="25"/>
      <c r="WUR530" s="34"/>
      <c r="WUS530" s="6"/>
      <c r="WUT530" s="6"/>
      <c r="WUU530" s="27"/>
      <c r="WUV530" s="40"/>
      <c r="WUW530" s="25"/>
      <c r="WUX530" s="34"/>
      <c r="WUY530" s="6"/>
      <c r="WUZ530" s="6"/>
      <c r="WVA530" s="27"/>
      <c r="WVB530" s="40"/>
      <c r="WVC530" s="25"/>
      <c r="WVD530" s="34"/>
      <c r="WVE530" s="6"/>
      <c r="WVF530" s="6"/>
      <c r="WVG530" s="27"/>
      <c r="WVH530" s="40"/>
      <c r="WVI530" s="25"/>
      <c r="WVJ530" s="34"/>
      <c r="WVK530" s="6"/>
      <c r="WVL530" s="6"/>
      <c r="WVM530" s="27"/>
      <c r="WVN530" s="40"/>
      <c r="WVO530" s="25"/>
      <c r="WVP530" s="34"/>
      <c r="WVQ530" s="6"/>
      <c r="WVR530" s="6"/>
      <c r="WVS530" s="27"/>
      <c r="WVT530" s="40"/>
      <c r="WVU530" s="25"/>
      <c r="WVV530" s="34"/>
      <c r="WVW530" s="6"/>
      <c r="WVX530" s="6"/>
      <c r="WVY530" s="27"/>
      <c r="WVZ530" s="40"/>
      <c r="WWA530" s="25"/>
      <c r="WWB530" s="34"/>
      <c r="WWC530" s="6"/>
      <c r="WWD530" s="6"/>
      <c r="WWE530" s="27"/>
      <c r="WWF530" s="40"/>
      <c r="WWG530" s="25"/>
      <c r="WWH530" s="34"/>
      <c r="WWI530" s="6"/>
      <c r="WWJ530" s="6"/>
      <c r="WWK530" s="27"/>
      <c r="WWL530" s="40"/>
      <c r="WWM530" s="25"/>
      <c r="WWN530" s="34"/>
      <c r="WWO530" s="6"/>
      <c r="WWP530" s="6"/>
      <c r="WWQ530" s="27"/>
      <c r="WWR530" s="40"/>
      <c r="WWS530" s="25"/>
      <c r="WWT530" s="34"/>
      <c r="WWU530" s="6"/>
      <c r="WWV530" s="6"/>
      <c r="WWW530" s="27"/>
      <c r="WWX530" s="40"/>
      <c r="WWY530" s="25"/>
      <c r="WWZ530" s="34"/>
      <c r="WXA530" s="6"/>
      <c r="WXB530" s="6"/>
      <c r="WXC530" s="27"/>
      <c r="WXD530" s="40"/>
      <c r="WXE530" s="25"/>
      <c r="WXF530" s="34"/>
      <c r="WXG530" s="6"/>
      <c r="WXH530" s="6"/>
      <c r="WXI530" s="27"/>
      <c r="WXJ530" s="40"/>
      <c r="WXK530" s="25"/>
      <c r="WXL530" s="34"/>
      <c r="WXM530" s="6"/>
      <c r="WXN530" s="6"/>
      <c r="WXO530" s="27"/>
      <c r="WXP530" s="40"/>
      <c r="WXQ530" s="25"/>
      <c r="WXR530" s="34"/>
      <c r="WXS530" s="6"/>
      <c r="WXT530" s="6"/>
      <c r="WXU530" s="27"/>
      <c r="WXV530" s="40"/>
      <c r="WXW530" s="25"/>
      <c r="WXX530" s="34"/>
      <c r="WXY530" s="6"/>
      <c r="WXZ530" s="6"/>
      <c r="WYA530" s="27"/>
      <c r="WYB530" s="40"/>
      <c r="WYC530" s="25"/>
      <c r="WYD530" s="34"/>
      <c r="WYE530" s="6"/>
      <c r="WYF530" s="6"/>
      <c r="WYG530" s="27"/>
      <c r="WYH530" s="40"/>
      <c r="WYI530" s="25"/>
      <c r="WYJ530" s="34"/>
      <c r="WYK530" s="6"/>
      <c r="WYL530" s="6"/>
      <c r="WYM530" s="27"/>
      <c r="WYN530" s="40"/>
      <c r="WYO530" s="25"/>
      <c r="WYP530" s="34"/>
      <c r="WYQ530" s="6"/>
      <c r="WYR530" s="6"/>
      <c r="WYS530" s="27"/>
      <c r="WYT530" s="40"/>
      <c r="WYU530" s="25"/>
      <c r="WYV530" s="34"/>
      <c r="WYW530" s="6"/>
      <c r="WYX530" s="6"/>
      <c r="WYY530" s="27"/>
      <c r="WYZ530" s="40"/>
      <c r="WZA530" s="25"/>
      <c r="WZB530" s="34"/>
      <c r="WZC530" s="6"/>
      <c r="WZD530" s="6"/>
      <c r="WZE530" s="27"/>
      <c r="WZF530" s="40"/>
      <c r="WZG530" s="25"/>
      <c r="WZH530" s="34"/>
      <c r="WZI530" s="6"/>
      <c r="WZJ530" s="6"/>
      <c r="WZK530" s="27"/>
      <c r="WZL530" s="40"/>
      <c r="WZM530" s="25"/>
      <c r="WZN530" s="34"/>
      <c r="WZO530" s="6"/>
      <c r="WZP530" s="6"/>
      <c r="WZQ530" s="27"/>
      <c r="WZR530" s="40"/>
      <c r="WZS530" s="25"/>
      <c r="WZT530" s="34"/>
      <c r="WZU530" s="6"/>
      <c r="WZV530" s="6"/>
      <c r="WZW530" s="27"/>
      <c r="WZX530" s="40"/>
      <c r="WZY530" s="25"/>
      <c r="WZZ530" s="34"/>
      <c r="XAA530" s="6"/>
      <c r="XAB530" s="6"/>
      <c r="XAC530" s="27"/>
      <c r="XAD530" s="40"/>
      <c r="XAE530" s="25"/>
      <c r="XAF530" s="34"/>
      <c r="XAG530" s="6"/>
      <c r="XAH530" s="6"/>
      <c r="XAI530" s="27"/>
      <c r="XAJ530" s="40"/>
      <c r="XAK530" s="25"/>
      <c r="XAL530" s="34"/>
      <c r="XAM530" s="6"/>
      <c r="XAN530" s="6"/>
      <c r="XAO530" s="27"/>
      <c r="XAP530" s="40"/>
      <c r="XAQ530" s="25"/>
      <c r="XAR530" s="34"/>
      <c r="XAS530" s="6"/>
      <c r="XAT530" s="6"/>
      <c r="XAU530" s="27"/>
      <c r="XAV530" s="40"/>
      <c r="XAW530" s="25"/>
      <c r="XAX530" s="34"/>
      <c r="XAY530" s="6"/>
      <c r="XAZ530" s="6"/>
      <c r="XBA530" s="27"/>
      <c r="XBB530" s="40"/>
      <c r="XBC530" s="25"/>
      <c r="XBD530" s="34"/>
      <c r="XBE530" s="6"/>
      <c r="XBF530" s="6"/>
      <c r="XBG530" s="27"/>
      <c r="XBH530" s="40"/>
      <c r="XBI530" s="25"/>
      <c r="XBJ530" s="34"/>
      <c r="XBK530" s="6"/>
      <c r="XBL530" s="6"/>
      <c r="XBM530" s="27"/>
      <c r="XBN530" s="40"/>
      <c r="XBO530" s="25"/>
      <c r="XBP530" s="34"/>
      <c r="XBQ530" s="6"/>
      <c r="XBR530" s="6"/>
      <c r="XBS530" s="27"/>
      <c r="XBT530" s="40"/>
      <c r="XBU530" s="25"/>
      <c r="XBV530" s="34"/>
      <c r="XBW530" s="6"/>
      <c r="XBX530" s="6"/>
      <c r="XBY530" s="27"/>
      <c r="XBZ530" s="40"/>
      <c r="XCA530" s="25"/>
      <c r="XCB530" s="34"/>
      <c r="XCC530" s="6"/>
      <c r="XCD530" s="6"/>
      <c r="XCE530" s="27"/>
      <c r="XCF530" s="40"/>
      <c r="XCG530" s="25"/>
      <c r="XCH530" s="34"/>
      <c r="XCI530" s="6"/>
      <c r="XCJ530" s="6"/>
      <c r="XCK530" s="27"/>
      <c r="XCL530" s="40"/>
      <c r="XCM530" s="25"/>
      <c r="XCN530" s="34"/>
      <c r="XCO530" s="6"/>
      <c r="XCP530" s="6"/>
      <c r="XCQ530" s="27"/>
      <c r="XCR530" s="40"/>
      <c r="XCS530" s="25"/>
      <c r="XCT530" s="34"/>
      <c r="XCU530" s="6"/>
      <c r="XCV530" s="6"/>
      <c r="XCW530" s="27"/>
      <c r="XCX530" s="40"/>
      <c r="XCY530" s="25"/>
      <c r="XCZ530" s="34"/>
      <c r="XDA530" s="6"/>
      <c r="XDB530" s="6"/>
      <c r="XDC530" s="27"/>
      <c r="XDD530" s="40"/>
      <c r="XDE530" s="25"/>
      <c r="XDF530" s="34"/>
      <c r="XDG530" s="6"/>
      <c r="XDH530" s="6"/>
      <c r="XDI530" s="27"/>
      <c r="XDJ530" s="40"/>
      <c r="XDK530" s="25"/>
      <c r="XDL530" s="34"/>
      <c r="XDM530" s="6"/>
      <c r="XDN530" s="6"/>
      <c r="XDO530" s="27"/>
      <c r="XDP530" s="40"/>
      <c r="XDQ530" s="25"/>
      <c r="XDR530" s="34"/>
      <c r="XDS530" s="6"/>
      <c r="XDT530" s="6"/>
      <c r="XDU530" s="27"/>
      <c r="XDV530" s="40"/>
      <c r="XDW530" s="25"/>
      <c r="XDX530" s="34"/>
      <c r="XDY530" s="6"/>
      <c r="XDZ530" s="6"/>
      <c r="XEA530" s="27"/>
      <c r="XEB530" s="40"/>
      <c r="XEC530" s="25"/>
      <c r="XED530" s="34"/>
      <c r="XEE530" s="6"/>
      <c r="XEF530" s="6"/>
      <c r="XEG530" s="27"/>
      <c r="XEH530" s="40"/>
      <c r="XEI530" s="25"/>
      <c r="XEJ530" s="34"/>
      <c r="XEK530" s="6"/>
      <c r="XEL530" s="6"/>
      <c r="XEM530" s="27"/>
      <c r="XEN530" s="40"/>
      <c r="XEO530" s="25"/>
      <c r="XEP530" s="34"/>
      <c r="XEQ530" s="6"/>
      <c r="XER530" s="6"/>
      <c r="XES530" s="27"/>
      <c r="XET530" s="40"/>
      <c r="XEU530" s="25"/>
      <c r="XEV530" s="34"/>
      <c r="XEW530" s="6"/>
      <c r="XEX530" s="6"/>
      <c r="XEY530" s="27"/>
      <c r="XEZ530" s="40"/>
      <c r="XFA530" s="25"/>
      <c r="XFB530" s="34"/>
      <c r="XFC530" s="6"/>
      <c r="XFD530" s="6"/>
    </row>
  </sheetData>
  <phoneticPr fontId="16" type="noConversion"/>
  <conditionalFormatting sqref="E98">
    <cfRule type="iconSet" priority="150">
      <iconSet iconSet="3Signs">
        <cfvo type="percent" val="0"/>
        <cfvo type="percent" val="33"/>
        <cfvo type="percent" val="67"/>
      </iconSet>
    </cfRule>
  </conditionalFormatting>
  <conditionalFormatting sqref="E123">
    <cfRule type="iconSet" priority="151">
      <iconSet iconSet="3Signs">
        <cfvo type="percent" val="0"/>
        <cfvo type="percent" val="33"/>
        <cfvo type="percent" val="67"/>
      </iconSet>
    </cfRule>
  </conditionalFormatting>
  <conditionalFormatting sqref="E128">
    <cfRule type="iconSet" priority="152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9B274C03B4BE429988EC3989058261" ma:contentTypeVersion="15" ma:contentTypeDescription="Create a new document." ma:contentTypeScope="" ma:versionID="0f11eeaaa20686ebebd18869b5b70804">
  <xsd:schema xmlns:xsd="http://www.w3.org/2001/XMLSchema" xmlns:xs="http://www.w3.org/2001/XMLSchema" xmlns:p="http://schemas.microsoft.com/office/2006/metadata/properties" xmlns:ns2="4e821f9a-4ac9-49c7-b7ba-286bb149d188" xmlns:ns3="2c46208e-0df0-41fe-bee5-53af0b5be007" targetNamespace="http://schemas.microsoft.com/office/2006/metadata/properties" ma:root="true" ma:fieldsID="23fce22b41a6d9599162dd31354aa314" ns2:_="" ns3:_="">
    <xsd:import namespace="4e821f9a-4ac9-49c7-b7ba-286bb149d188"/>
    <xsd:import namespace="2c46208e-0df0-41fe-bee5-53af0b5be0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821f9a-4ac9-49c7-b7ba-286bb149d1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2f5f444-b3d0-4563-97bd-cda682094d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6208e-0df0-41fe-bee5-53af0b5be00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707f018-e2fa-4cf3-8a45-cc5e18845cd3}" ma:internalName="TaxCatchAll" ma:showField="CatchAllData" ma:web="2c46208e-0df0-41fe-bee5-53af0b5be0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FD1E4C-A59F-44D8-ADE6-D054DDC424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821f9a-4ac9-49c7-b7ba-286bb149d188"/>
    <ds:schemaRef ds:uri="2c46208e-0df0-41fe-bee5-53af0b5be0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0A2490-3A48-4F12-9F87-166044DC6C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69</vt:i4>
      </vt:variant>
    </vt:vector>
  </HeadingPairs>
  <TitlesOfParts>
    <vt:vector size="74" baseType="lpstr">
      <vt:lpstr>Recon-Statement</vt:lpstr>
      <vt:lpstr>Master Data</vt:lpstr>
      <vt:lpstr>ISSUE</vt:lpstr>
      <vt:lpstr>Goods Receipt</vt:lpstr>
      <vt:lpstr>BOQ</vt:lpstr>
      <vt:lpstr>_100X2.5MM_UV_Cable_Tie_Black</vt:lpstr>
      <vt:lpstr>_38x50_OD_DWC_Pipe__500MTR__UV___Anti_Rodent</vt:lpstr>
      <vt:lpstr>_3CX240Sqmm_A2XFY_19_33KV_HT_Cable</vt:lpstr>
      <vt:lpstr>_3CX240Sqmm_A2XFY_UNSCR_ATR_UV_AF_3.3_KV</vt:lpstr>
      <vt:lpstr>AC_Cables</vt:lpstr>
      <vt:lpstr>Assets</vt:lpstr>
      <vt:lpstr>Aux_Control_Cable</vt:lpstr>
      <vt:lpstr>Aux_UPS_Panel</vt:lpstr>
      <vt:lpstr>bala</vt:lpstr>
      <vt:lpstr>Battery</vt:lpstr>
      <vt:lpstr>Bus_Duct</vt:lpstr>
      <vt:lpstr>Cable_Glands</vt:lpstr>
      <vt:lpstr>Cable_Lugs</vt:lpstr>
      <vt:lpstr>Cable_Route_Marker</vt:lpstr>
      <vt:lpstr>Cable_Sleeve</vt:lpstr>
      <vt:lpstr>Cable_Termination_Kit</vt:lpstr>
      <vt:lpstr>Cable_Tie</vt:lpstr>
      <vt:lpstr>Cable_Tray</vt:lpstr>
      <vt:lpstr>Cables</vt:lpstr>
      <vt:lpstr>Catagory</vt:lpstr>
      <vt:lpstr>CCTV</vt:lpstr>
      <vt:lpstr>Civil</vt:lpstr>
      <vt:lpstr>Column_C_120x50x15x1493x2mm_Thick</vt:lpstr>
      <vt:lpstr>Column_Post___140x50x20x2.0_MM</vt:lpstr>
      <vt:lpstr>Communication_Cable</vt:lpstr>
      <vt:lpstr>Conductors</vt:lpstr>
      <vt:lpstr>Connectors</vt:lpstr>
      <vt:lpstr>Control_Cable</vt:lpstr>
      <vt:lpstr>DC_Cable</vt:lpstr>
      <vt:lpstr>DC_Cables</vt:lpstr>
      <vt:lpstr>Earthing</vt:lpstr>
      <vt:lpstr>Earthing_cables</vt:lpstr>
      <vt:lpstr>Earthing_Strip</vt:lpstr>
      <vt:lpstr>ESE_Train</vt:lpstr>
      <vt:lpstr>Fencing</vt:lpstr>
      <vt:lpstr>HEX_BOLT_NUT_2PLN_WSR_1SP_WSR_M_16x40</vt:lpstr>
      <vt:lpstr>HT_Cables</vt:lpstr>
      <vt:lpstr>HT_Panel</vt:lpstr>
      <vt:lpstr>Inverter</vt:lpstr>
      <vt:lpstr>Inverter_Column_Post__ISMC___100x50x5mm___3000mmL</vt:lpstr>
      <vt:lpstr>Inverters</vt:lpstr>
      <vt:lpstr>Inverters_Structure</vt:lpstr>
      <vt:lpstr>Lighting_arrestor</vt:lpstr>
      <vt:lpstr>Location</vt:lpstr>
      <vt:lpstr>LT_Panel</vt:lpstr>
      <vt:lpstr>M16x40mm_B_N_2PW_1SW_HDG_8.8</vt:lpstr>
      <vt:lpstr>MCS</vt:lpstr>
      <vt:lpstr>MMS_Fasteners</vt:lpstr>
      <vt:lpstr>Module_Mounting_Structure</vt:lpstr>
      <vt:lpstr>NIFPS</vt:lpstr>
      <vt:lpstr>Others</vt:lpstr>
      <vt:lpstr>Pipes</vt:lpstr>
      <vt:lpstr>Price</vt:lpstr>
      <vt:lpstr>'Recon-Statement'!Print_Area</vt:lpstr>
      <vt:lpstr>'Goods Receipt'!Print_Titles</vt:lpstr>
      <vt:lpstr>'Recon-Statement'!Print_Titles</vt:lpstr>
      <vt:lpstr>Safety_Equipments</vt:lpstr>
      <vt:lpstr>Sand_Bucket_With_Stend__canopy</vt:lpstr>
      <vt:lpstr>Scada</vt:lpstr>
      <vt:lpstr>Solar_Modules</vt:lpstr>
      <vt:lpstr>Solis_225K_EHV_5G_Plus_Grid_Tie_Solar_PV_Inverter</vt:lpstr>
      <vt:lpstr>Store_Container</vt:lpstr>
      <vt:lpstr>Street_Light</vt:lpstr>
      <vt:lpstr>Sub_contractor_Name</vt:lpstr>
      <vt:lpstr>Transformers</vt:lpstr>
      <vt:lpstr>Unit</vt:lpstr>
      <vt:lpstr>UPS</vt:lpstr>
      <vt:lpstr>UPS_Aux_Panel</vt:lpstr>
      <vt:lpstr>Yellow_Warning_Tape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</dc:creator>
  <cp:keywords/>
  <dc:description/>
  <cp:lastModifiedBy>Balamurugan S Prozeal</cp:lastModifiedBy>
  <cp:revision/>
  <dcterms:created xsi:type="dcterms:W3CDTF">2015-06-05T18:17:20Z</dcterms:created>
  <dcterms:modified xsi:type="dcterms:W3CDTF">2024-12-08T08:10:19Z</dcterms:modified>
  <cp:category/>
  <cp:contentStatus/>
</cp:coreProperties>
</file>